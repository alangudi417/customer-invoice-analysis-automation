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\"/>
    </mc:Choice>
  </mc:AlternateContent>
  <xr:revisionPtr revIDLastSave="0" documentId="13_ncr:1_{64A86BC2-6A58-4383-89BF-2593775E526D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Sheet1!$A$1:$AE$2373</definedName>
    <definedName name="_xlnm._FilterDatabase" localSheetId="3" hidden="1">TLA!$A$1:$AD$2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R1634" i="3" s="1"/>
  <c r="AE1634" i="3" s="1"/>
  <c r="O1635" i="3"/>
  <c r="O1636" i="3"/>
  <c r="O1637" i="3"/>
  <c r="O1638" i="3"/>
  <c r="O1639" i="3"/>
  <c r="O1640" i="3"/>
  <c r="O1641" i="3"/>
  <c r="R1638" i="3" s="1"/>
  <c r="O1642" i="3"/>
  <c r="O1643" i="3"/>
  <c r="R1643" i="3" s="1"/>
  <c r="AD1643" i="3" s="1"/>
  <c r="T1645" i="3" s="1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R1689" i="3" s="1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R1699" i="3" s="1"/>
  <c r="AD1699" i="3" s="1"/>
  <c r="O1702" i="3"/>
  <c r="O1703" i="3"/>
  <c r="O1704" i="3"/>
  <c r="R1704" i="3" s="1"/>
  <c r="AD1704" i="3" s="1"/>
  <c r="T1715" i="3" s="1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R1716" i="3" s="1"/>
  <c r="AD1716" i="3" s="1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R1751" i="3" s="1"/>
  <c r="AD1751" i="3" s="1"/>
  <c r="O1752" i="3"/>
  <c r="O1753" i="3"/>
  <c r="R1753" i="3" s="1"/>
  <c r="O1754" i="3"/>
  <c r="O1755" i="3"/>
  <c r="O1756" i="3"/>
  <c r="O1757" i="3"/>
  <c r="O1758" i="3"/>
  <c r="O1759" i="3"/>
  <c r="O1760" i="3"/>
  <c r="O1761" i="3"/>
  <c r="O1762" i="3"/>
  <c r="O1763" i="3"/>
  <c r="R1763" i="3" s="1"/>
  <c r="AD1763" i="3" s="1"/>
  <c r="T1764" i="3" s="1"/>
  <c r="O1764" i="3"/>
  <c r="O1765" i="3"/>
  <c r="R1765" i="3" s="1"/>
  <c r="AD1765" i="3" s="1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R1777" i="3" s="1"/>
  <c r="AD1777" i="3" s="1"/>
  <c r="T1778" i="3" s="1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R1796" i="3" s="1"/>
  <c r="O1798" i="3"/>
  <c r="O1799" i="3"/>
  <c r="R1798" i="3" s="1"/>
  <c r="AD1798" i="3" s="1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R1806" i="3" s="1"/>
  <c r="AD1806" i="3" s="1"/>
  <c r="O1812" i="3"/>
  <c r="O1813" i="3"/>
  <c r="O1814" i="3"/>
  <c r="O1815" i="3"/>
  <c r="O1816" i="3"/>
  <c r="O1817" i="3"/>
  <c r="O1818" i="3"/>
  <c r="O1819" i="3"/>
  <c r="O1820" i="3"/>
  <c r="O1821" i="3"/>
  <c r="R1820" i="3" s="1"/>
  <c r="O1822" i="3"/>
  <c r="O1823" i="3"/>
  <c r="R1823" i="3" s="1"/>
  <c r="AD1823" i="3" s="1"/>
  <c r="O1824" i="3"/>
  <c r="O1825" i="3"/>
  <c r="O1826" i="3"/>
  <c r="R1825" i="3" s="1"/>
  <c r="AD1825" i="3" s="1"/>
  <c r="T1825" i="3" s="1"/>
  <c r="O1827" i="3"/>
  <c r="O1828" i="3"/>
  <c r="O1829" i="3"/>
  <c r="O1830" i="3"/>
  <c r="O1831" i="3"/>
  <c r="O1832" i="3"/>
  <c r="O1833" i="3"/>
  <c r="R1830" i="3" s="1"/>
  <c r="AD1830" i="3" s="1"/>
  <c r="O1834" i="3"/>
  <c r="O1835" i="3"/>
  <c r="R1834" i="3" s="1"/>
  <c r="AD1834" i="3" s="1"/>
  <c r="O1836" i="3"/>
  <c r="R1836" i="3" s="1"/>
  <c r="AD1836" i="3" s="1"/>
  <c r="O1837" i="3"/>
  <c r="O1838" i="3"/>
  <c r="O1839" i="3"/>
  <c r="O1840" i="3"/>
  <c r="O1841" i="3"/>
  <c r="O1842" i="3"/>
  <c r="O1843" i="3"/>
  <c r="O1844" i="3"/>
  <c r="O1845" i="3"/>
  <c r="O1846" i="3"/>
  <c r="O1847" i="3"/>
  <c r="R1846" i="3" s="1"/>
  <c r="AD1846" i="3" s="1"/>
  <c r="O1848" i="3"/>
  <c r="R1848" i="3" s="1"/>
  <c r="AD1848" i="3" s="1"/>
  <c r="O1849" i="3"/>
  <c r="O1850" i="3"/>
  <c r="R1850" i="3" s="1"/>
  <c r="AD1850" i="3" s="1"/>
  <c r="O1851" i="3"/>
  <c r="O1852" i="3"/>
  <c r="O1853" i="3"/>
  <c r="O1854" i="3"/>
  <c r="O1855" i="3"/>
  <c r="O1856" i="3"/>
  <c r="O1857" i="3"/>
  <c r="R1856" i="3" s="1"/>
  <c r="AD1856" i="3" s="1"/>
  <c r="T1856" i="3" s="1"/>
  <c r="O1858" i="3"/>
  <c r="O1859" i="3"/>
  <c r="R1858" i="3" s="1"/>
  <c r="AD1858" i="3" s="1"/>
  <c r="T1858" i="3" s="1"/>
  <c r="O1860" i="3"/>
  <c r="R1860" i="3" s="1"/>
  <c r="AD1860" i="3" s="1"/>
  <c r="O1861" i="3"/>
  <c r="O1862" i="3"/>
  <c r="O1863" i="3"/>
  <c r="O1864" i="3"/>
  <c r="O1865" i="3"/>
  <c r="O1866" i="3"/>
  <c r="O1867" i="3"/>
  <c r="O1868" i="3"/>
  <c r="O1869" i="3"/>
  <c r="O1870" i="3"/>
  <c r="O1871" i="3"/>
  <c r="R1871" i="3" s="1"/>
  <c r="O1872" i="3"/>
  <c r="O1873" i="3"/>
  <c r="R1873" i="3" s="1"/>
  <c r="O1874" i="3"/>
  <c r="O1875" i="3"/>
  <c r="O1876" i="3"/>
  <c r="O1877" i="3"/>
  <c r="O1878" i="3"/>
  <c r="O1879" i="3"/>
  <c r="O1880" i="3"/>
  <c r="O1881" i="3"/>
  <c r="O1882" i="3"/>
  <c r="O1883" i="3"/>
  <c r="R1882" i="3" s="1"/>
  <c r="AD1882" i="3" s="1"/>
  <c r="O1884" i="3"/>
  <c r="R1884" i="3" s="1"/>
  <c r="AD1884" i="3" s="1"/>
  <c r="O1885" i="3"/>
  <c r="O1886" i="3"/>
  <c r="R1886" i="3" s="1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R1910" i="3" s="1"/>
  <c r="AD1910" i="3" s="1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R1963" i="3" s="1"/>
  <c r="AD1963" i="3" s="1"/>
  <c r="O1965" i="3"/>
  <c r="R1965" i="3" s="1"/>
  <c r="AD1965" i="3" s="1"/>
  <c r="O1966" i="3"/>
  <c r="O1967" i="3"/>
  <c r="R1967" i="3" s="1"/>
  <c r="O1968" i="3"/>
  <c r="O1969" i="3"/>
  <c r="O1970" i="3"/>
  <c r="R1969" i="3" s="1"/>
  <c r="AE1969" i="3" s="1"/>
  <c r="O1971" i="3"/>
  <c r="O1972" i="3"/>
  <c r="O1973" i="3"/>
  <c r="O1974" i="3"/>
  <c r="O1975" i="3"/>
  <c r="O1976" i="3"/>
  <c r="O1977" i="3"/>
  <c r="R1975" i="3" s="1"/>
  <c r="O1978" i="3"/>
  <c r="O1979" i="3"/>
  <c r="R1978" i="3" s="1"/>
  <c r="AD1978" i="3" s="1"/>
  <c r="O1980" i="3"/>
  <c r="R1980" i="3" s="1"/>
  <c r="AD1980" i="3" s="1"/>
  <c r="O1981" i="3"/>
  <c r="O1982" i="3"/>
  <c r="R1982" i="3" s="1"/>
  <c r="AE1982" i="3" s="1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R1993" i="3" s="1"/>
  <c r="AD1993" i="3" s="1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R2013" i="3" s="1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R2025" i="3" s="1"/>
  <c r="AD2025" i="3" s="1"/>
  <c r="O2026" i="3"/>
  <c r="O2027" i="3"/>
  <c r="O2028" i="3"/>
  <c r="O2029" i="3"/>
  <c r="O2030" i="3"/>
  <c r="R2027" i="3" s="1"/>
  <c r="AD2027" i="3" s="1"/>
  <c r="O2031" i="3"/>
  <c r="O2032" i="3"/>
  <c r="O2033" i="3"/>
  <c r="O2034" i="3"/>
  <c r="O2035" i="3"/>
  <c r="O2036" i="3"/>
  <c r="O2037" i="3"/>
  <c r="R2036" i="3" s="1"/>
  <c r="AD2036" i="3" s="1"/>
  <c r="O2038" i="3"/>
  <c r="O2039" i="3"/>
  <c r="O2040" i="3"/>
  <c r="R2040" i="3" s="1"/>
  <c r="O2041" i="3"/>
  <c r="O2042" i="3"/>
  <c r="O2043" i="3"/>
  <c r="O2044" i="3"/>
  <c r="O2045" i="3"/>
  <c r="O2046" i="3"/>
  <c r="O2047" i="3"/>
  <c r="O2048" i="3"/>
  <c r="O2049" i="3"/>
  <c r="O2050" i="3"/>
  <c r="O2051" i="3"/>
  <c r="R2050" i="3" s="1"/>
  <c r="AD2050" i="3" s="1"/>
  <c r="O2052" i="3"/>
  <c r="R2052" i="3" s="1"/>
  <c r="AD2052" i="3" s="1"/>
  <c r="O2053" i="3"/>
  <c r="O2054" i="3"/>
  <c r="R2054" i="3" s="1"/>
  <c r="AD2054" i="3" s="1"/>
  <c r="O2055" i="3"/>
  <c r="O2056" i="3"/>
  <c r="O2057" i="3"/>
  <c r="O2058" i="3"/>
  <c r="O2059" i="3"/>
  <c r="O2060" i="3"/>
  <c r="O2061" i="3"/>
  <c r="R2058" i="3" s="1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R2086" i="3" s="1"/>
  <c r="O2088" i="3"/>
  <c r="R2088" i="3" s="1"/>
  <c r="O2089" i="3"/>
  <c r="O2090" i="3"/>
  <c r="R2090" i="3" s="1"/>
  <c r="AD2090" i="3" s="1"/>
  <c r="T2090" i="3" s="1"/>
  <c r="O2091" i="3"/>
  <c r="O2092" i="3"/>
  <c r="O2093" i="3"/>
  <c r="O2094" i="3"/>
  <c r="O2095" i="3"/>
  <c r="O2096" i="3"/>
  <c r="O2097" i="3"/>
  <c r="R2096" i="3" s="1"/>
  <c r="AD2096" i="3" s="1"/>
  <c r="O2098" i="3"/>
  <c r="O2099" i="3"/>
  <c r="R2098" i="3" s="1"/>
  <c r="AD2098" i="3" s="1"/>
  <c r="O2100" i="3"/>
  <c r="R2100" i="3" s="1"/>
  <c r="AD2100" i="3" s="1"/>
  <c r="O2101" i="3"/>
  <c r="O2102" i="3"/>
  <c r="O2103" i="3"/>
  <c r="O2104" i="3"/>
  <c r="O2105" i="3"/>
  <c r="O2106" i="3"/>
  <c r="O2107" i="3"/>
  <c r="O2108" i="3"/>
  <c r="O2109" i="3"/>
  <c r="R2108" i="3" s="1"/>
  <c r="AD2108" i="3" s="1"/>
  <c r="O2110" i="3"/>
  <c r="O2111" i="3"/>
  <c r="O2112" i="3"/>
  <c r="O2113" i="3"/>
  <c r="O2114" i="3"/>
  <c r="R2112" i="3" s="1"/>
  <c r="AD2112" i="3" s="1"/>
  <c r="O2115" i="3"/>
  <c r="O2116" i="3"/>
  <c r="O2117" i="3"/>
  <c r="O2118" i="3"/>
  <c r="O2119" i="3"/>
  <c r="O2120" i="3"/>
  <c r="R2119" i="3" s="1"/>
  <c r="AD2119" i="3" s="1"/>
  <c r="T2119" i="3" s="1"/>
  <c r="O2121" i="3"/>
  <c r="R2121" i="3" s="1"/>
  <c r="AE2121" i="3" s="1"/>
  <c r="O2122" i="3"/>
  <c r="O2123" i="3"/>
  <c r="O2124" i="3"/>
  <c r="O2125" i="3"/>
  <c r="O2126" i="3"/>
  <c r="O2127" i="3"/>
  <c r="O2128" i="3"/>
  <c r="O2129" i="3"/>
  <c r="O2130" i="3"/>
  <c r="O2131" i="3"/>
  <c r="O2132" i="3"/>
  <c r="R2132" i="3" s="1"/>
  <c r="AD2132" i="3" s="1"/>
  <c r="T2133" i="3" s="1"/>
  <c r="O2133" i="3"/>
  <c r="O2134" i="3"/>
  <c r="O2135" i="3"/>
  <c r="O2136" i="3"/>
  <c r="R2136" i="3" s="1"/>
  <c r="O2137" i="3"/>
  <c r="O2138" i="3"/>
  <c r="R2138" i="3" s="1"/>
  <c r="AD2138" i="3" s="1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R2157" i="3" s="1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R2167" i="3" s="1"/>
  <c r="AE2167" i="3" s="1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R2191" i="3" s="1"/>
  <c r="AD2191" i="3" s="1"/>
  <c r="O2193" i="3"/>
  <c r="O2194" i="3"/>
  <c r="O2195" i="3"/>
  <c r="O2196" i="3"/>
  <c r="O2197" i="3"/>
  <c r="O2198" i="3"/>
  <c r="R2197" i="3" s="1"/>
  <c r="O2199" i="3"/>
  <c r="O2200" i="3"/>
  <c r="O2201" i="3"/>
  <c r="O2202" i="3"/>
  <c r="O2203" i="3"/>
  <c r="O2204" i="3"/>
  <c r="R2203" i="3" s="1"/>
  <c r="AE2203" i="3" s="1"/>
  <c r="O2205" i="3"/>
  <c r="R2205" i="3" s="1"/>
  <c r="AD2205" i="3" s="1"/>
  <c r="T2205" i="3" s="1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R2228" i="3" s="1"/>
  <c r="AD2228" i="3" s="1"/>
  <c r="T2228" i="3" s="1"/>
  <c r="O2230" i="3"/>
  <c r="O2231" i="3"/>
  <c r="O2232" i="3"/>
  <c r="R2230" i="3" s="1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R2252" i="3" s="1"/>
  <c r="AE2252" i="3" s="1"/>
  <c r="O2254" i="3"/>
  <c r="O2255" i="3"/>
  <c r="R2254" i="3" s="1"/>
  <c r="AD2254" i="3" s="1"/>
  <c r="T2254" i="3" s="1"/>
  <c r="O2256" i="3"/>
  <c r="R2256" i="3" s="1"/>
  <c r="AD2256" i="3" s="1"/>
  <c r="O2257" i="3"/>
  <c r="O2258" i="3"/>
  <c r="O2259" i="3"/>
  <c r="O2260" i="3"/>
  <c r="O2261" i="3"/>
  <c r="O2262" i="3"/>
  <c r="O2263" i="3"/>
  <c r="O2264" i="3"/>
  <c r="O2265" i="3"/>
  <c r="R2264" i="3" s="1"/>
  <c r="AE2264" i="3" s="1"/>
  <c r="O2266" i="3"/>
  <c r="O2267" i="3"/>
  <c r="R2266" i="3" s="1"/>
  <c r="O2268" i="3"/>
  <c r="R2268" i="3" s="1"/>
  <c r="AD2268" i="3" s="1"/>
  <c r="O2269" i="3"/>
  <c r="O2270" i="3"/>
  <c r="O2271" i="3"/>
  <c r="O2272" i="3"/>
  <c r="O2273" i="3"/>
  <c r="O2274" i="3"/>
  <c r="O2275" i="3"/>
  <c r="O2276" i="3"/>
  <c r="R2275" i="3" s="1"/>
  <c r="AE2275" i="3" s="1"/>
  <c r="O2277" i="3"/>
  <c r="R2277" i="3" s="1"/>
  <c r="AE2277" i="3" s="1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R2289" i="3" s="1"/>
  <c r="AD2289" i="3" s="1"/>
  <c r="T2289" i="3" s="1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R2301" i="3" s="1"/>
  <c r="AE2301" i="3" s="1"/>
  <c r="O2302" i="3"/>
  <c r="O2303" i="3"/>
  <c r="O2304" i="3"/>
  <c r="O2305" i="3"/>
  <c r="O2306" i="3"/>
  <c r="O2307" i="3"/>
  <c r="O2308" i="3"/>
  <c r="O2309" i="3"/>
  <c r="O2310" i="3"/>
  <c r="O2311" i="3"/>
  <c r="O2312" i="3"/>
  <c r="R2311" i="3" s="1"/>
  <c r="AD2311" i="3" s="1"/>
  <c r="T2311" i="3" s="1"/>
  <c r="O2313" i="3"/>
  <c r="O2314" i="3"/>
  <c r="O2315" i="3"/>
  <c r="O2316" i="3"/>
  <c r="R2315" i="3" s="1"/>
  <c r="AE2315" i="3" s="1"/>
  <c r="O2317" i="3"/>
  <c r="O2318" i="3"/>
  <c r="O2319" i="3"/>
  <c r="O2320" i="3"/>
  <c r="O2321" i="3"/>
  <c r="O2322" i="3"/>
  <c r="O2323" i="3"/>
  <c r="O2324" i="3"/>
  <c r="O2325" i="3"/>
  <c r="R2324" i="3" s="1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R2347" i="3" s="1"/>
  <c r="AD2347" i="3" s="1"/>
  <c r="T2347" i="3" s="1"/>
  <c r="O2350" i="3"/>
  <c r="O2351" i="3"/>
  <c r="R2350" i="3" s="1"/>
  <c r="AD2350" i="3" s="1"/>
  <c r="O2352" i="3"/>
  <c r="R2352" i="3" s="1"/>
  <c r="AD2352" i="3" s="1"/>
  <c r="O2353" i="3"/>
  <c r="O2354" i="3"/>
  <c r="O2355" i="3"/>
  <c r="O2356" i="3"/>
  <c r="O2357" i="3"/>
  <c r="O2358" i="3"/>
  <c r="O2359" i="3"/>
  <c r="O2360" i="3"/>
  <c r="O2361" i="3"/>
  <c r="R2360" i="3" s="1"/>
  <c r="AD2360" i="3" s="1"/>
  <c r="T2360" i="3" s="1"/>
  <c r="O2362" i="3"/>
  <c r="R2362" i="3" s="1"/>
  <c r="AD2362" i="3" s="1"/>
  <c r="T2362" i="3" s="1"/>
  <c r="O2363" i="3"/>
  <c r="O2364" i="3"/>
  <c r="R2364" i="3" s="1"/>
  <c r="AD2364" i="3" s="1"/>
  <c r="O2365" i="3"/>
  <c r="O2366" i="3"/>
  <c r="R2366" i="3" s="1"/>
  <c r="AE2366" i="3" s="1"/>
  <c r="O2367" i="3"/>
  <c r="O2368" i="3"/>
  <c r="O2369" i="3"/>
  <c r="O2370" i="3"/>
  <c r="O2371" i="3"/>
  <c r="O2372" i="3"/>
  <c r="O2373" i="3"/>
  <c r="R2372" i="3" s="1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1994" i="3"/>
  <c r="AD2118" i="3"/>
  <c r="AD2164" i="3"/>
  <c r="AD2178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2007" i="3"/>
  <c r="AE2299" i="3"/>
  <c r="AE2309" i="3"/>
  <c r="R2373" i="3"/>
  <c r="AE2373" i="3" s="1"/>
  <c r="R2371" i="3"/>
  <c r="AE2371" i="3" s="1"/>
  <c r="R2370" i="3"/>
  <c r="AE2370" i="3" s="1"/>
  <c r="R2369" i="3"/>
  <c r="AE2369" i="3" s="1"/>
  <c r="R2368" i="3"/>
  <c r="AE2368" i="3" s="1"/>
  <c r="R2367" i="3"/>
  <c r="AD2367" i="3" s="1"/>
  <c r="R2365" i="3"/>
  <c r="AD2365" i="3" s="1"/>
  <c r="R2363" i="3"/>
  <c r="AD2363" i="3" s="1"/>
  <c r="R2361" i="3"/>
  <c r="AE2361" i="3" s="1"/>
  <c r="R2359" i="3"/>
  <c r="AE2359" i="3" s="1"/>
  <c r="R2358" i="3"/>
  <c r="AE2358" i="3" s="1"/>
  <c r="R2357" i="3"/>
  <c r="AE2357" i="3" s="1"/>
  <c r="R2356" i="3"/>
  <c r="AE2356" i="3" s="1"/>
  <c r="R2355" i="3"/>
  <c r="AD2355" i="3" s="1"/>
  <c r="R2353" i="3"/>
  <c r="AD2353" i="3" s="1"/>
  <c r="R2351" i="3"/>
  <c r="AE2351" i="3" s="1"/>
  <c r="R2349" i="3"/>
  <c r="AE2349" i="3" s="1"/>
  <c r="R2348" i="3"/>
  <c r="AE2348" i="3" s="1"/>
  <c r="R2346" i="3"/>
  <c r="AE2346" i="3" s="1"/>
  <c r="R2343" i="3"/>
  <c r="AD2343" i="3" s="1"/>
  <c r="R2345" i="3"/>
  <c r="AD2345" i="3" s="1"/>
  <c r="R2344" i="3"/>
  <c r="AD2344" i="3" s="1"/>
  <c r="R2342" i="3"/>
  <c r="AE2342" i="3" s="1"/>
  <c r="R2341" i="3"/>
  <c r="AD2341" i="3" s="1"/>
  <c r="R2340" i="3"/>
  <c r="AD2340" i="3" s="1"/>
  <c r="R2338" i="3"/>
  <c r="AD2338" i="3" s="1"/>
  <c r="R2337" i="3"/>
  <c r="AE2337" i="3" s="1"/>
  <c r="R2336" i="3"/>
  <c r="AE2336" i="3" s="1"/>
  <c r="R2334" i="3"/>
  <c r="AE2334" i="3" s="1"/>
  <c r="R2333" i="3"/>
  <c r="AE2333" i="3" s="1"/>
  <c r="R2332" i="3"/>
  <c r="AE2332" i="3" s="1"/>
  <c r="R2331" i="3"/>
  <c r="AD2331" i="3" s="1"/>
  <c r="R2330" i="3"/>
  <c r="AD2330" i="3" s="1"/>
  <c r="R2328" i="3"/>
  <c r="AD2328" i="3" s="1"/>
  <c r="R2326" i="3"/>
  <c r="AD2326" i="3" s="1"/>
  <c r="R2325" i="3"/>
  <c r="AE2325" i="3" s="1"/>
  <c r="R2323" i="3"/>
  <c r="AE2323" i="3" s="1"/>
  <c r="R2321" i="3"/>
  <c r="AE2321" i="3" s="1"/>
  <c r="R2320" i="3"/>
  <c r="AE2320" i="3" s="1"/>
  <c r="R2319" i="3"/>
  <c r="R2317" i="3"/>
  <c r="AD2317" i="3" s="1"/>
  <c r="R2316" i="3"/>
  <c r="AD2316" i="3" s="1"/>
  <c r="R2314" i="3"/>
  <c r="AD2314" i="3" s="1"/>
  <c r="R2312" i="3"/>
  <c r="AE2312" i="3" s="1"/>
  <c r="R2310" i="3"/>
  <c r="AE2310" i="3" s="1"/>
  <c r="R2309" i="3"/>
  <c r="AD2309" i="3" s="1"/>
  <c r="T2309" i="3" s="1"/>
  <c r="R2308" i="3"/>
  <c r="AD2308" i="3" s="1"/>
  <c r="R2307" i="3"/>
  <c r="R2306" i="3"/>
  <c r="AE2306" i="3" s="1"/>
  <c r="R2304" i="3"/>
  <c r="R2302" i="3"/>
  <c r="AD2302" i="3" s="1"/>
  <c r="R2300" i="3"/>
  <c r="AE2300" i="3" s="1"/>
  <c r="R2299" i="3"/>
  <c r="AD2299" i="3" s="1"/>
  <c r="R2298" i="3"/>
  <c r="AE2298" i="3" s="1"/>
  <c r="R2297" i="3"/>
  <c r="AE2297" i="3" s="1"/>
  <c r="R2296" i="3"/>
  <c r="AE2296" i="3" s="1"/>
  <c r="R2295" i="3"/>
  <c r="AD2295" i="3" s="1"/>
  <c r="R2294" i="3"/>
  <c r="AE2294" i="3" s="1"/>
  <c r="R2293" i="3"/>
  <c r="R2292" i="3"/>
  <c r="AD2292" i="3" s="1"/>
  <c r="R2290" i="3"/>
  <c r="R2288" i="3"/>
  <c r="AD2288" i="3" s="1"/>
  <c r="R2287" i="3"/>
  <c r="AD2287" i="3" s="1"/>
  <c r="R2286" i="3"/>
  <c r="AE2286" i="3" s="1"/>
  <c r="R2285" i="3"/>
  <c r="AE2285" i="3" s="1"/>
  <c r="R2284" i="3"/>
  <c r="AE2284" i="3" s="1"/>
  <c r="R2283" i="3"/>
  <c r="R2282" i="3"/>
  <c r="AD2282" i="3" s="1"/>
  <c r="R2281" i="3"/>
  <c r="AD2281" i="3" s="1"/>
  <c r="R2280" i="3"/>
  <c r="R2278" i="3"/>
  <c r="AD2278" i="3" s="1"/>
  <c r="R2276" i="3"/>
  <c r="AE2276" i="3" s="1"/>
  <c r="R2274" i="3"/>
  <c r="AD2274" i="3" s="1"/>
  <c r="R2273" i="3"/>
  <c r="AD2273" i="3" s="1"/>
  <c r="R2272" i="3"/>
  <c r="AD2272" i="3" s="1"/>
  <c r="R2271" i="3"/>
  <c r="AD2271" i="3" s="1"/>
  <c r="R2269" i="3"/>
  <c r="R2267" i="3"/>
  <c r="AD2267" i="3" s="1"/>
  <c r="R2265" i="3"/>
  <c r="AE2265" i="3" s="1"/>
  <c r="R2263" i="3"/>
  <c r="AE2263" i="3" s="1"/>
  <c r="R2261" i="3"/>
  <c r="AE2261" i="3" s="1"/>
  <c r="R2260" i="3"/>
  <c r="AE2260" i="3" s="1"/>
  <c r="R2259" i="3"/>
  <c r="AD2259" i="3" s="1"/>
  <c r="R2257" i="3"/>
  <c r="AD2257" i="3" s="1"/>
  <c r="R2255" i="3"/>
  <c r="AE2255" i="3" s="1"/>
  <c r="R2253" i="3"/>
  <c r="AE2253" i="3" s="1"/>
  <c r="R2251" i="3"/>
  <c r="AD2251" i="3" s="1"/>
  <c r="R2250" i="3"/>
  <c r="AE2250" i="3" s="1"/>
  <c r="R2249" i="3"/>
  <c r="AD2249" i="3" s="1"/>
  <c r="R2248" i="3"/>
  <c r="AE2248" i="3" s="1"/>
  <c r="R2247" i="3"/>
  <c r="AD2247" i="3" s="1"/>
  <c r="R2246" i="3"/>
  <c r="AD2246" i="3" s="1"/>
  <c r="R2245" i="3"/>
  <c r="AD2245" i="3" s="1"/>
  <c r="R2244" i="3"/>
  <c r="AD2244" i="3" s="1"/>
  <c r="R2243" i="3"/>
  <c r="AE2243" i="3" s="1"/>
  <c r="R2242" i="3"/>
  <c r="AD2242" i="3" s="1"/>
  <c r="R2241" i="3"/>
  <c r="AE2241" i="3" s="1"/>
  <c r="R2240" i="3"/>
  <c r="AE2240" i="3" s="1"/>
  <c r="R2238" i="3"/>
  <c r="AE2238" i="3" s="1"/>
  <c r="R2237" i="3"/>
  <c r="AD2237" i="3" s="1"/>
  <c r="T2237" i="3" s="1"/>
  <c r="R2236" i="3"/>
  <c r="AD2236" i="3" s="1"/>
  <c r="R2235" i="3"/>
  <c r="AD2235" i="3" s="1"/>
  <c r="R2234" i="3"/>
  <c r="AD2234" i="3" s="1"/>
  <c r="R2232" i="3"/>
  <c r="AD2232" i="3" s="1"/>
  <c r="R2231" i="3"/>
  <c r="AD2231" i="3" s="1"/>
  <c r="R2229" i="3"/>
  <c r="AD2229" i="3" s="1"/>
  <c r="R2227" i="3"/>
  <c r="AE2227" i="3" s="1"/>
  <c r="R2225" i="3"/>
  <c r="AE2225" i="3" s="1"/>
  <c r="R2223" i="3"/>
  <c r="R2221" i="3"/>
  <c r="AD2221" i="3" s="1"/>
  <c r="R2220" i="3"/>
  <c r="AD2220" i="3" s="1"/>
  <c r="R2219" i="3"/>
  <c r="AE2219" i="3" s="1"/>
  <c r="R2218" i="3"/>
  <c r="AD2218" i="3" s="1"/>
  <c r="R2216" i="3"/>
  <c r="AD2216" i="3" s="1"/>
  <c r="R2215" i="3"/>
  <c r="AD2215" i="3" s="1"/>
  <c r="T2215" i="3" s="1"/>
  <c r="R2214" i="3"/>
  <c r="AE2214" i="3" s="1"/>
  <c r="R2213" i="3"/>
  <c r="AD2213" i="3" s="1"/>
  <c r="T2213" i="3" s="1"/>
  <c r="R2212" i="3"/>
  <c r="AD2212" i="3" s="1"/>
  <c r="R2211" i="3"/>
  <c r="R2210" i="3"/>
  <c r="AD2210" i="3" s="1"/>
  <c r="R2208" i="3"/>
  <c r="R2206" i="3"/>
  <c r="AD2206" i="3" s="1"/>
  <c r="R2204" i="3"/>
  <c r="AE2204" i="3" s="1"/>
  <c r="R2202" i="3"/>
  <c r="AE2202" i="3" s="1"/>
  <c r="R2201" i="3"/>
  <c r="AE2201" i="3" s="1"/>
  <c r="R2200" i="3"/>
  <c r="AE2200" i="3" s="1"/>
  <c r="R2199" i="3"/>
  <c r="AD2199" i="3" s="1"/>
  <c r="R2198" i="3"/>
  <c r="R2196" i="3"/>
  <c r="AD2196" i="3" s="1"/>
  <c r="R2194" i="3"/>
  <c r="R2192" i="3"/>
  <c r="AD2192" i="3" s="1"/>
  <c r="R2190" i="3"/>
  <c r="AD2190" i="3" s="1"/>
  <c r="R2189" i="3"/>
  <c r="AD2189" i="3" s="1"/>
  <c r="R2188" i="3"/>
  <c r="AD2188" i="3" s="1"/>
  <c r="R2187" i="3"/>
  <c r="AD2187" i="3" s="1"/>
  <c r="R2186" i="3"/>
  <c r="R2185" i="3"/>
  <c r="AD2185" i="3" s="1"/>
  <c r="R2184" i="3"/>
  <c r="R2183" i="3"/>
  <c r="AE2183" i="3" s="1"/>
  <c r="R2182" i="3"/>
  <c r="AD2182" i="3" s="1"/>
  <c r="R2181" i="3"/>
  <c r="AE2181" i="3" s="1"/>
  <c r="R2180" i="3"/>
  <c r="AE2180" i="3" s="1"/>
  <c r="R2178" i="3"/>
  <c r="AE2178" i="3" s="1"/>
  <c r="R2177" i="3"/>
  <c r="AD2177" i="3" s="1"/>
  <c r="R2176" i="3"/>
  <c r="AD2176" i="3" s="1"/>
  <c r="R2175" i="3"/>
  <c r="AD2175" i="3" s="1"/>
  <c r="R2174" i="3"/>
  <c r="R2172" i="3"/>
  <c r="AD2172" i="3" s="1"/>
  <c r="R2171" i="3"/>
  <c r="AE2171" i="3" s="1"/>
  <c r="R2169" i="3"/>
  <c r="AE2169" i="3" s="1"/>
  <c r="R2168" i="3"/>
  <c r="AD2168" i="3" s="1"/>
  <c r="R2166" i="3"/>
  <c r="AD2166" i="3" s="1"/>
  <c r="R2165" i="3"/>
  <c r="AE2165" i="3" s="1"/>
  <c r="R2164" i="3"/>
  <c r="AE2164" i="3" s="1"/>
  <c r="R2163" i="3"/>
  <c r="AD2163" i="3" s="1"/>
  <c r="T2164" i="3" s="1"/>
  <c r="R2162" i="3"/>
  <c r="AD2162" i="3" s="1"/>
  <c r="R2161" i="3"/>
  <c r="AD2161" i="3" s="1"/>
  <c r="R2160" i="3"/>
  <c r="R2158" i="3"/>
  <c r="AD2158" i="3" s="1"/>
  <c r="R2156" i="3"/>
  <c r="AE2156" i="3" s="1"/>
  <c r="R2155" i="3"/>
  <c r="AD2155" i="3" s="1"/>
  <c r="R2154" i="3"/>
  <c r="AE2154" i="3" s="1"/>
  <c r="R2152" i="3"/>
  <c r="AD2152" i="3" s="1"/>
  <c r="R2151" i="3"/>
  <c r="AD2151" i="3" s="1"/>
  <c r="R2150" i="3"/>
  <c r="AD2150" i="3" s="1"/>
  <c r="R2148" i="3"/>
  <c r="AD2148" i="3" s="1"/>
  <c r="R2146" i="3"/>
  <c r="AD2146" i="3" s="1"/>
  <c r="R2145" i="3"/>
  <c r="AE2145" i="3" s="1"/>
  <c r="R2144" i="3"/>
  <c r="AD2144" i="3" s="1"/>
  <c r="R2143" i="3"/>
  <c r="AE2143" i="3" s="1"/>
  <c r="R2141" i="3"/>
  <c r="AE2141" i="3" s="1"/>
  <c r="R2140" i="3"/>
  <c r="AE2140" i="3" s="1"/>
  <c r="R2139" i="3"/>
  <c r="R2137" i="3"/>
  <c r="AD2137" i="3" s="1"/>
  <c r="R2135" i="3"/>
  <c r="AE2135" i="3" s="1"/>
  <c r="R2133" i="3"/>
  <c r="AD2133" i="3" s="1"/>
  <c r="R2131" i="3"/>
  <c r="AE2131" i="3" s="1"/>
  <c r="R2129" i="3"/>
  <c r="AD2129" i="3" s="1"/>
  <c r="R2128" i="3"/>
  <c r="AE2128" i="3" s="1"/>
  <c r="R2127" i="3"/>
  <c r="R2126" i="3"/>
  <c r="AD2126" i="3" s="1"/>
  <c r="R2124" i="3"/>
  <c r="AD2124" i="3" s="1"/>
  <c r="R2123" i="3"/>
  <c r="AD2123" i="3" s="1"/>
  <c r="R2122" i="3"/>
  <c r="AD2122" i="3" s="1"/>
  <c r="R2120" i="3"/>
  <c r="AE2120" i="3" s="1"/>
  <c r="R2118" i="3"/>
  <c r="AE2118" i="3" s="1"/>
  <c r="R2117" i="3"/>
  <c r="AD2117" i="3" s="1"/>
  <c r="R2116" i="3"/>
  <c r="AE2116" i="3" s="1"/>
  <c r="R2115" i="3"/>
  <c r="R2114" i="3"/>
  <c r="AD2114" i="3" s="1"/>
  <c r="R2113" i="3"/>
  <c r="R2111" i="3"/>
  <c r="AD2111" i="3" s="1"/>
  <c r="R2110" i="3"/>
  <c r="AD2110" i="3" s="1"/>
  <c r="R2109" i="3"/>
  <c r="AD2109" i="3" s="1"/>
  <c r="R2107" i="3"/>
  <c r="AD2107" i="3" s="1"/>
  <c r="R2105" i="3"/>
  <c r="AE2105" i="3" s="1"/>
  <c r="R2104" i="3"/>
  <c r="AE2104" i="3" s="1"/>
  <c r="R2103" i="3"/>
  <c r="R2101" i="3"/>
  <c r="R2099" i="3"/>
  <c r="AE2099" i="3" s="1"/>
  <c r="R2097" i="3"/>
  <c r="AD2097" i="3" s="1"/>
  <c r="R2095" i="3"/>
  <c r="AD2095" i="3" s="1"/>
  <c r="R2093" i="3"/>
  <c r="AD2093" i="3" s="1"/>
  <c r="R2092" i="3"/>
  <c r="AD2092" i="3" s="1"/>
  <c r="R2091" i="3"/>
  <c r="R2089" i="3"/>
  <c r="R2087" i="3"/>
  <c r="AD2087" i="3" s="1"/>
  <c r="R2085" i="3"/>
  <c r="AD2085" i="3" s="1"/>
  <c r="R2083" i="3"/>
  <c r="AD2083" i="3" s="1"/>
  <c r="R2081" i="3"/>
  <c r="AE2081" i="3" s="1"/>
  <c r="R2080" i="3"/>
  <c r="AE2080" i="3" s="1"/>
  <c r="R2079" i="3"/>
  <c r="AD2079" i="3" s="1"/>
  <c r="R2078" i="3"/>
  <c r="AD2078" i="3" s="1"/>
  <c r="R2076" i="3"/>
  <c r="R2074" i="3"/>
  <c r="AD2074" i="3" s="1"/>
  <c r="R2073" i="3"/>
  <c r="AE2073" i="3" s="1"/>
  <c r="R2072" i="3"/>
  <c r="AE2072" i="3" s="1"/>
  <c r="R2071" i="3"/>
  <c r="AD2071" i="3" s="1"/>
  <c r="R2070" i="3"/>
  <c r="AE2070" i="3" s="1"/>
  <c r="R2069" i="3"/>
  <c r="AD2069" i="3" s="1"/>
  <c r="R2068" i="3"/>
  <c r="AD2068" i="3" s="1"/>
  <c r="R2067" i="3"/>
  <c r="AD2067" i="3" s="1"/>
  <c r="R2065" i="3"/>
  <c r="AD2065" i="3" s="1"/>
  <c r="R2063" i="3"/>
  <c r="AD2063" i="3" s="1"/>
  <c r="R2062" i="3"/>
  <c r="AD2062" i="3" s="1"/>
  <c r="R2061" i="3"/>
  <c r="AE2061" i="3" s="1"/>
  <c r="R2060" i="3"/>
  <c r="AE2060" i="3" s="1"/>
  <c r="R2059" i="3"/>
  <c r="AE2059" i="3" s="1"/>
  <c r="R2057" i="3"/>
  <c r="AE2057" i="3" s="1"/>
  <c r="R2055" i="3"/>
  <c r="R2053" i="3"/>
  <c r="AD2053" i="3" s="1"/>
  <c r="R2051" i="3"/>
  <c r="AD2051" i="3" s="1"/>
  <c r="R2049" i="3"/>
  <c r="AD2049" i="3" s="1"/>
  <c r="R2047" i="3"/>
  <c r="AE2047" i="3" s="1"/>
  <c r="R2046" i="3"/>
  <c r="AD2046" i="3" s="1"/>
  <c r="T2046" i="3" s="1"/>
  <c r="R2045" i="3"/>
  <c r="AD2045" i="3" s="1"/>
  <c r="R2043" i="3"/>
  <c r="R2042" i="3"/>
  <c r="R2041" i="3"/>
  <c r="AD2041" i="3" s="1"/>
  <c r="R2039" i="3"/>
  <c r="AD2039" i="3" s="1"/>
  <c r="R2038" i="3"/>
  <c r="AE2038" i="3" s="1"/>
  <c r="R2037" i="3"/>
  <c r="AD2037" i="3" s="1"/>
  <c r="R2035" i="3"/>
  <c r="AE2035" i="3" s="1"/>
  <c r="R2034" i="3"/>
  <c r="AE2034" i="3" s="1"/>
  <c r="R2033" i="3"/>
  <c r="AD2033" i="3" s="1"/>
  <c r="R2032" i="3"/>
  <c r="AE2032" i="3" s="1"/>
  <c r="R2031" i="3"/>
  <c r="AD2031" i="3" s="1"/>
  <c r="R2030" i="3"/>
  <c r="R2029" i="3"/>
  <c r="R2028" i="3"/>
  <c r="AD2028" i="3" s="1"/>
  <c r="R2026" i="3"/>
  <c r="R2024" i="3"/>
  <c r="AD2024" i="3" s="1"/>
  <c r="R2023" i="3"/>
  <c r="AD2023" i="3" s="1"/>
  <c r="R2022" i="3"/>
  <c r="AD2022" i="3" s="1"/>
  <c r="R2020" i="3"/>
  <c r="AD2020" i="3" s="1"/>
  <c r="R2019" i="3"/>
  <c r="AE2019" i="3" s="1"/>
  <c r="R2018" i="3"/>
  <c r="AE2018" i="3" s="1"/>
  <c r="R2016" i="3"/>
  <c r="AD2016" i="3" s="1"/>
  <c r="R2014" i="3"/>
  <c r="R2012" i="3"/>
  <c r="AE2012" i="3" s="1"/>
  <c r="R2011" i="3"/>
  <c r="R2010" i="3"/>
  <c r="AE2010" i="3" s="1"/>
  <c r="R2009" i="3"/>
  <c r="AD2009" i="3" s="1"/>
  <c r="R2008" i="3"/>
  <c r="AD2008" i="3" s="1"/>
  <c r="R2007" i="3"/>
  <c r="AD2007" i="3" s="1"/>
  <c r="R2006" i="3"/>
  <c r="AD2006" i="3" s="1"/>
  <c r="R2005" i="3"/>
  <c r="AD2005" i="3" s="1"/>
  <c r="R2004" i="3"/>
  <c r="AD2004" i="3" s="1"/>
  <c r="R2003" i="3"/>
  <c r="R2002" i="3"/>
  <c r="AD2002" i="3" s="1"/>
  <c r="R2001" i="3"/>
  <c r="R2000" i="3"/>
  <c r="R1998" i="3"/>
  <c r="AD1998" i="3" s="1"/>
  <c r="R1997" i="3"/>
  <c r="AE1997" i="3" s="1"/>
  <c r="R1996" i="3"/>
  <c r="AD1996" i="3" s="1"/>
  <c r="R1995" i="3"/>
  <c r="AE1995" i="3" s="1"/>
  <c r="R1994" i="3"/>
  <c r="AE1994" i="3" s="1"/>
  <c r="R1992" i="3"/>
  <c r="AE1992" i="3" s="1"/>
  <c r="R1991" i="3"/>
  <c r="AD1991" i="3" s="1"/>
  <c r="R1990" i="3"/>
  <c r="AD1990" i="3" s="1"/>
  <c r="R1989" i="3"/>
  <c r="R1988" i="3"/>
  <c r="AD1988" i="3" s="1"/>
  <c r="R1986" i="3"/>
  <c r="AE1986" i="3" s="1"/>
  <c r="R1985" i="3"/>
  <c r="AD1985" i="3" s="1"/>
  <c r="T1985" i="3" s="1"/>
  <c r="R1984" i="3"/>
  <c r="AE1984" i="3" s="1"/>
  <c r="R1983" i="3"/>
  <c r="AD1983" i="3" s="1"/>
  <c r="R1981" i="3"/>
  <c r="AD1981" i="3" s="1"/>
  <c r="R1979" i="3"/>
  <c r="AD1979" i="3" s="1"/>
  <c r="R1977" i="3"/>
  <c r="AD1977" i="3" s="1"/>
  <c r="R1976" i="3"/>
  <c r="R1974" i="3"/>
  <c r="AD1974" i="3" s="1"/>
  <c r="R1973" i="3"/>
  <c r="AE1973" i="3" s="1"/>
  <c r="R1972" i="3"/>
  <c r="R1971" i="3"/>
  <c r="AE1971" i="3" s="1"/>
  <c r="R1970" i="3"/>
  <c r="AE1970" i="3" s="1"/>
  <c r="R1968" i="3"/>
  <c r="AE1968" i="3" s="1"/>
  <c r="R1966" i="3"/>
  <c r="AD1966" i="3" s="1"/>
  <c r="R1964" i="3"/>
  <c r="AD1964" i="3" s="1"/>
  <c r="R1962" i="3"/>
  <c r="AD1962" i="3" s="1"/>
  <c r="R1961" i="3"/>
  <c r="AD1961" i="3" s="1"/>
  <c r="R1959" i="3"/>
  <c r="AD1959" i="3" s="1"/>
  <c r="R1958" i="3"/>
  <c r="AE1958" i="3" s="1"/>
  <c r="R1957" i="3"/>
  <c r="AD1957" i="3" s="1"/>
  <c r="R1956" i="3"/>
  <c r="AE1956" i="3" s="1"/>
  <c r="R1955" i="3"/>
  <c r="R1954" i="3"/>
  <c r="AE1954" i="3" s="1"/>
  <c r="R1952" i="3"/>
  <c r="AE1952" i="3" s="1"/>
  <c r="R1951" i="3"/>
  <c r="AD1951" i="3" s="1"/>
  <c r="R1950" i="3"/>
  <c r="R1949" i="3"/>
  <c r="AD1949" i="3" s="1"/>
  <c r="T1949" i="3" s="1"/>
  <c r="R1948" i="3"/>
  <c r="AD1948" i="3" s="1"/>
  <c r="R1947" i="3"/>
  <c r="AE1947" i="3" s="1"/>
  <c r="R1946" i="3"/>
  <c r="AD1946" i="3" s="1"/>
  <c r="R1945" i="3"/>
  <c r="AE1945" i="3" s="1"/>
  <c r="R1943" i="3"/>
  <c r="AD1943" i="3" s="1"/>
  <c r="R1942" i="3"/>
  <c r="AE1942" i="3" s="1"/>
  <c r="R1941" i="3"/>
  <c r="AD1941" i="3" s="1"/>
  <c r="R1940" i="3"/>
  <c r="AE1940" i="3" s="1"/>
  <c r="R1938" i="3"/>
  <c r="R1937" i="3"/>
  <c r="AD1937" i="3" s="1"/>
  <c r="R1936" i="3"/>
  <c r="R1935" i="3"/>
  <c r="AD1935" i="3" s="1"/>
  <c r="R1934" i="3"/>
  <c r="AD1934" i="3" s="1"/>
  <c r="R1933" i="3"/>
  <c r="R1932" i="3"/>
  <c r="AD1932" i="3" s="1"/>
  <c r="R1931" i="3"/>
  <c r="AD1931" i="3" s="1"/>
  <c r="R1930" i="3"/>
  <c r="AD1930" i="3" s="1"/>
  <c r="R1929" i="3"/>
  <c r="AD1929" i="3" s="1"/>
  <c r="R1928" i="3"/>
  <c r="AD1928" i="3" s="1"/>
  <c r="R1927" i="3"/>
  <c r="AE1927" i="3" s="1"/>
  <c r="R1926" i="3"/>
  <c r="AE1926" i="3" s="1"/>
  <c r="R1925" i="3"/>
  <c r="R1924" i="3"/>
  <c r="R1923" i="3"/>
  <c r="R1922" i="3"/>
  <c r="AD1922" i="3" s="1"/>
  <c r="R1921" i="3"/>
  <c r="AD1921" i="3" s="1"/>
  <c r="R1920" i="3"/>
  <c r="R1919" i="3"/>
  <c r="AD1919" i="3" s="1"/>
  <c r="R1918" i="3"/>
  <c r="AE1918" i="3" s="1"/>
  <c r="R1916" i="3"/>
  <c r="AD1916" i="3" s="1"/>
  <c r="R1915" i="3"/>
  <c r="AD1915" i="3" s="1"/>
  <c r="R1914" i="3"/>
  <c r="AD1914" i="3" s="1"/>
  <c r="T1914" i="3" s="1"/>
  <c r="R1913" i="3"/>
  <c r="AD1913" i="3" s="1"/>
  <c r="R1912" i="3"/>
  <c r="AD1912" i="3" s="1"/>
  <c r="T1913" i="3" s="1"/>
  <c r="R1911" i="3"/>
  <c r="AD1911" i="3" s="1"/>
  <c r="R1909" i="3"/>
  <c r="R1908" i="3"/>
  <c r="AD1908" i="3" s="1"/>
  <c r="R1907" i="3"/>
  <c r="AD1907" i="3" s="1"/>
  <c r="R1906" i="3"/>
  <c r="AD1906" i="3" s="1"/>
  <c r="R1905" i="3"/>
  <c r="AE1905" i="3" s="1"/>
  <c r="R1904" i="3"/>
  <c r="AD1904" i="3" s="1"/>
  <c r="T1905" i="3" s="1"/>
  <c r="R1903" i="3"/>
  <c r="AE1903" i="3" s="1"/>
  <c r="R1902" i="3"/>
  <c r="AE1902" i="3" s="1"/>
  <c r="R1901" i="3"/>
  <c r="AE1901" i="3" s="1"/>
  <c r="R1900" i="3"/>
  <c r="AE1900" i="3" s="1"/>
  <c r="R1899" i="3"/>
  <c r="AD1899" i="3" s="1"/>
  <c r="R1898" i="3"/>
  <c r="AD1898" i="3" s="1"/>
  <c r="R1897" i="3"/>
  <c r="AD1897" i="3" s="1"/>
  <c r="R1896" i="3"/>
  <c r="AD1896" i="3" s="1"/>
  <c r="R1895" i="3"/>
  <c r="AD1895" i="3" s="1"/>
  <c r="R1893" i="3"/>
  <c r="R1892" i="3"/>
  <c r="AD1892" i="3" s="1"/>
  <c r="R1891" i="3"/>
  <c r="AD1891" i="3" s="1"/>
  <c r="R1890" i="3"/>
  <c r="AE1890" i="3" s="1"/>
  <c r="R1889" i="3"/>
  <c r="AE1889" i="3" s="1"/>
  <c r="R1888" i="3"/>
  <c r="AD1888" i="3" s="1"/>
  <c r="R1887" i="3"/>
  <c r="AD1887" i="3" s="1"/>
  <c r="R1885" i="3"/>
  <c r="AD1885" i="3" s="1"/>
  <c r="R1883" i="3"/>
  <c r="AD1883" i="3" s="1"/>
  <c r="R1881" i="3"/>
  <c r="AD1881" i="3" s="1"/>
  <c r="R1880" i="3"/>
  <c r="AD1880" i="3" s="1"/>
  <c r="R1879" i="3"/>
  <c r="AD1879" i="3" s="1"/>
  <c r="R1878" i="3"/>
  <c r="AE1878" i="3" s="1"/>
  <c r="R1877" i="3"/>
  <c r="AD1877" i="3" s="1"/>
  <c r="T1877" i="3" s="1"/>
  <c r="R1876" i="3"/>
  <c r="AE1876" i="3" s="1"/>
  <c r="R1875" i="3"/>
  <c r="AD1875" i="3" s="1"/>
  <c r="R1874" i="3"/>
  <c r="AE1874" i="3" s="1"/>
  <c r="R1872" i="3"/>
  <c r="AD1872" i="3" s="1"/>
  <c r="R1870" i="3"/>
  <c r="AD1870" i="3" s="1"/>
  <c r="R1869" i="3"/>
  <c r="AD1869" i="3" s="1"/>
  <c r="R1868" i="3"/>
  <c r="AD1868" i="3" s="1"/>
  <c r="R1867" i="3"/>
  <c r="R1866" i="3"/>
  <c r="AD1866" i="3" s="1"/>
  <c r="R1865" i="3"/>
  <c r="AD1865" i="3" s="1"/>
  <c r="R1864" i="3"/>
  <c r="AD1864" i="3" s="1"/>
  <c r="R1863" i="3"/>
  <c r="AD1863" i="3" s="1"/>
  <c r="R1862" i="3"/>
  <c r="AD1862" i="3" s="1"/>
  <c r="R1861" i="3"/>
  <c r="AE1861" i="3" s="1"/>
  <c r="R1859" i="3"/>
  <c r="AD1859" i="3" s="1"/>
  <c r="R1857" i="3"/>
  <c r="R1855" i="3"/>
  <c r="AD1855" i="3" s="1"/>
  <c r="R1854" i="3"/>
  <c r="AD1854" i="3" s="1"/>
  <c r="R1853" i="3"/>
  <c r="AE1853" i="3" s="1"/>
  <c r="R1852" i="3"/>
  <c r="AD1852" i="3" s="1"/>
  <c r="R1851" i="3"/>
  <c r="AE1851" i="3" s="1"/>
  <c r="R1849" i="3"/>
  <c r="AD1849" i="3" s="1"/>
  <c r="R1847" i="3"/>
  <c r="R1845" i="3"/>
  <c r="AD1845" i="3" s="1"/>
  <c r="R1844" i="3"/>
  <c r="AD1844" i="3" s="1"/>
  <c r="T1845" i="3" s="1"/>
  <c r="R1843" i="3"/>
  <c r="AD1843" i="3" s="1"/>
  <c r="R1842" i="3"/>
  <c r="AD1842" i="3" s="1"/>
  <c r="T1842" i="3" s="1"/>
  <c r="R1841" i="3"/>
  <c r="AD1841" i="3" s="1"/>
  <c r="R1840" i="3"/>
  <c r="AE1840" i="3" s="1"/>
  <c r="R1839" i="3"/>
  <c r="AE1839" i="3" s="1"/>
  <c r="R1837" i="3"/>
  <c r="AD1837" i="3" s="1"/>
  <c r="R1835" i="3"/>
  <c r="AD1835" i="3" s="1"/>
  <c r="R1833" i="3"/>
  <c r="AD1833" i="3" s="1"/>
  <c r="R1832" i="3"/>
  <c r="AD1832" i="3" s="1"/>
  <c r="R1831" i="3"/>
  <c r="R1829" i="3"/>
  <c r="AD1829" i="3" s="1"/>
  <c r="R1828" i="3"/>
  <c r="AD1828" i="3" s="1"/>
  <c r="R1827" i="3"/>
  <c r="AE1827" i="3" s="1"/>
  <c r="R1826" i="3"/>
  <c r="AE1826" i="3" s="1"/>
  <c r="R1824" i="3"/>
  <c r="AD1824" i="3" s="1"/>
  <c r="R1822" i="3"/>
  <c r="R1821" i="3"/>
  <c r="AD1821" i="3" s="1"/>
  <c r="R1819" i="3"/>
  <c r="AD1819" i="3" s="1"/>
  <c r="R1818" i="3"/>
  <c r="AD1818" i="3" s="1"/>
  <c r="R1817" i="3"/>
  <c r="AD1817" i="3" s="1"/>
  <c r="R1816" i="3"/>
  <c r="AD1816" i="3" s="1"/>
  <c r="T1816" i="3" s="1"/>
  <c r="R1815" i="3"/>
  <c r="AD1815" i="3" s="1"/>
  <c r="R1814" i="3"/>
  <c r="AE1814" i="3" s="1"/>
  <c r="R1812" i="3"/>
  <c r="AD1812" i="3" s="1"/>
  <c r="R1811" i="3"/>
  <c r="AD1811" i="3" s="1"/>
  <c r="R1810" i="3"/>
  <c r="AD1810" i="3" s="1"/>
  <c r="R1809" i="3"/>
  <c r="R1808" i="3"/>
  <c r="AE1808" i="3" s="1"/>
  <c r="R1807" i="3"/>
  <c r="AD1807" i="3" s="1"/>
  <c r="R1805" i="3"/>
  <c r="R1804" i="3"/>
  <c r="R1803" i="3"/>
  <c r="AD1803" i="3" s="1"/>
  <c r="R1801" i="3"/>
  <c r="AD1801" i="3" s="1"/>
  <c r="R1800" i="3"/>
  <c r="AD1800" i="3" s="1"/>
  <c r="R1799" i="3"/>
  <c r="AD1799" i="3" s="1"/>
  <c r="R1797" i="3"/>
  <c r="AE1797" i="3" s="1"/>
  <c r="R1795" i="3"/>
  <c r="AE1795" i="3" s="1"/>
  <c r="R1794" i="3"/>
  <c r="AD1794" i="3" s="1"/>
  <c r="T1794" i="3" s="1"/>
  <c r="R1793" i="3"/>
  <c r="R1792" i="3"/>
  <c r="AD1792" i="3" s="1"/>
  <c r="R1791" i="3"/>
  <c r="R1790" i="3"/>
  <c r="R1789" i="3"/>
  <c r="R1788" i="3"/>
  <c r="AE1788" i="3" s="1"/>
  <c r="R1787" i="3"/>
  <c r="R1786" i="3"/>
  <c r="AE1786" i="3" s="1"/>
  <c r="R1785" i="3"/>
  <c r="AD1785" i="3" s="1"/>
  <c r="R1784" i="3"/>
  <c r="AE1784" i="3" s="1"/>
  <c r="R1783" i="3"/>
  <c r="AD1783" i="3" s="1"/>
  <c r="R1782" i="3"/>
  <c r="AE1782" i="3" s="1"/>
  <c r="R1781" i="3"/>
  <c r="AD1781" i="3" s="1"/>
  <c r="T1781" i="3" s="1"/>
  <c r="R1780" i="3"/>
  <c r="AD1780" i="3" s="1"/>
  <c r="R1778" i="3"/>
  <c r="AD1778" i="3" s="1"/>
  <c r="R1776" i="3"/>
  <c r="AD1776" i="3" s="1"/>
  <c r="R1775" i="3"/>
  <c r="AD1775" i="3" s="1"/>
  <c r="R1774" i="3"/>
  <c r="AE1774" i="3" s="1"/>
  <c r="R1773" i="3"/>
  <c r="AD1773" i="3" s="1"/>
  <c r="R1771" i="3"/>
  <c r="AD1771" i="3" s="1"/>
  <c r="R1770" i="3"/>
  <c r="AD1770" i="3" s="1"/>
  <c r="R1769" i="3"/>
  <c r="AD1769" i="3" s="1"/>
  <c r="R1768" i="3"/>
  <c r="R1766" i="3"/>
  <c r="AD1766" i="3" s="1"/>
  <c r="R1764" i="3"/>
  <c r="R1762" i="3"/>
  <c r="AD1762" i="3" s="1"/>
  <c r="R1760" i="3"/>
  <c r="AE1760" i="3" s="1"/>
  <c r="R1759" i="3"/>
  <c r="AE1759" i="3" s="1"/>
  <c r="R1758" i="3"/>
  <c r="AE1758" i="3" s="1"/>
  <c r="R1757" i="3"/>
  <c r="AD1757" i="3" s="1"/>
  <c r="R1756" i="3"/>
  <c r="AD1756" i="3" s="1"/>
  <c r="AE1755" i="3"/>
  <c r="R1755" i="3"/>
  <c r="AD1755" i="3" s="1"/>
  <c r="R1754" i="3"/>
  <c r="AD1754" i="3" s="1"/>
  <c r="R1752" i="3"/>
  <c r="AD1752" i="3" s="1"/>
  <c r="R1750" i="3"/>
  <c r="AD1750" i="3" s="1"/>
  <c r="R1749" i="3"/>
  <c r="AD1749" i="3" s="1"/>
  <c r="R1748" i="3"/>
  <c r="AE1748" i="3" s="1"/>
  <c r="R1747" i="3"/>
  <c r="AD1747" i="3" s="1"/>
  <c r="R1746" i="3"/>
  <c r="AE1746" i="3" s="1"/>
  <c r="R1745" i="3"/>
  <c r="AD1745" i="3" s="1"/>
  <c r="T1746" i="3" s="1"/>
  <c r="R1744" i="3"/>
  <c r="AD1744" i="3" s="1"/>
  <c r="R1743" i="3"/>
  <c r="AD1743" i="3" s="1"/>
  <c r="R1742" i="3"/>
  <c r="R1741" i="3"/>
  <c r="AD1741" i="3" s="1"/>
  <c r="R1740" i="3"/>
  <c r="R1739" i="3"/>
  <c r="AD1739" i="3" s="1"/>
  <c r="R1738" i="3"/>
  <c r="AD1738" i="3" s="1"/>
  <c r="R1737" i="3"/>
  <c r="AD1737" i="3" s="1"/>
  <c r="R1736" i="3"/>
  <c r="AD1736" i="3" s="1"/>
  <c r="R1735" i="3"/>
  <c r="AD1735" i="3" s="1"/>
  <c r="T1735" i="3" s="1"/>
  <c r="R1734" i="3"/>
  <c r="AD1734" i="3" s="1"/>
  <c r="R1733" i="3"/>
  <c r="AE1733" i="3" s="1"/>
  <c r="R1732" i="3"/>
  <c r="AD1732" i="3" s="1"/>
  <c r="R1731" i="3"/>
  <c r="AD1731" i="3" s="1"/>
  <c r="T1732" i="3" s="1"/>
  <c r="R1730" i="3"/>
  <c r="AE1730" i="3" s="1"/>
  <c r="R1729" i="3"/>
  <c r="AD1729" i="3" s="1"/>
  <c r="R1728" i="3"/>
  <c r="R1727" i="3"/>
  <c r="AD1727" i="3" s="1"/>
  <c r="R1726" i="3"/>
  <c r="R1725" i="3"/>
  <c r="AD1725" i="3" s="1"/>
  <c r="R1724" i="3"/>
  <c r="AD1724" i="3" s="1"/>
  <c r="R1723" i="3"/>
  <c r="AD1723" i="3" s="1"/>
  <c r="R1722" i="3"/>
  <c r="AE1722" i="3" s="1"/>
  <c r="R1721" i="3"/>
  <c r="AD1721" i="3" s="1"/>
  <c r="T1722" i="3" s="1"/>
  <c r="R1720" i="3"/>
  <c r="AD1720" i="3" s="1"/>
  <c r="R1719" i="3"/>
  <c r="AD1719" i="3" s="1"/>
  <c r="R1718" i="3"/>
  <c r="R1717" i="3"/>
  <c r="AD1717" i="3" s="1"/>
  <c r="R1715" i="3"/>
  <c r="AD1715" i="3" s="1"/>
  <c r="R1714" i="3"/>
  <c r="AD1714" i="3" s="1"/>
  <c r="R1713" i="3"/>
  <c r="AD1713" i="3" s="1"/>
  <c r="R1712" i="3"/>
  <c r="AD1712" i="3" s="1"/>
  <c r="AE1711" i="3"/>
  <c r="R1711" i="3"/>
  <c r="AD1711" i="3" s="1"/>
  <c r="R1710" i="3"/>
  <c r="AD1710" i="3" s="1"/>
  <c r="R1709" i="3"/>
  <c r="AE1709" i="3" s="1"/>
  <c r="R1708" i="3"/>
  <c r="AD1708" i="3" s="1"/>
  <c r="AE1707" i="3"/>
  <c r="R1707" i="3"/>
  <c r="AD1707" i="3" s="1"/>
  <c r="R1706" i="3"/>
  <c r="AD1706" i="3" s="1"/>
  <c r="R1705" i="3"/>
  <c r="R1703" i="3"/>
  <c r="R1702" i="3"/>
  <c r="AD1702" i="3" s="1"/>
  <c r="AE1701" i="3"/>
  <c r="R1701" i="3"/>
  <c r="AD1701" i="3" s="1"/>
  <c r="R1700" i="3"/>
  <c r="AD1700" i="3" s="1"/>
  <c r="R1698" i="3"/>
  <c r="R1697" i="3"/>
  <c r="AD1697" i="3" s="1"/>
  <c r="T1698" i="3" s="1"/>
  <c r="R1696" i="3"/>
  <c r="AD1696" i="3" s="1"/>
  <c r="R1695" i="3"/>
  <c r="AD1695" i="3" s="1"/>
  <c r="R1694" i="3"/>
  <c r="AE1694" i="3" s="1"/>
  <c r="R1693" i="3"/>
  <c r="AE1693" i="3" s="1"/>
  <c r="R1692" i="3"/>
  <c r="AD1692" i="3" s="1"/>
  <c r="R1691" i="3"/>
  <c r="AD1691" i="3" s="1"/>
  <c r="R1690" i="3"/>
  <c r="AD1690" i="3" s="1"/>
  <c r="R1688" i="3"/>
  <c r="R1687" i="3"/>
  <c r="AD1687" i="3" s="1"/>
  <c r="R1686" i="3"/>
  <c r="AD1686" i="3" s="1"/>
  <c r="R1685" i="3"/>
  <c r="AD1685" i="3" s="1"/>
  <c r="R1683" i="3"/>
  <c r="AD1683" i="3" s="1"/>
  <c r="R1684" i="3"/>
  <c r="AD1684" i="3" s="1"/>
  <c r="R1682" i="3"/>
  <c r="AE1682" i="3" s="1"/>
  <c r="R1681" i="3"/>
  <c r="AD1681" i="3" s="1"/>
  <c r="R1680" i="3"/>
  <c r="AD1680" i="3" s="1"/>
  <c r="R1679" i="3"/>
  <c r="R1678" i="3"/>
  <c r="AD1678" i="3" s="1"/>
  <c r="R1677" i="3"/>
  <c r="AD1677" i="3" s="1"/>
  <c r="R1676" i="3"/>
  <c r="AD1676" i="3" s="1"/>
  <c r="R1675" i="3"/>
  <c r="R1674" i="3"/>
  <c r="AD1674" i="3" s="1"/>
  <c r="R1673" i="3"/>
  <c r="AD1673" i="3" s="1"/>
  <c r="R1672" i="3"/>
  <c r="AD1672" i="3" s="1"/>
  <c r="R1671" i="3"/>
  <c r="AD1671" i="3" s="1"/>
  <c r="T1671" i="3" s="1"/>
  <c r="R1670" i="3"/>
  <c r="AE1670" i="3" s="1"/>
  <c r="R1669" i="3"/>
  <c r="AD1669" i="3" s="1"/>
  <c r="T1669" i="3" s="1"/>
  <c r="R1668" i="3"/>
  <c r="AD1668" i="3" s="1"/>
  <c r="R1667" i="3"/>
  <c r="AD1667" i="3" s="1"/>
  <c r="R1666" i="3"/>
  <c r="R1665" i="3"/>
  <c r="AD1665" i="3" s="1"/>
  <c r="R1664" i="3"/>
  <c r="AD1664" i="3" s="1"/>
  <c r="R1662" i="3"/>
  <c r="AD1662" i="3" s="1"/>
  <c r="R1660" i="3"/>
  <c r="R1659" i="3"/>
  <c r="R1658" i="3"/>
  <c r="R1657" i="3"/>
  <c r="AD1657" i="3" s="1"/>
  <c r="R1656" i="3"/>
  <c r="AD1656" i="3" s="1"/>
  <c r="R1655" i="3"/>
  <c r="AD1655" i="3" s="1"/>
  <c r="R1653" i="3"/>
  <c r="AD1653" i="3" s="1"/>
  <c r="R1650" i="3"/>
  <c r="AD1650" i="3" s="1"/>
  <c r="R1652" i="3"/>
  <c r="AD1652" i="3" s="1"/>
  <c r="R1651" i="3"/>
  <c r="AD1651" i="3" s="1"/>
  <c r="R1649" i="3"/>
  <c r="AD1649" i="3" s="1"/>
  <c r="R1648" i="3"/>
  <c r="AE1648" i="3" s="1"/>
  <c r="R1647" i="3"/>
  <c r="AD1647" i="3" s="1"/>
  <c r="R1645" i="3"/>
  <c r="AD1645" i="3" s="1"/>
  <c r="R1644" i="3"/>
  <c r="AD1644" i="3" s="1"/>
  <c r="R1642" i="3"/>
  <c r="R1641" i="3"/>
  <c r="AD1641" i="3" s="1"/>
  <c r="R1640" i="3"/>
  <c r="AD1640" i="3" s="1"/>
  <c r="R1639" i="3"/>
  <c r="AD1639" i="3" s="1"/>
  <c r="R1637" i="3"/>
  <c r="AD1637" i="3" s="1"/>
  <c r="R1636" i="3"/>
  <c r="AE1636" i="3" s="1"/>
  <c r="R1635" i="3"/>
  <c r="AD1635" i="3" s="1"/>
  <c r="R1633" i="3"/>
  <c r="AD1633" i="3" s="1"/>
  <c r="R1631" i="3"/>
  <c r="AD1631" i="3" s="1"/>
  <c r="R1630" i="3"/>
  <c r="AD1630" i="3" s="1"/>
  <c r="R1629" i="3"/>
  <c r="AD1629" i="3" s="1"/>
  <c r="R1628" i="3"/>
  <c r="AD1628" i="3" s="1"/>
  <c r="R1627" i="3"/>
  <c r="AD1627" i="3" s="1"/>
  <c r="T1629" i="3" s="1"/>
  <c r="R1626" i="3"/>
  <c r="R1625" i="3"/>
  <c r="AD1625" i="3" s="1"/>
  <c r="R1624" i="3"/>
  <c r="AD1624" i="3" s="1"/>
  <c r="R1623" i="3"/>
  <c r="AD1623" i="3" s="1"/>
  <c r="R1622" i="3"/>
  <c r="R1621" i="3"/>
  <c r="AD1621" i="3" s="1"/>
  <c r="R1619" i="3"/>
  <c r="AD1619" i="3" s="1"/>
  <c r="R1618" i="3"/>
  <c r="AD1618" i="3" s="1"/>
  <c r="R1617" i="3"/>
  <c r="AD1617" i="3" s="1"/>
  <c r="R1616" i="3"/>
  <c r="AD1616" i="3" s="1"/>
  <c r="R1615" i="3"/>
  <c r="AD1615" i="3" s="1"/>
  <c r="R1614" i="3"/>
  <c r="AD1614" i="3" s="1"/>
  <c r="R1613" i="3"/>
  <c r="R1612" i="3"/>
  <c r="R1611" i="3"/>
  <c r="R1610" i="3"/>
  <c r="R1609" i="3"/>
  <c r="AD1609" i="3" s="1"/>
  <c r="R1608" i="3"/>
  <c r="AD1608" i="3" s="1"/>
  <c r="R1607" i="3"/>
  <c r="R1606" i="3"/>
  <c r="R1604" i="3"/>
  <c r="AD1604" i="3" s="1"/>
  <c r="R1603" i="3"/>
  <c r="R1602" i="3"/>
  <c r="AE1602" i="3" s="1"/>
  <c r="R1600" i="3"/>
  <c r="AD1600" i="3" s="1"/>
  <c r="R1599" i="3"/>
  <c r="AD1599" i="3" s="1"/>
  <c r="R1598" i="3"/>
  <c r="AE1598" i="3" s="1"/>
  <c r="R1596" i="3"/>
  <c r="AD1596" i="3" s="1"/>
  <c r="R1595" i="3"/>
  <c r="AD1595" i="3" s="1"/>
  <c r="R1594" i="3"/>
  <c r="R1593" i="3"/>
  <c r="AD1593" i="3" s="1"/>
  <c r="R1591" i="3"/>
  <c r="AD1591" i="3" s="1"/>
  <c r="R1590" i="3"/>
  <c r="AD1590" i="3" s="1"/>
  <c r="R1589" i="3"/>
  <c r="R1588" i="3"/>
  <c r="AD1588" i="3" s="1"/>
  <c r="T1588" i="3" s="1"/>
  <c r="R1587" i="3"/>
  <c r="AD1587" i="3" s="1"/>
  <c r="R1586" i="3"/>
  <c r="R1585" i="3"/>
  <c r="AD1585" i="3" s="1"/>
  <c r="R1584" i="3"/>
  <c r="AD1584" i="3" s="1"/>
  <c r="T1584" i="3" s="1"/>
  <c r="R1583" i="3"/>
  <c r="AE1583" i="3" s="1"/>
  <c r="R1581" i="3"/>
  <c r="AD1581" i="3" s="1"/>
  <c r="R1580" i="3"/>
  <c r="AD1580" i="3" s="1"/>
  <c r="R1579" i="3"/>
  <c r="AD1579" i="3" s="1"/>
  <c r="R1578" i="3"/>
  <c r="AD1578" i="3" s="1"/>
  <c r="R1577" i="3"/>
  <c r="AD1577" i="3" s="1"/>
  <c r="R1576" i="3"/>
  <c r="AD1576" i="3" s="1"/>
  <c r="T1576" i="3" s="1"/>
  <c r="R1575" i="3"/>
  <c r="R1574" i="3"/>
  <c r="AD1574" i="3" s="1"/>
  <c r="R1573" i="3"/>
  <c r="AD1573" i="3" s="1"/>
  <c r="R1572" i="3"/>
  <c r="AD1572" i="3" s="1"/>
  <c r="T1572" i="3" s="1"/>
  <c r="R1571" i="3"/>
  <c r="AD1571" i="3" s="1"/>
  <c r="R1570" i="3"/>
  <c r="R1569" i="3"/>
  <c r="AD1569" i="3" s="1"/>
  <c r="R1568" i="3"/>
  <c r="AD1568" i="3" s="1"/>
  <c r="R1567" i="3"/>
  <c r="AD1567" i="3" s="1"/>
  <c r="R1566" i="3"/>
  <c r="AD1566" i="3" s="1"/>
  <c r="R1565" i="3"/>
  <c r="AE1565" i="3" s="1"/>
  <c r="R1564" i="3"/>
  <c r="AD1564" i="3" s="1"/>
  <c r="R1563" i="3"/>
  <c r="AD1563" i="3" s="1"/>
  <c r="T1565" i="3" s="1"/>
  <c r="R1562" i="3"/>
  <c r="AE1562" i="3" s="1"/>
  <c r="R1561" i="3"/>
  <c r="AD1561" i="3" s="1"/>
  <c r="R1560" i="3"/>
  <c r="AD1560" i="3" s="1"/>
  <c r="R1559" i="3"/>
  <c r="AD1559" i="3" s="1"/>
  <c r="R1558" i="3"/>
  <c r="R1557" i="3"/>
  <c r="AD1557" i="3" s="1"/>
  <c r="R1555" i="3"/>
  <c r="AD1555" i="3" s="1"/>
  <c r="R1554" i="3"/>
  <c r="AD1554" i="3" s="1"/>
  <c r="R1552" i="3"/>
  <c r="AD1552" i="3" s="1"/>
  <c r="R1551" i="3"/>
  <c r="R1550" i="3"/>
  <c r="AD1550" i="3" s="1"/>
  <c r="R1549" i="3"/>
  <c r="AD1549" i="3" s="1"/>
  <c r="R1548" i="3"/>
  <c r="AD1548" i="3" s="1"/>
  <c r="T1548" i="3" s="1"/>
  <c r="R1547" i="3"/>
  <c r="AD1547" i="3" s="1"/>
  <c r="R1545" i="3"/>
  <c r="AD1545" i="3" s="1"/>
  <c r="R1544" i="3"/>
  <c r="AD1544" i="3" s="1"/>
  <c r="R1543" i="3"/>
  <c r="R1542" i="3"/>
  <c r="AD1542" i="3" s="1"/>
  <c r="R1541" i="3"/>
  <c r="AD1541" i="3" s="1"/>
  <c r="R1540" i="3"/>
  <c r="AD1540" i="3" s="1"/>
  <c r="R1539" i="3"/>
  <c r="R1538" i="3"/>
  <c r="AD1538" i="3" s="1"/>
  <c r="R1536" i="3"/>
  <c r="AD1536" i="3" s="1"/>
  <c r="R1534" i="3"/>
  <c r="AD1534" i="3" s="1"/>
  <c r="R1533" i="3"/>
  <c r="AD1533" i="3" s="1"/>
  <c r="R1532" i="3"/>
  <c r="R1531" i="3"/>
  <c r="AD1531" i="3" s="1"/>
  <c r="R1530" i="3"/>
  <c r="R1529" i="3"/>
  <c r="AD1529" i="3" s="1"/>
  <c r="T1530" i="3" s="1"/>
  <c r="R1528" i="3"/>
  <c r="R1527" i="3"/>
  <c r="AD1527" i="3" s="1"/>
  <c r="R1526" i="3"/>
  <c r="AD1526" i="3" s="1"/>
  <c r="R1525" i="3"/>
  <c r="AD1525" i="3" s="1"/>
  <c r="R1524" i="3"/>
  <c r="AD1524" i="3" s="1"/>
  <c r="T1524" i="3" s="1"/>
  <c r="R1523" i="3"/>
  <c r="AD1523" i="3" s="1"/>
  <c r="R1522" i="3"/>
  <c r="AD1522" i="3" s="1"/>
  <c r="T1522" i="3" s="1"/>
  <c r="R1521" i="3"/>
  <c r="AD1521" i="3" s="1"/>
  <c r="R1519" i="3"/>
  <c r="AD1519" i="3" s="1"/>
  <c r="R1520" i="3"/>
  <c r="AD1520" i="3" s="1"/>
  <c r="R1518" i="3"/>
  <c r="AE1518" i="3" s="1"/>
  <c r="R1517" i="3"/>
  <c r="AD1517" i="3" s="1"/>
  <c r="T1518" i="3" s="1"/>
  <c r="R1516" i="3"/>
  <c r="R1515" i="3"/>
  <c r="AD1515" i="3" s="1"/>
  <c r="R1514" i="3"/>
  <c r="AD1514" i="3" s="1"/>
  <c r="R1512" i="3"/>
  <c r="R1511" i="3"/>
  <c r="AD1511" i="3" s="1"/>
  <c r="R1510" i="3"/>
  <c r="AD1510" i="3" s="1"/>
  <c r="R1509" i="3"/>
  <c r="AD1509" i="3" s="1"/>
  <c r="R1508" i="3"/>
  <c r="R1507" i="3"/>
  <c r="AD1507" i="3" s="1"/>
  <c r="R1506" i="3"/>
  <c r="AD1506" i="3" s="1"/>
  <c r="R1505" i="3"/>
  <c r="AE1505" i="3" s="1"/>
  <c r="R1503" i="3"/>
  <c r="AD1503" i="3" s="1"/>
  <c r="R1501" i="3"/>
  <c r="AD1501" i="3" s="1"/>
  <c r="R1500" i="3"/>
  <c r="AD1500" i="3" s="1"/>
  <c r="R1499" i="3"/>
  <c r="AD1499" i="3" s="1"/>
  <c r="R1497" i="3"/>
  <c r="AD1497" i="3" s="1"/>
  <c r="R1496" i="3"/>
  <c r="AD1496" i="3" s="1"/>
  <c r="T1496" i="3" s="1"/>
  <c r="R1495" i="3"/>
  <c r="AD1495" i="3" s="1"/>
  <c r="R1494" i="3"/>
  <c r="AD1494" i="3" s="1"/>
  <c r="R1493" i="3"/>
  <c r="R1492" i="3"/>
  <c r="R1491" i="3"/>
  <c r="R1489" i="3"/>
  <c r="R1488" i="3"/>
  <c r="AD1488" i="3" s="1"/>
  <c r="R1487" i="3"/>
  <c r="AD1487" i="3" s="1"/>
  <c r="R1486" i="3"/>
  <c r="AD1486" i="3" s="1"/>
  <c r="R1485" i="3"/>
  <c r="AD1485" i="3" s="1"/>
  <c r="R1484" i="3"/>
  <c r="AD1484" i="3" s="1"/>
  <c r="R1483" i="3"/>
  <c r="AD1483" i="3" s="1"/>
  <c r="R1482" i="3"/>
  <c r="AD1482" i="3" s="1"/>
  <c r="R1481" i="3"/>
  <c r="AD1481" i="3" s="1"/>
  <c r="R1480" i="3"/>
  <c r="R1479" i="3"/>
  <c r="R1478" i="3"/>
  <c r="AD1478" i="3" s="1"/>
  <c r="R1477" i="3"/>
  <c r="R1476" i="3"/>
  <c r="AD1476" i="3" s="1"/>
  <c r="R1475" i="3"/>
  <c r="AD1475" i="3" s="1"/>
  <c r="R1473" i="3"/>
  <c r="R1472" i="3"/>
  <c r="AD1472" i="3" s="1"/>
  <c r="R1471" i="3"/>
  <c r="R1470" i="3"/>
  <c r="AD1470" i="3" s="1"/>
  <c r="R1469" i="3"/>
  <c r="R1468" i="3"/>
  <c r="AD1468" i="3" s="1"/>
  <c r="R1466" i="3"/>
  <c r="AD1466" i="3" s="1"/>
  <c r="R1465" i="3"/>
  <c r="AD1465" i="3" s="1"/>
  <c r="R1464" i="3"/>
  <c r="AE1464" i="3" s="1"/>
  <c r="R1463" i="3"/>
  <c r="AE1463" i="3" s="1"/>
  <c r="R1462" i="3"/>
  <c r="AD1462" i="3" s="1"/>
  <c r="R1461" i="3"/>
  <c r="AD1461" i="3" s="1"/>
  <c r="R1460" i="3"/>
  <c r="AD1460" i="3" s="1"/>
  <c r="R1459" i="3"/>
  <c r="R1458" i="3"/>
  <c r="AD1458" i="3" s="1"/>
  <c r="R1457" i="3"/>
  <c r="R1456" i="3"/>
  <c r="AD1456" i="3" s="1"/>
  <c r="R1455" i="3"/>
  <c r="AD1455" i="3" s="1"/>
  <c r="R1454" i="3"/>
  <c r="AD1454" i="3" s="1"/>
  <c r="R1453" i="3"/>
  <c r="AD1453" i="3" s="1"/>
  <c r="R1452" i="3"/>
  <c r="AD1452" i="3" s="1"/>
  <c r="R1451" i="3"/>
  <c r="AD1451" i="3" s="1"/>
  <c r="R1450" i="3"/>
  <c r="AD1450" i="3" s="1"/>
  <c r="R1449" i="3"/>
  <c r="AD1449" i="3" s="1"/>
  <c r="T1449" i="3" s="1"/>
  <c r="R1448" i="3"/>
  <c r="R1447" i="3"/>
  <c r="R1446" i="3"/>
  <c r="AE1446" i="3" s="1"/>
  <c r="R1445" i="3"/>
  <c r="AD1445" i="3" s="1"/>
  <c r="R1444" i="3"/>
  <c r="AD1444" i="3" s="1"/>
  <c r="R1443" i="3"/>
  <c r="AD1443" i="3" s="1"/>
  <c r="R1441" i="3"/>
  <c r="R1440" i="3"/>
  <c r="AD1440" i="3" s="1"/>
  <c r="R1439" i="3"/>
  <c r="AD1439" i="3" s="1"/>
  <c r="T1440" i="3" s="1"/>
  <c r="R1438" i="3"/>
  <c r="AD1438" i="3" s="1"/>
  <c r="R1436" i="3"/>
  <c r="AD1436" i="3" s="1"/>
  <c r="R1435" i="3"/>
  <c r="AD1435" i="3" s="1"/>
  <c r="R1434" i="3"/>
  <c r="AD1434" i="3" s="1"/>
  <c r="R1433" i="3"/>
  <c r="AD1433" i="3" s="1"/>
  <c r="R1432" i="3"/>
  <c r="R1431" i="3"/>
  <c r="AD1431" i="3" s="1"/>
  <c r="R1430" i="3"/>
  <c r="AD1430" i="3" s="1"/>
  <c r="R1429" i="3"/>
  <c r="AD1429" i="3" s="1"/>
  <c r="T1429" i="3" s="1"/>
  <c r="R1428" i="3"/>
  <c r="R1427" i="3"/>
  <c r="R1426" i="3"/>
  <c r="AD1426" i="3" s="1"/>
  <c r="R1425" i="3"/>
  <c r="AD1425" i="3" s="1"/>
  <c r="T1426" i="3" s="1"/>
  <c r="R1424" i="3"/>
  <c r="AD1424" i="3" s="1"/>
  <c r="R1423" i="3"/>
  <c r="AD1423" i="3" s="1"/>
  <c r="T1424" i="3" s="1"/>
  <c r="R1422" i="3"/>
  <c r="AE1422" i="3" s="1"/>
  <c r="R1421" i="3"/>
  <c r="AD1421" i="3" s="1"/>
  <c r="T1421" i="3" s="1"/>
  <c r="R1420" i="3"/>
  <c r="AD1420" i="3" s="1"/>
  <c r="R1419" i="3"/>
  <c r="AD1419" i="3" s="1"/>
  <c r="R1418" i="3"/>
  <c r="AD1418" i="3" s="1"/>
  <c r="R1417" i="3"/>
  <c r="AD1417" i="3" s="1"/>
  <c r="R1416" i="3"/>
  <c r="AD1416" i="3" s="1"/>
  <c r="R1415" i="3"/>
  <c r="R1414" i="3"/>
  <c r="R1412" i="3"/>
  <c r="AD1412" i="3" s="1"/>
  <c r="R1410" i="3"/>
  <c r="AD1410" i="3" s="1"/>
  <c r="R1409" i="3"/>
  <c r="AD1409" i="3" s="1"/>
  <c r="R1408" i="3"/>
  <c r="AD1408" i="3" s="1"/>
  <c r="R1407" i="3"/>
  <c r="AD1407" i="3" s="1"/>
  <c r="R1406" i="3"/>
  <c r="AD1406" i="3" s="1"/>
  <c r="R1404" i="3"/>
  <c r="AD1404" i="3" s="1"/>
  <c r="R1405" i="3"/>
  <c r="AD1405" i="3" s="1"/>
  <c r="R1403" i="3"/>
  <c r="R1402" i="3"/>
  <c r="R1401" i="3"/>
  <c r="AD1401" i="3" s="1"/>
  <c r="R1400" i="3"/>
  <c r="AD1400" i="3" s="1"/>
  <c r="R1399" i="3"/>
  <c r="AE1399" i="3" s="1"/>
  <c r="R1398" i="3"/>
  <c r="AD1398" i="3" s="1"/>
  <c r="R1397" i="3"/>
  <c r="AD1397" i="3" s="1"/>
  <c r="R1396" i="3"/>
  <c r="AD1396" i="3" s="1"/>
  <c r="R1395" i="3"/>
  <c r="AD1395" i="3" s="1"/>
  <c r="R1394" i="3"/>
  <c r="AD1394" i="3" s="1"/>
  <c r="R1393" i="3"/>
  <c r="AD1393" i="3" s="1"/>
  <c r="R1392" i="3"/>
  <c r="AD1392" i="3" s="1"/>
  <c r="R1391" i="3"/>
  <c r="R1390" i="3"/>
  <c r="R1389" i="3"/>
  <c r="R1388" i="3"/>
  <c r="AD1388" i="3" s="1"/>
  <c r="R1386" i="3"/>
  <c r="AD1386" i="3" s="1"/>
  <c r="R1384" i="3"/>
  <c r="AD1384" i="3" s="1"/>
  <c r="R1383" i="3"/>
  <c r="AD1383" i="3" s="1"/>
  <c r="R1382" i="3"/>
  <c r="AD1382" i="3" s="1"/>
  <c r="R1381" i="3"/>
  <c r="AD1381" i="3" s="1"/>
  <c r="R1380" i="3"/>
  <c r="AD1380" i="3" s="1"/>
  <c r="R1379" i="3"/>
  <c r="AD1379" i="3" s="1"/>
  <c r="T1379" i="3" s="1"/>
  <c r="R1378" i="3"/>
  <c r="R1377" i="3"/>
  <c r="AE1377" i="3" s="1"/>
  <c r="R1376" i="3"/>
  <c r="AD1376" i="3" s="1"/>
  <c r="R1374" i="3"/>
  <c r="AD1374" i="3" s="1"/>
  <c r="R1372" i="3"/>
  <c r="AD1372" i="3" s="1"/>
  <c r="R1371" i="3"/>
  <c r="AD1371" i="3" s="1"/>
  <c r="R1370" i="3"/>
  <c r="AD1370" i="3" s="1"/>
  <c r="R1369" i="3"/>
  <c r="AD1369" i="3" s="1"/>
  <c r="T1369" i="3" s="1"/>
  <c r="R1368" i="3"/>
  <c r="AD1368" i="3" s="1"/>
  <c r="R1367" i="3"/>
  <c r="AD1367" i="3" s="1"/>
  <c r="R1366" i="3"/>
  <c r="R1364" i="3"/>
  <c r="AD1364" i="3" s="1"/>
  <c r="R1362" i="3"/>
  <c r="AD1362" i="3" s="1"/>
  <c r="R1361" i="3"/>
  <c r="AD1361" i="3" s="1"/>
  <c r="T1361" i="3" s="1"/>
  <c r="R1360" i="3"/>
  <c r="AD1360" i="3" s="1"/>
  <c r="R1359" i="3"/>
  <c r="AD1359" i="3" s="1"/>
  <c r="R1358" i="3"/>
  <c r="AD1358" i="3" s="1"/>
  <c r="R1357" i="3"/>
  <c r="AD1357" i="3" s="1"/>
  <c r="R1356" i="3"/>
  <c r="AD1356" i="3" s="1"/>
  <c r="R1355" i="3"/>
  <c r="AD1355" i="3" s="1"/>
  <c r="R1354" i="3"/>
  <c r="R1353" i="3"/>
  <c r="R1352" i="3"/>
  <c r="AD1352" i="3" s="1"/>
  <c r="R1351" i="3"/>
  <c r="R1350" i="3"/>
  <c r="AD1350" i="3" s="1"/>
  <c r="R1348" i="3"/>
  <c r="AD1348" i="3" s="1"/>
  <c r="R1347" i="3"/>
  <c r="R1346" i="3"/>
  <c r="AD1346" i="3" s="1"/>
  <c r="R1345" i="3"/>
  <c r="AD1345" i="3" s="1"/>
  <c r="R1344" i="3"/>
  <c r="AD1344" i="3" s="1"/>
  <c r="R1343" i="3"/>
  <c r="AD1343" i="3" s="1"/>
  <c r="R1342" i="3"/>
  <c r="R1341" i="3"/>
  <c r="AE1341" i="3" s="1"/>
  <c r="R1340" i="3"/>
  <c r="AD1340" i="3" s="1"/>
  <c r="R1339" i="3"/>
  <c r="AE1339" i="3" s="1"/>
  <c r="R1338" i="3"/>
  <c r="AD1338" i="3" s="1"/>
  <c r="R1337" i="3"/>
  <c r="AD1337" i="3" s="1"/>
  <c r="R1336" i="3"/>
  <c r="AD1336" i="3" s="1"/>
  <c r="R1335" i="3"/>
  <c r="AD1335" i="3" s="1"/>
  <c r="T1336" i="3" s="1"/>
  <c r="R1334" i="3"/>
  <c r="AD1334" i="3" s="1"/>
  <c r="R1333" i="3"/>
  <c r="AD1333" i="3" s="1"/>
  <c r="T1333" i="3" s="1"/>
  <c r="R1332" i="3"/>
  <c r="AD1332" i="3" s="1"/>
  <c r="R1331" i="3"/>
  <c r="AD1331" i="3" s="1"/>
  <c r="T1331" i="3" s="1"/>
  <c r="R1330" i="3"/>
  <c r="R1329" i="3"/>
  <c r="R1328" i="3"/>
  <c r="AD1328" i="3" s="1"/>
  <c r="R1327" i="3"/>
  <c r="R1326" i="3"/>
  <c r="AD1326" i="3" s="1"/>
  <c r="R1324" i="3"/>
  <c r="AD1324" i="3" s="1"/>
  <c r="R1323" i="3"/>
  <c r="R1322" i="3"/>
  <c r="AD1322" i="3" s="1"/>
  <c r="R1321" i="3"/>
  <c r="AD1321" i="3" s="1"/>
  <c r="R1320" i="3"/>
  <c r="AD1320" i="3" s="1"/>
  <c r="R1319" i="3"/>
  <c r="AD1319" i="3" s="1"/>
  <c r="R1318" i="3"/>
  <c r="AE1318" i="3" s="1"/>
  <c r="R1317" i="3"/>
  <c r="R1316" i="3"/>
  <c r="AD1316" i="3" s="1"/>
  <c r="R1315" i="3"/>
  <c r="R1314" i="3"/>
  <c r="AD1314" i="3" s="1"/>
  <c r="R1313" i="3"/>
  <c r="AD1313" i="3" s="1"/>
  <c r="R1312" i="3"/>
  <c r="AD1312" i="3" s="1"/>
  <c r="R1311" i="3"/>
  <c r="R1309" i="3"/>
  <c r="AD1309" i="3" s="1"/>
  <c r="R1308" i="3"/>
  <c r="AD1308" i="3" s="1"/>
  <c r="T1309" i="3" s="1"/>
  <c r="R1307" i="3"/>
  <c r="R1306" i="3"/>
  <c r="AD1306" i="3" s="1"/>
  <c r="T1307" i="3" s="1"/>
  <c r="R1305" i="3"/>
  <c r="AE1305" i="3" s="1"/>
  <c r="R1303" i="3"/>
  <c r="R1302" i="3"/>
  <c r="AD1302" i="3" s="1"/>
  <c r="R1301" i="3"/>
  <c r="AD1301" i="3" s="1"/>
  <c r="R1300" i="3"/>
  <c r="AD1300" i="3" s="1"/>
  <c r="R1299" i="3"/>
  <c r="R1297" i="3"/>
  <c r="AD1297" i="3" s="1"/>
  <c r="R1296" i="3"/>
  <c r="AD1296" i="3" s="1"/>
  <c r="R1295" i="3"/>
  <c r="AD1295" i="3" s="1"/>
  <c r="R1294" i="3"/>
  <c r="AD1294" i="3" s="1"/>
  <c r="R1293" i="3"/>
  <c r="AD1293" i="3" s="1"/>
  <c r="R1292" i="3"/>
  <c r="AD1292" i="3" s="1"/>
  <c r="T1293" i="3" s="1"/>
  <c r="R1291" i="3"/>
  <c r="R1290" i="3"/>
  <c r="R1288" i="3"/>
  <c r="AD1288" i="3" s="1"/>
  <c r="R1287" i="3"/>
  <c r="AD1287" i="3" s="1"/>
  <c r="R1286" i="3"/>
  <c r="AD1286" i="3" s="1"/>
  <c r="R1285" i="3"/>
  <c r="R1284" i="3"/>
  <c r="AD1284" i="3" s="1"/>
  <c r="R1283" i="3"/>
  <c r="AD1283" i="3" s="1"/>
  <c r="R1282" i="3"/>
  <c r="AD1282" i="3" s="1"/>
  <c r="R1280" i="3"/>
  <c r="R1279" i="3"/>
  <c r="R1278" i="3"/>
  <c r="AD1278" i="3" s="1"/>
  <c r="R1277" i="3"/>
  <c r="AD1277" i="3" s="1"/>
  <c r="R1276" i="3"/>
  <c r="AD1276" i="3" s="1"/>
  <c r="R1275" i="3"/>
  <c r="AD1275" i="3" s="1"/>
  <c r="R1274" i="3"/>
  <c r="AD1274" i="3" s="1"/>
  <c r="R1273" i="3"/>
  <c r="AD1273" i="3" s="1"/>
  <c r="R1272" i="3"/>
  <c r="AD1272" i="3" s="1"/>
  <c r="R1271" i="3"/>
  <c r="AD1271" i="3" s="1"/>
  <c r="T1271" i="3" s="1"/>
  <c r="R1270" i="3"/>
  <c r="AD1270" i="3" s="1"/>
  <c r="R1268" i="3"/>
  <c r="AD1268" i="3" s="1"/>
  <c r="R1267" i="3"/>
  <c r="R1266" i="3"/>
  <c r="AD1266" i="3" s="1"/>
  <c r="R1265" i="3"/>
  <c r="AD1265" i="3" s="1"/>
  <c r="R1264" i="3"/>
  <c r="AD1264" i="3" s="1"/>
  <c r="R1263" i="3"/>
  <c r="AD1263" i="3" s="1"/>
  <c r="R1262" i="3"/>
  <c r="AD1262" i="3" s="1"/>
  <c r="R1261" i="3"/>
  <c r="AD1261" i="3" s="1"/>
  <c r="T1262" i="3" s="1"/>
  <c r="R1260" i="3"/>
  <c r="AD1260" i="3" s="1"/>
  <c r="R1259" i="3"/>
  <c r="AD1259" i="3" s="1"/>
  <c r="R1258" i="3"/>
  <c r="AD1258" i="3" s="1"/>
  <c r="R1256" i="3"/>
  <c r="AD1256" i="3" s="1"/>
  <c r="R1255" i="3"/>
  <c r="AD1255" i="3" s="1"/>
  <c r="T1255" i="3" s="1"/>
  <c r="R1254" i="3"/>
  <c r="AD1254" i="3" s="1"/>
  <c r="R1253" i="3"/>
  <c r="AD1253" i="3" s="1"/>
  <c r="R1252" i="3"/>
  <c r="AD1252" i="3" s="1"/>
  <c r="R1251" i="3"/>
  <c r="AD1251" i="3" s="1"/>
  <c r="R1250" i="3"/>
  <c r="AD1250" i="3" s="1"/>
  <c r="R1248" i="3"/>
  <c r="AD1248" i="3" s="1"/>
  <c r="R1247" i="3"/>
  <c r="R1246" i="3"/>
  <c r="AD1246" i="3" s="1"/>
  <c r="R1245" i="3"/>
  <c r="AD1245" i="3" s="1"/>
  <c r="R1244" i="3"/>
  <c r="AD1244" i="3" s="1"/>
  <c r="R1243" i="3"/>
  <c r="R1242" i="3"/>
  <c r="AD1242" i="3" s="1"/>
  <c r="R1241" i="3"/>
  <c r="R1239" i="3"/>
  <c r="AD1239" i="3" s="1"/>
  <c r="R1237" i="3"/>
  <c r="AD1237" i="3" s="1"/>
  <c r="R1236" i="3"/>
  <c r="AD1236" i="3" s="1"/>
  <c r="T1237" i="3" s="1"/>
  <c r="R1235" i="3"/>
  <c r="AD1235" i="3" s="1"/>
  <c r="R1234" i="3"/>
  <c r="AD1234" i="3" s="1"/>
  <c r="R1233" i="3"/>
  <c r="R1232" i="3"/>
  <c r="AD1232" i="3" s="1"/>
  <c r="R1231" i="3"/>
  <c r="R1230" i="3"/>
  <c r="AD1230" i="3" s="1"/>
  <c r="R1229" i="3"/>
  <c r="R1228" i="3"/>
  <c r="AD1228" i="3" s="1"/>
  <c r="R1227" i="3"/>
  <c r="AD1227" i="3" s="1"/>
  <c r="R1225" i="3"/>
  <c r="R1223" i="3"/>
  <c r="AD1223" i="3" s="1"/>
  <c r="R1222" i="3"/>
  <c r="AD1222" i="3" s="1"/>
  <c r="R1221" i="3"/>
  <c r="AD1221" i="3" s="1"/>
  <c r="R1220" i="3"/>
  <c r="AD1220" i="3" s="1"/>
  <c r="R1219" i="3"/>
  <c r="R1218" i="3"/>
  <c r="AD1218" i="3" s="1"/>
  <c r="R1217" i="3"/>
  <c r="AD1217" i="3" s="1"/>
  <c r="R1216" i="3"/>
  <c r="AD1216" i="3" s="1"/>
  <c r="R1215" i="3"/>
  <c r="R1213" i="3"/>
  <c r="AD1213" i="3" s="1"/>
  <c r="R1211" i="3"/>
  <c r="R1210" i="3"/>
  <c r="AD1210" i="3" s="1"/>
  <c r="T1211" i="3" s="1"/>
  <c r="R1209" i="3"/>
  <c r="AD1209" i="3" s="1"/>
  <c r="R1208" i="3"/>
  <c r="R1207" i="3"/>
  <c r="R1206" i="3"/>
  <c r="AD1206" i="3" s="1"/>
  <c r="T1206" i="3" s="1"/>
  <c r="R1205" i="3"/>
  <c r="R1204" i="3"/>
  <c r="AD1204" i="3" s="1"/>
  <c r="R1203" i="3"/>
  <c r="AD1203" i="3" s="1"/>
  <c r="R1202" i="3"/>
  <c r="AD1202" i="3" s="1"/>
  <c r="R1201" i="3"/>
  <c r="AD1201" i="3" s="1"/>
  <c r="R1200" i="3"/>
  <c r="AD1200" i="3" s="1"/>
  <c r="T1200" i="3" s="1"/>
  <c r="R1199" i="3"/>
  <c r="R1198" i="3"/>
  <c r="AD1198" i="3" s="1"/>
  <c r="R1197" i="3"/>
  <c r="R1196" i="3"/>
  <c r="R1195" i="3"/>
  <c r="R1194" i="3"/>
  <c r="AD1194" i="3" s="1"/>
  <c r="R1193" i="3"/>
  <c r="AD1193" i="3" s="1"/>
  <c r="R1192" i="3"/>
  <c r="R1191" i="3"/>
  <c r="R1190" i="3"/>
  <c r="AD1190" i="3" s="1"/>
  <c r="R1189" i="3"/>
  <c r="R1188" i="3"/>
  <c r="AD1188" i="3" s="1"/>
  <c r="R1186" i="3"/>
  <c r="AD1186" i="3" s="1"/>
  <c r="R1185" i="3"/>
  <c r="AD1185" i="3" s="1"/>
  <c r="R1184" i="3"/>
  <c r="AD1184" i="3" s="1"/>
  <c r="R1183" i="3"/>
  <c r="AD1183" i="3" s="1"/>
  <c r="R1182" i="3"/>
  <c r="AD1182" i="3" s="1"/>
  <c r="R1181" i="3"/>
  <c r="R1180" i="3"/>
  <c r="AD1180" i="3" s="1"/>
  <c r="R1179" i="3"/>
  <c r="AD1179" i="3" s="1"/>
  <c r="R1178" i="3"/>
  <c r="AD1178" i="3" s="1"/>
  <c r="R1177" i="3"/>
  <c r="AD1177" i="3" s="1"/>
  <c r="R1176" i="3"/>
  <c r="AD1176" i="3" s="1"/>
  <c r="R1175" i="3"/>
  <c r="R1174" i="3"/>
  <c r="AD1174" i="3" s="1"/>
  <c r="R1173" i="3"/>
  <c r="AD1173" i="3" s="1"/>
  <c r="R1172" i="3"/>
  <c r="R1171" i="3"/>
  <c r="AD1171" i="3" s="1"/>
  <c r="T1171" i="3" s="1"/>
  <c r="R1170" i="3"/>
  <c r="AD1170" i="3" s="1"/>
  <c r="R1169" i="3"/>
  <c r="R1168" i="3"/>
  <c r="AD1168" i="3" s="1"/>
  <c r="R1167" i="3"/>
  <c r="R1165" i="3"/>
  <c r="R1164" i="3"/>
  <c r="AD1164" i="3" s="1"/>
  <c r="R1163" i="3"/>
  <c r="R1162" i="3"/>
  <c r="AD1162" i="3" s="1"/>
  <c r="R1161" i="3"/>
  <c r="AD1161" i="3" s="1"/>
  <c r="R1160" i="3"/>
  <c r="AD1160" i="3" s="1"/>
  <c r="R1159" i="3"/>
  <c r="R1157" i="3"/>
  <c r="R1155" i="3"/>
  <c r="AD1155" i="3" s="1"/>
  <c r="R1154" i="3"/>
  <c r="AD1154" i="3" s="1"/>
  <c r="R1153" i="3"/>
  <c r="AD1153" i="3" s="1"/>
  <c r="R1152" i="3"/>
  <c r="AD1152" i="3" s="1"/>
  <c r="T1152" i="3" s="1"/>
  <c r="R1151" i="3"/>
  <c r="AD1151" i="3" s="1"/>
  <c r="R1150" i="3"/>
  <c r="AD1150" i="3" s="1"/>
  <c r="R1149" i="3"/>
  <c r="AD1149" i="3" s="1"/>
  <c r="R1147" i="3"/>
  <c r="R1145" i="3"/>
  <c r="AD1145" i="3" s="1"/>
  <c r="R1144" i="3"/>
  <c r="AD1144" i="3" s="1"/>
  <c r="R1143" i="3"/>
  <c r="AD1143" i="3" s="1"/>
  <c r="R1142" i="3"/>
  <c r="AD1142" i="3" s="1"/>
  <c r="R1141" i="3"/>
  <c r="AD1141" i="3" s="1"/>
  <c r="R1140" i="3"/>
  <c r="AD1140" i="3" s="1"/>
  <c r="R1139" i="3"/>
  <c r="AD1139" i="3" s="1"/>
  <c r="R1138" i="3"/>
  <c r="AD1138" i="3" s="1"/>
  <c r="R1137" i="3"/>
  <c r="AD1137" i="3" s="1"/>
  <c r="R1136" i="3"/>
  <c r="AD1136" i="3" s="1"/>
  <c r="R1135" i="3"/>
  <c r="AD1135" i="3" s="1"/>
  <c r="R1134" i="3"/>
  <c r="R1133" i="3"/>
  <c r="R1131" i="3"/>
  <c r="AD1131" i="3" s="1"/>
  <c r="R1130" i="3"/>
  <c r="AD1130" i="3" s="1"/>
  <c r="R1129" i="3"/>
  <c r="AD1129" i="3" s="1"/>
  <c r="R1128" i="3"/>
  <c r="AD1128" i="3" s="1"/>
  <c r="T1129" i="3" s="1"/>
  <c r="R1127" i="3"/>
  <c r="AD1127" i="3" s="1"/>
  <c r="R1126" i="3"/>
  <c r="AD1126" i="3" s="1"/>
  <c r="R1125" i="3"/>
  <c r="AD1125" i="3" s="1"/>
  <c r="R1124" i="3"/>
  <c r="AD1124" i="3" s="1"/>
  <c r="R1123" i="3"/>
  <c r="R1122" i="3"/>
  <c r="R1121" i="3"/>
  <c r="AD1121" i="3" s="1"/>
  <c r="R1120" i="3"/>
  <c r="AD1120" i="3" s="1"/>
  <c r="R1119" i="3"/>
  <c r="AD1119" i="3" s="1"/>
  <c r="R1118" i="3"/>
  <c r="AD1118" i="3" s="1"/>
  <c r="R1117" i="3"/>
  <c r="AD1117" i="3" s="1"/>
  <c r="T1117" i="3" s="1"/>
  <c r="R1116" i="3"/>
  <c r="R1115" i="3"/>
  <c r="AD1115" i="3" s="1"/>
  <c r="R1114" i="3"/>
  <c r="R1112" i="3"/>
  <c r="AD1112" i="3" s="1"/>
  <c r="R1111" i="3"/>
  <c r="AD1111" i="3" s="1"/>
  <c r="R1110" i="3"/>
  <c r="R1108" i="3"/>
  <c r="AD1108" i="3" s="1"/>
  <c r="R1107" i="3"/>
  <c r="AD1107" i="3" s="1"/>
  <c r="R1106" i="3"/>
  <c r="AD1106" i="3" s="1"/>
  <c r="R1105" i="3"/>
  <c r="AD1105" i="3" s="1"/>
  <c r="R1104" i="3"/>
  <c r="R1103" i="3"/>
  <c r="AD1103" i="3" s="1"/>
  <c r="R1102" i="3"/>
  <c r="AD1102" i="3" s="1"/>
  <c r="R1100" i="3"/>
  <c r="AD1100" i="3" s="1"/>
  <c r="R1099" i="3"/>
  <c r="AD1099" i="3" s="1"/>
  <c r="R1098" i="3"/>
  <c r="R1096" i="3"/>
  <c r="AD1096" i="3" s="1"/>
  <c r="R1095" i="3"/>
  <c r="AD1095" i="3" s="1"/>
  <c r="R1094" i="3"/>
  <c r="AD1094" i="3" s="1"/>
  <c r="R1093" i="3"/>
  <c r="AE1093" i="3" s="1"/>
  <c r="R1092" i="3"/>
  <c r="R1091" i="3"/>
  <c r="AD1091" i="3" s="1"/>
  <c r="R1090" i="3"/>
  <c r="R1089" i="3"/>
  <c r="AD1089" i="3" s="1"/>
  <c r="R1088" i="3"/>
  <c r="AD1088" i="3" s="1"/>
  <c r="R1087" i="3"/>
  <c r="R1086" i="3"/>
  <c r="R1085" i="3"/>
  <c r="AD1085" i="3" s="1"/>
  <c r="R1084" i="3"/>
  <c r="AD1084" i="3" s="1"/>
  <c r="R1083" i="3"/>
  <c r="AD1083" i="3" s="1"/>
  <c r="R1082" i="3"/>
  <c r="R1081" i="3"/>
  <c r="AD1081" i="3" s="1"/>
  <c r="R1079" i="3"/>
  <c r="AD1079" i="3" s="1"/>
  <c r="R1078" i="3"/>
  <c r="AD1078" i="3" s="1"/>
  <c r="R1077" i="3"/>
  <c r="AD1077" i="3" s="1"/>
  <c r="R1076" i="3"/>
  <c r="AD1076" i="3" s="1"/>
  <c r="R1075" i="3"/>
  <c r="R1074" i="3"/>
  <c r="R1073" i="3"/>
  <c r="AD1073" i="3" s="1"/>
  <c r="T1073" i="3" s="1"/>
  <c r="R1072" i="3"/>
  <c r="AD1072" i="3" s="1"/>
  <c r="R1070" i="3"/>
  <c r="R1069" i="3"/>
  <c r="AD1069" i="3" s="1"/>
  <c r="R1068" i="3"/>
  <c r="R1067" i="3"/>
  <c r="AD1067" i="3" s="1"/>
  <c r="R1066" i="3"/>
  <c r="R1064" i="3"/>
  <c r="AD1064" i="3" s="1"/>
  <c r="R1063" i="3"/>
  <c r="AD1063" i="3" s="1"/>
  <c r="T1064" i="3" s="1"/>
  <c r="R1062" i="3"/>
  <c r="R1061" i="3"/>
  <c r="AD1061" i="3" s="1"/>
  <c r="R1059" i="3"/>
  <c r="AD1059" i="3" s="1"/>
  <c r="R1058" i="3"/>
  <c r="R1057" i="3"/>
  <c r="AD1057" i="3" s="1"/>
  <c r="R1055" i="3"/>
  <c r="AD1055" i="3" s="1"/>
  <c r="R1054" i="3"/>
  <c r="AD1054" i="3" s="1"/>
  <c r="R1053" i="3"/>
  <c r="AD1053" i="3" s="1"/>
  <c r="R1052" i="3"/>
  <c r="AD1052" i="3" s="1"/>
  <c r="R1051" i="3"/>
  <c r="AD1051" i="3" s="1"/>
  <c r="R1050" i="3"/>
  <c r="AD1050" i="3" s="1"/>
  <c r="R1049" i="3"/>
  <c r="AD1049" i="3" s="1"/>
  <c r="R1048" i="3"/>
  <c r="R1047" i="3"/>
  <c r="AD1047" i="3" s="1"/>
  <c r="R1046" i="3"/>
  <c r="R1045" i="3"/>
  <c r="AD1045" i="3" s="1"/>
  <c r="R1043" i="3"/>
  <c r="AD1043" i="3" s="1"/>
  <c r="R1042" i="3"/>
  <c r="AD1042" i="3" s="1"/>
  <c r="R1041" i="3"/>
  <c r="AD1041" i="3" s="1"/>
  <c r="R1040" i="3"/>
  <c r="R1039" i="3"/>
  <c r="AD1039" i="3" s="1"/>
  <c r="R1038" i="3"/>
  <c r="AD1038" i="3" s="1"/>
  <c r="R1037" i="3"/>
  <c r="AD1037" i="3" s="1"/>
  <c r="R1036" i="3"/>
  <c r="AD1036" i="3" s="1"/>
  <c r="R1034" i="3"/>
  <c r="R1032" i="3"/>
  <c r="AD1032" i="3" s="1"/>
  <c r="R1031" i="3"/>
  <c r="AD1031" i="3" s="1"/>
  <c r="R1030" i="3"/>
  <c r="R1029" i="3"/>
  <c r="AD1029" i="3" s="1"/>
  <c r="R1028" i="3"/>
  <c r="R1027" i="3"/>
  <c r="AD1027" i="3" s="1"/>
  <c r="R1026" i="3"/>
  <c r="R1024" i="3"/>
  <c r="R1023" i="3"/>
  <c r="AD1023" i="3" s="1"/>
  <c r="R1022" i="3"/>
  <c r="R1021" i="3"/>
  <c r="AD1021" i="3" s="1"/>
  <c r="R1019" i="3"/>
  <c r="AD1019" i="3" s="1"/>
  <c r="R1018" i="3"/>
  <c r="R1017" i="3"/>
  <c r="AD1017" i="3" s="1"/>
  <c r="R1016" i="3"/>
  <c r="AD1016" i="3" s="1"/>
  <c r="R1015" i="3"/>
  <c r="AD1015" i="3" s="1"/>
  <c r="R1014" i="3"/>
  <c r="AD1014" i="3" s="1"/>
  <c r="R1013" i="3"/>
  <c r="AD1013" i="3" s="1"/>
  <c r="R1012" i="3"/>
  <c r="AD1012" i="3" s="1"/>
  <c r="R1011" i="3"/>
  <c r="AD1011" i="3" s="1"/>
  <c r="R1010" i="3"/>
  <c r="AD1010" i="3" s="1"/>
  <c r="R1009" i="3"/>
  <c r="AD1009" i="3" s="1"/>
  <c r="R1007" i="3"/>
  <c r="AD1007" i="3" s="1"/>
  <c r="R1006" i="3"/>
  <c r="R1005" i="3"/>
  <c r="AD1005" i="3" s="1"/>
  <c r="R1004" i="3"/>
  <c r="R1002" i="3"/>
  <c r="R1001" i="3"/>
  <c r="AD1001" i="3" s="1"/>
  <c r="T1002" i="3" s="1"/>
  <c r="R1000" i="3"/>
  <c r="R999" i="3"/>
  <c r="AD999" i="3" s="1"/>
  <c r="R998" i="3"/>
  <c r="R997" i="3"/>
  <c r="AD997" i="3" s="1"/>
  <c r="R996" i="3"/>
  <c r="AD996" i="3" s="1"/>
  <c r="R995" i="3"/>
  <c r="AD995" i="3" s="1"/>
  <c r="R994" i="3"/>
  <c r="AD994" i="3" s="1"/>
  <c r="T994" i="3" s="1"/>
  <c r="R993" i="3"/>
  <c r="AD993" i="3" s="1"/>
  <c r="R992" i="3"/>
  <c r="AD992" i="3" s="1"/>
  <c r="R991" i="3"/>
  <c r="AD991" i="3" s="1"/>
  <c r="R990" i="3"/>
  <c r="R989" i="3"/>
  <c r="R988" i="3"/>
  <c r="AD988" i="3" s="1"/>
  <c r="R986" i="3"/>
  <c r="R985" i="3"/>
  <c r="R984" i="3"/>
  <c r="R983" i="3"/>
  <c r="AD983" i="3" s="1"/>
  <c r="R982" i="3"/>
  <c r="AD982" i="3" s="1"/>
  <c r="R981" i="3"/>
  <c r="AD981" i="3" s="1"/>
  <c r="T982" i="3" s="1"/>
  <c r="R980" i="3"/>
  <c r="R978" i="3"/>
  <c r="AD978" i="3" s="1"/>
  <c r="R977" i="3"/>
  <c r="AD977" i="3" s="1"/>
  <c r="R976" i="3"/>
  <c r="AD976" i="3" s="1"/>
  <c r="R975" i="3"/>
  <c r="AD975" i="3" s="1"/>
  <c r="R974" i="3"/>
  <c r="AD974" i="3" s="1"/>
  <c r="R973" i="3"/>
  <c r="AD973" i="3" s="1"/>
  <c r="R972" i="3"/>
  <c r="R970" i="3"/>
  <c r="R968" i="3"/>
  <c r="R966" i="3"/>
  <c r="R965" i="3"/>
  <c r="R964" i="3"/>
  <c r="AD964" i="3" s="1"/>
  <c r="R963" i="3"/>
  <c r="AD963" i="3" s="1"/>
  <c r="R962" i="3"/>
  <c r="AD962" i="3" s="1"/>
  <c r="R960" i="3"/>
  <c r="AD960" i="3" s="1"/>
  <c r="R959" i="3"/>
  <c r="R958" i="3"/>
  <c r="AD958" i="3" s="1"/>
  <c r="R957" i="3"/>
  <c r="AD957" i="3" s="1"/>
  <c r="R956" i="3"/>
  <c r="R955" i="3"/>
  <c r="R954" i="3"/>
  <c r="R953" i="3"/>
  <c r="R952" i="3"/>
  <c r="AD952" i="3" s="1"/>
  <c r="R950" i="3"/>
  <c r="R949" i="3"/>
  <c r="AD949" i="3" s="1"/>
  <c r="R948" i="3"/>
  <c r="R947" i="3"/>
  <c r="AD947" i="3" s="1"/>
  <c r="R946" i="3"/>
  <c r="AD946" i="3" s="1"/>
  <c r="R945" i="3"/>
  <c r="AD945" i="3" s="1"/>
  <c r="R944" i="3"/>
  <c r="R943" i="3"/>
  <c r="AD943" i="3" s="1"/>
  <c r="R941" i="3"/>
  <c r="AD941" i="3" s="1"/>
  <c r="R940" i="3"/>
  <c r="AD940" i="3" s="1"/>
  <c r="R939" i="3"/>
  <c r="AD939" i="3" s="1"/>
  <c r="R938" i="3"/>
  <c r="AD938" i="3" s="1"/>
  <c r="R937" i="3"/>
  <c r="AD937" i="3" s="1"/>
  <c r="R936" i="3"/>
  <c r="AD936" i="3" s="1"/>
  <c r="R935" i="3"/>
  <c r="R934" i="3"/>
  <c r="AD934" i="3" s="1"/>
  <c r="R933" i="3"/>
  <c r="AD933" i="3" s="1"/>
  <c r="R932" i="3"/>
  <c r="AD932" i="3" s="1"/>
  <c r="R931" i="3"/>
  <c r="AD931" i="3" s="1"/>
  <c r="R930" i="3"/>
  <c r="R928" i="3"/>
  <c r="AD928" i="3" s="1"/>
  <c r="R927" i="3"/>
  <c r="R925" i="3"/>
  <c r="AD925" i="3" s="1"/>
  <c r="R923" i="3"/>
  <c r="AD923" i="3" s="1"/>
  <c r="R924" i="3"/>
  <c r="AD924" i="3" s="1"/>
  <c r="R922" i="3"/>
  <c r="AD922" i="3" s="1"/>
  <c r="R921" i="3"/>
  <c r="AD921" i="3" s="1"/>
  <c r="R920" i="3"/>
  <c r="R919" i="3"/>
  <c r="AD919" i="3" s="1"/>
  <c r="R918" i="3"/>
  <c r="R917" i="3"/>
  <c r="R916" i="3"/>
  <c r="AD916" i="3" s="1"/>
  <c r="R915" i="3"/>
  <c r="AD915" i="3" s="1"/>
  <c r="R914" i="3"/>
  <c r="AD914" i="3" s="1"/>
  <c r="R912" i="3"/>
  <c r="AD912" i="3" s="1"/>
  <c r="R910" i="3"/>
  <c r="R909" i="3"/>
  <c r="AD909" i="3" s="1"/>
  <c r="R908" i="3"/>
  <c r="AD908" i="3" s="1"/>
  <c r="R907" i="3"/>
  <c r="AD907" i="3" s="1"/>
  <c r="R906" i="3"/>
  <c r="AD906" i="3" s="1"/>
  <c r="R905" i="3"/>
  <c r="AD905" i="3" s="1"/>
  <c r="R903" i="3"/>
  <c r="AD903" i="3" s="1"/>
  <c r="R902" i="3"/>
  <c r="AD902" i="3" s="1"/>
  <c r="R901" i="3"/>
  <c r="AD901" i="3" s="1"/>
  <c r="R900" i="3"/>
  <c r="AD900" i="3" s="1"/>
  <c r="R899" i="3"/>
  <c r="AD899" i="3" s="1"/>
  <c r="R898" i="3"/>
  <c r="AD898" i="3" s="1"/>
  <c r="R897" i="3"/>
  <c r="AD897" i="3" s="1"/>
  <c r="R896" i="3"/>
  <c r="AD896" i="3" s="1"/>
  <c r="R894" i="3"/>
  <c r="AD894" i="3" s="1"/>
  <c r="T901" i="3" s="1"/>
  <c r="R895" i="3"/>
  <c r="R893" i="3"/>
  <c r="R892" i="3"/>
  <c r="AD892" i="3" s="1"/>
  <c r="R891" i="3"/>
  <c r="AD891" i="3" s="1"/>
  <c r="R890" i="3"/>
  <c r="AD890" i="3" s="1"/>
  <c r="R889" i="3"/>
  <c r="AD889" i="3" s="1"/>
  <c r="R888" i="3"/>
  <c r="AD888" i="3" s="1"/>
  <c r="R887" i="3"/>
  <c r="AD887" i="3" s="1"/>
  <c r="R885" i="3"/>
  <c r="AD885" i="3" s="1"/>
  <c r="R884" i="3"/>
  <c r="AD884" i="3" s="1"/>
  <c r="R883" i="3"/>
  <c r="R882" i="3"/>
  <c r="AD882" i="3" s="1"/>
  <c r="R880" i="3"/>
  <c r="AD880" i="3" s="1"/>
  <c r="R879" i="3"/>
  <c r="AD879" i="3" s="1"/>
  <c r="R878" i="3"/>
  <c r="AD878" i="3" s="1"/>
  <c r="R877" i="3"/>
  <c r="AD877" i="3" s="1"/>
  <c r="R876" i="3"/>
  <c r="AD876" i="3" s="1"/>
  <c r="R875" i="3"/>
  <c r="AD875" i="3" s="1"/>
  <c r="R874" i="3"/>
  <c r="R873" i="3"/>
  <c r="AD873" i="3" s="1"/>
  <c r="R872" i="3"/>
  <c r="R871" i="3"/>
  <c r="AD871" i="3" s="1"/>
  <c r="R870" i="3"/>
  <c r="R868" i="3"/>
  <c r="AD868" i="3" s="1"/>
  <c r="R867" i="3"/>
  <c r="AD867" i="3" s="1"/>
  <c r="R866" i="3"/>
  <c r="R865" i="3"/>
  <c r="AD865" i="3" s="1"/>
  <c r="R864" i="3"/>
  <c r="AD864" i="3" s="1"/>
  <c r="R863" i="3"/>
  <c r="AD863" i="3" s="1"/>
  <c r="R862" i="3"/>
  <c r="R861" i="3"/>
  <c r="AD861" i="3" s="1"/>
  <c r="R860" i="3"/>
  <c r="R859" i="3"/>
  <c r="R858" i="3"/>
  <c r="AD858" i="3" s="1"/>
  <c r="R857" i="3"/>
  <c r="R856" i="3"/>
  <c r="AD856" i="3" s="1"/>
  <c r="R855" i="3"/>
  <c r="AD855" i="3" s="1"/>
  <c r="R854" i="3"/>
  <c r="AD854" i="3" s="1"/>
  <c r="R853" i="3"/>
  <c r="AD853" i="3" s="1"/>
  <c r="R852" i="3"/>
  <c r="AD852" i="3" s="1"/>
  <c r="R851" i="3"/>
  <c r="AD851" i="3" s="1"/>
  <c r="R850" i="3"/>
  <c r="R849" i="3"/>
  <c r="R847" i="3"/>
  <c r="AD847" i="3" s="1"/>
  <c r="R846" i="3"/>
  <c r="AD846" i="3" s="1"/>
  <c r="R845" i="3"/>
  <c r="AD845" i="3" s="1"/>
  <c r="R844" i="3"/>
  <c r="AD844" i="3" s="1"/>
  <c r="T844" i="3" s="1"/>
  <c r="R843" i="3"/>
  <c r="AD843" i="3" s="1"/>
  <c r="R842" i="3"/>
  <c r="AD842" i="3" s="1"/>
  <c r="R841" i="3"/>
  <c r="AD841" i="3" s="1"/>
  <c r="R840" i="3"/>
  <c r="AD840" i="3" s="1"/>
  <c r="R838" i="3"/>
  <c r="AD838" i="3" s="1"/>
  <c r="R837" i="3"/>
  <c r="AD837" i="3" s="1"/>
  <c r="R836" i="3"/>
  <c r="AD836" i="3" s="1"/>
  <c r="R835" i="3"/>
  <c r="AD835" i="3" s="1"/>
  <c r="R834" i="3"/>
  <c r="AD834" i="3" s="1"/>
  <c r="R833" i="3"/>
  <c r="AD833" i="3" s="1"/>
  <c r="R832" i="3"/>
  <c r="AD832" i="3" s="1"/>
  <c r="R831" i="3"/>
  <c r="AD831" i="3" s="1"/>
  <c r="R830" i="3"/>
  <c r="AD830" i="3" s="1"/>
  <c r="R829" i="3"/>
  <c r="AD829" i="3" s="1"/>
  <c r="R828" i="3"/>
  <c r="AD828" i="3" s="1"/>
  <c r="R827" i="3"/>
  <c r="AD827" i="3" s="1"/>
  <c r="R826" i="3"/>
  <c r="AD826" i="3" s="1"/>
  <c r="R825" i="3"/>
  <c r="R824" i="3"/>
  <c r="R823" i="3"/>
  <c r="AD823" i="3" s="1"/>
  <c r="R822" i="3"/>
  <c r="AD822" i="3" s="1"/>
  <c r="R821" i="3"/>
  <c r="AD821" i="3" s="1"/>
  <c r="R819" i="3"/>
  <c r="R818" i="3"/>
  <c r="AD818" i="3" s="1"/>
  <c r="R817" i="3"/>
  <c r="AD817" i="3" s="1"/>
  <c r="R816" i="3"/>
  <c r="AD816" i="3" s="1"/>
  <c r="T817" i="3" s="1"/>
  <c r="R815" i="3"/>
  <c r="R814" i="3"/>
  <c r="R813" i="3"/>
  <c r="AD813" i="3" s="1"/>
  <c r="R812" i="3"/>
  <c r="AD812" i="3" s="1"/>
  <c r="T813" i="3" s="1"/>
  <c r="R811" i="3"/>
  <c r="AD811" i="3" s="1"/>
  <c r="R810" i="3"/>
  <c r="AD810" i="3" s="1"/>
  <c r="R809" i="3"/>
  <c r="AD809" i="3" s="1"/>
  <c r="R808" i="3"/>
  <c r="AD808" i="3" s="1"/>
  <c r="R807" i="3"/>
  <c r="R806" i="3"/>
  <c r="R805" i="3"/>
  <c r="AD805" i="3" s="1"/>
  <c r="R803" i="3"/>
  <c r="AD803" i="3" s="1"/>
  <c r="R801" i="3"/>
  <c r="AD801" i="3" s="1"/>
  <c r="R800" i="3"/>
  <c r="AD800" i="3" s="1"/>
  <c r="R799" i="3"/>
  <c r="AD799" i="3" s="1"/>
  <c r="R798" i="3"/>
  <c r="AD798" i="3" s="1"/>
  <c r="R797" i="3"/>
  <c r="AD797" i="3" s="1"/>
  <c r="R795" i="3"/>
  <c r="R794" i="3"/>
  <c r="AD794" i="3" s="1"/>
  <c r="R793" i="3"/>
  <c r="AD793" i="3" s="1"/>
  <c r="R792" i="3"/>
  <c r="AD792" i="3" s="1"/>
  <c r="R791" i="3"/>
  <c r="AD791" i="3" s="1"/>
  <c r="R790" i="3"/>
  <c r="R789" i="3"/>
  <c r="AD789" i="3" s="1"/>
  <c r="R788" i="3"/>
  <c r="AD788" i="3" s="1"/>
  <c r="R787" i="3"/>
  <c r="AD787" i="3" s="1"/>
  <c r="R786" i="3"/>
  <c r="AD786" i="3" s="1"/>
  <c r="R785" i="3"/>
  <c r="AD785" i="3" s="1"/>
  <c r="R784" i="3"/>
  <c r="R783" i="3"/>
  <c r="R782" i="3"/>
  <c r="R780" i="3"/>
  <c r="AD780" i="3" s="1"/>
  <c r="R779" i="3"/>
  <c r="AD779" i="3" s="1"/>
  <c r="R778" i="3"/>
  <c r="AD778" i="3" s="1"/>
  <c r="R776" i="3"/>
  <c r="AD776" i="3" s="1"/>
  <c r="R777" i="3"/>
  <c r="AD777" i="3" s="1"/>
  <c r="R775" i="3"/>
  <c r="R774" i="3"/>
  <c r="AD774" i="3" s="1"/>
  <c r="R773" i="3"/>
  <c r="AD773" i="3" s="1"/>
  <c r="R772" i="3"/>
  <c r="AD772" i="3" s="1"/>
  <c r="R771" i="3"/>
  <c r="R770" i="3"/>
  <c r="AD770" i="3" s="1"/>
  <c r="R769" i="3"/>
  <c r="AD769" i="3" s="1"/>
  <c r="R768" i="3"/>
  <c r="AD768" i="3" s="1"/>
  <c r="R767" i="3"/>
  <c r="AD767" i="3" s="1"/>
  <c r="R766" i="3"/>
  <c r="R765" i="3"/>
  <c r="AD765" i="3" s="1"/>
  <c r="R764" i="3"/>
  <c r="AD764" i="3" s="1"/>
  <c r="R763" i="3"/>
  <c r="R762" i="3"/>
  <c r="AD762" i="3" s="1"/>
  <c r="R761" i="3"/>
  <c r="AD761" i="3" s="1"/>
  <c r="R760" i="3"/>
  <c r="AD760" i="3" s="1"/>
  <c r="T760" i="3" s="1"/>
  <c r="R759" i="3"/>
  <c r="R758" i="3"/>
  <c r="R757" i="3"/>
  <c r="AD757" i="3" s="1"/>
  <c r="R756" i="3"/>
  <c r="R755" i="3"/>
  <c r="AD755" i="3" s="1"/>
  <c r="R754" i="3"/>
  <c r="AD754" i="3" s="1"/>
  <c r="R753" i="3"/>
  <c r="AD753" i="3" s="1"/>
  <c r="R752" i="3"/>
  <c r="R751" i="3"/>
  <c r="R750" i="3"/>
  <c r="AD750" i="3" s="1"/>
  <c r="R749" i="3"/>
  <c r="AD749" i="3" s="1"/>
  <c r="R748" i="3"/>
  <c r="AD748" i="3" s="1"/>
  <c r="R747" i="3"/>
  <c r="R746" i="3"/>
  <c r="AD746" i="3" s="1"/>
  <c r="R745" i="3"/>
  <c r="AD745" i="3" s="1"/>
  <c r="R744" i="3"/>
  <c r="AD744" i="3" s="1"/>
  <c r="T744" i="3" s="1"/>
  <c r="R743" i="3"/>
  <c r="R741" i="3"/>
  <c r="AD741" i="3" s="1"/>
  <c r="R740" i="3"/>
  <c r="AD740" i="3" s="1"/>
  <c r="R739" i="3"/>
  <c r="R738" i="3"/>
  <c r="AD738" i="3" s="1"/>
  <c r="R736" i="3"/>
  <c r="AD736" i="3" s="1"/>
  <c r="R735" i="3"/>
  <c r="R734" i="3"/>
  <c r="AD734" i="3" s="1"/>
  <c r="R733" i="3"/>
  <c r="AD733" i="3" s="1"/>
  <c r="R732" i="3"/>
  <c r="R731" i="3"/>
  <c r="AD731" i="3" s="1"/>
  <c r="R729" i="3"/>
  <c r="AD729" i="3" s="1"/>
  <c r="R728" i="3"/>
  <c r="AD728" i="3" s="1"/>
  <c r="R727" i="3"/>
  <c r="AD727" i="3" s="1"/>
  <c r="R726" i="3"/>
  <c r="AD726" i="3" s="1"/>
  <c r="R725" i="3"/>
  <c r="AD725" i="3" s="1"/>
  <c r="R724" i="3"/>
  <c r="R723" i="3"/>
  <c r="R722" i="3"/>
  <c r="AD722" i="3" s="1"/>
  <c r="R721" i="3"/>
  <c r="AD721" i="3" s="1"/>
  <c r="R720" i="3"/>
  <c r="AD720" i="3" s="1"/>
  <c r="R719" i="3"/>
  <c r="R718" i="3"/>
  <c r="AD718" i="3" s="1"/>
  <c r="R717" i="3"/>
  <c r="AD717" i="3" s="1"/>
  <c r="R716" i="3"/>
  <c r="AD716" i="3" s="1"/>
  <c r="R715" i="3"/>
  <c r="R714" i="3"/>
  <c r="AD714" i="3" s="1"/>
  <c r="R712" i="3"/>
  <c r="AD712" i="3" s="1"/>
  <c r="R711" i="3"/>
  <c r="R710" i="3"/>
  <c r="AD710" i="3" s="1"/>
  <c r="R709" i="3"/>
  <c r="AD709" i="3" s="1"/>
  <c r="R708" i="3"/>
  <c r="AD708" i="3" s="1"/>
  <c r="R707" i="3"/>
  <c r="AD707" i="3" s="1"/>
  <c r="R706" i="3"/>
  <c r="AD706" i="3" s="1"/>
  <c r="R705" i="3"/>
  <c r="AD705" i="3" s="1"/>
  <c r="R704" i="3"/>
  <c r="AD704" i="3" s="1"/>
  <c r="R703" i="3"/>
  <c r="AD703" i="3" s="1"/>
  <c r="R702" i="3"/>
  <c r="AD702" i="3" s="1"/>
  <c r="R701" i="3"/>
  <c r="AD701" i="3" s="1"/>
  <c r="R700" i="3"/>
  <c r="AD700" i="3" s="1"/>
  <c r="R699" i="3"/>
  <c r="R698" i="3"/>
  <c r="AD698" i="3" s="1"/>
  <c r="R697" i="3"/>
  <c r="AD697" i="3" s="1"/>
  <c r="R696" i="3"/>
  <c r="AD696" i="3" s="1"/>
  <c r="R695" i="3"/>
  <c r="R694" i="3"/>
  <c r="R693" i="3"/>
  <c r="AD693" i="3" s="1"/>
  <c r="R692" i="3"/>
  <c r="AD692" i="3" s="1"/>
  <c r="T693" i="3" s="1"/>
  <c r="R691" i="3"/>
  <c r="R690" i="3"/>
  <c r="AD690" i="3" s="1"/>
  <c r="R688" i="3"/>
  <c r="AD688" i="3" s="1"/>
  <c r="R689" i="3"/>
  <c r="AD689" i="3" s="1"/>
  <c r="R687" i="3"/>
  <c r="R686" i="3"/>
  <c r="AD686" i="3" s="1"/>
  <c r="R685" i="3"/>
  <c r="AD685" i="3" s="1"/>
  <c r="R684" i="3"/>
  <c r="AD684" i="3" s="1"/>
  <c r="R683" i="3"/>
  <c r="R682" i="3"/>
  <c r="R681" i="3"/>
  <c r="AD681" i="3" s="1"/>
  <c r="R680" i="3"/>
  <c r="AD680" i="3" s="1"/>
  <c r="R679" i="3"/>
  <c r="AD679" i="3" s="1"/>
  <c r="R678" i="3"/>
  <c r="AD678" i="3" s="1"/>
  <c r="R677" i="3"/>
  <c r="R676" i="3"/>
  <c r="R675" i="3"/>
  <c r="R674" i="3"/>
  <c r="AD674" i="3" s="1"/>
  <c r="R672" i="3"/>
  <c r="AD672" i="3" s="1"/>
  <c r="R671" i="3"/>
  <c r="R670" i="3"/>
  <c r="AD670" i="3" s="1"/>
  <c r="R669" i="3"/>
  <c r="AD669" i="3" s="1"/>
  <c r="R668" i="3"/>
  <c r="AD668" i="3" s="1"/>
  <c r="R667" i="3"/>
  <c r="AD667" i="3" s="1"/>
  <c r="R666" i="3"/>
  <c r="AD666" i="3" s="1"/>
  <c r="R665" i="3"/>
  <c r="R664" i="3"/>
  <c r="AD664" i="3" s="1"/>
  <c r="R663" i="3"/>
  <c r="R662" i="3"/>
  <c r="R660" i="3"/>
  <c r="R659" i="3"/>
  <c r="AD659" i="3" s="1"/>
  <c r="R658" i="3"/>
  <c r="AD658" i="3" s="1"/>
  <c r="R657" i="3"/>
  <c r="AD657" i="3" s="1"/>
  <c r="R656" i="3"/>
  <c r="R655" i="3"/>
  <c r="AD655" i="3" s="1"/>
  <c r="R654" i="3"/>
  <c r="AD654" i="3" s="1"/>
  <c r="R653" i="3"/>
  <c r="AD653" i="3" s="1"/>
  <c r="R652" i="3"/>
  <c r="AD652" i="3" s="1"/>
  <c r="R651" i="3"/>
  <c r="R650" i="3"/>
  <c r="AD650" i="3" s="1"/>
  <c r="R649" i="3"/>
  <c r="AD649" i="3" s="1"/>
  <c r="R648" i="3"/>
  <c r="R647" i="3"/>
  <c r="R645" i="3"/>
  <c r="R644" i="3"/>
  <c r="AD644" i="3" s="1"/>
  <c r="R643" i="3"/>
  <c r="AD643" i="3" s="1"/>
  <c r="R642" i="3"/>
  <c r="AD642" i="3" s="1"/>
  <c r="R641" i="3"/>
  <c r="R640" i="3"/>
  <c r="AD640" i="3" s="1"/>
  <c r="T640" i="3" s="1"/>
  <c r="R639" i="3"/>
  <c r="R638" i="3"/>
  <c r="AD638" i="3" s="1"/>
  <c r="R637" i="3"/>
  <c r="AD637" i="3" s="1"/>
  <c r="R636" i="3"/>
  <c r="R635" i="3"/>
  <c r="R633" i="3"/>
  <c r="R632" i="3"/>
  <c r="AD632" i="3" s="1"/>
  <c r="R631" i="3"/>
  <c r="AD631" i="3" s="1"/>
  <c r="R630" i="3"/>
  <c r="AD630" i="3" s="1"/>
  <c r="R629" i="3"/>
  <c r="AD629" i="3" s="1"/>
  <c r="R628" i="3"/>
  <c r="AD628" i="3" s="1"/>
  <c r="R627" i="3"/>
  <c r="R626" i="3"/>
  <c r="R625" i="3"/>
  <c r="AD625" i="3" s="1"/>
  <c r="R624" i="3"/>
  <c r="R623" i="3"/>
  <c r="AD623" i="3" s="1"/>
  <c r="R622" i="3"/>
  <c r="AD622" i="3" s="1"/>
  <c r="R621" i="3"/>
  <c r="AD621" i="3" s="1"/>
  <c r="R620" i="3"/>
  <c r="R619" i="3"/>
  <c r="AD619" i="3" s="1"/>
  <c r="R618" i="3"/>
  <c r="AD618" i="3" s="1"/>
  <c r="R617" i="3"/>
  <c r="AD617" i="3" s="1"/>
  <c r="T618" i="3" s="1"/>
  <c r="R616" i="3"/>
  <c r="R615" i="3"/>
  <c r="AD615" i="3" s="1"/>
  <c r="R614" i="3"/>
  <c r="R613" i="3"/>
  <c r="AD613" i="3" s="1"/>
  <c r="R612" i="3"/>
  <c r="AD612" i="3" s="1"/>
  <c r="R611" i="3"/>
  <c r="R610" i="3"/>
  <c r="AD610" i="3" s="1"/>
  <c r="R609" i="3"/>
  <c r="R608" i="3"/>
  <c r="R607" i="3"/>
  <c r="AD607" i="3" s="1"/>
  <c r="R606" i="3"/>
  <c r="AD606" i="3" s="1"/>
  <c r="R605" i="3"/>
  <c r="R604" i="3"/>
  <c r="AD604" i="3" s="1"/>
  <c r="R603" i="3"/>
  <c r="R602" i="3"/>
  <c r="AD602" i="3" s="1"/>
  <c r="W2" i="6"/>
  <c r="R2" i="6"/>
  <c r="AD2" i="6" s="1"/>
  <c r="T2" i="6" s="1"/>
  <c r="W2" i="5"/>
  <c r="AC584" i="3"/>
  <c r="AC583" i="3"/>
  <c r="AC582" i="3"/>
  <c r="AC581" i="3"/>
  <c r="AC580" i="3"/>
  <c r="AC579" i="3"/>
  <c r="AC578" i="3"/>
  <c r="AC577" i="3"/>
  <c r="AC576" i="3"/>
  <c r="AC575" i="3"/>
  <c r="AC574" i="3"/>
  <c r="AC573" i="3"/>
  <c r="AC572" i="3"/>
  <c r="AC571" i="3"/>
  <c r="AC570" i="3"/>
  <c r="AC569" i="3"/>
  <c r="AC568" i="3"/>
  <c r="AC567" i="3"/>
  <c r="AC566" i="3"/>
  <c r="AC565" i="3"/>
  <c r="AC564" i="3"/>
  <c r="AC563" i="3"/>
  <c r="AC562" i="3"/>
  <c r="AC561" i="3"/>
  <c r="AC560" i="3"/>
  <c r="AC559" i="3"/>
  <c r="AC558" i="3"/>
  <c r="AC557" i="3"/>
  <c r="AC556" i="3"/>
  <c r="AC555" i="3"/>
  <c r="AC554" i="3"/>
  <c r="AC553" i="3"/>
  <c r="AC552" i="3"/>
  <c r="AC551" i="3"/>
  <c r="AC550" i="3"/>
  <c r="AC549" i="3"/>
  <c r="AC548" i="3"/>
  <c r="AC547" i="3"/>
  <c r="AC546" i="3"/>
  <c r="AC545" i="3"/>
  <c r="AC544" i="3"/>
  <c r="AC543" i="3"/>
  <c r="AC542" i="3"/>
  <c r="AC541" i="3"/>
  <c r="AC540" i="3"/>
  <c r="AC539" i="3"/>
  <c r="AC538" i="3"/>
  <c r="AC537" i="3"/>
  <c r="AC536" i="3"/>
  <c r="AC535" i="3"/>
  <c r="AC534" i="3"/>
  <c r="AC533" i="3"/>
  <c r="AC532" i="3"/>
  <c r="AC531" i="3"/>
  <c r="AC530" i="3"/>
  <c r="AC529" i="3"/>
  <c r="AC528" i="3"/>
  <c r="AC527" i="3"/>
  <c r="AC526" i="3"/>
  <c r="AC525" i="3"/>
  <c r="AC524" i="3"/>
  <c r="AC523" i="3"/>
  <c r="AC522" i="3"/>
  <c r="AC521" i="3"/>
  <c r="AC520" i="3"/>
  <c r="AC519" i="3"/>
  <c r="AC518" i="3"/>
  <c r="AC517" i="3"/>
  <c r="AC516" i="3"/>
  <c r="AC515" i="3"/>
  <c r="AC514" i="3"/>
  <c r="AC513" i="3"/>
  <c r="AC512" i="3"/>
  <c r="AC511" i="3"/>
  <c r="AC510" i="3"/>
  <c r="AC509" i="3"/>
  <c r="AC508" i="3"/>
  <c r="AC507" i="3"/>
  <c r="AC506" i="3"/>
  <c r="AC505" i="3"/>
  <c r="AC504" i="3"/>
  <c r="AC503" i="3"/>
  <c r="AC502" i="3"/>
  <c r="AC501" i="3"/>
  <c r="AC500" i="3"/>
  <c r="AC499" i="3"/>
  <c r="AC498" i="3"/>
  <c r="AC497" i="3"/>
  <c r="AC496" i="3"/>
  <c r="AC495" i="3"/>
  <c r="AC494" i="3"/>
  <c r="AC493" i="3"/>
  <c r="AC492" i="3"/>
  <c r="AC491" i="3"/>
  <c r="AC490" i="3"/>
  <c r="AC489" i="3"/>
  <c r="AC488" i="3"/>
  <c r="AC487" i="3"/>
  <c r="AC486" i="3"/>
  <c r="AC485" i="3"/>
  <c r="AC484" i="3"/>
  <c r="AC483" i="3"/>
  <c r="AC482" i="3"/>
  <c r="AC481" i="3"/>
  <c r="AC480" i="3"/>
  <c r="AC479" i="3"/>
  <c r="AC478" i="3"/>
  <c r="AC477" i="3"/>
  <c r="AC476" i="3"/>
  <c r="AC475" i="3"/>
  <c r="AC474" i="3"/>
  <c r="AC473" i="3"/>
  <c r="AC472" i="3"/>
  <c r="AC471" i="3"/>
  <c r="AC470" i="3"/>
  <c r="AC469" i="3"/>
  <c r="AC468" i="3"/>
  <c r="AC467" i="3"/>
  <c r="AC466" i="3"/>
  <c r="AC465" i="3"/>
  <c r="AC464" i="3"/>
  <c r="AC463" i="3"/>
  <c r="AC462" i="3"/>
  <c r="AC461" i="3"/>
  <c r="AC460" i="3"/>
  <c r="AC459" i="3"/>
  <c r="AC458" i="3"/>
  <c r="AC457" i="3"/>
  <c r="AC456" i="3"/>
  <c r="AC455" i="3"/>
  <c r="AC454" i="3"/>
  <c r="AC453" i="3"/>
  <c r="AC452" i="3"/>
  <c r="AC451" i="3"/>
  <c r="AC450" i="3"/>
  <c r="AC449" i="3"/>
  <c r="AC448" i="3"/>
  <c r="AC447" i="3"/>
  <c r="AC446" i="3"/>
  <c r="AC445" i="3"/>
  <c r="AC444" i="3"/>
  <c r="AC443" i="3"/>
  <c r="AC442" i="3"/>
  <c r="AC441" i="3"/>
  <c r="AC440" i="3"/>
  <c r="AC439" i="3"/>
  <c r="AC438" i="3"/>
  <c r="AC437" i="3"/>
  <c r="AC436" i="3"/>
  <c r="AC435" i="3"/>
  <c r="AC434" i="3"/>
  <c r="AC433" i="3"/>
  <c r="AC432" i="3"/>
  <c r="AC431" i="3"/>
  <c r="AC430" i="3"/>
  <c r="AC429" i="3"/>
  <c r="AC428" i="3"/>
  <c r="AC427" i="3"/>
  <c r="AC426" i="3"/>
  <c r="AC425" i="3"/>
  <c r="AC424" i="3"/>
  <c r="AC423" i="3"/>
  <c r="AC422" i="3"/>
  <c r="AC421" i="3"/>
  <c r="AC420" i="3"/>
  <c r="AC419" i="3"/>
  <c r="AC418" i="3"/>
  <c r="AC417" i="3"/>
  <c r="AC416" i="3"/>
  <c r="AC415" i="3"/>
  <c r="AC414" i="3"/>
  <c r="AC413" i="3"/>
  <c r="AC412" i="3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R2" i="5" l="1"/>
  <c r="AD2" i="5" s="1"/>
  <c r="R1813" i="3"/>
  <c r="AE1813" i="3" s="1"/>
  <c r="R2149" i="3"/>
  <c r="AD2149" i="3" s="1"/>
  <c r="T2150" i="3" s="1"/>
  <c r="R2125" i="3"/>
  <c r="R1944" i="3"/>
  <c r="AD1944" i="3" s="1"/>
  <c r="T1948" i="3" s="1"/>
  <c r="AE1750" i="3"/>
  <c r="R2339" i="3"/>
  <c r="R2327" i="3"/>
  <c r="AE2355" i="3"/>
  <c r="AD1970" i="3"/>
  <c r="R2239" i="3"/>
  <c r="R2179" i="3"/>
  <c r="AD2179" i="3" s="1"/>
  <c r="T2181" i="3" s="1"/>
  <c r="R1987" i="3"/>
  <c r="R1939" i="3"/>
  <c r="AD1939" i="3" s="1"/>
  <c r="T1941" i="3" s="1"/>
  <c r="AD2371" i="3"/>
  <c r="AE1685" i="3"/>
  <c r="AE2273" i="3"/>
  <c r="AD2358" i="3"/>
  <c r="T2358" i="3" s="1"/>
  <c r="AE2234" i="3"/>
  <c r="AD2356" i="3"/>
  <c r="AE2218" i="3"/>
  <c r="AD2286" i="3"/>
  <c r="AE2216" i="3"/>
  <c r="AD2285" i="3"/>
  <c r="AE2177" i="3"/>
  <c r="AD2241" i="3"/>
  <c r="AD2327" i="3"/>
  <c r="AE2327" i="3"/>
  <c r="AD2136" i="3"/>
  <c r="T2137" i="3" s="1"/>
  <c r="AE2136" i="3"/>
  <c r="AE2339" i="3"/>
  <c r="AD2339" i="3"/>
  <c r="T2342" i="3" s="1"/>
  <c r="AE2372" i="3"/>
  <c r="AD2372" i="3"/>
  <c r="T2373" i="3" s="1"/>
  <c r="AD2324" i="3"/>
  <c r="T2324" i="3" s="1"/>
  <c r="AE2324" i="3"/>
  <c r="AE2239" i="3"/>
  <c r="AD2239" i="3"/>
  <c r="T2240" i="3" s="1"/>
  <c r="AE2058" i="3"/>
  <c r="AD2058" i="3"/>
  <c r="T2059" i="3" s="1"/>
  <c r="AE2157" i="3"/>
  <c r="AD2157" i="3"/>
  <c r="T2157" i="3" s="1"/>
  <c r="AE2031" i="3"/>
  <c r="AE2308" i="3"/>
  <c r="AD1992" i="3"/>
  <c r="AE2365" i="3"/>
  <c r="AE2005" i="3"/>
  <c r="AD2284" i="3"/>
  <c r="AE2363" i="3"/>
  <c r="AE2287" i="3"/>
  <c r="AE2215" i="3"/>
  <c r="AE1892" i="3"/>
  <c r="AD2348" i="3"/>
  <c r="AD2253" i="3"/>
  <c r="AD2135" i="3"/>
  <c r="AD1968" i="3"/>
  <c r="AE2362" i="3"/>
  <c r="AE1868" i="3"/>
  <c r="AD2342" i="3"/>
  <c r="AD2243" i="3"/>
  <c r="AD2120" i="3"/>
  <c r="AE2344" i="3"/>
  <c r="AE2272" i="3"/>
  <c r="AE2176" i="3"/>
  <c r="AD2337" i="3"/>
  <c r="AD2073" i="3"/>
  <c r="AE2271" i="3"/>
  <c r="AD2336" i="3"/>
  <c r="AD2219" i="3"/>
  <c r="AD2059" i="3"/>
  <c r="AE2328" i="3"/>
  <c r="AE2254" i="3"/>
  <c r="AD2323" i="3"/>
  <c r="AD2203" i="3"/>
  <c r="T2203" i="3" s="1"/>
  <c r="AE2133" i="3"/>
  <c r="AD2321" i="3"/>
  <c r="AD2202" i="3"/>
  <c r="AE2326" i="3"/>
  <c r="AE2246" i="3"/>
  <c r="AE2093" i="3"/>
  <c r="AD2373" i="3"/>
  <c r="AD2300" i="3"/>
  <c r="AD2201" i="3"/>
  <c r="T2202" i="3" s="1"/>
  <c r="AD2034" i="3"/>
  <c r="T2035" i="3" s="1"/>
  <c r="AE2235" i="3"/>
  <c r="AE2050" i="3"/>
  <c r="AD2200" i="3"/>
  <c r="AD2018" i="3"/>
  <c r="AE814" i="3"/>
  <c r="AD814" i="3"/>
  <c r="AE819" i="3"/>
  <c r="AD819" i="3"/>
  <c r="AE756" i="3"/>
  <c r="AD756" i="3"/>
  <c r="T756" i="3" s="1"/>
  <c r="AE859" i="3"/>
  <c r="AD859" i="3"/>
  <c r="T859" i="3" s="1"/>
  <c r="AE872" i="3"/>
  <c r="AD872" i="3"/>
  <c r="AE953" i="3"/>
  <c r="AD953" i="3"/>
  <c r="T953" i="3" s="1"/>
  <c r="AE966" i="3"/>
  <c r="AD966" i="3"/>
  <c r="AE1022" i="3"/>
  <c r="AD1022" i="3"/>
  <c r="T1091" i="3"/>
  <c r="T1092" i="3"/>
  <c r="T1668" i="3"/>
  <c r="T1667" i="3"/>
  <c r="T2093" i="3"/>
  <c r="T2092" i="3"/>
  <c r="AE647" i="3"/>
  <c r="AD647" i="3"/>
  <c r="AE766" i="3"/>
  <c r="AD766" i="3"/>
  <c r="T767" i="3" s="1"/>
  <c r="AE806" i="3"/>
  <c r="AD806" i="3"/>
  <c r="AE627" i="3"/>
  <c r="AD627" i="3"/>
  <c r="T627" i="3" s="1"/>
  <c r="AE807" i="3"/>
  <c r="AD807" i="3"/>
  <c r="AE605" i="3"/>
  <c r="AD605" i="3"/>
  <c r="AE860" i="3"/>
  <c r="AD860" i="3"/>
  <c r="AE927" i="3"/>
  <c r="AD927" i="3"/>
  <c r="AE954" i="3"/>
  <c r="AD954" i="3"/>
  <c r="AE968" i="3"/>
  <c r="AD968" i="3"/>
  <c r="AE1066" i="3"/>
  <c r="AD1066" i="3"/>
  <c r="AE1092" i="3"/>
  <c r="AD1092" i="3"/>
  <c r="AE1133" i="3"/>
  <c r="AD1133" i="3"/>
  <c r="AE1199" i="3"/>
  <c r="AD1199" i="3"/>
  <c r="AE1211" i="3"/>
  <c r="AD1211" i="3"/>
  <c r="T2009" i="3"/>
  <c r="T2010" i="3"/>
  <c r="T2273" i="3"/>
  <c r="T2272" i="3"/>
  <c r="T2328" i="3"/>
  <c r="T2327" i="3"/>
  <c r="AE614" i="3"/>
  <c r="AD614" i="3"/>
  <c r="AE626" i="3"/>
  <c r="AD626" i="3"/>
  <c r="AE639" i="3"/>
  <c r="AD639" i="3"/>
  <c r="AE603" i="3"/>
  <c r="AD603" i="3"/>
  <c r="AE691" i="3"/>
  <c r="AD691" i="3"/>
  <c r="AE616" i="3"/>
  <c r="AD616" i="3"/>
  <c r="AE641" i="3"/>
  <c r="AD641" i="3"/>
  <c r="AE782" i="3"/>
  <c r="AD782" i="3"/>
  <c r="AE656" i="3"/>
  <c r="AD656" i="3"/>
  <c r="AE682" i="3"/>
  <c r="AD682" i="3"/>
  <c r="T682" i="3" s="1"/>
  <c r="AE694" i="3"/>
  <c r="AD694" i="3"/>
  <c r="AE719" i="3"/>
  <c r="AD719" i="3"/>
  <c r="T722" i="3" s="1"/>
  <c r="AE732" i="3"/>
  <c r="AD732" i="3"/>
  <c r="T733" i="3" s="1"/>
  <c r="T2177" i="3"/>
  <c r="T2178" i="3"/>
  <c r="T2189" i="3"/>
  <c r="T2190" i="3"/>
  <c r="AE645" i="3"/>
  <c r="AD645" i="3"/>
  <c r="AE635" i="3"/>
  <c r="AD635" i="3"/>
  <c r="AE648" i="3"/>
  <c r="AD648" i="3"/>
  <c r="AE611" i="3"/>
  <c r="AD611" i="3"/>
  <c r="T611" i="3" s="1"/>
  <c r="AE651" i="3"/>
  <c r="AD651" i="3"/>
  <c r="AE677" i="3"/>
  <c r="AD677" i="3"/>
  <c r="AE683" i="3"/>
  <c r="AD683" i="3"/>
  <c r="AE695" i="3"/>
  <c r="AD695" i="3"/>
  <c r="AE747" i="3"/>
  <c r="AD747" i="3"/>
  <c r="AE759" i="3"/>
  <c r="AD759" i="3"/>
  <c r="AE771" i="3"/>
  <c r="AD771" i="3"/>
  <c r="AE784" i="3"/>
  <c r="AD784" i="3"/>
  <c r="AE824" i="3"/>
  <c r="AD824" i="3"/>
  <c r="AE850" i="3"/>
  <c r="AD850" i="3"/>
  <c r="AE862" i="3"/>
  <c r="AD862" i="3"/>
  <c r="AE930" i="3"/>
  <c r="AD930" i="3"/>
  <c r="AE956" i="3"/>
  <c r="AD956" i="3"/>
  <c r="AE972" i="3"/>
  <c r="AD972" i="3"/>
  <c r="AE985" i="3"/>
  <c r="AD985" i="3"/>
  <c r="T986" i="3" s="1"/>
  <c r="AE998" i="3"/>
  <c r="AD998" i="3"/>
  <c r="AE1026" i="3"/>
  <c r="AD1026" i="3"/>
  <c r="AE1040" i="3"/>
  <c r="AD1040" i="3"/>
  <c r="T1041" i="3" s="1"/>
  <c r="AE1068" i="3"/>
  <c r="AD1068" i="3"/>
  <c r="AE1082" i="3"/>
  <c r="AD1082" i="3"/>
  <c r="AE1122" i="3"/>
  <c r="AD1122" i="3"/>
  <c r="AE1163" i="3"/>
  <c r="AD1163" i="3"/>
  <c r="AE1189" i="3"/>
  <c r="AD1189" i="3"/>
  <c r="T1191" i="3" s="1"/>
  <c r="AE1215" i="3"/>
  <c r="AD1215" i="3"/>
  <c r="AE1229" i="3"/>
  <c r="AD1229" i="3"/>
  <c r="AE1243" i="3"/>
  <c r="AD1243" i="3"/>
  <c r="T1283" i="3"/>
  <c r="T1284" i="3"/>
  <c r="AE1311" i="3"/>
  <c r="AD1311" i="3"/>
  <c r="AE671" i="3"/>
  <c r="AD671" i="3"/>
  <c r="T672" i="3" s="1"/>
  <c r="AE825" i="3"/>
  <c r="AD825" i="3"/>
  <c r="AE917" i="3"/>
  <c r="AD917" i="3"/>
  <c r="T918" i="3" s="1"/>
  <c r="AE944" i="3"/>
  <c r="AD944" i="3"/>
  <c r="AE986" i="3"/>
  <c r="AD986" i="3"/>
  <c r="AE1110" i="3"/>
  <c r="AD1110" i="3"/>
  <c r="AE1123" i="3"/>
  <c r="AD1123" i="3"/>
  <c r="T1124" i="3" s="1"/>
  <c r="T1165" i="3"/>
  <c r="T1164" i="3"/>
  <c r="T1876" i="3"/>
  <c r="T1875" i="3"/>
  <c r="T2192" i="3"/>
  <c r="T2191" i="3"/>
  <c r="AE608" i="3"/>
  <c r="AD608" i="3"/>
  <c r="AE609" i="3"/>
  <c r="AD609" i="3"/>
  <c r="T609" i="3" s="1"/>
  <c r="AE633" i="3"/>
  <c r="AD633" i="3"/>
  <c r="AE735" i="3"/>
  <c r="AD735" i="3"/>
  <c r="AE918" i="3"/>
  <c r="AD918" i="3"/>
  <c r="AE1000" i="3"/>
  <c r="AD1000" i="3"/>
  <c r="AE1028" i="3"/>
  <c r="AD1028" i="3"/>
  <c r="AE1070" i="3"/>
  <c r="AD1070" i="3"/>
  <c r="AE1165" i="3"/>
  <c r="AD1165" i="3"/>
  <c r="AE1191" i="3"/>
  <c r="AD1191" i="3"/>
  <c r="AE1231" i="3"/>
  <c r="AD1231" i="3"/>
  <c r="T1259" i="3"/>
  <c r="T1260" i="3"/>
  <c r="AE1285" i="3"/>
  <c r="AD1285" i="3"/>
  <c r="T1285" i="3" s="1"/>
  <c r="AE1299" i="3"/>
  <c r="AD1299" i="3"/>
  <c r="AE1351" i="3"/>
  <c r="AD1351" i="3"/>
  <c r="T1351" i="3" s="1"/>
  <c r="T1406" i="3"/>
  <c r="T1404" i="3"/>
  <c r="T1432" i="3"/>
  <c r="T1431" i="3"/>
  <c r="AE1457" i="3"/>
  <c r="AD1457" i="3"/>
  <c r="T1512" i="3"/>
  <c r="T1511" i="3"/>
  <c r="T1853" i="3"/>
  <c r="T1852" i="3"/>
  <c r="T1889" i="3"/>
  <c r="T1888" i="3"/>
  <c r="AE959" i="3"/>
  <c r="AD959" i="3"/>
  <c r="T959" i="3" s="1"/>
  <c r="AE989" i="3"/>
  <c r="AD989" i="3"/>
  <c r="T991" i="3" s="1"/>
  <c r="AE1098" i="3"/>
  <c r="AD1098" i="3"/>
  <c r="AE1167" i="3"/>
  <c r="AD1167" i="3"/>
  <c r="AE1192" i="3"/>
  <c r="AD1192" i="3"/>
  <c r="T1193" i="3" s="1"/>
  <c r="T1865" i="3"/>
  <c r="T1866" i="3"/>
  <c r="AE723" i="3"/>
  <c r="AD723" i="3"/>
  <c r="AE815" i="3"/>
  <c r="AD815" i="3"/>
  <c r="AE866" i="3"/>
  <c r="AD866" i="3"/>
  <c r="AE893" i="3"/>
  <c r="AD893" i="3"/>
  <c r="AE920" i="3"/>
  <c r="AD920" i="3"/>
  <c r="T947" i="3"/>
  <c r="T948" i="3"/>
  <c r="AE990" i="3"/>
  <c r="AD990" i="3"/>
  <c r="AE1002" i="3"/>
  <c r="AD1002" i="3"/>
  <c r="AE1030" i="3"/>
  <c r="AD1030" i="3"/>
  <c r="AE1058" i="3"/>
  <c r="AD1058" i="3"/>
  <c r="T1059" i="3" s="1"/>
  <c r="AE1086" i="3"/>
  <c r="AD1086" i="3"/>
  <c r="AE1114" i="3"/>
  <c r="AD1114" i="3"/>
  <c r="AE1205" i="3"/>
  <c r="AD1205" i="3"/>
  <c r="AE1219" i="3"/>
  <c r="AD1219" i="3"/>
  <c r="AE1233" i="3"/>
  <c r="AD1233" i="3"/>
  <c r="AE1247" i="3"/>
  <c r="AD1247" i="3"/>
  <c r="AE1315" i="3"/>
  <c r="AD1315" i="3"/>
  <c r="T1315" i="3" s="1"/>
  <c r="AE1353" i="3"/>
  <c r="AD1353" i="3"/>
  <c r="T1353" i="3" s="1"/>
  <c r="AE620" i="3"/>
  <c r="AD620" i="3"/>
  <c r="AE724" i="3"/>
  <c r="AD724" i="3"/>
  <c r="T724" i="3" s="1"/>
  <c r="AE751" i="3"/>
  <c r="AD751" i="3"/>
  <c r="AE763" i="3"/>
  <c r="AD763" i="3"/>
  <c r="AE775" i="3"/>
  <c r="AD775" i="3"/>
  <c r="AE624" i="3"/>
  <c r="AD624" i="3"/>
  <c r="AE663" i="3"/>
  <c r="AD663" i="3"/>
  <c r="T663" i="3" s="1"/>
  <c r="AE676" i="3"/>
  <c r="AD676" i="3"/>
  <c r="T676" i="3" s="1"/>
  <c r="AE739" i="3"/>
  <c r="AD739" i="3"/>
  <c r="AE752" i="3"/>
  <c r="AD752" i="3"/>
  <c r="AE895" i="3"/>
  <c r="AD895" i="3"/>
  <c r="AE935" i="3"/>
  <c r="AD935" i="3"/>
  <c r="AE948" i="3"/>
  <c r="AD948" i="3"/>
  <c r="AE1004" i="3"/>
  <c r="AD1004" i="3"/>
  <c r="AE1046" i="3"/>
  <c r="AD1046" i="3"/>
  <c r="T1047" i="3" s="1"/>
  <c r="AE1074" i="3"/>
  <c r="AD1074" i="3"/>
  <c r="AE1087" i="3"/>
  <c r="AD1087" i="3"/>
  <c r="T1087" i="3" s="1"/>
  <c r="T1115" i="3"/>
  <c r="T1116" i="3"/>
  <c r="T1154" i="3"/>
  <c r="T1155" i="3"/>
  <c r="T1542" i="3"/>
  <c r="T1541" i="3"/>
  <c r="AE711" i="3"/>
  <c r="AD711" i="3"/>
  <c r="T711" i="3" s="1"/>
  <c r="AE790" i="3"/>
  <c r="AD790" i="3"/>
  <c r="T992" i="3"/>
  <c r="T993" i="3"/>
  <c r="AE1018" i="3"/>
  <c r="AD1018" i="3"/>
  <c r="T1019" i="3" s="1"/>
  <c r="AE1075" i="3"/>
  <c r="AD1075" i="3"/>
  <c r="T1075" i="3" s="1"/>
  <c r="AE1116" i="3"/>
  <c r="AD1116" i="3"/>
  <c r="AE1195" i="3"/>
  <c r="AD1195" i="3"/>
  <c r="AE1207" i="3"/>
  <c r="AD1207" i="3"/>
  <c r="AE1290" i="3"/>
  <c r="AD1290" i="3"/>
  <c r="AE1303" i="3"/>
  <c r="AD1303" i="3"/>
  <c r="AE1317" i="3"/>
  <c r="AD1317" i="3"/>
  <c r="T1317" i="3" s="1"/>
  <c r="AE1330" i="3"/>
  <c r="AD1330" i="3"/>
  <c r="AE1342" i="3"/>
  <c r="AD1342" i="3"/>
  <c r="T1355" i="3"/>
  <c r="T1356" i="3"/>
  <c r="AE636" i="3"/>
  <c r="AD636" i="3"/>
  <c r="T637" i="3" s="1"/>
  <c r="AE662" i="3"/>
  <c r="AD662" i="3"/>
  <c r="AE675" i="3"/>
  <c r="AD675" i="3"/>
  <c r="AE687" i="3"/>
  <c r="AD687" i="3"/>
  <c r="AE699" i="3"/>
  <c r="AD699" i="3"/>
  <c r="AE715" i="3"/>
  <c r="AD715" i="3"/>
  <c r="T715" i="3" s="1"/>
  <c r="AE857" i="3"/>
  <c r="AD857" i="3"/>
  <c r="T858" i="3" s="1"/>
  <c r="AE870" i="3"/>
  <c r="AD870" i="3"/>
  <c r="AE883" i="3"/>
  <c r="AD883" i="3"/>
  <c r="AE950" i="3"/>
  <c r="AD950" i="3"/>
  <c r="AE980" i="3"/>
  <c r="AD980" i="3"/>
  <c r="AE1006" i="3"/>
  <c r="AD1006" i="3"/>
  <c r="T1006" i="3" s="1"/>
  <c r="AE1034" i="3"/>
  <c r="AD1034" i="3"/>
  <c r="AE1048" i="3"/>
  <c r="AD1048" i="3"/>
  <c r="T1048" i="3" s="1"/>
  <c r="AE1062" i="3"/>
  <c r="AD1062" i="3"/>
  <c r="AE1157" i="3"/>
  <c r="AD1157" i="3"/>
  <c r="AE1196" i="3"/>
  <c r="AD1196" i="3"/>
  <c r="AE1208" i="3"/>
  <c r="AD1208" i="3"/>
  <c r="T1209" i="3" s="1"/>
  <c r="T2117" i="3"/>
  <c r="T2118" i="3"/>
  <c r="AE660" i="3"/>
  <c r="AD660" i="3"/>
  <c r="T689" i="3"/>
  <c r="T690" i="3"/>
  <c r="AE665" i="3"/>
  <c r="AD665" i="3"/>
  <c r="AE743" i="3"/>
  <c r="AD743" i="3"/>
  <c r="AE910" i="3"/>
  <c r="AD910" i="3"/>
  <c r="AE965" i="3"/>
  <c r="AD965" i="3"/>
  <c r="T965" i="3" s="1"/>
  <c r="AE1090" i="3"/>
  <c r="AD1090" i="3"/>
  <c r="AE1104" i="3"/>
  <c r="AD1104" i="3"/>
  <c r="AE1159" i="3"/>
  <c r="AD1159" i="3"/>
  <c r="AE1172" i="3"/>
  <c r="AD1172" i="3"/>
  <c r="AE1197" i="3"/>
  <c r="AD1197" i="3"/>
  <c r="AE1169" i="3"/>
  <c r="AD1169" i="3"/>
  <c r="T1170" i="3" s="1"/>
  <c r="AE1181" i="3"/>
  <c r="AD1181" i="3"/>
  <c r="T1181" i="3" s="1"/>
  <c r="AE1329" i="3"/>
  <c r="AD1329" i="3"/>
  <c r="T1329" i="3" s="1"/>
  <c r="AE1354" i="3"/>
  <c r="AD1354" i="3"/>
  <c r="AE1448" i="3"/>
  <c r="AD1448" i="3"/>
  <c r="AE1473" i="3"/>
  <c r="AD1473" i="3"/>
  <c r="T1500" i="3"/>
  <c r="T1501" i="3"/>
  <c r="AE1594" i="3"/>
  <c r="AD1594" i="3"/>
  <c r="AE1622" i="3"/>
  <c r="AD1622" i="3"/>
  <c r="AE1647" i="3"/>
  <c r="AE1660" i="3"/>
  <c r="AD1660" i="3"/>
  <c r="T1776" i="3"/>
  <c r="T1775" i="3"/>
  <c r="AE1886" i="3"/>
  <c r="AD1886" i="3"/>
  <c r="AE1924" i="3"/>
  <c r="AD1924" i="3"/>
  <c r="AE1936" i="3"/>
  <c r="AD1936" i="3"/>
  <c r="AD2011" i="3"/>
  <c r="T2011" i="3" s="1"/>
  <c r="AE2011" i="3"/>
  <c r="AE2026" i="3"/>
  <c r="AD2026" i="3"/>
  <c r="T2236" i="3"/>
  <c r="T2235" i="3"/>
  <c r="AE2347" i="3"/>
  <c r="AE2330" i="3"/>
  <c r="AE2311" i="3"/>
  <c r="AE2292" i="3"/>
  <c r="AE2274" i="3"/>
  <c r="AE2256" i="3"/>
  <c r="AE2179" i="3"/>
  <c r="AE2161" i="3"/>
  <c r="AE2137" i="3"/>
  <c r="AE2119" i="3"/>
  <c r="AE2097" i="3"/>
  <c r="AE2078" i="3"/>
  <c r="AE2053" i="3"/>
  <c r="AE2033" i="3"/>
  <c r="AE2008" i="3"/>
  <c r="AE1990" i="3"/>
  <c r="AE1966" i="3"/>
  <c r="AE1943" i="3"/>
  <c r="AE1916" i="3"/>
  <c r="AE1895" i="3"/>
  <c r="AE1869" i="3"/>
  <c r="AE1832" i="3"/>
  <c r="AE1801" i="3"/>
  <c r="AE1776" i="3"/>
  <c r="AD2359" i="3"/>
  <c r="AD2306" i="3"/>
  <c r="AD2265" i="3"/>
  <c r="AD2248" i="3"/>
  <c r="T2250" i="3" s="1"/>
  <c r="AD2204" i="3"/>
  <c r="AD2183" i="3"/>
  <c r="AD2165" i="3"/>
  <c r="T2165" i="3" s="1"/>
  <c r="AD2143" i="3"/>
  <c r="AD2121" i="3"/>
  <c r="T2124" i="3" s="1"/>
  <c r="AD2104" i="3"/>
  <c r="AD2060" i="3"/>
  <c r="AD2038" i="3"/>
  <c r="AD2019" i="3"/>
  <c r="T2020" i="3" s="1"/>
  <c r="AD1995" i="3"/>
  <c r="T1995" i="3" s="1"/>
  <c r="AD1971" i="3"/>
  <c r="T1971" i="3" s="1"/>
  <c r="AD1952" i="3"/>
  <c r="AD1878" i="3"/>
  <c r="AD1826" i="3"/>
  <c r="AD1797" i="3"/>
  <c r="AD1733" i="3"/>
  <c r="AD1634" i="3"/>
  <c r="T1635" i="3" s="1"/>
  <c r="AD1583" i="3"/>
  <c r="AD1318" i="3"/>
  <c r="AE1516" i="3"/>
  <c r="AD1516" i="3"/>
  <c r="AE1528" i="3"/>
  <c r="AD1528" i="3"/>
  <c r="AE1610" i="3"/>
  <c r="AD1610" i="3"/>
  <c r="AE1675" i="3"/>
  <c r="AD1675" i="3"/>
  <c r="AE1728" i="3"/>
  <c r="AD1728" i="3"/>
  <c r="AE1740" i="3"/>
  <c r="AD1740" i="3"/>
  <c r="AE1789" i="3"/>
  <c r="AD1789" i="3"/>
  <c r="T1789" i="3" s="1"/>
  <c r="AE1925" i="3"/>
  <c r="AD1925" i="3"/>
  <c r="AE1975" i="3"/>
  <c r="AD1975" i="3"/>
  <c r="T1977" i="3" s="1"/>
  <c r="AD1987" i="3"/>
  <c r="T1987" i="3" s="1"/>
  <c r="AE1987" i="3"/>
  <c r="AD2000" i="3"/>
  <c r="AE2000" i="3"/>
  <c r="T2033" i="3"/>
  <c r="T2027" i="3"/>
  <c r="T2030" i="3"/>
  <c r="T2031" i="3"/>
  <c r="T2032" i="3"/>
  <c r="AE2345" i="3"/>
  <c r="AE2289" i="3"/>
  <c r="AE2237" i="3"/>
  <c r="AE2199" i="3"/>
  <c r="AE2158" i="3"/>
  <c r="AE2117" i="3"/>
  <c r="AE2096" i="3"/>
  <c r="AE2074" i="3"/>
  <c r="AE2052" i="3"/>
  <c r="AE1988" i="3"/>
  <c r="AE1964" i="3"/>
  <c r="AE1941" i="3"/>
  <c r="AE1915" i="3"/>
  <c r="AE1830" i="3"/>
  <c r="AE1799" i="3"/>
  <c r="AE1770" i="3"/>
  <c r="T2340" i="3"/>
  <c r="T2339" i="3"/>
  <c r="T2341" i="3"/>
  <c r="AD2264" i="3"/>
  <c r="T2264" i="3" s="1"/>
  <c r="AD2225" i="3"/>
  <c r="AD2181" i="3"/>
  <c r="AD2099" i="3"/>
  <c r="AD2081" i="3"/>
  <c r="AD1947" i="3"/>
  <c r="AD1927" i="3"/>
  <c r="AD1903" i="3"/>
  <c r="AD1851" i="3"/>
  <c r="AD1795" i="3"/>
  <c r="AD1760" i="3"/>
  <c r="AE1291" i="3"/>
  <c r="AD1291" i="3"/>
  <c r="AE1543" i="3"/>
  <c r="AD1543" i="3"/>
  <c r="T1545" i="3" s="1"/>
  <c r="AE1558" i="3"/>
  <c r="AD1558" i="3"/>
  <c r="AE1570" i="3"/>
  <c r="AD1570" i="3"/>
  <c r="T1570" i="3" s="1"/>
  <c r="AE1611" i="3"/>
  <c r="AD1611" i="3"/>
  <c r="T1612" i="3" s="1"/>
  <c r="AE1698" i="3"/>
  <c r="AD1698" i="3"/>
  <c r="AE1718" i="3"/>
  <c r="AD1718" i="3"/>
  <c r="T1752" i="3"/>
  <c r="T1751" i="3"/>
  <c r="AD1790" i="3"/>
  <c r="AE1790" i="3"/>
  <c r="AE1938" i="3"/>
  <c r="AD1938" i="3"/>
  <c r="AE1950" i="3"/>
  <c r="AD1950" i="3"/>
  <c r="AD1976" i="3"/>
  <c r="AE1976" i="3"/>
  <c r="AD2001" i="3"/>
  <c r="AE2001" i="3"/>
  <c r="AD2013" i="3"/>
  <c r="AE2013" i="3"/>
  <c r="AE2040" i="3"/>
  <c r="AD2040" i="3"/>
  <c r="T2040" i="3" s="1"/>
  <c r="AE2288" i="3"/>
  <c r="AE2236" i="3"/>
  <c r="AE2196" i="3"/>
  <c r="AE2155" i="3"/>
  <c r="AE2114" i="3"/>
  <c r="AE2095" i="3"/>
  <c r="AE2071" i="3"/>
  <c r="AE2051" i="3"/>
  <c r="AE2028" i="3"/>
  <c r="AE2006" i="3"/>
  <c r="AE1985" i="3"/>
  <c r="AE1962" i="3"/>
  <c r="AE1937" i="3"/>
  <c r="AE1913" i="3"/>
  <c r="AE1887" i="3"/>
  <c r="AE1866" i="3"/>
  <c r="AE1824" i="3"/>
  <c r="AE1798" i="3"/>
  <c r="AE1754" i="3"/>
  <c r="AD2357" i="3"/>
  <c r="AD2301" i="3"/>
  <c r="T2301" i="3" s="1"/>
  <c r="AD2263" i="3"/>
  <c r="AD2180" i="3"/>
  <c r="AD2141" i="3"/>
  <c r="AD2080" i="3"/>
  <c r="T2081" i="3" s="1"/>
  <c r="AD2035" i="3"/>
  <c r="AD2012" i="3"/>
  <c r="AD1969" i="3"/>
  <c r="T1969" i="3" s="1"/>
  <c r="AD1945" i="3"/>
  <c r="AD1926" i="3"/>
  <c r="AD1902" i="3"/>
  <c r="T1902" i="3" s="1"/>
  <c r="AD1876" i="3"/>
  <c r="AD1788" i="3"/>
  <c r="AD1759" i="3"/>
  <c r="T1760" i="3" s="1"/>
  <c r="AD1730" i="3"/>
  <c r="AD1377" i="3"/>
  <c r="T1377" i="3" s="1"/>
  <c r="AE1477" i="3"/>
  <c r="AD1477" i="3"/>
  <c r="T1477" i="3" s="1"/>
  <c r="AE1489" i="3"/>
  <c r="AD1489" i="3"/>
  <c r="AE1530" i="3"/>
  <c r="AD1530" i="3"/>
  <c r="AE1612" i="3"/>
  <c r="AD1612" i="3"/>
  <c r="T1626" i="3"/>
  <c r="T1625" i="3"/>
  <c r="AE1638" i="3"/>
  <c r="AD1638" i="3"/>
  <c r="T1638" i="3" s="1"/>
  <c r="AE1742" i="3"/>
  <c r="AD1742" i="3"/>
  <c r="AE1764" i="3"/>
  <c r="AD1764" i="3"/>
  <c r="AD1791" i="3"/>
  <c r="T1792" i="3" s="1"/>
  <c r="AE1791" i="3"/>
  <c r="AE1804" i="3"/>
  <c r="AD1804" i="3"/>
  <c r="T1829" i="3"/>
  <c r="T1828" i="3"/>
  <c r="AD1989" i="3"/>
  <c r="AE1989" i="3"/>
  <c r="AD2014" i="3"/>
  <c r="AE2014" i="3"/>
  <c r="AE2029" i="3"/>
  <c r="AD2029" i="3"/>
  <c r="AE2055" i="3"/>
  <c r="AD2055" i="3"/>
  <c r="AD2086" i="3"/>
  <c r="T2086" i="3" s="1"/>
  <c r="AE2086" i="3"/>
  <c r="AE2113" i="3"/>
  <c r="AD2113" i="3"/>
  <c r="AE2125" i="3"/>
  <c r="AD2125" i="3"/>
  <c r="T2127" i="3" s="1"/>
  <c r="AE2139" i="3"/>
  <c r="AD2139" i="3"/>
  <c r="AD2194" i="3"/>
  <c r="AE2194" i="3"/>
  <c r="AE2208" i="3"/>
  <c r="AD2208" i="3"/>
  <c r="AE2223" i="3"/>
  <c r="AD2223" i="3"/>
  <c r="AD2290" i="3"/>
  <c r="AE2290" i="3"/>
  <c r="AE2304" i="3"/>
  <c r="AD2304" i="3"/>
  <c r="AE2319" i="3"/>
  <c r="AD2319" i="3"/>
  <c r="AE2360" i="3"/>
  <c r="AE2343" i="3"/>
  <c r="AE2251" i="3"/>
  <c r="AE2192" i="3"/>
  <c r="AE2152" i="3"/>
  <c r="AE2112" i="3"/>
  <c r="AE2069" i="3"/>
  <c r="AE2025" i="3"/>
  <c r="AE1983" i="3"/>
  <c r="AE1961" i="3"/>
  <c r="AE1935" i="3"/>
  <c r="AE1912" i="3"/>
  <c r="AE1885" i="3"/>
  <c r="AE1863" i="3"/>
  <c r="AE1821" i="3"/>
  <c r="AE1736" i="3"/>
  <c r="T2357" i="3"/>
  <c r="T2356" i="3"/>
  <c r="AD2320" i="3"/>
  <c r="AD2240" i="3"/>
  <c r="T2201" i="3"/>
  <c r="AD2140" i="3"/>
  <c r="AD2057" i="3"/>
  <c r="AD2010" i="3"/>
  <c r="AD1901" i="3"/>
  <c r="AD1786" i="3"/>
  <c r="AD1758" i="3"/>
  <c r="AD1722" i="3"/>
  <c r="AD1694" i="3"/>
  <c r="AD1093" i="3"/>
  <c r="AE1225" i="3"/>
  <c r="AD1225" i="3"/>
  <c r="T1253" i="3"/>
  <c r="T1254" i="3"/>
  <c r="AE1279" i="3"/>
  <c r="AD1279" i="3"/>
  <c r="T1279" i="3" s="1"/>
  <c r="AE1307" i="3"/>
  <c r="AD1307" i="3"/>
  <c r="AE1414" i="3"/>
  <c r="AD1414" i="3"/>
  <c r="AE1491" i="3"/>
  <c r="AD1491" i="3"/>
  <c r="AE1613" i="3"/>
  <c r="AD1613" i="3"/>
  <c r="AE1626" i="3"/>
  <c r="AD1626" i="3"/>
  <c r="AE1666" i="3"/>
  <c r="AD1666" i="3"/>
  <c r="AE1677" i="3"/>
  <c r="AD1688" i="3"/>
  <c r="AE1688" i="3"/>
  <c r="AE1753" i="3"/>
  <c r="AD1753" i="3"/>
  <c r="T1754" i="3" s="1"/>
  <c r="AE1805" i="3"/>
  <c r="AD1805" i="3"/>
  <c r="AD2003" i="3"/>
  <c r="AE2003" i="3"/>
  <c r="AE2030" i="3"/>
  <c r="AD2030" i="3"/>
  <c r="AE2042" i="3"/>
  <c r="AD2042" i="3"/>
  <c r="T2042" i="3" s="1"/>
  <c r="AE2302" i="3"/>
  <c r="AE2268" i="3"/>
  <c r="AE2249" i="3"/>
  <c r="AE2213" i="3"/>
  <c r="AE2191" i="3"/>
  <c r="AE2175" i="3"/>
  <c r="AE2151" i="3"/>
  <c r="AE2132" i="3"/>
  <c r="AE2111" i="3"/>
  <c r="AE2092" i="3"/>
  <c r="AE2068" i="3"/>
  <c r="AE2049" i="3"/>
  <c r="AE2024" i="3"/>
  <c r="AE2004" i="3"/>
  <c r="AE1981" i="3"/>
  <c r="AE1959" i="3"/>
  <c r="AE1934" i="3"/>
  <c r="AE1911" i="3"/>
  <c r="AE1884" i="3"/>
  <c r="AE1862" i="3"/>
  <c r="AE1819" i="3"/>
  <c r="AD2261" i="3"/>
  <c r="AD2156" i="3"/>
  <c r="AD1986" i="3"/>
  <c r="AD1942" i="3"/>
  <c r="AD1918" i="3"/>
  <c r="AD1900" i="3"/>
  <c r="AD1874" i="3"/>
  <c r="AD1814" i="3"/>
  <c r="AD1693" i="3"/>
  <c r="AD1422" i="3"/>
  <c r="AD1305" i="3"/>
  <c r="AE1241" i="3"/>
  <c r="AD1241" i="3"/>
  <c r="AE1267" i="3"/>
  <c r="AD1267" i="3"/>
  <c r="T1267" i="3" s="1"/>
  <c r="AE1280" i="3"/>
  <c r="AD1280" i="3"/>
  <c r="AE1389" i="3"/>
  <c r="AD1389" i="3"/>
  <c r="T1390" i="3" s="1"/>
  <c r="AE1415" i="3"/>
  <c r="AD1415" i="3"/>
  <c r="T1415" i="3" s="1"/>
  <c r="AE1427" i="3"/>
  <c r="AD1427" i="3"/>
  <c r="T1428" i="3" s="1"/>
  <c r="T1453" i="3"/>
  <c r="T1454" i="3"/>
  <c r="AE1479" i="3"/>
  <c r="AD1479" i="3"/>
  <c r="T1480" i="3" s="1"/>
  <c r="AE1492" i="3"/>
  <c r="AD1492" i="3"/>
  <c r="T1492" i="3" s="1"/>
  <c r="T1520" i="3"/>
  <c r="T1519" i="3"/>
  <c r="AE1532" i="3"/>
  <c r="AD1532" i="3"/>
  <c r="T1562" i="3"/>
  <c r="T1561" i="3"/>
  <c r="AE1586" i="3"/>
  <c r="AD1586" i="3"/>
  <c r="T1586" i="3" s="1"/>
  <c r="AE1689" i="3"/>
  <c r="AD1689" i="3"/>
  <c r="T1690" i="3" s="1"/>
  <c r="AE1700" i="3"/>
  <c r="AE1720" i="3"/>
  <c r="AD1793" i="3"/>
  <c r="AE1793" i="3"/>
  <c r="T1808" i="3"/>
  <c r="T1809" i="3"/>
  <c r="AE1867" i="3"/>
  <c r="AD1867" i="3"/>
  <c r="T1868" i="3" s="1"/>
  <c r="AE1967" i="3"/>
  <c r="AD1967" i="3"/>
  <c r="AE2043" i="3"/>
  <c r="AD2043" i="3"/>
  <c r="AD2088" i="3"/>
  <c r="T2088" i="3" s="1"/>
  <c r="AE2088" i="3"/>
  <c r="AE2101" i="3"/>
  <c r="AD2101" i="3"/>
  <c r="AE2115" i="3"/>
  <c r="AD2115" i="3"/>
  <c r="AE2127" i="3"/>
  <c r="AD2127" i="3"/>
  <c r="AE2197" i="3"/>
  <c r="AD2197" i="3"/>
  <c r="T2197" i="3" s="1"/>
  <c r="AE2211" i="3"/>
  <c r="AD2211" i="3"/>
  <c r="AD2266" i="3"/>
  <c r="T2266" i="3" s="1"/>
  <c r="AE2266" i="3"/>
  <c r="AD2280" i="3"/>
  <c r="AE2280" i="3"/>
  <c r="AE2293" i="3"/>
  <c r="AD2293" i="3"/>
  <c r="AE2307" i="3"/>
  <c r="AD2307" i="3"/>
  <c r="T2308" i="3" s="1"/>
  <c r="AE2341" i="3"/>
  <c r="AE2267" i="3"/>
  <c r="AE2232" i="3"/>
  <c r="AE2212" i="3"/>
  <c r="AE2190" i="3"/>
  <c r="AE2172" i="3"/>
  <c r="AE2150" i="3"/>
  <c r="AE2129" i="3"/>
  <c r="AE2110" i="3"/>
  <c r="AE2090" i="3"/>
  <c r="AE2067" i="3"/>
  <c r="AE2045" i="3"/>
  <c r="AE2023" i="3"/>
  <c r="AE2002" i="3"/>
  <c r="AE1980" i="3"/>
  <c r="AE1957" i="3"/>
  <c r="AE1932" i="3"/>
  <c r="AE1907" i="3"/>
  <c r="AE1883" i="3"/>
  <c r="AE1859" i="3"/>
  <c r="AE1818" i="3"/>
  <c r="AE1792" i="3"/>
  <c r="AE1724" i="3"/>
  <c r="AD2370" i="3"/>
  <c r="T2370" i="3" s="1"/>
  <c r="AD2351" i="3"/>
  <c r="AD2334" i="3"/>
  <c r="AD2315" i="3"/>
  <c r="AD2298" i="3"/>
  <c r="AD2277" i="3"/>
  <c r="T2277" i="3" s="1"/>
  <c r="AD2260" i="3"/>
  <c r="AD2238" i="3"/>
  <c r="AD2116" i="3"/>
  <c r="AD2072" i="3"/>
  <c r="AD2032" i="3"/>
  <c r="AD1984" i="3"/>
  <c r="AD1840" i="3"/>
  <c r="AD1813" i="3"/>
  <c r="T1813" i="3" s="1"/>
  <c r="AD1784" i="3"/>
  <c r="AD1748" i="3"/>
  <c r="AD1565" i="3"/>
  <c r="AE758" i="3"/>
  <c r="AD758" i="3"/>
  <c r="AE783" i="3"/>
  <c r="AD783" i="3"/>
  <c r="AE795" i="3"/>
  <c r="AD795" i="3"/>
  <c r="AE849" i="3"/>
  <c r="AD849" i="3"/>
  <c r="AE874" i="3"/>
  <c r="AD874" i="3"/>
  <c r="AE955" i="3"/>
  <c r="AD955" i="3"/>
  <c r="AE970" i="3"/>
  <c r="AD970" i="3"/>
  <c r="AE984" i="3"/>
  <c r="AD984" i="3"/>
  <c r="AE1024" i="3"/>
  <c r="AD1024" i="3"/>
  <c r="AE1134" i="3"/>
  <c r="AD1134" i="3"/>
  <c r="T1134" i="3" s="1"/>
  <c r="AE1147" i="3"/>
  <c r="AD1147" i="3"/>
  <c r="AE1175" i="3"/>
  <c r="AD1175" i="3"/>
  <c r="T1175" i="3" s="1"/>
  <c r="AE1347" i="3"/>
  <c r="AD1347" i="3"/>
  <c r="AE1390" i="3"/>
  <c r="AD1390" i="3"/>
  <c r="AE1402" i="3"/>
  <c r="AD1402" i="3"/>
  <c r="AE1428" i="3"/>
  <c r="AD1428" i="3"/>
  <c r="AE1441" i="3"/>
  <c r="AD1441" i="3"/>
  <c r="AE1480" i="3"/>
  <c r="AD1480" i="3"/>
  <c r="AE1493" i="3"/>
  <c r="AD1493" i="3"/>
  <c r="AE1508" i="3"/>
  <c r="AD1508" i="3"/>
  <c r="AE1679" i="3"/>
  <c r="AD1679" i="3"/>
  <c r="AE1744" i="3"/>
  <c r="AE1768" i="3"/>
  <c r="AD1768" i="3"/>
  <c r="AD1831" i="3"/>
  <c r="AE1831" i="3"/>
  <c r="AE1955" i="3"/>
  <c r="AD1955" i="3"/>
  <c r="T1957" i="3" s="1"/>
  <c r="AD2089" i="3"/>
  <c r="AE2089" i="3"/>
  <c r="AE2103" i="3"/>
  <c r="AD2103" i="3"/>
  <c r="AD2184" i="3"/>
  <c r="AE2184" i="3"/>
  <c r="AE2198" i="3"/>
  <c r="AD2198" i="3"/>
  <c r="AE2340" i="3"/>
  <c r="AE2247" i="3"/>
  <c r="AE2231" i="3"/>
  <c r="AE2210" i="3"/>
  <c r="AE2189" i="3"/>
  <c r="AE2168" i="3"/>
  <c r="AE2149" i="3"/>
  <c r="AE2126" i="3"/>
  <c r="AE2109" i="3"/>
  <c r="AE2087" i="3"/>
  <c r="AE2065" i="3"/>
  <c r="AE2041" i="3"/>
  <c r="AE2022" i="3"/>
  <c r="AE1998" i="3"/>
  <c r="AE1979" i="3"/>
  <c r="AE1931" i="3"/>
  <c r="AE1882" i="3"/>
  <c r="AE1817" i="3"/>
  <c r="AE1717" i="3"/>
  <c r="AD2369" i="3"/>
  <c r="AD2349" i="3"/>
  <c r="AD2333" i="3"/>
  <c r="AD2297" i="3"/>
  <c r="AD2276" i="3"/>
  <c r="AD2255" i="3"/>
  <c r="AD2154" i="3"/>
  <c r="AD1940" i="3"/>
  <c r="AD1839" i="3"/>
  <c r="AD1782" i="3"/>
  <c r="AE1323" i="3"/>
  <c r="AD1323" i="3"/>
  <c r="T1323" i="3" s="1"/>
  <c r="AE1391" i="3"/>
  <c r="AD1391" i="3"/>
  <c r="AE1403" i="3"/>
  <c r="AD1403" i="3"/>
  <c r="T1455" i="3"/>
  <c r="T1456" i="3"/>
  <c r="AE1575" i="3"/>
  <c r="AD1575" i="3"/>
  <c r="AE1603" i="3"/>
  <c r="AD1603" i="3"/>
  <c r="T1603" i="3" s="1"/>
  <c r="AE1642" i="3"/>
  <c r="AD1642" i="3"/>
  <c r="AE1820" i="3"/>
  <c r="AD1820" i="3"/>
  <c r="T1820" i="3" s="1"/>
  <c r="AD1857" i="3"/>
  <c r="AE1857" i="3"/>
  <c r="AD1893" i="3"/>
  <c r="AE1893" i="3"/>
  <c r="T1920" i="3"/>
  <c r="T1919" i="3"/>
  <c r="T1931" i="3"/>
  <c r="T1932" i="3"/>
  <c r="T2350" i="3"/>
  <c r="T2351" i="3"/>
  <c r="AE2338" i="3"/>
  <c r="AE2317" i="3"/>
  <c r="AE2282" i="3"/>
  <c r="AE2229" i="3"/>
  <c r="AE2206" i="3"/>
  <c r="AE2188" i="3"/>
  <c r="AE2166" i="3"/>
  <c r="AE2148" i="3"/>
  <c r="AE2124" i="3"/>
  <c r="AE2108" i="3"/>
  <c r="AE2085" i="3"/>
  <c r="AE2063" i="3"/>
  <c r="AE2039" i="3"/>
  <c r="AE2020" i="3"/>
  <c r="AE1996" i="3"/>
  <c r="AE1978" i="3"/>
  <c r="AE1949" i="3"/>
  <c r="AE1930" i="3"/>
  <c r="AE1881" i="3"/>
  <c r="AE1845" i="3"/>
  <c r="AE1816" i="3"/>
  <c r="AE1715" i="3"/>
  <c r="AD2368" i="3"/>
  <c r="AD2332" i="3"/>
  <c r="T2334" i="3" s="1"/>
  <c r="AD2312" i="3"/>
  <c r="AD2296" i="3"/>
  <c r="AD2275" i="3"/>
  <c r="T2275" i="3" s="1"/>
  <c r="AD2214" i="3"/>
  <c r="AD2171" i="3"/>
  <c r="AD2131" i="3"/>
  <c r="AD2070" i="3"/>
  <c r="AD1982" i="3"/>
  <c r="T1984" i="3" s="1"/>
  <c r="AD1958" i="3"/>
  <c r="AD1890" i="3"/>
  <c r="T1890" i="3" s="1"/>
  <c r="AD1774" i="3"/>
  <c r="AD1746" i="3"/>
  <c r="AD1682" i="3"/>
  <c r="AD1602" i="3"/>
  <c r="AD1562" i="3"/>
  <c r="AD1518" i="3"/>
  <c r="AD1464" i="3"/>
  <c r="T1337" i="3"/>
  <c r="T1338" i="3"/>
  <c r="AE1378" i="3"/>
  <c r="AD1378" i="3"/>
  <c r="AE1469" i="3"/>
  <c r="AD1469" i="3"/>
  <c r="AE1589" i="3"/>
  <c r="AD1589" i="3"/>
  <c r="T1631" i="3"/>
  <c r="T1630" i="3"/>
  <c r="AE1796" i="3"/>
  <c r="AD1796" i="3"/>
  <c r="T1797" i="3" s="1"/>
  <c r="AE1809" i="3"/>
  <c r="AD1809" i="3"/>
  <c r="AD1920" i="3"/>
  <c r="AE1920" i="3"/>
  <c r="AD2076" i="3"/>
  <c r="AE2076" i="3"/>
  <c r="AD2091" i="3"/>
  <c r="AE2091" i="3"/>
  <c r="AD2160" i="3"/>
  <c r="AE2160" i="3"/>
  <c r="AD2174" i="3"/>
  <c r="AE2174" i="3"/>
  <c r="AD2186" i="3"/>
  <c r="AE2186" i="3"/>
  <c r="AD2230" i="3"/>
  <c r="T2232" i="3" s="1"/>
  <c r="AE2230" i="3"/>
  <c r="AD2269" i="3"/>
  <c r="AE2269" i="3"/>
  <c r="AD2283" i="3"/>
  <c r="AE2283" i="3"/>
  <c r="AE2353" i="3"/>
  <c r="AE2316" i="3"/>
  <c r="AE2281" i="3"/>
  <c r="AE2245" i="3"/>
  <c r="AE2228" i="3"/>
  <c r="AE2205" i="3"/>
  <c r="AE2187" i="3"/>
  <c r="AE2146" i="3"/>
  <c r="AE2123" i="3"/>
  <c r="AE2107" i="3"/>
  <c r="AE2083" i="3"/>
  <c r="AE2062" i="3"/>
  <c r="AE1977" i="3"/>
  <c r="AE1948" i="3"/>
  <c r="AE1929" i="3"/>
  <c r="AE1899" i="3"/>
  <c r="AE1880" i="3"/>
  <c r="AE1843" i="3"/>
  <c r="AE1815" i="3"/>
  <c r="AE1692" i="3"/>
  <c r="AD2366" i="3"/>
  <c r="T2366" i="3" s="1"/>
  <c r="AD2294" i="3"/>
  <c r="AD2252" i="3"/>
  <c r="T2252" i="3" s="1"/>
  <c r="AD2169" i="3"/>
  <c r="AD2047" i="3"/>
  <c r="AD1889" i="3"/>
  <c r="AD1808" i="3"/>
  <c r="AD1709" i="3"/>
  <c r="AD1648" i="3"/>
  <c r="AD1463" i="3"/>
  <c r="T1463" i="3" s="1"/>
  <c r="AE1551" i="3"/>
  <c r="AD1551" i="3"/>
  <c r="AE1606" i="3"/>
  <c r="AD1606" i="3"/>
  <c r="AE1703" i="3"/>
  <c r="AD1703" i="3"/>
  <c r="T1757" i="3"/>
  <c r="T1758" i="3"/>
  <c r="AE1822" i="3"/>
  <c r="AD1822" i="3"/>
  <c r="AD1847" i="3"/>
  <c r="AE1847" i="3"/>
  <c r="AD1871" i="3"/>
  <c r="AE1871" i="3"/>
  <c r="AE1933" i="3"/>
  <c r="AD1933" i="3"/>
  <c r="T1936" i="3" s="1"/>
  <c r="T2187" i="3"/>
  <c r="T2188" i="3"/>
  <c r="AE2352" i="3"/>
  <c r="AE2278" i="3"/>
  <c r="AE2244" i="3"/>
  <c r="AE2185" i="3"/>
  <c r="AE2144" i="3"/>
  <c r="AE2122" i="3"/>
  <c r="AE2037" i="3"/>
  <c r="AE2016" i="3"/>
  <c r="AE1974" i="3"/>
  <c r="AE1898" i="3"/>
  <c r="AE1842" i="3"/>
  <c r="AE1811" i="3"/>
  <c r="AD2346" i="3"/>
  <c r="AD2310" i="3"/>
  <c r="AD1956" i="3"/>
  <c r="AD1505" i="3"/>
  <c r="AE1327" i="3"/>
  <c r="AD1327" i="3"/>
  <c r="T1328" i="3" s="1"/>
  <c r="AE1366" i="3"/>
  <c r="AD1366" i="3"/>
  <c r="AE1432" i="3"/>
  <c r="AD1432" i="3"/>
  <c r="AE1471" i="3"/>
  <c r="AD1471" i="3"/>
  <c r="AE1512" i="3"/>
  <c r="AD1512" i="3"/>
  <c r="AE1539" i="3"/>
  <c r="AD1539" i="3"/>
  <c r="T1540" i="3" s="1"/>
  <c r="T1566" i="3"/>
  <c r="T1567" i="3"/>
  <c r="AE1607" i="3"/>
  <c r="AD1607" i="3"/>
  <c r="AE1658" i="3"/>
  <c r="AD1658" i="3"/>
  <c r="AE1705" i="3"/>
  <c r="AD1705" i="3"/>
  <c r="T1824" i="3"/>
  <c r="T1823" i="3"/>
  <c r="AD1909" i="3"/>
  <c r="AE1909" i="3"/>
  <c r="AD1972" i="3"/>
  <c r="AE1972" i="3"/>
  <c r="AE2367" i="3"/>
  <c r="AE2350" i="3"/>
  <c r="AE2314" i="3"/>
  <c r="AE2295" i="3"/>
  <c r="AE2259" i="3"/>
  <c r="AE2242" i="3"/>
  <c r="AE2221" i="3"/>
  <c r="AE2182" i="3"/>
  <c r="AE2163" i="3"/>
  <c r="AE2100" i="3"/>
  <c r="AE1946" i="3"/>
  <c r="AE1922" i="3"/>
  <c r="AE1897" i="3"/>
  <c r="AE1872" i="3"/>
  <c r="AE1841" i="3"/>
  <c r="AE1807" i="3"/>
  <c r="AE1780" i="3"/>
  <c r="AD2361" i="3"/>
  <c r="AD2325" i="3"/>
  <c r="AD2250" i="3"/>
  <c r="AD2167" i="3"/>
  <c r="T2169" i="3" s="1"/>
  <c r="AD2145" i="3"/>
  <c r="AD2128" i="3"/>
  <c r="AD1997" i="3"/>
  <c r="AD1954" i="3"/>
  <c r="AD1861" i="3"/>
  <c r="AD1598" i="3"/>
  <c r="AD1399" i="3"/>
  <c r="AD1341" i="3"/>
  <c r="T1341" i="3" s="1"/>
  <c r="AE1447" i="3"/>
  <c r="AD1447" i="3"/>
  <c r="T1448" i="3" s="1"/>
  <c r="AE1459" i="3"/>
  <c r="AD1459" i="3"/>
  <c r="AE1659" i="3"/>
  <c r="AD1659" i="3"/>
  <c r="T1660" i="3" s="1"/>
  <c r="AE1726" i="3"/>
  <c r="AD1726" i="3"/>
  <c r="AD1787" i="3"/>
  <c r="T1788" i="3" s="1"/>
  <c r="AE1787" i="3"/>
  <c r="AE1873" i="3"/>
  <c r="AD1873" i="3"/>
  <c r="T1873" i="3" s="1"/>
  <c r="AE1923" i="3"/>
  <c r="AD1923" i="3"/>
  <c r="T1923" i="3" s="1"/>
  <c r="T2149" i="3"/>
  <c r="AE2331" i="3"/>
  <c r="AE2257" i="3"/>
  <c r="AE2220" i="3"/>
  <c r="AE2162" i="3"/>
  <c r="AE2138" i="3"/>
  <c r="AE2098" i="3"/>
  <c r="AE2079" i="3"/>
  <c r="AE2054" i="3"/>
  <c r="AE1991" i="3"/>
  <c r="AE1896" i="3"/>
  <c r="AE1870" i="3"/>
  <c r="AE1803" i="3"/>
  <c r="AE1778" i="3"/>
  <c r="AD2227" i="3"/>
  <c r="AD2105" i="3"/>
  <c r="AD2061" i="3"/>
  <c r="AD1973" i="3"/>
  <c r="AD1905" i="3"/>
  <c r="AD1853" i="3"/>
  <c r="AD1827" i="3"/>
  <c r="AD1670" i="3"/>
  <c r="AD1636" i="3"/>
  <c r="T1636" i="3" s="1"/>
  <c r="AD1446" i="3"/>
  <c r="AD1339" i="3"/>
  <c r="T1339" i="3" s="1"/>
  <c r="AE2364" i="3"/>
  <c r="T2121" i="3"/>
  <c r="T2123" i="3"/>
  <c r="T2025" i="3"/>
  <c r="T2026" i="3"/>
  <c r="T2013" i="3"/>
  <c r="T2014" i="3"/>
  <c r="T1965" i="3"/>
  <c r="T1966" i="3"/>
  <c r="T1869" i="3"/>
  <c r="T1870" i="3"/>
  <c r="T1785" i="3"/>
  <c r="T1786" i="3"/>
  <c r="T1749" i="3"/>
  <c r="T1750" i="3"/>
  <c r="T1725" i="3"/>
  <c r="T1726" i="3"/>
  <c r="T1533" i="3"/>
  <c r="T1534" i="3"/>
  <c r="T1509" i="3"/>
  <c r="T1510" i="3"/>
  <c r="T1185" i="3"/>
  <c r="T1186" i="3"/>
  <c r="T1173" i="3"/>
  <c r="T1174" i="3"/>
  <c r="T1089" i="3"/>
  <c r="T1090" i="3"/>
  <c r="T1077" i="3"/>
  <c r="T1079" i="3"/>
  <c r="T1078" i="3"/>
  <c r="T1029" i="3"/>
  <c r="T1030" i="3"/>
  <c r="T957" i="3"/>
  <c r="T958" i="3"/>
  <c r="T945" i="3"/>
  <c r="T946" i="3"/>
  <c r="T921" i="3"/>
  <c r="T922" i="3"/>
  <c r="T909" i="3"/>
  <c r="T910" i="3"/>
  <c r="T873" i="3"/>
  <c r="T874" i="3"/>
  <c r="T861" i="3"/>
  <c r="T862" i="3"/>
  <c r="T837" i="3"/>
  <c r="T838" i="3"/>
  <c r="T753" i="3"/>
  <c r="T755" i="3"/>
  <c r="T754" i="3"/>
  <c r="T717" i="3"/>
  <c r="T718" i="3"/>
  <c r="T669" i="3"/>
  <c r="T670" i="3"/>
  <c r="T657" i="3"/>
  <c r="T658" i="3"/>
  <c r="T621" i="3"/>
  <c r="T622" i="3"/>
  <c r="T585" i="3"/>
  <c r="T586" i="3"/>
  <c r="T2265" i="3"/>
  <c r="T1857" i="3"/>
  <c r="T1810" i="3"/>
  <c r="T1521" i="3"/>
  <c r="T1292" i="3"/>
  <c r="T692" i="3"/>
  <c r="T1689" i="3"/>
  <c r="T1450" i="3"/>
  <c r="T1370" i="3"/>
  <c r="T1261" i="3"/>
  <c r="T1118" i="3"/>
  <c r="T985" i="3"/>
  <c r="T981" i="3"/>
  <c r="T1430" i="3"/>
  <c r="T1929" i="3"/>
  <c r="T1928" i="3"/>
  <c r="T1568" i="3"/>
  <c r="T1569" i="3"/>
  <c r="T1881" i="3"/>
  <c r="T1879" i="3"/>
  <c r="T1880" i="3"/>
  <c r="T1699" i="3"/>
  <c r="T1700" i="3"/>
  <c r="T1701" i="3"/>
  <c r="T1531" i="3"/>
  <c r="T1532" i="3"/>
  <c r="T1268" i="3"/>
  <c r="T1111" i="3"/>
  <c r="T1112" i="3"/>
  <c r="T1831" i="3"/>
  <c r="T1832" i="3"/>
  <c r="T1833" i="3"/>
  <c r="T1830" i="3"/>
  <c r="T1812" i="3"/>
  <c r="T1811" i="3"/>
  <c r="T1806" i="3"/>
  <c r="T1807" i="3"/>
  <c r="T1686" i="3"/>
  <c r="T1687" i="3"/>
  <c r="T1614" i="3"/>
  <c r="T1615" i="3"/>
  <c r="T1590" i="3"/>
  <c r="T1591" i="3"/>
  <c r="T1578" i="3"/>
  <c r="T1579" i="3"/>
  <c r="T1482" i="3"/>
  <c r="T1483" i="3"/>
  <c r="T1303" i="3"/>
  <c r="T1302" i="3"/>
  <c r="T1219" i="3"/>
  <c r="T1218" i="3"/>
  <c r="T1195" i="3"/>
  <c r="T1194" i="3"/>
  <c r="T1051" i="3"/>
  <c r="T1050" i="3"/>
  <c r="T787" i="3"/>
  <c r="T786" i="3"/>
  <c r="T763" i="3"/>
  <c r="T762" i="3"/>
  <c r="T643" i="3"/>
  <c r="T642" i="3"/>
  <c r="T631" i="3"/>
  <c r="T630" i="3"/>
  <c r="T607" i="3"/>
  <c r="T606" i="3"/>
  <c r="T608" i="3"/>
  <c r="T2239" i="3"/>
  <c r="T2216" i="3"/>
  <c r="T2063" i="3"/>
  <c r="T1844" i="3"/>
  <c r="T1688" i="3"/>
  <c r="T2255" i="3"/>
  <c r="T1843" i="3"/>
  <c r="T1795" i="3"/>
  <c r="T1736" i="3"/>
  <c r="T1256" i="3"/>
  <c r="T2349" i="3"/>
  <c r="T2231" i="3"/>
  <c r="T2060" i="3"/>
  <c r="T1670" i="3"/>
  <c r="T1497" i="3"/>
  <c r="T1425" i="3"/>
  <c r="T1676" i="3"/>
  <c r="T1677" i="3"/>
  <c r="T1221" i="3"/>
  <c r="T1220" i="3"/>
  <c r="T789" i="3"/>
  <c r="T788" i="3"/>
  <c r="T633" i="3"/>
  <c r="T632" i="3"/>
  <c r="T1930" i="3"/>
  <c r="T1964" i="3"/>
  <c r="T1963" i="3"/>
  <c r="T1627" i="3"/>
  <c r="T1628" i="3"/>
  <c r="T1183" i="3"/>
  <c r="T1184" i="3"/>
  <c r="T1099" i="3"/>
  <c r="T1100" i="3"/>
  <c r="T907" i="3"/>
  <c r="T908" i="3"/>
  <c r="T1855" i="3"/>
  <c r="T1854" i="3"/>
  <c r="T1818" i="3"/>
  <c r="T1819" i="3"/>
  <c r="T1674" i="3"/>
  <c r="T1675" i="3"/>
  <c r="T1650" i="3"/>
  <c r="T1653" i="3"/>
  <c r="T1494" i="3"/>
  <c r="T1495" i="3"/>
  <c r="T1459" i="3"/>
  <c r="T1458" i="3"/>
  <c r="T1231" i="3"/>
  <c r="T1230" i="3"/>
  <c r="T1039" i="3"/>
  <c r="T1038" i="3"/>
  <c r="T1014" i="3"/>
  <c r="T1015" i="3"/>
  <c r="T897" i="3"/>
  <c r="T895" i="3"/>
  <c r="T898" i="3"/>
  <c r="T896" i="3"/>
  <c r="T847" i="3"/>
  <c r="T846" i="3"/>
  <c r="T823" i="3"/>
  <c r="T822" i="3"/>
  <c r="T799" i="3"/>
  <c r="T798" i="3"/>
  <c r="T775" i="3"/>
  <c r="T774" i="3"/>
  <c r="T751" i="3"/>
  <c r="T752" i="3"/>
  <c r="T750" i="3"/>
  <c r="T727" i="3"/>
  <c r="T726" i="3"/>
  <c r="T679" i="3"/>
  <c r="T678" i="3"/>
  <c r="T2344" i="3"/>
  <c r="T2345" i="3"/>
  <c r="T2346" i="3"/>
  <c r="T2199" i="3"/>
  <c r="T2200" i="3"/>
  <c r="T2151" i="3"/>
  <c r="T2152" i="3"/>
  <c r="T1756" i="3"/>
  <c r="T1755" i="3"/>
  <c r="T1744" i="3"/>
  <c r="T1743" i="3"/>
  <c r="T1720" i="3"/>
  <c r="T1719" i="3"/>
  <c r="T1696" i="3"/>
  <c r="T1695" i="3"/>
  <c r="T1684" i="3"/>
  <c r="T1683" i="3"/>
  <c r="T1685" i="3"/>
  <c r="T1672" i="3"/>
  <c r="T1673" i="3"/>
  <c r="T1613" i="3"/>
  <c r="T1600" i="3"/>
  <c r="T1599" i="3"/>
  <c r="T1564" i="3"/>
  <c r="T1563" i="3"/>
  <c r="T1528" i="3"/>
  <c r="T1527" i="3"/>
  <c r="T1516" i="3"/>
  <c r="T1515" i="3"/>
  <c r="T1479" i="3"/>
  <c r="T1481" i="3"/>
  <c r="T1419" i="3"/>
  <c r="T1420" i="3"/>
  <c r="T1397" i="3"/>
  <c r="T1403" i="3"/>
  <c r="T1395" i="3"/>
  <c r="T1398" i="3"/>
  <c r="T1396" i="3"/>
  <c r="T1399" i="3"/>
  <c r="T1383" i="3"/>
  <c r="T1384" i="3"/>
  <c r="T1372" i="3"/>
  <c r="T1371" i="3"/>
  <c r="T1360" i="3"/>
  <c r="T1359" i="3"/>
  <c r="T1348" i="3"/>
  <c r="T1347" i="3"/>
  <c r="T1324" i="3"/>
  <c r="T1288" i="3"/>
  <c r="T1287" i="3"/>
  <c r="T1276" i="3"/>
  <c r="T1275" i="3"/>
  <c r="T1264" i="3"/>
  <c r="T1263" i="3"/>
  <c r="T1252" i="3"/>
  <c r="T1251" i="3"/>
  <c r="T1180" i="3"/>
  <c r="T1179" i="3"/>
  <c r="T1120" i="3"/>
  <c r="T1119" i="3"/>
  <c r="T1108" i="3"/>
  <c r="T1107" i="3"/>
  <c r="T1096" i="3"/>
  <c r="T1095" i="3"/>
  <c r="T1024" i="3"/>
  <c r="T1023" i="3"/>
  <c r="T1000" i="3"/>
  <c r="T999" i="3"/>
  <c r="T976" i="3"/>
  <c r="T975" i="3"/>
  <c r="T964" i="3"/>
  <c r="T963" i="3"/>
  <c r="T916" i="3"/>
  <c r="T915" i="3"/>
  <c r="T880" i="3"/>
  <c r="T879" i="3"/>
  <c r="T868" i="3"/>
  <c r="T867" i="3"/>
  <c r="T856" i="3"/>
  <c r="T855" i="3"/>
  <c r="T832" i="3"/>
  <c r="T831" i="3"/>
  <c r="T834" i="3"/>
  <c r="T833" i="3"/>
  <c r="T712" i="3"/>
  <c r="T664" i="3"/>
  <c r="T651" i="3"/>
  <c r="T652" i="3"/>
  <c r="T629" i="3"/>
  <c r="T615" i="3"/>
  <c r="T616" i="3"/>
  <c r="T591" i="3"/>
  <c r="T592" i="3"/>
  <c r="T2348" i="3"/>
  <c r="T2312" i="3"/>
  <c r="T1947" i="3"/>
  <c r="T1916" i="3"/>
  <c r="T1544" i="3"/>
  <c r="T1423" i="3"/>
  <c r="T1335" i="3"/>
  <c r="T1210" i="3"/>
  <c r="T900" i="3"/>
  <c r="T1951" i="3"/>
  <c r="T1952" i="3"/>
  <c r="T1738" i="3"/>
  <c r="T1737" i="3"/>
  <c r="T1507" i="3"/>
  <c r="T1508" i="3"/>
  <c r="T1436" i="3"/>
  <c r="T1435" i="3"/>
  <c r="T1088" i="3"/>
  <c r="T955" i="3"/>
  <c r="T956" i="3"/>
  <c r="T872" i="3"/>
  <c r="T871" i="3"/>
  <c r="T595" i="3"/>
  <c r="T597" i="3"/>
  <c r="T598" i="3"/>
  <c r="T599" i="3"/>
  <c r="T596" i="3"/>
  <c r="T2372" i="3"/>
  <c r="T1142" i="3"/>
  <c r="T1143" i="3"/>
  <c r="T1131" i="3"/>
  <c r="T1130" i="3"/>
  <c r="T1084" i="3"/>
  <c r="T1082" i="3"/>
  <c r="T1083" i="3"/>
  <c r="T1046" i="3"/>
  <c r="T1010" i="3"/>
  <c r="T1011" i="3"/>
  <c r="T938" i="3"/>
  <c r="T939" i="3"/>
  <c r="T902" i="3"/>
  <c r="T903" i="3"/>
  <c r="T818" i="3"/>
  <c r="T819" i="3"/>
  <c r="T794" i="3"/>
  <c r="T795" i="3"/>
  <c r="T770" i="3"/>
  <c r="T771" i="3"/>
  <c r="T758" i="3"/>
  <c r="T759" i="3"/>
  <c r="T746" i="3"/>
  <c r="T747" i="3"/>
  <c r="T736" i="3"/>
  <c r="T734" i="3"/>
  <c r="T735" i="3"/>
  <c r="T699" i="3"/>
  <c r="T700" i="3"/>
  <c r="T703" i="3"/>
  <c r="T705" i="3"/>
  <c r="T706" i="3"/>
  <c r="T698" i="3"/>
  <c r="T701" i="3"/>
  <c r="T707" i="3"/>
  <c r="T704" i="3"/>
  <c r="T702" i="3"/>
  <c r="T687" i="3"/>
  <c r="T686" i="3"/>
  <c r="T639" i="3"/>
  <c r="T638" i="3"/>
  <c r="T603" i="3"/>
  <c r="T602" i="3"/>
  <c r="T2363" i="3"/>
  <c r="T2290" i="3"/>
  <c r="T2229" i="3"/>
  <c r="T2206" i="3"/>
  <c r="T2091" i="3"/>
  <c r="T1946" i="3"/>
  <c r="T1915" i="3"/>
  <c r="T1731" i="3"/>
  <c r="T1334" i="3"/>
  <c r="T1208" i="3"/>
  <c r="T1063" i="3"/>
  <c r="T899" i="3"/>
  <c r="T1487" i="3"/>
  <c r="T1488" i="3"/>
  <c r="T1486" i="3"/>
  <c r="T1484" i="3"/>
  <c r="T1485" i="3"/>
  <c r="T1489" i="3"/>
  <c r="T1233" i="3"/>
  <c r="T1232" i="3"/>
  <c r="T1017" i="3"/>
  <c r="T1016" i="3"/>
  <c r="T885" i="3"/>
  <c r="T884" i="3"/>
  <c r="T777" i="3"/>
  <c r="T776" i="3"/>
  <c r="T778" i="3"/>
  <c r="T741" i="3"/>
  <c r="T740" i="3"/>
  <c r="T645" i="3"/>
  <c r="T644" i="3"/>
  <c r="T1993" i="3"/>
  <c r="T1994" i="3"/>
  <c r="T1921" i="3"/>
  <c r="T1922" i="3"/>
  <c r="T1814" i="3"/>
  <c r="T1610" i="3"/>
  <c r="T1609" i="3"/>
  <c r="T1466" i="3"/>
  <c r="T1465" i="3"/>
  <c r="T1273" i="3"/>
  <c r="T1274" i="3"/>
  <c r="T1105" i="3"/>
  <c r="T1106" i="3"/>
  <c r="T998" i="3"/>
  <c r="T997" i="3"/>
  <c r="T866" i="3"/>
  <c r="T865" i="3"/>
  <c r="T842" i="3"/>
  <c r="T841" i="3"/>
  <c r="T843" i="3"/>
  <c r="T650" i="3"/>
  <c r="T649" i="3"/>
  <c r="T626" i="3"/>
  <c r="T625" i="3"/>
  <c r="T614" i="3"/>
  <c r="T613" i="3"/>
  <c r="T2343" i="3"/>
  <c r="T2163" i="3"/>
  <c r="T2132" i="3"/>
  <c r="T2047" i="3"/>
  <c r="T1904" i="3"/>
  <c r="T1827" i="3"/>
  <c r="T1777" i="3"/>
  <c r="T1604" i="3"/>
  <c r="T1402" i="3"/>
  <c r="T1207" i="3"/>
  <c r="T894" i="3"/>
  <c r="T2097" i="3"/>
  <c r="T2096" i="3"/>
  <c r="T2037" i="3"/>
  <c r="T2036" i="3"/>
  <c r="T2038" i="3"/>
  <c r="T2039" i="3"/>
  <c r="T1580" i="3"/>
  <c r="T1581" i="3"/>
  <c r="T1197" i="3"/>
  <c r="T1196" i="3"/>
  <c r="T1137" i="3"/>
  <c r="T1136" i="3"/>
  <c r="T825" i="3"/>
  <c r="T826" i="3"/>
  <c r="T827" i="3"/>
  <c r="T824" i="3"/>
  <c r="T765" i="3"/>
  <c r="T764" i="3"/>
  <c r="T2155" i="3"/>
  <c r="T2156" i="3"/>
  <c r="T1747" i="3"/>
  <c r="T1748" i="3"/>
  <c r="T1316" i="3"/>
  <c r="T920" i="3"/>
  <c r="T919" i="3"/>
  <c r="T716" i="3"/>
  <c r="T655" i="3"/>
  <c r="T656" i="3"/>
  <c r="T619" i="3"/>
  <c r="T620" i="3"/>
  <c r="T2061" i="3"/>
  <c r="T1937" i="3"/>
  <c r="T1935" i="3"/>
  <c r="T1934" i="3"/>
  <c r="T1741" i="3"/>
  <c r="T1742" i="3"/>
  <c r="T1681" i="3"/>
  <c r="T1682" i="3"/>
  <c r="T1417" i="3"/>
  <c r="T1418" i="3"/>
  <c r="T1393" i="3"/>
  <c r="T1394" i="3"/>
  <c r="T1357" i="3"/>
  <c r="T1358" i="3"/>
  <c r="T1321" i="3"/>
  <c r="T1322" i="3"/>
  <c r="T1177" i="3"/>
  <c r="T1178" i="3"/>
  <c r="T1093" i="3"/>
  <c r="T1094" i="3"/>
  <c r="T1069" i="3"/>
  <c r="T1070" i="3"/>
  <c r="T974" i="3"/>
  <c r="T973" i="3"/>
  <c r="T950" i="3"/>
  <c r="T949" i="3"/>
  <c r="T878" i="3"/>
  <c r="T877" i="3"/>
  <c r="T2364" i="3"/>
  <c r="T2365" i="3"/>
  <c r="T2352" i="3"/>
  <c r="T2353" i="3"/>
  <c r="T2268" i="3"/>
  <c r="T2269" i="3"/>
  <c r="T2256" i="3"/>
  <c r="T2257" i="3"/>
  <c r="T2112" i="3"/>
  <c r="T2113" i="3"/>
  <c r="T2114" i="3"/>
  <c r="T2100" i="3"/>
  <c r="T2101" i="3"/>
  <c r="T2052" i="3"/>
  <c r="T2053" i="3"/>
  <c r="T1980" i="3"/>
  <c r="T1981" i="3"/>
  <c r="T1908" i="3"/>
  <c r="T1909" i="3"/>
  <c r="T1884" i="3"/>
  <c r="T1885" i="3"/>
  <c r="T1860" i="3"/>
  <c r="T1864" i="3"/>
  <c r="T1862" i="3"/>
  <c r="T1863" i="3"/>
  <c r="T1861" i="3"/>
  <c r="T1848" i="3"/>
  <c r="T1849" i="3"/>
  <c r="T1836" i="3"/>
  <c r="T1837" i="3"/>
  <c r="T1800" i="3"/>
  <c r="T1801" i="3"/>
  <c r="T1716" i="3"/>
  <c r="T1718" i="3"/>
  <c r="T1717" i="3"/>
  <c r="T1704" i="3"/>
  <c r="T1708" i="3"/>
  <c r="T1710" i="3"/>
  <c r="T1706" i="3"/>
  <c r="T1707" i="3"/>
  <c r="T1712" i="3"/>
  <c r="T1705" i="3"/>
  <c r="T1709" i="3"/>
  <c r="T2361" i="3"/>
  <c r="T1944" i="3"/>
  <c r="T1903" i="3"/>
  <c r="T1826" i="3"/>
  <c r="T1714" i="3"/>
  <c r="T1652" i="3"/>
  <c r="T1539" i="3"/>
  <c r="T1401" i="3"/>
  <c r="T1306" i="3"/>
  <c r="T812" i="3"/>
  <c r="T1461" i="3"/>
  <c r="T1460" i="3"/>
  <c r="T1462" i="3"/>
  <c r="T1161" i="3"/>
  <c r="T1160" i="3"/>
  <c r="T801" i="3"/>
  <c r="T800" i="3"/>
  <c r="T729" i="3"/>
  <c r="T728" i="3"/>
  <c r="T1783" i="3"/>
  <c r="T1784" i="3"/>
  <c r="T1723" i="3"/>
  <c r="T1724" i="3"/>
  <c r="T836" i="3"/>
  <c r="T835" i="3"/>
  <c r="T667" i="3"/>
  <c r="T668" i="3"/>
  <c r="T1982" i="3"/>
  <c r="T1983" i="3"/>
  <c r="T1910" i="3"/>
  <c r="T1911" i="3"/>
  <c r="T1790" i="3"/>
  <c r="T1765" i="3"/>
  <c r="T1766" i="3"/>
  <c r="T1729" i="3"/>
  <c r="T1730" i="3"/>
  <c r="T1381" i="3"/>
  <c r="T1382" i="3"/>
  <c r="T1345" i="3"/>
  <c r="T1346" i="3"/>
  <c r="T2302" i="3"/>
  <c r="T2267" i="3"/>
  <c r="T2120" i="3"/>
  <c r="T1933" i="3"/>
  <c r="T1859" i="3"/>
  <c r="T1713" i="3"/>
  <c r="T1651" i="3"/>
  <c r="T1523" i="3"/>
  <c r="T1400" i="3"/>
  <c r="T1172" i="3"/>
  <c r="T2109" i="3"/>
  <c r="T2108" i="3"/>
  <c r="T1616" i="3"/>
  <c r="T1617" i="3"/>
  <c r="T1053" i="3"/>
  <c r="T1052" i="3"/>
  <c r="T933" i="3"/>
  <c r="T932" i="3"/>
  <c r="T681" i="3"/>
  <c r="T680" i="3"/>
  <c r="T2180" i="3"/>
  <c r="T2182" i="3"/>
  <c r="T2183" i="3"/>
  <c r="T2184" i="3"/>
  <c r="T2185" i="3"/>
  <c r="T2186" i="3"/>
  <c r="T2179" i="3"/>
  <c r="T1992" i="3"/>
  <c r="T2138" i="3"/>
  <c r="T2139" i="3"/>
  <c r="T2054" i="3"/>
  <c r="T2055" i="3"/>
  <c r="T1851" i="3"/>
  <c r="T1850" i="3"/>
  <c r="T1634" i="3"/>
  <c r="T1574" i="3"/>
  <c r="T1575" i="3"/>
  <c r="T1552" i="3"/>
  <c r="T1551" i="3"/>
  <c r="T1550" i="3"/>
  <c r="T2110" i="3"/>
  <c r="T2111" i="3"/>
  <c r="T2098" i="3"/>
  <c r="T2099" i="3"/>
  <c r="T2087" i="3"/>
  <c r="T2051" i="3"/>
  <c r="T2050" i="3"/>
  <c r="T1979" i="3"/>
  <c r="T1978" i="3"/>
  <c r="T1907" i="3"/>
  <c r="T1906" i="3"/>
  <c r="T1882" i="3"/>
  <c r="T1883" i="3"/>
  <c r="T1846" i="3"/>
  <c r="T1847" i="3"/>
  <c r="T1834" i="3"/>
  <c r="T1835" i="3"/>
  <c r="T1798" i="3"/>
  <c r="T1799" i="3"/>
  <c r="T1702" i="3"/>
  <c r="T1703" i="3"/>
  <c r="T1680" i="3"/>
  <c r="T1679" i="3"/>
  <c r="T1678" i="3"/>
  <c r="T1618" i="3"/>
  <c r="T1619" i="3"/>
  <c r="T1295" i="3"/>
  <c r="T1294" i="3"/>
  <c r="T1247" i="3"/>
  <c r="T1246" i="3"/>
  <c r="T1248" i="3"/>
  <c r="T1235" i="3"/>
  <c r="T1234" i="3"/>
  <c r="T1223" i="3"/>
  <c r="T1222" i="3"/>
  <c r="T1199" i="3"/>
  <c r="T1198" i="3"/>
  <c r="T1163" i="3"/>
  <c r="T1162" i="3"/>
  <c r="T1151" i="3"/>
  <c r="T1150" i="3"/>
  <c r="T1139" i="3"/>
  <c r="T1138" i="3"/>
  <c r="T1127" i="3"/>
  <c r="T1126" i="3"/>
  <c r="T1055" i="3"/>
  <c r="T1054" i="3"/>
  <c r="T1043" i="3"/>
  <c r="T1042" i="3"/>
  <c r="T996" i="3"/>
  <c r="T995" i="3"/>
  <c r="T935" i="3"/>
  <c r="T934" i="3"/>
  <c r="T815" i="3"/>
  <c r="T814" i="3"/>
  <c r="T791" i="3"/>
  <c r="T790" i="3"/>
  <c r="T766" i="3"/>
  <c r="T2359" i="3"/>
  <c r="T1711" i="3"/>
  <c r="T1585" i="3"/>
  <c r="T1457" i="3"/>
  <c r="T1697" i="3"/>
  <c r="T1589" i="3"/>
  <c r="T1525" i="3"/>
  <c r="T1380" i="3"/>
  <c r="T1308" i="3"/>
  <c r="T1001" i="3"/>
  <c r="T816" i="3"/>
  <c r="T1433" i="3"/>
  <c r="T1434" i="3"/>
  <c r="T1409" i="3"/>
  <c r="T1410" i="3"/>
  <c r="T1277" i="3"/>
  <c r="T1278" i="3"/>
  <c r="T1265" i="3"/>
  <c r="T1266" i="3"/>
  <c r="T1121" i="3"/>
  <c r="T1122" i="3"/>
  <c r="T1085" i="3"/>
  <c r="T1086" i="3"/>
  <c r="T989" i="3"/>
  <c r="T977" i="3"/>
  <c r="T978" i="3"/>
  <c r="T954" i="3"/>
  <c r="T665" i="3"/>
  <c r="T666" i="3"/>
  <c r="T653" i="3"/>
  <c r="T654" i="3"/>
  <c r="T2310" i="3"/>
  <c r="T2298" i="3"/>
  <c r="T2274" i="3"/>
  <c r="T2238" i="3"/>
  <c r="T2214" i="3"/>
  <c r="T2029" i="3"/>
  <c r="T1986" i="3"/>
  <c r="T1517" i="3"/>
  <c r="T1422" i="3"/>
  <c r="T1362" i="3"/>
  <c r="T1332" i="3"/>
  <c r="T1202" i="3"/>
  <c r="T1153" i="3"/>
  <c r="T1445" i="3"/>
  <c r="T1446" i="3"/>
  <c r="T1313" i="3"/>
  <c r="T1312" i="3"/>
  <c r="T1301" i="3"/>
  <c r="T1300" i="3"/>
  <c r="T1229" i="3"/>
  <c r="T1228" i="3"/>
  <c r="T1217" i="3"/>
  <c r="T1216" i="3"/>
  <c r="T1205" i="3"/>
  <c r="T1204" i="3"/>
  <c r="T1145" i="3"/>
  <c r="T1144" i="3"/>
  <c r="T1012" i="3"/>
  <c r="T1013" i="3"/>
  <c r="T940" i="3"/>
  <c r="T941" i="3"/>
  <c r="T892" i="3"/>
  <c r="T893" i="3"/>
  <c r="T784" i="3"/>
  <c r="T785" i="3"/>
  <c r="T772" i="3"/>
  <c r="T773" i="3"/>
  <c r="T748" i="3"/>
  <c r="T749" i="3"/>
  <c r="T725" i="3"/>
  <c r="T688" i="3"/>
  <c r="T691" i="3"/>
  <c r="T604" i="3"/>
  <c r="T605" i="3"/>
  <c r="T2028" i="3"/>
  <c r="T1912" i="3"/>
  <c r="T1577" i="3"/>
  <c r="T1493" i="3"/>
  <c r="T1444" i="3"/>
  <c r="T761" i="3"/>
  <c r="T641" i="3"/>
  <c r="T1236" i="3"/>
  <c r="T1782" i="3"/>
  <c r="T1763" i="3"/>
  <c r="T1745" i="3"/>
  <c r="T1721" i="3"/>
  <c r="T1573" i="3"/>
  <c r="T1529" i="3"/>
  <c r="T617" i="3"/>
  <c r="T1296" i="3"/>
  <c r="T1297" i="3"/>
  <c r="T937" i="3"/>
  <c r="T936" i="3"/>
  <c r="T890" i="3"/>
  <c r="T889" i="3"/>
  <c r="T891" i="3"/>
  <c r="T888" i="3"/>
  <c r="T830" i="3"/>
  <c r="T828" i="3"/>
  <c r="T829" i="3"/>
  <c r="T792" i="3"/>
  <c r="T793" i="3"/>
  <c r="T768" i="3"/>
  <c r="T769" i="3"/>
  <c r="T757" i="3"/>
  <c r="T710" i="3"/>
  <c r="T709" i="3"/>
  <c r="T708" i="3"/>
  <c r="T697" i="3"/>
  <c r="T696" i="3"/>
  <c r="T685" i="3"/>
  <c r="T684" i="3"/>
  <c r="T601" i="3"/>
  <c r="T600" i="3"/>
  <c r="T1817" i="3"/>
  <c r="T1314" i="3"/>
  <c r="T1272" i="3"/>
  <c r="T1128" i="3"/>
  <c r="T745" i="3"/>
  <c r="T1405" i="3"/>
  <c r="T1407" i="3"/>
  <c r="T1408" i="3"/>
  <c r="T1201" i="3"/>
  <c r="T1203" i="3"/>
  <c r="T1141" i="3"/>
  <c r="T1140" i="3"/>
  <c r="T1787" i="3"/>
  <c r="T1740" i="3"/>
  <c r="T1739" i="3"/>
  <c r="T1728" i="3"/>
  <c r="T1727" i="3"/>
  <c r="T1692" i="3"/>
  <c r="T1691" i="3"/>
  <c r="T1644" i="3"/>
  <c r="T1643" i="3"/>
  <c r="T1464" i="3"/>
  <c r="T1451" i="3"/>
  <c r="T1452" i="3"/>
  <c r="T1439" i="3"/>
  <c r="T1441" i="3"/>
  <c r="T1427" i="3"/>
  <c r="T1367" i="3"/>
  <c r="T1368" i="3"/>
  <c r="T1343" i="3"/>
  <c r="T1344" i="3"/>
  <c r="T1319" i="3"/>
  <c r="T1320" i="3"/>
  <c r="T1103" i="3"/>
  <c r="T1104" i="3"/>
  <c r="T1067" i="3"/>
  <c r="T1068" i="3"/>
  <c r="T1031" i="3"/>
  <c r="T1032" i="3"/>
  <c r="T983" i="3"/>
  <c r="T984" i="3"/>
  <c r="T923" i="3"/>
  <c r="T924" i="3"/>
  <c r="T925" i="3"/>
  <c r="T875" i="3"/>
  <c r="T876" i="3"/>
  <c r="T863" i="3"/>
  <c r="T864" i="3"/>
  <c r="T780" i="3"/>
  <c r="T779" i="3"/>
  <c r="T659" i="3"/>
  <c r="T660" i="3"/>
  <c r="T624" i="3"/>
  <c r="T623" i="3"/>
  <c r="T1950" i="3"/>
  <c r="T1878" i="3"/>
  <c r="T1549" i="3"/>
  <c r="T1526" i="3"/>
  <c r="T1176" i="3"/>
  <c r="T1074" i="3"/>
  <c r="T845" i="3"/>
  <c r="AE623" i="3"/>
  <c r="AE640" i="3"/>
  <c r="AE764" i="3"/>
  <c r="AE812" i="3"/>
  <c r="AE818" i="3"/>
  <c r="AE657" i="3"/>
  <c r="AE684" i="3"/>
  <c r="AE688" i="3"/>
  <c r="AE728" i="3"/>
  <c r="AE779" i="3"/>
  <c r="AE678" i="3"/>
  <c r="AE708" i="3"/>
  <c r="AE760" i="3"/>
  <c r="AE774" i="3"/>
  <c r="AE788" i="3"/>
  <c r="AE638" i="3"/>
  <c r="AE734" i="3"/>
  <c r="AE744" i="3"/>
  <c r="AE841" i="3"/>
  <c r="AE923" i="3"/>
  <c r="AE613" i="3"/>
  <c r="AE644" i="3"/>
  <c r="AE655" i="3"/>
  <c r="AE753" i="3"/>
  <c r="AE794" i="3"/>
  <c r="AE619" i="3"/>
  <c r="AE669" i="3"/>
  <c r="AE696" i="3"/>
  <c r="AE748" i="3"/>
  <c r="AE768" i="3"/>
  <c r="AE621" i="3"/>
  <c r="AE726" i="3"/>
  <c r="AE740" i="3"/>
  <c r="AE772" i="3"/>
  <c r="AE831" i="3"/>
  <c r="AE604" i="3"/>
  <c r="AE602" i="3"/>
  <c r="AE776" i="3"/>
  <c r="AE786" i="3"/>
  <c r="AE828" i="3"/>
  <c r="AE615" i="3"/>
  <c r="AE680" i="3"/>
  <c r="AE746" i="3"/>
  <c r="AE653" i="3"/>
  <c r="AE698" i="3"/>
  <c r="AE632" i="3"/>
  <c r="AE659" i="3"/>
  <c r="AE686" i="3"/>
  <c r="AE770" i="3"/>
  <c r="AE873" i="3"/>
  <c r="AE649" i="3"/>
  <c r="AE667" i="3"/>
  <c r="AE642" i="3"/>
  <c r="AE692" i="3"/>
  <c r="AE762" i="3"/>
  <c r="AE617" i="3"/>
  <c r="AE630" i="3"/>
  <c r="AE606" i="3"/>
  <c r="AE625" i="3"/>
  <c r="AE894" i="3"/>
  <c r="AE666" i="3"/>
  <c r="AE681" i="3"/>
  <c r="AE702" i="3"/>
  <c r="AE741" i="3"/>
  <c r="AE830" i="3"/>
  <c r="AE840" i="3"/>
  <c r="AE843" i="3"/>
  <c r="AE877" i="3"/>
  <c r="AE1001" i="3"/>
  <c r="AE607" i="3"/>
  <c r="R634" i="3"/>
  <c r="AD634" i="3" s="1"/>
  <c r="T634" i="3" s="1"/>
  <c r="AE650" i="3"/>
  <c r="AE668" i="3"/>
  <c r="AE704" i="3"/>
  <c r="AE710" i="3"/>
  <c r="AE846" i="3"/>
  <c r="AE936" i="3"/>
  <c r="AE975" i="3"/>
  <c r="R661" i="3"/>
  <c r="AD661" i="3" s="1"/>
  <c r="T661" i="3" s="1"/>
  <c r="AE672" i="3"/>
  <c r="AE674" i="3"/>
  <c r="AE712" i="3"/>
  <c r="AE714" i="3"/>
  <c r="R802" i="3"/>
  <c r="AD802" i="3" s="1"/>
  <c r="T802" i="3" s="1"/>
  <c r="AE844" i="3"/>
  <c r="R848" i="3"/>
  <c r="AD848" i="3" s="1"/>
  <c r="T851" i="3" s="1"/>
  <c r="R886" i="3"/>
  <c r="AD886" i="3" s="1"/>
  <c r="T886" i="3" s="1"/>
  <c r="AE909" i="3"/>
  <c r="AE643" i="3"/>
  <c r="AE652" i="3"/>
  <c r="AE689" i="3"/>
  <c r="AE716" i="3"/>
  <c r="AE720" i="3"/>
  <c r="AE722" i="3"/>
  <c r="R730" i="3"/>
  <c r="AD730" i="3" s="1"/>
  <c r="T730" i="3" s="1"/>
  <c r="AE755" i="3"/>
  <c r="AE789" i="3"/>
  <c r="AE791" i="3"/>
  <c r="AE838" i="3"/>
  <c r="AE867" i="3"/>
  <c r="AE907" i="3"/>
  <c r="AE1012" i="3"/>
  <c r="R742" i="3"/>
  <c r="AD742" i="3" s="1"/>
  <c r="T742" i="3" s="1"/>
  <c r="R781" i="3"/>
  <c r="AD781" i="3" s="1"/>
  <c r="T782" i="3" s="1"/>
  <c r="AE787" i="3"/>
  <c r="R796" i="3"/>
  <c r="AD796" i="3" s="1"/>
  <c r="T796" i="3" s="1"/>
  <c r="R804" i="3"/>
  <c r="AD804" i="3" s="1"/>
  <c r="T808" i="3" s="1"/>
  <c r="AE875" i="3"/>
  <c r="AE899" i="3"/>
  <c r="AE902" i="3"/>
  <c r="AE654" i="3"/>
  <c r="AE765" i="3"/>
  <c r="AE767" i="3"/>
  <c r="AE777" i="3"/>
  <c r="AE800" i="3"/>
  <c r="AE826" i="3"/>
  <c r="AE851" i="3"/>
  <c r="AE865" i="3"/>
  <c r="AE915" i="3"/>
  <c r="AE963" i="3"/>
  <c r="AE981" i="3"/>
  <c r="AE992" i="3"/>
  <c r="AE629" i="3"/>
  <c r="AE703" i="3"/>
  <c r="AE705" i="3"/>
  <c r="R713" i="3"/>
  <c r="AD713" i="3" s="1"/>
  <c r="T714" i="3" s="1"/>
  <c r="AE736" i="3"/>
  <c r="AE738" i="3"/>
  <c r="AE798" i="3"/>
  <c r="AE805" i="3"/>
  <c r="AE813" i="3"/>
  <c r="R926" i="3"/>
  <c r="AD926" i="3" s="1"/>
  <c r="T928" i="3" s="1"/>
  <c r="AE931" i="3"/>
  <c r="AE1016" i="3"/>
  <c r="AE693" i="3"/>
  <c r="AE631" i="3"/>
  <c r="R673" i="3"/>
  <c r="AD673" i="3" s="1"/>
  <c r="T675" i="3" s="1"/>
  <c r="AE707" i="3"/>
  <c r="AE811" i="3"/>
  <c r="R839" i="3"/>
  <c r="AD839" i="3" s="1"/>
  <c r="T840" i="3" s="1"/>
  <c r="AE1038" i="3"/>
  <c r="AE1050" i="3"/>
  <c r="AE717" i="3"/>
  <c r="AE750" i="3"/>
  <c r="AE792" i="3"/>
  <c r="AE803" i="3"/>
  <c r="AE822" i="3"/>
  <c r="AE829" i="3"/>
  <c r="AE842" i="3"/>
  <c r="AE861" i="3"/>
  <c r="AE879" i="3"/>
  <c r="AE932" i="3"/>
  <c r="AE940" i="3"/>
  <c r="AE983" i="3"/>
  <c r="AE999" i="3"/>
  <c r="R646" i="3"/>
  <c r="AD646" i="3" s="1"/>
  <c r="T646" i="3" s="1"/>
  <c r="AE837" i="3"/>
  <c r="AE855" i="3"/>
  <c r="AE858" i="3"/>
  <c r="AE882" i="3"/>
  <c r="AE884" i="3"/>
  <c r="AE892" i="3"/>
  <c r="AE945" i="3"/>
  <c r="AE977" i="3"/>
  <c r="AE994" i="3"/>
  <c r="AE690" i="3"/>
  <c r="R737" i="3"/>
  <c r="AD737" i="3" s="1"/>
  <c r="T739" i="3" s="1"/>
  <c r="AE801" i="3"/>
  <c r="AE888" i="3"/>
  <c r="AE938" i="3"/>
  <c r="AE949" i="3"/>
  <c r="AE618" i="3"/>
  <c r="AE612" i="3"/>
  <c r="AE628" i="3"/>
  <c r="AE637" i="3"/>
  <c r="AE664" i="3"/>
  <c r="AE679" i="3"/>
  <c r="AE700" i="3"/>
  <c r="AE727" i="3"/>
  <c r="AE729" i="3"/>
  <c r="AE731" i="3"/>
  <c r="AE780" i="3"/>
  <c r="AE799" i="3"/>
  <c r="AE816" i="3"/>
  <c r="AE871" i="3"/>
  <c r="AE919" i="3"/>
  <c r="AE921" i="3"/>
  <c r="AE891" i="3"/>
  <c r="R911" i="3"/>
  <c r="AD911" i="3" s="1"/>
  <c r="T911" i="3" s="1"/>
  <c r="R913" i="3"/>
  <c r="AD913" i="3" s="1"/>
  <c r="T914" i="3" s="1"/>
  <c r="AE941" i="3"/>
  <c r="AE958" i="3"/>
  <c r="AE960" i="3"/>
  <c r="R1008" i="3"/>
  <c r="AD1008" i="3" s="1"/>
  <c r="T1009" i="3" s="1"/>
  <c r="R1025" i="3"/>
  <c r="AD1025" i="3" s="1"/>
  <c r="AE1037" i="3"/>
  <c r="AE1078" i="3"/>
  <c r="AE1103" i="3"/>
  <c r="AE939" i="3"/>
  <c r="AE1019" i="3"/>
  <c r="AE1029" i="3"/>
  <c r="AE1076" i="3"/>
  <c r="AE1091" i="3"/>
  <c r="AE1126" i="3"/>
  <c r="AE1145" i="3"/>
  <c r="AE1164" i="3"/>
  <c r="AE835" i="3"/>
  <c r="AE863" i="3"/>
  <c r="R869" i="3"/>
  <c r="AD869" i="3" s="1"/>
  <c r="T869" i="3" s="1"/>
  <c r="AE876" i="3"/>
  <c r="AE878" i="3"/>
  <c r="AE897" i="3"/>
  <c r="AE905" i="3"/>
  <c r="R929" i="3"/>
  <c r="AD929" i="3" s="1"/>
  <c r="T930" i="3" s="1"/>
  <c r="R969" i="3"/>
  <c r="AD969" i="3" s="1"/>
  <c r="T969" i="3" s="1"/>
  <c r="AE982" i="3"/>
  <c r="AE995" i="3"/>
  <c r="AE1023" i="3"/>
  <c r="AE1140" i="3"/>
  <c r="AE1010" i="3"/>
  <c r="AE1014" i="3"/>
  <c r="AE1054" i="3"/>
  <c r="AE1069" i="3"/>
  <c r="AE1136" i="3"/>
  <c r="AE685" i="3"/>
  <c r="AE697" i="3"/>
  <c r="AE709" i="3"/>
  <c r="AE721" i="3"/>
  <c r="AE733" i="3"/>
  <c r="AE745" i="3"/>
  <c r="AE757" i="3"/>
  <c r="AE769" i="3"/>
  <c r="AE793" i="3"/>
  <c r="AE852" i="3"/>
  <c r="AE854" i="3"/>
  <c r="AE933" i="3"/>
  <c r="R942" i="3"/>
  <c r="AD942" i="3" s="1"/>
  <c r="T943" i="3" s="1"/>
  <c r="AE946" i="3"/>
  <c r="AE993" i="3"/>
  <c r="AE1052" i="3"/>
  <c r="R1097" i="3"/>
  <c r="AD1097" i="3" s="1"/>
  <c r="T1097" i="3" s="1"/>
  <c r="AE1105" i="3"/>
  <c r="AE976" i="3"/>
  <c r="AE978" i="3"/>
  <c r="R1033" i="3"/>
  <c r="AD1033" i="3" s="1"/>
  <c r="T1033" i="3" s="1"/>
  <c r="R1060" i="3"/>
  <c r="AD1060" i="3" s="1"/>
  <c r="T1062" i="3" s="1"/>
  <c r="R1071" i="3"/>
  <c r="AD1071" i="3" s="1"/>
  <c r="T1072" i="3" s="1"/>
  <c r="AE817" i="3"/>
  <c r="AE890" i="3"/>
  <c r="AE957" i="3"/>
  <c r="AE1067" i="3"/>
  <c r="AE1089" i="3"/>
  <c r="AE1100" i="3"/>
  <c r="AE1138" i="3"/>
  <c r="AE1179" i="3"/>
  <c r="AE610" i="3"/>
  <c r="AE622" i="3"/>
  <c r="AE658" i="3"/>
  <c r="AE670" i="3"/>
  <c r="AE706" i="3"/>
  <c r="AE718" i="3"/>
  <c r="AE754" i="3"/>
  <c r="AE778" i="3"/>
  <c r="AE834" i="3"/>
  <c r="AE847" i="3"/>
  <c r="R881" i="3"/>
  <c r="AD881" i="3" s="1"/>
  <c r="T882" i="3" s="1"/>
  <c r="AE896" i="3"/>
  <c r="R904" i="3"/>
  <c r="AD904" i="3" s="1"/>
  <c r="T904" i="3" s="1"/>
  <c r="R987" i="3"/>
  <c r="AD987" i="3" s="1"/>
  <c r="T988" i="3" s="1"/>
  <c r="AE996" i="3"/>
  <c r="AE1013" i="3"/>
  <c r="R1080" i="3"/>
  <c r="AD1080" i="3" s="1"/>
  <c r="T1080" i="3" s="1"/>
  <c r="AE1085" i="3"/>
  <c r="AE701" i="3"/>
  <c r="AE725" i="3"/>
  <c r="AE749" i="3"/>
  <c r="AE761" i="3"/>
  <c r="AE773" i="3"/>
  <c r="AE785" i="3"/>
  <c r="AE810" i="3"/>
  <c r="AE823" i="3"/>
  <c r="AE836" i="3"/>
  <c r="AE898" i="3"/>
  <c r="AE900" i="3"/>
  <c r="AE908" i="3"/>
  <c r="AE914" i="3"/>
  <c r="R971" i="3"/>
  <c r="AD971" i="3" s="1"/>
  <c r="T972" i="3" s="1"/>
  <c r="AE973" i="3"/>
  <c r="R1003" i="3"/>
  <c r="AD1003" i="3" s="1"/>
  <c r="T1003" i="3" s="1"/>
  <c r="R1020" i="3"/>
  <c r="AD1020" i="3" s="1"/>
  <c r="T1021" i="3" s="1"/>
  <c r="AE1043" i="3"/>
  <c r="AE1119" i="3"/>
  <c r="AE1130" i="3"/>
  <c r="AE1173" i="3"/>
  <c r="AE864" i="3"/>
  <c r="AE906" i="3"/>
  <c r="AE916" i="3"/>
  <c r="AE934" i="3"/>
  <c r="AE947" i="3"/>
  <c r="R951" i="3"/>
  <c r="AD951" i="3" s="1"/>
  <c r="T952" i="3" s="1"/>
  <c r="AE964" i="3"/>
  <c r="R979" i="3"/>
  <c r="AD979" i="3" s="1"/>
  <c r="T979" i="3" s="1"/>
  <c r="AE1011" i="3"/>
  <c r="R1056" i="3"/>
  <c r="AD1056" i="3" s="1"/>
  <c r="AE1117" i="3"/>
  <c r="AE1128" i="3"/>
  <c r="R820" i="3"/>
  <c r="AD820" i="3" s="1"/>
  <c r="T820" i="3" s="1"/>
  <c r="AE827" i="3"/>
  <c r="AE853" i="3"/>
  <c r="AE885" i="3"/>
  <c r="R967" i="3"/>
  <c r="AD967" i="3" s="1"/>
  <c r="T968" i="3" s="1"/>
  <c r="AE1063" i="3"/>
  <c r="AE1073" i="3"/>
  <c r="AE1077" i="3"/>
  <c r="AE1106" i="3"/>
  <c r="AE1185" i="3"/>
  <c r="AE924" i="3"/>
  <c r="AE962" i="3"/>
  <c r="AE997" i="3"/>
  <c r="AE1031" i="3"/>
  <c r="AE1112" i="3"/>
  <c r="AE1171" i="3"/>
  <c r="AE1042" i="3"/>
  <c r="AE1055" i="3"/>
  <c r="AE1064" i="3"/>
  <c r="AE1095" i="3"/>
  <c r="AE1151" i="3"/>
  <c r="AE1183" i="3"/>
  <c r="AE1204" i="3"/>
  <c r="AE1242" i="3"/>
  <c r="AE1268" i="3"/>
  <c r="AE1273" i="3"/>
  <c r="AE1283" i="3"/>
  <c r="AE1500" i="3"/>
  <c r="AE1107" i="3"/>
  <c r="AE1127" i="3"/>
  <c r="AE1139" i="3"/>
  <c r="AE1162" i="3"/>
  <c r="AE1210" i="3"/>
  <c r="AE1228" i="3"/>
  <c r="AE1234" i="3"/>
  <c r="AE1263" i="3"/>
  <c r="AE1302" i="3"/>
  <c r="AE1357" i="3"/>
  <c r="AE808" i="3"/>
  <c r="AE832" i="3"/>
  <c r="AE856" i="3"/>
  <c r="AE868" i="3"/>
  <c r="AE880" i="3"/>
  <c r="AE887" i="3"/>
  <c r="AE903" i="3"/>
  <c r="AE912" i="3"/>
  <c r="AE928" i="3"/>
  <c r="AE952" i="3"/>
  <c r="AE988" i="3"/>
  <c r="AE1007" i="3"/>
  <c r="AE1032" i="3"/>
  <c r="AE1049" i="3"/>
  <c r="AE1115" i="3"/>
  <c r="AE1296" i="3"/>
  <c r="AE1371" i="3"/>
  <c r="AE1404" i="3"/>
  <c r="AE1417" i="3"/>
  <c r="AE1194" i="3"/>
  <c r="AE1200" i="3"/>
  <c r="AE1271" i="3"/>
  <c r="AE1287" i="3"/>
  <c r="AE1517" i="3"/>
  <c r="AE1144" i="3"/>
  <c r="AE1152" i="3"/>
  <c r="AE1182" i="3"/>
  <c r="AE1198" i="3"/>
  <c r="AE1232" i="3"/>
  <c r="AE1245" i="3"/>
  <c r="AE1253" i="3"/>
  <c r="AE1277" i="3"/>
  <c r="AE1292" i="3"/>
  <c r="AE1369" i="3"/>
  <c r="AE1449" i="3"/>
  <c r="AE1094" i="3"/>
  <c r="AE1099" i="3"/>
  <c r="AE1111" i="3"/>
  <c r="AE1118" i="3"/>
  <c r="AE1121" i="3"/>
  <c r="R1148" i="3"/>
  <c r="AD1148" i="3" s="1"/>
  <c r="T1149" i="3" s="1"/>
  <c r="R1158" i="3"/>
  <c r="AD1158" i="3" s="1"/>
  <c r="T1159" i="3" s="1"/>
  <c r="AE1177" i="3"/>
  <c r="AE1256" i="3"/>
  <c r="AE1150" i="3"/>
  <c r="AE1160" i="3"/>
  <c r="AE1170" i="3"/>
  <c r="R1187" i="3"/>
  <c r="AD1187" i="3" s="1"/>
  <c r="T1187" i="3" s="1"/>
  <c r="R1224" i="3"/>
  <c r="AD1224" i="3" s="1"/>
  <c r="T1224" i="3" s="1"/>
  <c r="AE1275" i="3"/>
  <c r="R1101" i="3"/>
  <c r="AD1101" i="3" s="1"/>
  <c r="T1101" i="3" s="1"/>
  <c r="R1109" i="3"/>
  <c r="AD1109" i="3" s="1"/>
  <c r="T1109" i="3" s="1"/>
  <c r="R1113" i="3"/>
  <c r="AD1113" i="3" s="1"/>
  <c r="T1113" i="3" s="1"/>
  <c r="AE1216" i="3"/>
  <c r="AE1251" i="3"/>
  <c r="AE1261" i="3"/>
  <c r="AE1306" i="3"/>
  <c r="AE1335" i="3"/>
  <c r="AE1061" i="3"/>
  <c r="AE1079" i="3"/>
  <c r="AE1143" i="3"/>
  <c r="R1146" i="3"/>
  <c r="AD1146" i="3" s="1"/>
  <c r="T1146" i="3" s="1"/>
  <c r="R1156" i="3"/>
  <c r="AD1156" i="3" s="1"/>
  <c r="T1157" i="3" s="1"/>
  <c r="AE1193" i="3"/>
  <c r="AE1230" i="3"/>
  <c r="AE1295" i="3"/>
  <c r="AE797" i="3"/>
  <c r="AE809" i="3"/>
  <c r="AE821" i="3"/>
  <c r="AE833" i="3"/>
  <c r="AE845" i="3"/>
  <c r="AE922" i="3"/>
  <c r="R961" i="3"/>
  <c r="AD961" i="3" s="1"/>
  <c r="T961" i="3" s="1"/>
  <c r="AE974" i="3"/>
  <c r="R1044" i="3"/>
  <c r="AD1044" i="3" s="1"/>
  <c r="T1045" i="3" s="1"/>
  <c r="R1065" i="3"/>
  <c r="AD1065" i="3" s="1"/>
  <c r="T1065" i="3" s="1"/>
  <c r="AE1088" i="3"/>
  <c r="AE1102" i="3"/>
  <c r="AE1124" i="3"/>
  <c r="AE1209" i="3"/>
  <c r="R1212" i="3"/>
  <c r="AD1212" i="3" s="1"/>
  <c r="T1213" i="3" s="1"/>
  <c r="AE1333" i="3"/>
  <c r="R1035" i="3"/>
  <c r="AD1035" i="3" s="1"/>
  <c r="T1037" i="3" s="1"/>
  <c r="AE1206" i="3"/>
  <c r="R1249" i="3"/>
  <c r="AD1249" i="3" s="1"/>
  <c r="T1249" i="3" s="1"/>
  <c r="AE1259" i="3"/>
  <c r="AE1453" i="3"/>
  <c r="R1132" i="3"/>
  <c r="AD1132" i="3" s="1"/>
  <c r="T1133" i="3" s="1"/>
  <c r="AE1154" i="3"/>
  <c r="AE1218" i="3"/>
  <c r="AE1220" i="3"/>
  <c r="AE1223" i="3"/>
  <c r="AE1236" i="3"/>
  <c r="AE1246" i="3"/>
  <c r="AE1255" i="3"/>
  <c r="AE1359" i="3"/>
  <c r="AE1419" i="3"/>
  <c r="AE1047" i="3"/>
  <c r="AE1059" i="3"/>
  <c r="AE1083" i="3"/>
  <c r="AE1131" i="3"/>
  <c r="AE1161" i="3"/>
  <c r="AE1186" i="3"/>
  <c r="AE1270" i="3"/>
  <c r="AE1326" i="3"/>
  <c r="AE1337" i="3"/>
  <c r="AE1350" i="3"/>
  <c r="R1363" i="3"/>
  <c r="AD1363" i="3" s="1"/>
  <c r="T1363" i="3" s="1"/>
  <c r="R1411" i="3"/>
  <c r="AD1411" i="3" s="1"/>
  <c r="T1412" i="3" s="1"/>
  <c r="AE1421" i="3"/>
  <c r="AE1426" i="3"/>
  <c r="AE1431" i="3"/>
  <c r="AE1507" i="3"/>
  <c r="AE1524" i="3"/>
  <c r="AE1188" i="3"/>
  <c r="AE1213" i="3"/>
  <c r="AE1244" i="3"/>
  <c r="R1257" i="3"/>
  <c r="AD1257" i="3" s="1"/>
  <c r="T1257" i="3" s="1"/>
  <c r="AE1272" i="3"/>
  <c r="AE1278" i="3"/>
  <c r="R1298" i="3"/>
  <c r="AD1298" i="3" s="1"/>
  <c r="T1299" i="3" s="1"/>
  <c r="AE1368" i="3"/>
  <c r="AE1416" i="3"/>
  <c r="AE1423" i="3"/>
  <c r="AE1515" i="3"/>
  <c r="AE1222" i="3"/>
  <c r="R1226" i="3"/>
  <c r="AD1226" i="3" s="1"/>
  <c r="T1226" i="3" s="1"/>
  <c r="R1373" i="3"/>
  <c r="AD1373" i="3" s="1"/>
  <c r="T1373" i="3" s="1"/>
  <c r="AE1451" i="3"/>
  <c r="AE1485" i="3"/>
  <c r="AE1494" i="3"/>
  <c r="AE1588" i="3"/>
  <c r="AE1142" i="3"/>
  <c r="AE1174" i="3"/>
  <c r="R1240" i="3"/>
  <c r="AD1240" i="3" s="1"/>
  <c r="T1244" i="3" s="1"/>
  <c r="AE1282" i="3"/>
  <c r="AE1309" i="3"/>
  <c r="R1375" i="3"/>
  <c r="AD1375" i="3" s="1"/>
  <c r="AE1407" i="3"/>
  <c r="AE1424" i="3"/>
  <c r="AE1439" i="3"/>
  <c r="AE1444" i="3"/>
  <c r="AE1522" i="3"/>
  <c r="AE943" i="3"/>
  <c r="AE991" i="3"/>
  <c r="AE1015" i="3"/>
  <c r="AE1027" i="3"/>
  <c r="AE1039" i="3"/>
  <c r="AE1051" i="3"/>
  <c r="AE1135" i="3"/>
  <c r="AE1149" i="3"/>
  <c r="AE1176" i="3"/>
  <c r="AE1201" i="3"/>
  <c r="AE1217" i="3"/>
  <c r="AE1235" i="3"/>
  <c r="AE1237" i="3"/>
  <c r="AE1239" i="3"/>
  <c r="AE1248" i="3"/>
  <c r="R1269" i="3"/>
  <c r="AD1269" i="3" s="1"/>
  <c r="T1270" i="3" s="1"/>
  <c r="AE1284" i="3"/>
  <c r="AE1320" i="3"/>
  <c r="AE1331" i="3"/>
  <c r="AE1344" i="3"/>
  <c r="AE1355" i="3"/>
  <c r="AE1362" i="3"/>
  <c r="AE1380" i="3"/>
  <c r="AE1405" i="3"/>
  <c r="R1437" i="3"/>
  <c r="AD1437" i="3" s="1"/>
  <c r="T1438" i="3" s="1"/>
  <c r="AE1482" i="3"/>
  <c r="AE1265" i="3"/>
  <c r="AE1294" i="3"/>
  <c r="AE1300" i="3"/>
  <c r="R1365" i="3"/>
  <c r="AD1365" i="3" s="1"/>
  <c r="T1366" i="3" s="1"/>
  <c r="R1385" i="3"/>
  <c r="AD1385" i="3" s="1"/>
  <c r="T1385" i="3" s="1"/>
  <c r="R1413" i="3"/>
  <c r="AD1413" i="3" s="1"/>
  <c r="T1414" i="3" s="1"/>
  <c r="AE1440" i="3"/>
  <c r="AE1005" i="3"/>
  <c r="AE1017" i="3"/>
  <c r="AE1041" i="3"/>
  <c r="AE1053" i="3"/>
  <c r="AE1125" i="3"/>
  <c r="AE1137" i="3"/>
  <c r="AE1153" i="3"/>
  <c r="AE1203" i="3"/>
  <c r="R1214" i="3"/>
  <c r="AD1214" i="3" s="1"/>
  <c r="T1214" i="3" s="1"/>
  <c r="AE1254" i="3"/>
  <c r="AE1314" i="3"/>
  <c r="R1325" i="3"/>
  <c r="AD1325" i="3" s="1"/>
  <c r="T1325" i="3" s="1"/>
  <c r="AE1338" i="3"/>
  <c r="R1349" i="3"/>
  <c r="AD1349" i="3" s="1"/>
  <c r="T1349" i="3" s="1"/>
  <c r="R1387" i="3"/>
  <c r="AD1387" i="3" s="1"/>
  <c r="T1388" i="3" s="1"/>
  <c r="AE1425" i="3"/>
  <c r="AE1476" i="3"/>
  <c r="R1498" i="3"/>
  <c r="AD1498" i="3" s="1"/>
  <c r="T1498" i="3" s="1"/>
  <c r="AE1519" i="3"/>
  <c r="AE1036" i="3"/>
  <c r="AE1072" i="3"/>
  <c r="AE1084" i="3"/>
  <c r="AE1096" i="3"/>
  <c r="AE1108" i="3"/>
  <c r="AE1120" i="3"/>
  <c r="AE1155" i="3"/>
  <c r="R1166" i="3"/>
  <c r="AD1166" i="3" s="1"/>
  <c r="T1167" i="3" s="1"/>
  <c r="AE1180" i="3"/>
  <c r="AE1221" i="3"/>
  <c r="R1281" i="3"/>
  <c r="AD1281" i="3" s="1"/>
  <c r="T1281" i="3" s="1"/>
  <c r="R1310" i="3"/>
  <c r="AD1310" i="3" s="1"/>
  <c r="T1311" i="3" s="1"/>
  <c r="AE1367" i="3"/>
  <c r="AE1374" i="3"/>
  <c r="AE1392" i="3"/>
  <c r="AE1429" i="3"/>
  <c r="R1467" i="3"/>
  <c r="AD1467" i="3" s="1"/>
  <c r="T1470" i="3" s="1"/>
  <c r="R1474" i="3"/>
  <c r="AD1474" i="3" s="1"/>
  <c r="T1476" i="3" s="1"/>
  <c r="R1504" i="3"/>
  <c r="AD1504" i="3" s="1"/>
  <c r="T1505" i="3" s="1"/>
  <c r="AE1576" i="3"/>
  <c r="AE1321" i="3"/>
  <c r="AE1345" i="3"/>
  <c r="AE1381" i="3"/>
  <c r="AE1383" i="3"/>
  <c r="AE1435" i="3"/>
  <c r="AE1481" i="3"/>
  <c r="AE1484" i="3"/>
  <c r="AE1496" i="3"/>
  <c r="AE1627" i="3"/>
  <c r="R1238" i="3"/>
  <c r="AD1238" i="3" s="1"/>
  <c r="T1239" i="3" s="1"/>
  <c r="AE1258" i="3"/>
  <c r="R1289" i="3"/>
  <c r="AD1289" i="3" s="1"/>
  <c r="T1289" i="3" s="1"/>
  <c r="AE1297" i="3"/>
  <c r="AE1433" i="3"/>
  <c r="AE1455" i="3"/>
  <c r="AE1509" i="3"/>
  <c r="AE889" i="3"/>
  <c r="AE901" i="3"/>
  <c r="AE925" i="3"/>
  <c r="AE937" i="3"/>
  <c r="AE1009" i="3"/>
  <c r="AE1021" i="3"/>
  <c r="AE1045" i="3"/>
  <c r="AE1057" i="3"/>
  <c r="AE1081" i="3"/>
  <c r="AE1129" i="3"/>
  <c r="AE1141" i="3"/>
  <c r="AE1168" i="3"/>
  <c r="AE1184" i="3"/>
  <c r="AE1227" i="3"/>
  <c r="AE1260" i="3"/>
  <c r="AE1266" i="3"/>
  <c r="R1304" i="3"/>
  <c r="AD1304" i="3" s="1"/>
  <c r="T1305" i="3" s="1"/>
  <c r="AE1319" i="3"/>
  <c r="AE1332" i="3"/>
  <c r="AE1343" i="3"/>
  <c r="AE1356" i="3"/>
  <c r="AE1379" i="3"/>
  <c r="AE1386" i="3"/>
  <c r="AE1465" i="3"/>
  <c r="AE1308" i="3"/>
  <c r="AE1312" i="3"/>
  <c r="AE1361" i="3"/>
  <c r="AE1393" i="3"/>
  <c r="AE1395" i="3"/>
  <c r="AE1409" i="3"/>
  <c r="AE1458" i="3"/>
  <c r="AE1460" i="3"/>
  <c r="AE1527" i="3"/>
  <c r="AE1563" i="3"/>
  <c r="AE1578" i="3"/>
  <c r="AE1252" i="3"/>
  <c r="AE1264" i="3"/>
  <c r="AE1276" i="3"/>
  <c r="AE1288" i="3"/>
  <c r="AE1324" i="3"/>
  <c r="AE1336" i="3"/>
  <c r="AE1348" i="3"/>
  <c r="AE1360" i="3"/>
  <c r="AE1372" i="3"/>
  <c r="AE1384" i="3"/>
  <c r="AE1396" i="3"/>
  <c r="AE1408" i="3"/>
  <c r="AE1420" i="3"/>
  <c r="AE1436" i="3"/>
  <c r="AE1445" i="3"/>
  <c r="AE1461" i="3"/>
  <c r="AE1470" i="3"/>
  <c r="AE1488" i="3"/>
  <c r="AE1520" i="3"/>
  <c r="AE1534" i="3"/>
  <c r="AE1552" i="3"/>
  <c r="AE1572" i="3"/>
  <c r="AE1587" i="3"/>
  <c r="R1597" i="3"/>
  <c r="AD1597" i="3" s="1"/>
  <c r="T1597" i="3" s="1"/>
  <c r="AE1599" i="3"/>
  <c r="AE1651" i="3"/>
  <c r="AE1756" i="3"/>
  <c r="AE1511" i="3"/>
  <c r="AE1545" i="3"/>
  <c r="AE1550" i="3"/>
  <c r="AE1590" i="3"/>
  <c r="AE1618" i="3"/>
  <c r="AE1704" i="3"/>
  <c r="AE1739" i="3"/>
  <c r="AE1398" i="3"/>
  <c r="AE1410" i="3"/>
  <c r="AE1438" i="3"/>
  <c r="R1442" i="3"/>
  <c r="AD1442" i="3" s="1"/>
  <c r="T1442" i="3" s="1"/>
  <c r="AE1456" i="3"/>
  <c r="AE1472" i="3"/>
  <c r="AE1580" i="3"/>
  <c r="AE1639" i="3"/>
  <c r="AE1541" i="3"/>
  <c r="AE1568" i="3"/>
  <c r="AE1585" i="3"/>
  <c r="AE1595" i="3"/>
  <c r="AE1623" i="3"/>
  <c r="AE1625" i="3"/>
  <c r="R1663" i="3"/>
  <c r="AD1663" i="3" s="1"/>
  <c r="T1664" i="3" s="1"/>
  <c r="AE1686" i="3"/>
  <c r="AE1806" i="3"/>
  <c r="AE1316" i="3"/>
  <c r="AE1328" i="3"/>
  <c r="AE1340" i="3"/>
  <c r="AE1352" i="3"/>
  <c r="AE1364" i="3"/>
  <c r="AE1376" i="3"/>
  <c r="AE1388" i="3"/>
  <c r="AE1400" i="3"/>
  <c r="AE1412" i="3"/>
  <c r="AE1483" i="3"/>
  <c r="R1502" i="3"/>
  <c r="AD1502" i="3" s="1"/>
  <c r="T1503" i="3" s="1"/>
  <c r="R1535" i="3"/>
  <c r="AD1535" i="3" s="1"/>
  <c r="T1535" i="3" s="1"/>
  <c r="R1546" i="3"/>
  <c r="AD1546" i="3" s="1"/>
  <c r="T1546" i="3" s="1"/>
  <c r="AE1616" i="3"/>
  <c r="AE1708" i="3"/>
  <c r="AE1747" i="3"/>
  <c r="R1556" i="3"/>
  <c r="AD1556" i="3" s="1"/>
  <c r="T1559" i="3" s="1"/>
  <c r="R1601" i="3"/>
  <c r="AD1601" i="3" s="1"/>
  <c r="T1602" i="3" s="1"/>
  <c r="AE1621" i="3"/>
  <c r="AE1657" i="3"/>
  <c r="AE1674" i="3"/>
  <c r="AE1706" i="3"/>
  <c r="AE1533" i="3"/>
  <c r="AE1561" i="3"/>
  <c r="AE1609" i="3"/>
  <c r="AE1635" i="3"/>
  <c r="AE1765" i="3"/>
  <c r="AE1301" i="3"/>
  <c r="AE1313" i="3"/>
  <c r="AE1397" i="3"/>
  <c r="AE1462" i="3"/>
  <c r="AE1506" i="3"/>
  <c r="R1513" i="3"/>
  <c r="AD1513" i="3" s="1"/>
  <c r="T1514" i="3" s="1"/>
  <c r="AE1521" i="3"/>
  <c r="AE1566" i="3"/>
  <c r="AE1573" i="3"/>
  <c r="AE1732" i="3"/>
  <c r="AE1829" i="3"/>
  <c r="AE1529" i="3"/>
  <c r="AE1531" i="3"/>
  <c r="R1537" i="3"/>
  <c r="AD1537" i="3" s="1"/>
  <c r="T1537" i="3" s="1"/>
  <c r="AE1548" i="3"/>
  <c r="AE1571" i="3"/>
  <c r="AE1574" i="3"/>
  <c r="AE1630" i="3"/>
  <c r="AE1650" i="3"/>
  <c r="AE1672" i="3"/>
  <c r="AE1699" i="3"/>
  <c r="AE1495" i="3"/>
  <c r="AE1510" i="3"/>
  <c r="AE1554" i="3"/>
  <c r="AE1584" i="3"/>
  <c r="AE1614" i="3"/>
  <c r="AE1643" i="3"/>
  <c r="AE1697" i="3"/>
  <c r="AE1725" i="3"/>
  <c r="AE1781" i="3"/>
  <c r="AE1178" i="3"/>
  <c r="AE1190" i="3"/>
  <c r="AE1202" i="3"/>
  <c r="AE1250" i="3"/>
  <c r="AE1262" i="3"/>
  <c r="AE1274" i="3"/>
  <c r="AE1286" i="3"/>
  <c r="AE1322" i="3"/>
  <c r="AE1334" i="3"/>
  <c r="AE1346" i="3"/>
  <c r="AE1358" i="3"/>
  <c r="AE1370" i="3"/>
  <c r="AE1382" i="3"/>
  <c r="AE1394" i="3"/>
  <c r="AE1406" i="3"/>
  <c r="AE1434" i="3"/>
  <c r="AE1443" i="3"/>
  <c r="AE1450" i="3"/>
  <c r="AE1475" i="3"/>
  <c r="AE1497" i="3"/>
  <c r="AE1564" i="3"/>
  <c r="R1592" i="3"/>
  <c r="AD1592" i="3" s="1"/>
  <c r="T1594" i="3" s="1"/>
  <c r="R1620" i="3"/>
  <c r="AD1620" i="3" s="1"/>
  <c r="T1623" i="3" s="1"/>
  <c r="AE1653" i="3"/>
  <c r="AE1293" i="3"/>
  <c r="AE1401" i="3"/>
  <c r="AE1452" i="3"/>
  <c r="AE1468" i="3"/>
  <c r="AE1486" i="3"/>
  <c r="R1490" i="3"/>
  <c r="AD1490" i="3" s="1"/>
  <c r="T1490" i="3" s="1"/>
  <c r="AE1501" i="3"/>
  <c r="AE1503" i="3"/>
  <c r="AE1536" i="3"/>
  <c r="AE1540" i="3"/>
  <c r="R1582" i="3"/>
  <c r="AD1582" i="3" s="1"/>
  <c r="AE1604" i="3"/>
  <c r="AE1559" i="3"/>
  <c r="AE1631" i="3"/>
  <c r="AE1678" i="3"/>
  <c r="AE1713" i="3"/>
  <c r="AE1751" i="3"/>
  <c r="AE1783" i="3"/>
  <c r="AE1965" i="3"/>
  <c r="AE1596" i="3"/>
  <c r="AE1600" i="3"/>
  <c r="AE1633" i="3"/>
  <c r="AE1655" i="3"/>
  <c r="AE1691" i="3"/>
  <c r="AE1702" i="3"/>
  <c r="AE1735" i="3"/>
  <c r="AE1749" i="3"/>
  <c r="AE1773" i="3"/>
  <c r="AE1676" i="3"/>
  <c r="AE1683" i="3"/>
  <c r="AE1695" i="3"/>
  <c r="AE1716" i="3"/>
  <c r="AE1723" i="3"/>
  <c r="AE1763" i="3"/>
  <c r="AE1833" i="3"/>
  <c r="AE1879" i="3"/>
  <c r="AE1418" i="3"/>
  <c r="AE1430" i="3"/>
  <c r="AE1454" i="3"/>
  <c r="AE1466" i="3"/>
  <c r="AE1478" i="3"/>
  <c r="AE1514" i="3"/>
  <c r="AE1526" i="3"/>
  <c r="AE1538" i="3"/>
  <c r="AE1567" i="3"/>
  <c r="AE1591" i="3"/>
  <c r="AE1624" i="3"/>
  <c r="R1661" i="3"/>
  <c r="AD1661" i="3" s="1"/>
  <c r="AE1771" i="3"/>
  <c r="AE1939" i="3"/>
  <c r="AE1547" i="3"/>
  <c r="R1605" i="3"/>
  <c r="AD1605" i="3" s="1"/>
  <c r="T1605" i="3" s="1"/>
  <c r="AE1628" i="3"/>
  <c r="R1632" i="3"/>
  <c r="AD1632" i="3" s="1"/>
  <c r="T1632" i="3" s="1"/>
  <c r="AE1645" i="3"/>
  <c r="AE1664" i="3"/>
  <c r="AE1721" i="3"/>
  <c r="AE1731" i="3"/>
  <c r="AE1745" i="3"/>
  <c r="AE1752" i="3"/>
  <c r="AE1671" i="3"/>
  <c r="AE1662" i="3"/>
  <c r="AE1681" i="3"/>
  <c r="AE1719" i="3"/>
  <c r="AE1729" i="3"/>
  <c r="AE1743" i="3"/>
  <c r="AE1777" i="3"/>
  <c r="AE1487" i="3"/>
  <c r="AE1499" i="3"/>
  <c r="AE1523" i="3"/>
  <c r="AE1542" i="3"/>
  <c r="AE1549" i="3"/>
  <c r="R1553" i="3"/>
  <c r="AD1553" i="3" s="1"/>
  <c r="T1553" i="3" s="1"/>
  <c r="AE1560" i="3"/>
  <c r="R1654" i="3"/>
  <c r="AD1654" i="3" s="1"/>
  <c r="T1654" i="3" s="1"/>
  <c r="AE1738" i="3"/>
  <c r="AE1794" i="3"/>
  <c r="AE1640" i="3"/>
  <c r="R1646" i="3"/>
  <c r="AD1646" i="3" s="1"/>
  <c r="T1647" i="3" s="1"/>
  <c r="AE1741" i="3"/>
  <c r="AE1757" i="3"/>
  <c r="R1767" i="3"/>
  <c r="AD1767" i="3" s="1"/>
  <c r="T1768" i="3" s="1"/>
  <c r="AE1850" i="3"/>
  <c r="AE1525" i="3"/>
  <c r="AE1544" i="3"/>
  <c r="AE1652" i="3"/>
  <c r="AE1710" i="3"/>
  <c r="AE1727" i="3"/>
  <c r="AE1762" i="3"/>
  <c r="AE1775" i="3"/>
  <c r="AE1860" i="3"/>
  <c r="AE1555" i="3"/>
  <c r="AE1579" i="3"/>
  <c r="AE1615" i="3"/>
  <c r="AE1619" i="3"/>
  <c r="AE1667" i="3"/>
  <c r="AE1669" i="3"/>
  <c r="AE1684" i="3"/>
  <c r="AE1690" i="3"/>
  <c r="AE1734" i="3"/>
  <c r="AE1834" i="3"/>
  <c r="AE1908" i="3"/>
  <c r="AE1557" i="3"/>
  <c r="AE1569" i="3"/>
  <c r="AE1581" i="3"/>
  <c r="AE1593" i="3"/>
  <c r="AE1617" i="3"/>
  <c r="AE1629" i="3"/>
  <c r="AE1641" i="3"/>
  <c r="AE1665" i="3"/>
  <c r="AE1766" i="3"/>
  <c r="R1779" i="3"/>
  <c r="AD1779" i="3" s="1"/>
  <c r="T1779" i="3" s="1"/>
  <c r="AE1835" i="3"/>
  <c r="AE1944" i="3"/>
  <c r="AE1846" i="3"/>
  <c r="AE1825" i="3"/>
  <c r="AE1714" i="3"/>
  <c r="AE1836" i="3"/>
  <c r="AE1848" i="3"/>
  <c r="AE1769" i="3"/>
  <c r="AE1823" i="3"/>
  <c r="AE1852" i="3"/>
  <c r="AE1855" i="3"/>
  <c r="AE1864" i="3"/>
  <c r="AE1921" i="3"/>
  <c r="AE1928" i="3"/>
  <c r="AE2027" i="3"/>
  <c r="AE1906" i="3"/>
  <c r="AE1712" i="3"/>
  <c r="AE1888" i="3"/>
  <c r="AE1904" i="3"/>
  <c r="AE1737" i="3"/>
  <c r="AE1858" i="3"/>
  <c r="AE1577" i="3"/>
  <c r="AE1637" i="3"/>
  <c r="AE1649" i="3"/>
  <c r="AE1673" i="3"/>
  <c r="AE1687" i="3"/>
  <c r="AE1785" i="3"/>
  <c r="AE1919" i="3"/>
  <c r="AE1608" i="3"/>
  <c r="AE1644" i="3"/>
  <c r="AE1656" i="3"/>
  <c r="AE1668" i="3"/>
  <c r="AE1680" i="3"/>
  <c r="AE1828" i="3"/>
  <c r="AE1891" i="3"/>
  <c r="AE1914" i="3"/>
  <c r="AE1696" i="3"/>
  <c r="AE1812" i="3"/>
  <c r="AE1837" i="3"/>
  <c r="AE1849" i="3"/>
  <c r="AE1856" i="3"/>
  <c r="AE1910" i="3"/>
  <c r="AE1810" i="3"/>
  <c r="R1838" i="3"/>
  <c r="AD1838" i="3" s="1"/>
  <c r="T1838" i="3" s="1"/>
  <c r="R1761" i="3"/>
  <c r="AD1761" i="3" s="1"/>
  <c r="T1761" i="3" s="1"/>
  <c r="AE1800" i="3"/>
  <c r="AE1844" i="3"/>
  <c r="AE1951" i="3"/>
  <c r="AE1963" i="3"/>
  <c r="AE1875" i="3"/>
  <c r="R1894" i="3"/>
  <c r="AD1894" i="3" s="1"/>
  <c r="T1900" i="3" s="1"/>
  <c r="AE2009" i="3"/>
  <c r="AE2036" i="3"/>
  <c r="AE1877" i="3"/>
  <c r="AE2046" i="3"/>
  <c r="AE1854" i="3"/>
  <c r="R1772" i="3"/>
  <c r="AD1772" i="3" s="1"/>
  <c r="T1773" i="3" s="1"/>
  <c r="AE1865" i="3"/>
  <c r="AE1993" i="3"/>
  <c r="R1802" i="3"/>
  <c r="AD1802" i="3" s="1"/>
  <c r="T1802" i="3" s="1"/>
  <c r="R1999" i="3"/>
  <c r="AD1999" i="3" s="1"/>
  <c r="T2005" i="3" s="1"/>
  <c r="R1917" i="3"/>
  <c r="AD1917" i="3" s="1"/>
  <c r="T1917" i="3" s="1"/>
  <c r="R2015" i="3"/>
  <c r="AD2015" i="3" s="1"/>
  <c r="R2082" i="3"/>
  <c r="AD2082" i="3" s="1"/>
  <c r="T2082" i="3" s="1"/>
  <c r="R2193" i="3"/>
  <c r="AD2193" i="3" s="1"/>
  <c r="T2193" i="3" s="1"/>
  <c r="R2021" i="3"/>
  <c r="AD2021" i="3" s="1"/>
  <c r="R2170" i="3"/>
  <c r="AD2170" i="3" s="1"/>
  <c r="T2171" i="3" s="1"/>
  <c r="R2017" i="3"/>
  <c r="AD2017" i="3" s="1"/>
  <c r="T2017" i="3" s="1"/>
  <c r="R2048" i="3"/>
  <c r="AD2048" i="3" s="1"/>
  <c r="T2049" i="3" s="1"/>
  <c r="R2064" i="3"/>
  <c r="AD2064" i="3" s="1"/>
  <c r="T2065" i="3" s="1"/>
  <c r="R2153" i="3"/>
  <c r="AD2153" i="3" s="1"/>
  <c r="R2094" i="3"/>
  <c r="AD2094" i="3" s="1"/>
  <c r="T2094" i="3" s="1"/>
  <c r="R1953" i="3"/>
  <c r="AD1953" i="3" s="1"/>
  <c r="T1953" i="3" s="1"/>
  <c r="R1960" i="3"/>
  <c r="AD1960" i="3" s="1"/>
  <c r="R2066" i="3"/>
  <c r="AD2066" i="3" s="1"/>
  <c r="T2074" i="3" s="1"/>
  <c r="R2217" i="3"/>
  <c r="AD2217" i="3" s="1"/>
  <c r="T2220" i="3" s="1"/>
  <c r="R2077" i="3"/>
  <c r="AD2077" i="3" s="1"/>
  <c r="T2079" i="3" s="1"/>
  <c r="R2142" i="3"/>
  <c r="AD2142" i="3" s="1"/>
  <c r="T2146" i="3" s="1"/>
  <c r="R2313" i="3"/>
  <c r="AD2313" i="3" s="1"/>
  <c r="T2313" i="3" s="1"/>
  <c r="R2335" i="3"/>
  <c r="AD2335" i="3" s="1"/>
  <c r="T2338" i="3" s="1"/>
  <c r="R2134" i="3"/>
  <c r="AD2134" i="3" s="1"/>
  <c r="T2134" i="3" s="1"/>
  <c r="R2044" i="3"/>
  <c r="AD2044" i="3" s="1"/>
  <c r="R2056" i="3"/>
  <c r="AD2056" i="3" s="1"/>
  <c r="T2057" i="3" s="1"/>
  <c r="R2075" i="3"/>
  <c r="AD2075" i="3" s="1"/>
  <c r="R2084" i="3"/>
  <c r="AD2084" i="3" s="1"/>
  <c r="T2084" i="3" s="1"/>
  <c r="R2222" i="3"/>
  <c r="AD2222" i="3" s="1"/>
  <c r="T2222" i="3" s="1"/>
  <c r="R2224" i="3"/>
  <c r="AD2224" i="3" s="1"/>
  <c r="R2233" i="3"/>
  <c r="AD2233" i="3" s="1"/>
  <c r="T2233" i="3" s="1"/>
  <c r="R2329" i="3"/>
  <c r="AD2329" i="3" s="1"/>
  <c r="T2329" i="3" s="1"/>
  <c r="R2209" i="3"/>
  <c r="AD2209" i="3" s="1"/>
  <c r="T2211" i="3" s="1"/>
  <c r="R2207" i="3"/>
  <c r="AD2207" i="3" s="1"/>
  <c r="R2262" i="3"/>
  <c r="AD2262" i="3" s="1"/>
  <c r="R2270" i="3"/>
  <c r="AD2270" i="3" s="1"/>
  <c r="T2270" i="3" s="1"/>
  <c r="R2305" i="3"/>
  <c r="AD2305" i="3" s="1"/>
  <c r="T2305" i="3" s="1"/>
  <c r="R2354" i="3"/>
  <c r="AD2354" i="3" s="1"/>
  <c r="R2106" i="3"/>
  <c r="AD2106" i="3" s="1"/>
  <c r="R2195" i="3"/>
  <c r="AD2195" i="3" s="1"/>
  <c r="T2195" i="3" s="1"/>
  <c r="R2258" i="3"/>
  <c r="AD2258" i="3" s="1"/>
  <c r="T2259" i="3" s="1"/>
  <c r="R2303" i="3"/>
  <c r="AD2303" i="3" s="1"/>
  <c r="R2102" i="3"/>
  <c r="AD2102" i="3" s="1"/>
  <c r="T2102" i="3" s="1"/>
  <c r="R2130" i="3"/>
  <c r="AD2130" i="3" s="1"/>
  <c r="T2130" i="3" s="1"/>
  <c r="R2173" i="3"/>
  <c r="AD2173" i="3" s="1"/>
  <c r="T2173" i="3" s="1"/>
  <c r="R2226" i="3"/>
  <c r="AD2226" i="3" s="1"/>
  <c r="T2226" i="3" s="1"/>
  <c r="R2291" i="3"/>
  <c r="AD2291" i="3" s="1"/>
  <c r="R2159" i="3"/>
  <c r="AD2159" i="3" s="1"/>
  <c r="R2279" i="3"/>
  <c r="AD2279" i="3" s="1"/>
  <c r="T2286" i="3" s="1"/>
  <c r="R2322" i="3"/>
  <c r="AD2322" i="3" s="1"/>
  <c r="T2322" i="3" s="1"/>
  <c r="R2147" i="3"/>
  <c r="AD2147" i="3" s="1"/>
  <c r="R2318" i="3"/>
  <c r="AD2318" i="3" s="1"/>
  <c r="T2246" i="3" l="1"/>
  <c r="T1189" i="3"/>
  <c r="T2245" i="3"/>
  <c r="T2242" i="3"/>
  <c r="T723" i="3"/>
  <c r="T1976" i="3"/>
  <c r="T1943" i="3"/>
  <c r="T719" i="3"/>
  <c r="T966" i="3"/>
  <c r="T2136" i="3"/>
  <c r="T1938" i="3"/>
  <c r="T1945" i="3"/>
  <c r="T1327" i="3"/>
  <c r="T2062" i="3"/>
  <c r="T1942" i="3"/>
  <c r="T721" i="3"/>
  <c r="T1123" i="3"/>
  <c r="T1352" i="3"/>
  <c r="T1940" i="3"/>
  <c r="T720" i="3"/>
  <c r="T1125" i="3"/>
  <c r="T2278" i="3"/>
  <c r="T1939" i="3"/>
  <c r="T1049" i="3"/>
  <c r="T2243" i="3"/>
  <c r="T1989" i="3"/>
  <c r="T2058" i="3"/>
  <c r="T2204" i="3"/>
  <c r="T1815" i="3"/>
  <c r="T2230" i="3"/>
  <c r="T1753" i="3"/>
  <c r="T1169" i="3"/>
  <c r="T1759" i="3"/>
  <c r="T677" i="3"/>
  <c r="T990" i="3"/>
  <c r="T2089" i="3"/>
  <c r="T1190" i="3"/>
  <c r="T2326" i="3"/>
  <c r="T1793" i="3"/>
  <c r="T628" i="3"/>
  <c r="T1874" i="3"/>
  <c r="T1447" i="3"/>
  <c r="T2122" i="3"/>
  <c r="T2247" i="3"/>
  <c r="T2325" i="3"/>
  <c r="T2019" i="3"/>
  <c r="T1996" i="3"/>
  <c r="T1342" i="3"/>
  <c r="T1058" i="3"/>
  <c r="T2080" i="3"/>
  <c r="T683" i="3"/>
  <c r="T1007" i="3"/>
  <c r="T1286" i="3"/>
  <c r="T1543" i="3"/>
  <c r="T2253" i="3"/>
  <c r="T1389" i="3"/>
  <c r="T2158" i="3"/>
  <c r="T671" i="3"/>
  <c r="T917" i="3"/>
  <c r="T2244" i="3"/>
  <c r="T2241" i="3"/>
  <c r="T1791" i="3"/>
  <c r="T2041" i="3"/>
  <c r="T848" i="3"/>
  <c r="T636" i="3"/>
  <c r="T2367" i="3"/>
  <c r="T2371" i="3"/>
  <c r="T610" i="3"/>
  <c r="T860" i="3"/>
  <c r="T1924" i="3"/>
  <c r="T1972" i="3"/>
  <c r="T2126" i="3"/>
  <c r="T1891" i="3"/>
  <c r="T857" i="3"/>
  <c r="T2034" i="3"/>
  <c r="T2125" i="3"/>
  <c r="T1892" i="3"/>
  <c r="T1641" i="3"/>
  <c r="T1637" i="3"/>
  <c r="T2129" i="3"/>
  <c r="T1893" i="3"/>
  <c r="T1640" i="3"/>
  <c r="T1378" i="3"/>
  <c r="T1192" i="3"/>
  <c r="T662" i="3"/>
  <c r="T1583" i="3"/>
  <c r="T1582" i="3"/>
  <c r="T1536" i="3"/>
  <c r="T1044" i="3"/>
  <c r="T1241" i="3"/>
  <c r="T1290" i="3"/>
  <c r="T1350" i="3"/>
  <c r="T1475" i="3"/>
  <c r="T1658" i="3"/>
  <c r="T2170" i="3"/>
  <c r="T1803" i="3"/>
  <c r="T1839" i="3"/>
  <c r="T2068" i="3"/>
  <c r="T2227" i="3"/>
  <c r="T962" i="3"/>
  <c r="T1168" i="3"/>
  <c r="T1468" i="3"/>
  <c r="T1780" i="3"/>
  <c r="T2095" i="3"/>
  <c r="T1596" i="3"/>
  <c r="T2176" i="3"/>
  <c r="T1147" i="3"/>
  <c r="T2008" i="3"/>
  <c r="T2085" i="3"/>
  <c r="T1269" i="3"/>
  <c r="T1365" i="3"/>
  <c r="T1648" i="3"/>
  <c r="T1649" i="3"/>
  <c r="T1967" i="3"/>
  <c r="T1968" i="3"/>
  <c r="T2021" i="3"/>
  <c r="T2024" i="3"/>
  <c r="T1081" i="3"/>
  <c r="T797" i="3"/>
  <c r="T870" i="3"/>
  <c r="T2077" i="3"/>
  <c r="T1499" i="3"/>
  <c r="T1656" i="3"/>
  <c r="T1443" i="3"/>
  <c r="T2067" i="3"/>
  <c r="T2271" i="3"/>
  <c r="T781" i="3"/>
  <c r="T1387" i="3"/>
  <c r="T673" i="3"/>
  <c r="T1215" i="3"/>
  <c r="T2330" i="3"/>
  <c r="T1611" i="3"/>
  <c r="T852" i="3"/>
  <c r="T2007" i="3"/>
  <c r="T1282" i="3"/>
  <c r="T2292" i="3"/>
  <c r="T2293" i="3"/>
  <c r="T2294" i="3"/>
  <c r="T2296" i="3"/>
  <c r="T2291" i="3"/>
  <c r="T2295" i="3"/>
  <c r="T912" i="3"/>
  <c r="T1374" i="3"/>
  <c r="T2194" i="3"/>
  <c r="T731" i="3"/>
  <c r="T887" i="3"/>
  <c r="T2066" i="3"/>
  <c r="T783" i="3"/>
  <c r="T2144" i="3"/>
  <c r="T674" i="3"/>
  <c r="T1606" i="3"/>
  <c r="T853" i="3"/>
  <c r="T2331" i="3"/>
  <c r="T2314" i="3"/>
  <c r="T1411" i="3"/>
  <c r="T2001" i="3"/>
  <c r="T2297" i="3"/>
  <c r="T2299" i="3"/>
  <c r="T2300" i="3"/>
  <c r="T1840" i="3"/>
  <c r="T1841" i="3"/>
  <c r="T2208" i="3"/>
  <c r="T2207" i="3"/>
  <c r="T2217" i="3"/>
  <c r="T2218" i="3"/>
  <c r="T1225" i="3"/>
  <c r="T2023" i="3"/>
  <c r="T1212" i="3"/>
  <c r="T821" i="3"/>
  <c r="T881" i="3"/>
  <c r="T2223" i="3"/>
  <c r="T1547" i="3"/>
  <c r="T1899" i="3"/>
  <c r="T1491" i="3"/>
  <c r="T2073" i="3"/>
  <c r="T2198" i="3"/>
  <c r="T2143" i="3"/>
  <c r="T1666" i="3"/>
  <c r="T1227" i="3"/>
  <c r="T1659" i="3"/>
  <c r="T1135" i="3"/>
  <c r="T850" i="3"/>
  <c r="T1102" i="3"/>
  <c r="T1148" i="3"/>
  <c r="T1364" i="3"/>
  <c r="T1114" i="3"/>
  <c r="T1318" i="3"/>
  <c r="T1413" i="3"/>
  <c r="T1762" i="3"/>
  <c r="T2141" i="3"/>
  <c r="T2140" i="3"/>
  <c r="T2249" i="3"/>
  <c r="T2251" i="3"/>
  <c r="T2248" i="3"/>
  <c r="T2304" i="3"/>
  <c r="T2303" i="3"/>
  <c r="T2225" i="3"/>
  <c r="T2224" i="3"/>
  <c r="T2015" i="3"/>
  <c r="T2016" i="3"/>
  <c r="T807" i="3"/>
  <c r="T1060" i="3"/>
  <c r="T883" i="3"/>
  <c r="T1298" i="3"/>
  <c r="T743" i="3"/>
  <c r="T1898" i="3"/>
  <c r="T2069" i="3"/>
  <c r="T2168" i="3"/>
  <c r="T1587" i="3"/>
  <c r="T1622" i="3"/>
  <c r="T2142" i="3"/>
  <c r="T967" i="3"/>
  <c r="T1665" i="3"/>
  <c r="T2307" i="3"/>
  <c r="T2048" i="3"/>
  <c r="T951" i="3"/>
  <c r="T1035" i="3"/>
  <c r="T980" i="3"/>
  <c r="T854" i="3"/>
  <c r="T1502" i="3"/>
  <c r="T1646" i="3"/>
  <c r="T970" i="3"/>
  <c r="T1391" i="3"/>
  <c r="T1392" i="3"/>
  <c r="T2115" i="3"/>
  <c r="T2116" i="3"/>
  <c r="T1694" i="3"/>
  <c r="T1693" i="3"/>
  <c r="T1925" i="3"/>
  <c r="T1926" i="3"/>
  <c r="T694" i="3"/>
  <c r="T695" i="3"/>
  <c r="T2159" i="3"/>
  <c r="T2162" i="3"/>
  <c r="T2160" i="3"/>
  <c r="T2161" i="3"/>
  <c r="T1057" i="3"/>
  <c r="T1056" i="3"/>
  <c r="T2022" i="3"/>
  <c r="T2196" i="3"/>
  <c r="T809" i="3"/>
  <c r="T1601" i="3"/>
  <c r="T1061" i="3"/>
  <c r="T2323" i="3"/>
  <c r="T1571" i="3"/>
  <c r="T1897" i="3"/>
  <c r="T1304" i="3"/>
  <c r="T2167" i="3"/>
  <c r="T1621" i="3"/>
  <c r="T1513" i="3"/>
  <c r="T2234" i="3"/>
  <c r="T2145" i="3"/>
  <c r="T1663" i="3"/>
  <c r="T1238" i="3"/>
  <c r="T1867" i="3"/>
  <c r="T1036" i="3"/>
  <c r="T1158" i="3"/>
  <c r="T849" i="3"/>
  <c r="T1991" i="3"/>
  <c r="T1639" i="3"/>
  <c r="T1330" i="3"/>
  <c r="T1437" i="3"/>
  <c r="T1887" i="3"/>
  <c r="T1886" i="3"/>
  <c r="T1961" i="3"/>
  <c r="T1960" i="3"/>
  <c r="T1962" i="3"/>
  <c r="T2319" i="3"/>
  <c r="T2318" i="3"/>
  <c r="T2003" i="3"/>
  <c r="T2002" i="3"/>
  <c r="T1025" i="3"/>
  <c r="T1028" i="3"/>
  <c r="T2166" i="3"/>
  <c r="T811" i="3"/>
  <c r="T1132" i="3"/>
  <c r="T1896" i="3"/>
  <c r="T1624" i="3"/>
  <c r="T2064" i="3"/>
  <c r="T1970" i="3"/>
  <c r="T1076" i="3"/>
  <c r="T1822" i="3"/>
  <c r="T2174" i="3"/>
  <c r="T927" i="3"/>
  <c r="T2018" i="3"/>
  <c r="T1771" i="3"/>
  <c r="T1642" i="3"/>
  <c r="T2083" i="3"/>
  <c r="T2333" i="3"/>
  <c r="T2332" i="3"/>
  <c r="T2147" i="3"/>
  <c r="T2148" i="3"/>
  <c r="T1375" i="3"/>
  <c r="T1376" i="3"/>
  <c r="T960" i="3"/>
  <c r="T1188" i="3"/>
  <c r="T810" i="3"/>
  <c r="T1008" i="3"/>
  <c r="T1927" i="3"/>
  <c r="T905" i="3"/>
  <c r="T1506" i="3"/>
  <c r="T635" i="3"/>
  <c r="T1895" i="3"/>
  <c r="T1473" i="3"/>
  <c r="T2043" i="3"/>
  <c r="T1558" i="3"/>
  <c r="T1620" i="3"/>
  <c r="T1598" i="3"/>
  <c r="T2261" i="3"/>
  <c r="T1821" i="3"/>
  <c r="T2212" i="3"/>
  <c r="T926" i="3"/>
  <c r="T1310" i="3"/>
  <c r="T2135" i="3"/>
  <c r="T1071" i="3"/>
  <c r="T1472" i="3"/>
  <c r="T1767" i="3"/>
  <c r="T1796" i="3"/>
  <c r="T2219" i="3"/>
  <c r="T2369" i="3"/>
  <c r="T2368" i="3"/>
  <c r="T2076" i="3"/>
  <c r="T2075" i="3"/>
  <c r="T2355" i="3"/>
  <c r="T2354" i="3"/>
  <c r="T2153" i="3"/>
  <c r="T2154" i="3"/>
  <c r="T839" i="3"/>
  <c r="T612" i="3"/>
  <c r="T732" i="3"/>
  <c r="T806" i="3"/>
  <c r="T1027" i="3"/>
  <c r="T906" i="3"/>
  <c r="T1243" i="3"/>
  <c r="T1504" i="3"/>
  <c r="T737" i="3"/>
  <c r="T931" i="3"/>
  <c r="T1291" i="3"/>
  <c r="T713" i="3"/>
  <c r="T1772" i="3"/>
  <c r="T1894" i="3"/>
  <c r="T1250" i="3"/>
  <c r="T1557" i="3"/>
  <c r="T1633" i="3"/>
  <c r="T2078" i="3"/>
  <c r="T2260" i="3"/>
  <c r="T2210" i="3"/>
  <c r="T2175" i="3"/>
  <c r="T1471" i="3"/>
  <c r="T1770" i="3"/>
  <c r="T944" i="3"/>
  <c r="T1593" i="3"/>
  <c r="T1918" i="3"/>
  <c r="T1066" i="3"/>
  <c r="T1804" i="3"/>
  <c r="T1805" i="3"/>
  <c r="T2107" i="3"/>
  <c r="T2106" i="3"/>
  <c r="T2280" i="3"/>
  <c r="T2279" i="3"/>
  <c r="T2281" i="3"/>
  <c r="T2282" i="3"/>
  <c r="T2283" i="3"/>
  <c r="T2287" i="3"/>
  <c r="T2288" i="3"/>
  <c r="T2284" i="3"/>
  <c r="T2045" i="3"/>
  <c r="T2044" i="3"/>
  <c r="T971" i="3"/>
  <c r="T1020" i="3"/>
  <c r="T1182" i="3"/>
  <c r="T2056" i="3"/>
  <c r="T1242" i="3"/>
  <c r="T1098" i="3"/>
  <c r="T738" i="3"/>
  <c r="T929" i="3"/>
  <c r="T647" i="3"/>
  <c r="T1657" i="3"/>
  <c r="T1901" i="3"/>
  <c r="T2072" i="3"/>
  <c r="T1004" i="3"/>
  <c r="T1556" i="3"/>
  <c r="T2258" i="3"/>
  <c r="T2012" i="3"/>
  <c r="T913" i="3"/>
  <c r="T1538" i="3"/>
  <c r="T2209" i="3"/>
  <c r="T1478" i="3"/>
  <c r="T1340" i="3"/>
  <c r="T1469" i="3"/>
  <c r="T1769" i="3"/>
  <c r="T942" i="3"/>
  <c r="T1592" i="3"/>
  <c r="T1988" i="3"/>
  <c r="T1990" i="3"/>
  <c r="T2335" i="3"/>
  <c r="T2006" i="3"/>
  <c r="T1258" i="3"/>
  <c r="T1354" i="3"/>
  <c r="T1954" i="3"/>
  <c r="T1973" i="3"/>
  <c r="T1974" i="3"/>
  <c r="T1608" i="3"/>
  <c r="T1607" i="3"/>
  <c r="T1958" i="3"/>
  <c r="T1959" i="3"/>
  <c r="T1956" i="3"/>
  <c r="T1955" i="3"/>
  <c r="T2105" i="3"/>
  <c r="T2104" i="3"/>
  <c r="T804" i="3"/>
  <c r="T805" i="3"/>
  <c r="T1022" i="3"/>
  <c r="T1026" i="3"/>
  <c r="T1386" i="3"/>
  <c r="T2285" i="3"/>
  <c r="T1156" i="3"/>
  <c r="T1240" i="3"/>
  <c r="T1110" i="3"/>
  <c r="T1326" i="3"/>
  <c r="T648" i="3"/>
  <c r="T803" i="3"/>
  <c r="T1018" i="3"/>
  <c r="T1655" i="3"/>
  <c r="T2172" i="3"/>
  <c r="T2306" i="3"/>
  <c r="T2071" i="3"/>
  <c r="T1005" i="3"/>
  <c r="T1560" i="3"/>
  <c r="T1034" i="3"/>
  <c r="T2128" i="3"/>
  <c r="T2321" i="3"/>
  <c r="T1040" i="3"/>
  <c r="T1166" i="3"/>
  <c r="T987" i="3"/>
  <c r="T1467" i="3"/>
  <c r="T1280" i="3"/>
  <c r="T1595" i="3"/>
  <c r="T2000" i="3"/>
  <c r="T1872" i="3"/>
  <c r="T1871" i="3"/>
  <c r="T1554" i="3"/>
  <c r="T1555" i="3"/>
  <c r="T2262" i="3"/>
  <c r="T2263" i="3"/>
  <c r="T2336" i="3"/>
  <c r="T2337" i="3"/>
  <c r="T1662" i="3"/>
  <c r="T1661" i="3"/>
  <c r="T1416" i="3"/>
  <c r="T1245" i="3"/>
  <c r="T2004" i="3"/>
  <c r="T1474" i="3"/>
  <c r="T1774" i="3"/>
  <c r="T2070" i="3"/>
  <c r="T2131" i="3"/>
  <c r="T2320" i="3"/>
  <c r="T1975" i="3"/>
  <c r="T2276" i="3"/>
  <c r="T2103" i="3"/>
  <c r="T1999" i="3"/>
  <c r="T2221" i="3"/>
  <c r="T1997" i="3"/>
  <c r="T1998" i="3"/>
  <c r="T2316" i="3"/>
  <c r="T2315" i="3"/>
  <c r="T2317" i="3"/>
  <c r="T1734" i="3"/>
  <c r="T1733" i="3"/>
  <c r="AE2233" i="3"/>
  <c r="AE2318" i="3"/>
  <c r="AE2258" i="3"/>
  <c r="AE2017" i="3"/>
  <c r="AE1917" i="3"/>
  <c r="AE1620" i="3"/>
  <c r="AE1546" i="3"/>
  <c r="AE1238" i="3"/>
  <c r="AE987" i="3"/>
  <c r="AE942" i="3"/>
  <c r="AE911" i="3"/>
  <c r="AE926" i="3"/>
  <c r="AE804" i="3"/>
  <c r="AE2303" i="3"/>
  <c r="AE1838" i="3"/>
  <c r="AE1646" i="3"/>
  <c r="AE1592" i="3"/>
  <c r="AE1535" i="3"/>
  <c r="AE1310" i="3"/>
  <c r="AE1156" i="3"/>
  <c r="AE1113" i="3"/>
  <c r="AE1056" i="3"/>
  <c r="AE971" i="3"/>
  <c r="AE1080" i="3"/>
  <c r="AE796" i="3"/>
  <c r="AE730" i="3"/>
  <c r="AE2106" i="3"/>
  <c r="AE2224" i="3"/>
  <c r="AE2313" i="3"/>
  <c r="AE2094" i="3"/>
  <c r="AE1582" i="3"/>
  <c r="AE1504" i="3"/>
  <c r="AE1281" i="3"/>
  <c r="AE1387" i="3"/>
  <c r="AE1226" i="3"/>
  <c r="AE1249" i="3"/>
  <c r="AE1146" i="3"/>
  <c r="AE1109" i="3"/>
  <c r="AE967" i="3"/>
  <c r="AE2279" i="3"/>
  <c r="AE2147" i="3"/>
  <c r="AE2142" i="3"/>
  <c r="AE1537" i="3"/>
  <c r="AE1556" i="3"/>
  <c r="AE1474" i="3"/>
  <c r="AE1214" i="3"/>
  <c r="AE1375" i="3"/>
  <c r="AE1257" i="3"/>
  <c r="AE1101" i="3"/>
  <c r="AE1025" i="3"/>
  <c r="AE713" i="3"/>
  <c r="AE781" i="3"/>
  <c r="AE848" i="3"/>
  <c r="AE2207" i="3"/>
  <c r="AE2291" i="3"/>
  <c r="AE2084" i="3"/>
  <c r="AE1597" i="3"/>
  <c r="AE1467" i="3"/>
  <c r="AE1349" i="3"/>
  <c r="AE904" i="3"/>
  <c r="AE1071" i="3"/>
  <c r="AE1097" i="3"/>
  <c r="AE969" i="3"/>
  <c r="AE869" i="3"/>
  <c r="AE673" i="3"/>
  <c r="AE742" i="3"/>
  <c r="AE634" i="3"/>
  <c r="AE2159" i="3"/>
  <c r="AE2226" i="3"/>
  <c r="AE2173" i="3"/>
  <c r="AE2217" i="3"/>
  <c r="AE1999" i="3"/>
  <c r="AE1632" i="3"/>
  <c r="AE1661" i="3"/>
  <c r="AE1269" i="3"/>
  <c r="AE979" i="3"/>
  <c r="AE1060" i="3"/>
  <c r="AE1008" i="3"/>
  <c r="AE646" i="3"/>
  <c r="AE661" i="3"/>
  <c r="AE1772" i="3"/>
  <c r="AE2222" i="3"/>
  <c r="AE1502" i="3"/>
  <c r="AE2075" i="3"/>
  <c r="AE2209" i="3"/>
  <c r="AE2064" i="3"/>
  <c r="AE1166" i="3"/>
  <c r="AE1413" i="3"/>
  <c r="AE1035" i="3"/>
  <c r="AE1224" i="3"/>
  <c r="AE881" i="3"/>
  <c r="AE929" i="3"/>
  <c r="AE802" i="3"/>
  <c r="AE2335" i="3"/>
  <c r="AE2354" i="3"/>
  <c r="AE2077" i="3"/>
  <c r="AE2305" i="3"/>
  <c r="AE2153" i="3"/>
  <c r="AE2056" i="3"/>
  <c r="AE2021" i="3"/>
  <c r="AE2130" i="3"/>
  <c r="AE2066" i="3"/>
  <c r="AE2170" i="3"/>
  <c r="AE1385" i="3"/>
  <c r="AE1033" i="3"/>
  <c r="AE839" i="3"/>
  <c r="AE2195" i="3"/>
  <c r="AE1960" i="3"/>
  <c r="AE1767" i="3"/>
  <c r="AE1663" i="3"/>
  <c r="AE1325" i="3"/>
  <c r="AE1365" i="3"/>
  <c r="AE1437" i="3"/>
  <c r="AE1240" i="3"/>
  <c r="AE1411" i="3"/>
  <c r="AE1065" i="3"/>
  <c r="AE1187" i="3"/>
  <c r="AE1158" i="3"/>
  <c r="AE820" i="3"/>
  <c r="AE1020" i="3"/>
  <c r="AE2102" i="3"/>
  <c r="AE2193" i="3"/>
  <c r="AE1605" i="3"/>
  <c r="AE1304" i="3"/>
  <c r="AE2322" i="3"/>
  <c r="AE2134" i="3"/>
  <c r="AE1654" i="3"/>
  <c r="AE1363" i="3"/>
  <c r="AE1132" i="3"/>
  <c r="AE1044" i="3"/>
  <c r="AE1148" i="3"/>
  <c r="AE951" i="3"/>
  <c r="AE1003" i="3"/>
  <c r="AE2044" i="3"/>
  <c r="AE1779" i="3"/>
  <c r="AE1513" i="3"/>
  <c r="AE1498" i="3"/>
  <c r="AE2329" i="3"/>
  <c r="AE1802" i="3"/>
  <c r="AE1289" i="3"/>
  <c r="AE2270" i="3"/>
  <c r="AE2082" i="3"/>
  <c r="AE1761" i="3"/>
  <c r="AE1490" i="3"/>
  <c r="AE1442" i="3"/>
  <c r="AE737" i="3"/>
  <c r="AE2262" i="3"/>
  <c r="AE1953" i="3"/>
  <c r="AE2048" i="3"/>
  <c r="AE2015" i="3"/>
  <c r="AE1894" i="3"/>
  <c r="AE1553" i="3"/>
  <c r="AE1601" i="3"/>
  <c r="AE1373" i="3"/>
  <c r="AE1298" i="3"/>
  <c r="AE1212" i="3"/>
  <c r="AE961" i="3"/>
  <c r="AE913" i="3"/>
  <c r="AE886" i="3"/>
  <c r="T2" i="5"/>
  <c r="W2" i="3"/>
  <c r="R579" i="3"/>
  <c r="AD579" i="3" s="1"/>
  <c r="T579" i="3" s="1"/>
  <c r="R578" i="3"/>
  <c r="AD578" i="3" s="1"/>
  <c r="T578" i="3" s="1"/>
  <c r="R577" i="3"/>
  <c r="AD577" i="3" s="1"/>
  <c r="T577" i="3" s="1"/>
  <c r="R574" i="3"/>
  <c r="AD574" i="3" s="1"/>
  <c r="T574" i="3" s="1"/>
  <c r="R571" i="3"/>
  <c r="AD571" i="3" s="1"/>
  <c r="T571" i="3" s="1"/>
  <c r="R570" i="3"/>
  <c r="AD570" i="3" s="1"/>
  <c r="T570" i="3" s="1"/>
  <c r="R568" i="3"/>
  <c r="AD568" i="3" s="1"/>
  <c r="T568" i="3" s="1"/>
  <c r="R567" i="3"/>
  <c r="AD567" i="3" s="1"/>
  <c r="T567" i="3" s="1"/>
  <c r="R563" i="3"/>
  <c r="AD563" i="3" s="1"/>
  <c r="T563" i="3" s="1"/>
  <c r="R561" i="3"/>
  <c r="AD561" i="3" s="1"/>
  <c r="T561" i="3" s="1"/>
  <c r="R559" i="3"/>
  <c r="AD559" i="3" s="1"/>
  <c r="T559" i="3" s="1"/>
  <c r="R551" i="3"/>
  <c r="AD551" i="3" s="1"/>
  <c r="T551" i="3" s="1"/>
  <c r="R548" i="3"/>
  <c r="AD548" i="3" s="1"/>
  <c r="T548" i="3" s="1"/>
  <c r="R536" i="3"/>
  <c r="AD536" i="3" s="1"/>
  <c r="T536" i="3" s="1"/>
  <c r="R533" i="3"/>
  <c r="AD533" i="3" s="1"/>
  <c r="T533" i="3" s="1"/>
  <c r="R532" i="3"/>
  <c r="AD532" i="3" s="1"/>
  <c r="T532" i="3" s="1"/>
  <c r="R528" i="3"/>
  <c r="AD528" i="3" s="1"/>
  <c r="T528" i="3" s="1"/>
  <c r="R527" i="3"/>
  <c r="AD527" i="3" s="1"/>
  <c r="T527" i="3" s="1"/>
  <c r="R526" i="3"/>
  <c r="AD526" i="3" s="1"/>
  <c r="T526" i="3" s="1"/>
  <c r="R524" i="3"/>
  <c r="AD524" i="3" s="1"/>
  <c r="T524" i="3" s="1"/>
  <c r="R523" i="3"/>
  <c r="AD523" i="3" s="1"/>
  <c r="T523" i="3" s="1"/>
  <c r="R519" i="3"/>
  <c r="AD519" i="3" s="1"/>
  <c r="T519" i="3" s="1"/>
  <c r="R518" i="3"/>
  <c r="AD518" i="3" s="1"/>
  <c r="T518" i="3" s="1"/>
  <c r="R514" i="3"/>
  <c r="AD514" i="3" s="1"/>
  <c r="T514" i="3" s="1"/>
  <c r="R510" i="3"/>
  <c r="AD510" i="3" s="1"/>
  <c r="T510" i="3" s="1"/>
  <c r="R508" i="3"/>
  <c r="AD508" i="3" s="1"/>
  <c r="T508" i="3" s="1"/>
  <c r="R507" i="3"/>
  <c r="AD507" i="3" s="1"/>
  <c r="T507" i="3" s="1"/>
  <c r="R506" i="3"/>
  <c r="AD506" i="3" s="1"/>
  <c r="T506" i="3" s="1"/>
  <c r="R504" i="3"/>
  <c r="AD504" i="3" s="1"/>
  <c r="T504" i="3" s="1"/>
  <c r="R502" i="3"/>
  <c r="AD502" i="3" s="1"/>
  <c r="T502" i="3" s="1"/>
  <c r="R496" i="3"/>
  <c r="AD496" i="3" s="1"/>
  <c r="T496" i="3" s="1"/>
  <c r="R480" i="3"/>
  <c r="AD480" i="3" s="1"/>
  <c r="T480" i="3" s="1"/>
  <c r="R479" i="3"/>
  <c r="AD479" i="3" s="1"/>
  <c r="T479" i="3" s="1"/>
  <c r="R478" i="3"/>
  <c r="AD478" i="3" s="1"/>
  <c r="T478" i="3" s="1"/>
  <c r="R469" i="3"/>
  <c r="AD469" i="3" s="1"/>
  <c r="T469" i="3" s="1"/>
  <c r="R460" i="3"/>
  <c r="AD460" i="3" s="1"/>
  <c r="T460" i="3" s="1"/>
  <c r="R459" i="3"/>
  <c r="AD459" i="3" s="1"/>
  <c r="T459" i="3" s="1"/>
  <c r="R458" i="3"/>
  <c r="AD458" i="3" s="1"/>
  <c r="T458" i="3" s="1"/>
  <c r="R457" i="3"/>
  <c r="AD457" i="3" s="1"/>
  <c r="T457" i="3" s="1"/>
  <c r="R443" i="3"/>
  <c r="AD443" i="3" s="1"/>
  <c r="T443" i="3" s="1"/>
  <c r="R434" i="3"/>
  <c r="AD434" i="3" s="1"/>
  <c r="T434" i="3" s="1"/>
  <c r="R433" i="3"/>
  <c r="AD433" i="3" s="1"/>
  <c r="T433" i="3" s="1"/>
  <c r="R432" i="3"/>
  <c r="AD432" i="3" s="1"/>
  <c r="T432" i="3" s="1"/>
  <c r="R431" i="3"/>
  <c r="AD431" i="3" s="1"/>
  <c r="T431" i="3" s="1"/>
  <c r="R430" i="3"/>
  <c r="AD430" i="3" s="1"/>
  <c r="T430" i="3" s="1"/>
  <c r="R429" i="3"/>
  <c r="AD429" i="3" s="1"/>
  <c r="T429" i="3" s="1"/>
  <c r="R425" i="3"/>
  <c r="AD425" i="3" s="1"/>
  <c r="T425" i="3" s="1"/>
  <c r="R403" i="3"/>
  <c r="AD403" i="3" s="1"/>
  <c r="T403" i="3" s="1"/>
  <c r="R392" i="3"/>
  <c r="AD392" i="3" s="1"/>
  <c r="T392" i="3" s="1"/>
  <c r="R388" i="3"/>
  <c r="AD388" i="3" s="1"/>
  <c r="T388" i="3" s="1"/>
  <c r="R386" i="3"/>
  <c r="AD386" i="3" s="1"/>
  <c r="T386" i="3" s="1"/>
  <c r="R385" i="3"/>
  <c r="AD385" i="3" s="1"/>
  <c r="T385" i="3" s="1"/>
  <c r="R383" i="3"/>
  <c r="AD383" i="3" s="1"/>
  <c r="T383" i="3" s="1"/>
  <c r="R378" i="3"/>
  <c r="AD378" i="3" s="1"/>
  <c r="T378" i="3" s="1"/>
  <c r="R377" i="3"/>
  <c r="AD377" i="3" s="1"/>
  <c r="T377" i="3" s="1"/>
  <c r="R370" i="3"/>
  <c r="AD370" i="3" s="1"/>
  <c r="T370" i="3" s="1"/>
  <c r="R369" i="3"/>
  <c r="AD369" i="3" s="1"/>
  <c r="T369" i="3" s="1"/>
  <c r="R368" i="3"/>
  <c r="AD368" i="3" s="1"/>
  <c r="T368" i="3" s="1"/>
  <c r="R364" i="3"/>
  <c r="AD364" i="3" s="1"/>
  <c r="T364" i="3" s="1"/>
  <c r="R349" i="3"/>
  <c r="AD349" i="3" s="1"/>
  <c r="T349" i="3" s="1"/>
  <c r="R344" i="3"/>
  <c r="AD344" i="3" s="1"/>
  <c r="T344" i="3" s="1"/>
  <c r="R343" i="3"/>
  <c r="AD343" i="3" s="1"/>
  <c r="T343" i="3" s="1"/>
  <c r="R339" i="3"/>
  <c r="AD339" i="3" s="1"/>
  <c r="T339" i="3" s="1"/>
  <c r="R337" i="3"/>
  <c r="AD337" i="3" s="1"/>
  <c r="T337" i="3" s="1"/>
  <c r="R336" i="3"/>
  <c r="AD336" i="3" s="1"/>
  <c r="T336" i="3" s="1"/>
  <c r="R335" i="3"/>
  <c r="AD335" i="3" s="1"/>
  <c r="T335" i="3" s="1"/>
  <c r="R332" i="3"/>
  <c r="AD332" i="3" s="1"/>
  <c r="T332" i="3" s="1"/>
  <c r="R331" i="3"/>
  <c r="AD331" i="3" s="1"/>
  <c r="T331" i="3" s="1"/>
  <c r="R328" i="3"/>
  <c r="AD328" i="3" s="1"/>
  <c r="T328" i="3" s="1"/>
  <c r="R327" i="3"/>
  <c r="AD327" i="3" s="1"/>
  <c r="T327" i="3" s="1"/>
  <c r="R323" i="3"/>
  <c r="AD323" i="3" s="1"/>
  <c r="T323" i="3" s="1"/>
  <c r="R322" i="3"/>
  <c r="AD322" i="3" s="1"/>
  <c r="T322" i="3" s="1"/>
  <c r="R314" i="3"/>
  <c r="AD314" i="3" s="1"/>
  <c r="T314" i="3" s="1"/>
  <c r="R313" i="3"/>
  <c r="AD313" i="3" s="1"/>
  <c r="T313" i="3" s="1"/>
  <c r="R311" i="3"/>
  <c r="AD311" i="3" s="1"/>
  <c r="T311" i="3" s="1"/>
  <c r="R310" i="3"/>
  <c r="AD310" i="3" s="1"/>
  <c r="T310" i="3" s="1"/>
  <c r="R309" i="3"/>
  <c r="AD309" i="3" s="1"/>
  <c r="T309" i="3" s="1"/>
  <c r="R308" i="3"/>
  <c r="AD308" i="3" s="1"/>
  <c r="T308" i="3" s="1"/>
  <c r="R307" i="3"/>
  <c r="AD307" i="3" s="1"/>
  <c r="T307" i="3" s="1"/>
  <c r="R303" i="3"/>
  <c r="AD303" i="3" s="1"/>
  <c r="T303" i="3" s="1"/>
  <c r="R302" i="3"/>
  <c r="AD302" i="3" s="1"/>
  <c r="T302" i="3" s="1"/>
  <c r="R301" i="3"/>
  <c r="AD301" i="3" s="1"/>
  <c r="T301" i="3" s="1"/>
  <c r="R300" i="3"/>
  <c r="AD300" i="3" s="1"/>
  <c r="T300" i="3" s="1"/>
  <c r="R299" i="3"/>
  <c r="AD299" i="3" s="1"/>
  <c r="T299" i="3" s="1"/>
  <c r="R298" i="3"/>
  <c r="AD298" i="3" s="1"/>
  <c r="T298" i="3" s="1"/>
  <c r="R297" i="3"/>
  <c r="AD297" i="3" s="1"/>
  <c r="T297" i="3" s="1"/>
  <c r="R296" i="3"/>
  <c r="AD296" i="3" s="1"/>
  <c r="T296" i="3" s="1"/>
  <c r="R295" i="3"/>
  <c r="AD295" i="3" s="1"/>
  <c r="T295" i="3" s="1"/>
  <c r="R294" i="3"/>
  <c r="AD294" i="3" s="1"/>
  <c r="T294" i="3" s="1"/>
  <c r="R293" i="3"/>
  <c r="AD293" i="3" s="1"/>
  <c r="T293" i="3" s="1"/>
  <c r="R292" i="3"/>
  <c r="AD292" i="3" s="1"/>
  <c r="T292" i="3" s="1"/>
  <c r="R291" i="3"/>
  <c r="AD291" i="3" s="1"/>
  <c r="T291" i="3" s="1"/>
  <c r="R290" i="3"/>
  <c r="AD290" i="3" s="1"/>
  <c r="T290" i="3" s="1"/>
  <c r="R289" i="3"/>
  <c r="AD289" i="3" s="1"/>
  <c r="T289" i="3" s="1"/>
  <c r="R288" i="3"/>
  <c r="AD288" i="3" s="1"/>
  <c r="T288" i="3" s="1"/>
  <c r="R287" i="3"/>
  <c r="AD287" i="3" s="1"/>
  <c r="T287" i="3" s="1"/>
  <c r="R286" i="3"/>
  <c r="AD286" i="3" s="1"/>
  <c r="T286" i="3" s="1"/>
  <c r="R285" i="3"/>
  <c r="AD285" i="3" s="1"/>
  <c r="T285" i="3" s="1"/>
  <c r="R284" i="3"/>
  <c r="AD284" i="3" s="1"/>
  <c r="T284" i="3" s="1"/>
  <c r="R283" i="3"/>
  <c r="AD283" i="3" s="1"/>
  <c r="T283" i="3" s="1"/>
  <c r="R282" i="3"/>
  <c r="AD282" i="3" s="1"/>
  <c r="T282" i="3" s="1"/>
  <c r="R281" i="3"/>
  <c r="AD281" i="3" s="1"/>
  <c r="T281" i="3" s="1"/>
  <c r="R280" i="3"/>
  <c r="AD280" i="3" s="1"/>
  <c r="T280" i="3" s="1"/>
  <c r="R279" i="3"/>
  <c r="AD279" i="3" s="1"/>
  <c r="T279" i="3" s="1"/>
  <c r="R278" i="3"/>
  <c r="AD278" i="3" s="1"/>
  <c r="T278" i="3" s="1"/>
  <c r="R276" i="3"/>
  <c r="AD276" i="3" s="1"/>
  <c r="T276" i="3" s="1"/>
  <c r="R275" i="3"/>
  <c r="AD275" i="3" s="1"/>
  <c r="T275" i="3" s="1"/>
  <c r="R274" i="3"/>
  <c r="AD274" i="3" s="1"/>
  <c r="T274" i="3" s="1"/>
  <c r="R273" i="3"/>
  <c r="AD273" i="3" s="1"/>
  <c r="T273" i="3" s="1"/>
  <c r="R272" i="3"/>
  <c r="AD272" i="3" s="1"/>
  <c r="T272" i="3" s="1"/>
  <c r="R271" i="3"/>
  <c r="AD271" i="3" s="1"/>
  <c r="T271" i="3" s="1"/>
  <c r="R270" i="3"/>
  <c r="AD270" i="3" s="1"/>
  <c r="T270" i="3" s="1"/>
  <c r="R269" i="3"/>
  <c r="AD269" i="3" s="1"/>
  <c r="T269" i="3" s="1"/>
  <c r="R268" i="3"/>
  <c r="AD268" i="3" s="1"/>
  <c r="T268" i="3" s="1"/>
  <c r="R258" i="3"/>
  <c r="AD258" i="3" s="1"/>
  <c r="T258" i="3" s="1"/>
  <c r="R257" i="3"/>
  <c r="AD257" i="3" s="1"/>
  <c r="T257" i="3" s="1"/>
  <c r="R256" i="3"/>
  <c r="AD256" i="3" s="1"/>
  <c r="T256" i="3" s="1"/>
  <c r="R255" i="3"/>
  <c r="AD255" i="3" s="1"/>
  <c r="T255" i="3" s="1"/>
  <c r="R254" i="3"/>
  <c r="AD254" i="3" s="1"/>
  <c r="T254" i="3" s="1"/>
  <c r="R253" i="3"/>
  <c r="AD253" i="3" s="1"/>
  <c r="T253" i="3" s="1"/>
  <c r="R252" i="3"/>
  <c r="AD252" i="3" s="1"/>
  <c r="T252" i="3" s="1"/>
  <c r="R251" i="3"/>
  <c r="AD251" i="3" s="1"/>
  <c r="T251" i="3" s="1"/>
  <c r="R249" i="3"/>
  <c r="AD249" i="3" s="1"/>
  <c r="T249" i="3" s="1"/>
  <c r="R247" i="3"/>
  <c r="AD247" i="3" s="1"/>
  <c r="T247" i="3" s="1"/>
  <c r="R246" i="3"/>
  <c r="AD246" i="3" s="1"/>
  <c r="T246" i="3" s="1"/>
  <c r="R245" i="3"/>
  <c r="AD245" i="3" s="1"/>
  <c r="T245" i="3" s="1"/>
  <c r="R244" i="3"/>
  <c r="AD244" i="3" s="1"/>
  <c r="T244" i="3" s="1"/>
  <c r="R243" i="3"/>
  <c r="AD243" i="3" s="1"/>
  <c r="T243" i="3" s="1"/>
  <c r="R242" i="3"/>
  <c r="AD242" i="3" s="1"/>
  <c r="T242" i="3" s="1"/>
  <c r="R241" i="3"/>
  <c r="AD241" i="3" s="1"/>
  <c r="T241" i="3" s="1"/>
  <c r="R240" i="3"/>
  <c r="AD240" i="3" s="1"/>
  <c r="T240" i="3" s="1"/>
  <c r="R239" i="3"/>
  <c r="AD239" i="3" s="1"/>
  <c r="T239" i="3" s="1"/>
  <c r="R238" i="3"/>
  <c r="AD238" i="3" s="1"/>
  <c r="T238" i="3" s="1"/>
  <c r="R236" i="3"/>
  <c r="AD236" i="3" s="1"/>
  <c r="T236" i="3" s="1"/>
  <c r="R235" i="3"/>
  <c r="AD235" i="3" s="1"/>
  <c r="T235" i="3" s="1"/>
  <c r="R234" i="3"/>
  <c r="AD234" i="3" s="1"/>
  <c r="T234" i="3" s="1"/>
  <c r="R231" i="3"/>
  <c r="AD231" i="3" s="1"/>
  <c r="T231" i="3" s="1"/>
  <c r="R230" i="3"/>
  <c r="AD230" i="3" s="1"/>
  <c r="T230" i="3" s="1"/>
  <c r="R229" i="3"/>
  <c r="AD229" i="3" s="1"/>
  <c r="T229" i="3" s="1"/>
  <c r="R228" i="3"/>
  <c r="AD228" i="3" s="1"/>
  <c r="T228" i="3" s="1"/>
  <c r="R227" i="3"/>
  <c r="AD227" i="3" s="1"/>
  <c r="T227" i="3" s="1"/>
  <c r="R225" i="3"/>
  <c r="AD225" i="3" s="1"/>
  <c r="T225" i="3" s="1"/>
  <c r="R224" i="3"/>
  <c r="AD224" i="3" s="1"/>
  <c r="T224" i="3" s="1"/>
  <c r="R223" i="3"/>
  <c r="AD223" i="3" s="1"/>
  <c r="T223" i="3" s="1"/>
  <c r="R222" i="3"/>
  <c r="AD222" i="3" s="1"/>
  <c r="T222" i="3" s="1"/>
  <c r="R218" i="3"/>
  <c r="AD218" i="3" s="1"/>
  <c r="T218" i="3" s="1"/>
  <c r="R217" i="3"/>
  <c r="AD217" i="3" s="1"/>
  <c r="T217" i="3" s="1"/>
  <c r="R216" i="3"/>
  <c r="AD216" i="3" s="1"/>
  <c r="T216" i="3" s="1"/>
  <c r="R214" i="3"/>
  <c r="AD214" i="3" s="1"/>
  <c r="T214" i="3" s="1"/>
  <c r="R212" i="3"/>
  <c r="AD212" i="3" s="1"/>
  <c r="T212" i="3" s="1"/>
  <c r="R211" i="3"/>
  <c r="AD211" i="3" s="1"/>
  <c r="T211" i="3" s="1"/>
  <c r="R210" i="3"/>
  <c r="AD210" i="3" s="1"/>
  <c r="T210" i="3" s="1"/>
  <c r="R207" i="3"/>
  <c r="AD207" i="3" s="1"/>
  <c r="T207" i="3" s="1"/>
  <c r="R204" i="3"/>
  <c r="AD204" i="3" s="1"/>
  <c r="T204" i="3" s="1"/>
  <c r="R203" i="3"/>
  <c r="AD203" i="3" s="1"/>
  <c r="T203" i="3" s="1"/>
  <c r="R202" i="3"/>
  <c r="AD202" i="3" s="1"/>
  <c r="T202" i="3" s="1"/>
  <c r="R201" i="3"/>
  <c r="AD201" i="3" s="1"/>
  <c r="T201" i="3" s="1"/>
  <c r="R200" i="3"/>
  <c r="AD200" i="3" s="1"/>
  <c r="T200" i="3" s="1"/>
  <c r="R199" i="3"/>
  <c r="AD199" i="3" s="1"/>
  <c r="T199" i="3" s="1"/>
  <c r="R198" i="3"/>
  <c r="AD198" i="3" s="1"/>
  <c r="T198" i="3" s="1"/>
  <c r="R197" i="3"/>
  <c r="AD197" i="3" s="1"/>
  <c r="T197" i="3" s="1"/>
  <c r="R196" i="3"/>
  <c r="AD196" i="3" s="1"/>
  <c r="T196" i="3" s="1"/>
  <c r="R195" i="3"/>
  <c r="AD195" i="3" s="1"/>
  <c r="T195" i="3" s="1"/>
  <c r="R194" i="3"/>
  <c r="AD194" i="3" s="1"/>
  <c r="T194" i="3" s="1"/>
  <c r="R193" i="3"/>
  <c r="AD193" i="3" s="1"/>
  <c r="T193" i="3" s="1"/>
  <c r="R192" i="3"/>
  <c r="AD192" i="3" s="1"/>
  <c r="T192" i="3" s="1"/>
  <c r="R190" i="3"/>
  <c r="AD190" i="3" s="1"/>
  <c r="T190" i="3" s="1"/>
  <c r="R188" i="3"/>
  <c r="AD188" i="3" s="1"/>
  <c r="T188" i="3" s="1"/>
  <c r="R186" i="3"/>
  <c r="AD186" i="3" s="1"/>
  <c r="T186" i="3" s="1"/>
  <c r="R183" i="3"/>
  <c r="AD183" i="3" s="1"/>
  <c r="T183" i="3" s="1"/>
  <c r="R173" i="3"/>
  <c r="AD173" i="3" s="1"/>
  <c r="T173" i="3" s="1"/>
  <c r="R170" i="3"/>
  <c r="AD170" i="3" s="1"/>
  <c r="T170" i="3" s="1"/>
  <c r="R169" i="3"/>
  <c r="AD169" i="3" s="1"/>
  <c r="T169" i="3" s="1"/>
  <c r="R166" i="3"/>
  <c r="AD166" i="3" s="1"/>
  <c r="T166" i="3" s="1"/>
  <c r="R165" i="3"/>
  <c r="AD165" i="3" s="1"/>
  <c r="T165" i="3" s="1"/>
  <c r="R164" i="3"/>
  <c r="AD164" i="3" s="1"/>
  <c r="T164" i="3" s="1"/>
  <c r="R163" i="3"/>
  <c r="AD163" i="3" s="1"/>
  <c r="T163" i="3" s="1"/>
  <c r="R162" i="3"/>
  <c r="AD162" i="3" s="1"/>
  <c r="T162" i="3" s="1"/>
  <c r="R161" i="3"/>
  <c r="AD161" i="3" s="1"/>
  <c r="T161" i="3" s="1"/>
  <c r="R159" i="3"/>
  <c r="AD159" i="3" s="1"/>
  <c r="T159" i="3" s="1"/>
  <c r="R158" i="3"/>
  <c r="AD158" i="3" s="1"/>
  <c r="T158" i="3" s="1"/>
  <c r="R156" i="3"/>
  <c r="AD156" i="3" s="1"/>
  <c r="T156" i="3" s="1"/>
  <c r="R154" i="3"/>
  <c r="AD154" i="3" s="1"/>
  <c r="T154" i="3" s="1"/>
  <c r="R153" i="3"/>
  <c r="AD153" i="3" s="1"/>
  <c r="T153" i="3" s="1"/>
  <c r="R152" i="3"/>
  <c r="AD152" i="3" s="1"/>
  <c r="T152" i="3" s="1"/>
  <c r="R151" i="3"/>
  <c r="AD151" i="3" s="1"/>
  <c r="T151" i="3" s="1"/>
  <c r="R150" i="3"/>
  <c r="AD150" i="3" s="1"/>
  <c r="T150" i="3" s="1"/>
  <c r="R149" i="3"/>
  <c r="AD149" i="3" s="1"/>
  <c r="T149" i="3" s="1"/>
  <c r="R148" i="3"/>
  <c r="AD148" i="3" s="1"/>
  <c r="T148" i="3" s="1"/>
  <c r="R147" i="3"/>
  <c r="AD147" i="3" s="1"/>
  <c r="T147" i="3" s="1"/>
  <c r="R146" i="3"/>
  <c r="AD146" i="3" s="1"/>
  <c r="T146" i="3" s="1"/>
  <c r="R145" i="3"/>
  <c r="AD145" i="3" s="1"/>
  <c r="T145" i="3" s="1"/>
  <c r="R144" i="3"/>
  <c r="AD144" i="3" s="1"/>
  <c r="T144" i="3" s="1"/>
  <c r="R143" i="3"/>
  <c r="AD143" i="3" s="1"/>
  <c r="T143" i="3" s="1"/>
  <c r="R142" i="3"/>
  <c r="AD142" i="3" s="1"/>
  <c r="T142" i="3" s="1"/>
  <c r="R141" i="3"/>
  <c r="AD141" i="3" s="1"/>
  <c r="T141" i="3" s="1"/>
  <c r="R140" i="3"/>
  <c r="AD140" i="3" s="1"/>
  <c r="T140" i="3" s="1"/>
  <c r="R139" i="3"/>
  <c r="AD139" i="3" s="1"/>
  <c r="T139" i="3" s="1"/>
  <c r="R133" i="3"/>
  <c r="AD133" i="3" s="1"/>
  <c r="T133" i="3" s="1"/>
  <c r="R132" i="3"/>
  <c r="AD132" i="3" s="1"/>
  <c r="T132" i="3" s="1"/>
  <c r="R131" i="3"/>
  <c r="AD131" i="3" s="1"/>
  <c r="T131" i="3" s="1"/>
  <c r="R130" i="3"/>
  <c r="AD130" i="3" s="1"/>
  <c r="T130" i="3" s="1"/>
  <c r="R129" i="3"/>
  <c r="AD129" i="3" s="1"/>
  <c r="T129" i="3" s="1"/>
  <c r="R128" i="3"/>
  <c r="AD128" i="3" s="1"/>
  <c r="T128" i="3" s="1"/>
  <c r="R127" i="3"/>
  <c r="AD127" i="3" s="1"/>
  <c r="T127" i="3" s="1"/>
  <c r="R125" i="3"/>
  <c r="AD125" i="3" s="1"/>
  <c r="T125" i="3" s="1"/>
  <c r="R124" i="3"/>
  <c r="AD124" i="3" s="1"/>
  <c r="T124" i="3" s="1"/>
  <c r="R122" i="3"/>
  <c r="AD122" i="3" s="1"/>
  <c r="T122" i="3" s="1"/>
  <c r="R121" i="3"/>
  <c r="AD121" i="3" s="1"/>
  <c r="T121" i="3" s="1"/>
  <c r="R120" i="3"/>
  <c r="AD120" i="3" s="1"/>
  <c r="T120" i="3" s="1"/>
  <c r="R119" i="3"/>
  <c r="AD119" i="3" s="1"/>
  <c r="T119" i="3" s="1"/>
  <c r="R117" i="3"/>
  <c r="AD117" i="3" s="1"/>
  <c r="T117" i="3" s="1"/>
  <c r="R116" i="3"/>
  <c r="AD116" i="3" s="1"/>
  <c r="T116" i="3" s="1"/>
  <c r="R113" i="3"/>
  <c r="AD113" i="3" s="1"/>
  <c r="T113" i="3" s="1"/>
  <c r="R112" i="3"/>
  <c r="AD112" i="3" s="1"/>
  <c r="T112" i="3" s="1"/>
  <c r="R111" i="3"/>
  <c r="AD111" i="3" s="1"/>
  <c r="T111" i="3" s="1"/>
  <c r="R110" i="3"/>
  <c r="AD110" i="3" s="1"/>
  <c r="T110" i="3" s="1"/>
  <c r="R109" i="3"/>
  <c r="AD109" i="3" s="1"/>
  <c r="T109" i="3" s="1"/>
  <c r="R108" i="3"/>
  <c r="AD108" i="3" s="1"/>
  <c r="T108" i="3" s="1"/>
  <c r="R107" i="3"/>
  <c r="AD107" i="3" s="1"/>
  <c r="T107" i="3" s="1"/>
  <c r="R106" i="3"/>
  <c r="AD106" i="3" s="1"/>
  <c r="T106" i="3" s="1"/>
  <c r="R105" i="3"/>
  <c r="AD105" i="3" s="1"/>
  <c r="T105" i="3" s="1"/>
  <c r="R104" i="3"/>
  <c r="AD104" i="3" s="1"/>
  <c r="T104" i="3" s="1"/>
  <c r="R103" i="3"/>
  <c r="AD103" i="3" s="1"/>
  <c r="T103" i="3" s="1"/>
  <c r="R102" i="3"/>
  <c r="AD102" i="3" s="1"/>
  <c r="T102" i="3" s="1"/>
  <c r="R101" i="3"/>
  <c r="AD101" i="3" s="1"/>
  <c r="T101" i="3" s="1"/>
  <c r="R100" i="3"/>
  <c r="AD100" i="3" s="1"/>
  <c r="T100" i="3" s="1"/>
  <c r="R99" i="3"/>
  <c r="AD99" i="3" s="1"/>
  <c r="T99" i="3" s="1"/>
  <c r="R98" i="3"/>
  <c r="AD98" i="3" s="1"/>
  <c r="T98" i="3" s="1"/>
  <c r="R97" i="3"/>
  <c r="AD97" i="3" s="1"/>
  <c r="T97" i="3" s="1"/>
  <c r="R93" i="3"/>
  <c r="AD93" i="3" s="1"/>
  <c r="T93" i="3" s="1"/>
  <c r="R92" i="3"/>
  <c r="AD92" i="3" s="1"/>
  <c r="T92" i="3" s="1"/>
  <c r="R91" i="3"/>
  <c r="AD91" i="3" s="1"/>
  <c r="T91" i="3" s="1"/>
  <c r="R86" i="3"/>
  <c r="AD86" i="3" s="1"/>
  <c r="T86" i="3" s="1"/>
  <c r="R84" i="3"/>
  <c r="AD84" i="3" s="1"/>
  <c r="T84" i="3" s="1"/>
  <c r="R83" i="3"/>
  <c r="AD83" i="3" s="1"/>
  <c r="T83" i="3" s="1"/>
  <c r="R81" i="3"/>
  <c r="AD81" i="3" s="1"/>
  <c r="T81" i="3" s="1"/>
  <c r="R80" i="3"/>
  <c r="AD80" i="3" s="1"/>
  <c r="T80" i="3" s="1"/>
  <c r="R79" i="3"/>
  <c r="AD79" i="3" s="1"/>
  <c r="T79" i="3" s="1"/>
  <c r="R78" i="3"/>
  <c r="AD78" i="3" s="1"/>
  <c r="T78" i="3" s="1"/>
  <c r="R77" i="3"/>
  <c r="AD77" i="3" s="1"/>
  <c r="T77" i="3" s="1"/>
  <c r="R76" i="3"/>
  <c r="AD76" i="3" s="1"/>
  <c r="T76" i="3" s="1"/>
  <c r="R75" i="3"/>
  <c r="AD75" i="3" s="1"/>
  <c r="T75" i="3" s="1"/>
  <c r="R74" i="3"/>
  <c r="AD74" i="3" s="1"/>
  <c r="T74" i="3" s="1"/>
  <c r="R73" i="3"/>
  <c r="AD73" i="3" s="1"/>
  <c r="T73" i="3" s="1"/>
  <c r="R71" i="3"/>
  <c r="AD71" i="3" s="1"/>
  <c r="T71" i="3" s="1"/>
  <c r="R69" i="3"/>
  <c r="AD69" i="3" s="1"/>
  <c r="T69" i="3" s="1"/>
  <c r="R68" i="3"/>
  <c r="AD68" i="3" s="1"/>
  <c r="T68" i="3" s="1"/>
  <c r="R67" i="3"/>
  <c r="AD67" i="3" s="1"/>
  <c r="T67" i="3" s="1"/>
  <c r="R66" i="3"/>
  <c r="AD66" i="3" s="1"/>
  <c r="T66" i="3" s="1"/>
  <c r="R64" i="3"/>
  <c r="AD64" i="3" s="1"/>
  <c r="T64" i="3" s="1"/>
  <c r="R63" i="3"/>
  <c r="AD63" i="3" s="1"/>
  <c r="T63" i="3" s="1"/>
  <c r="R62" i="3"/>
  <c r="AD62" i="3" s="1"/>
  <c r="T62" i="3" s="1"/>
  <c r="R61" i="3"/>
  <c r="AD61" i="3" s="1"/>
  <c r="T61" i="3" s="1"/>
  <c r="R60" i="3"/>
  <c r="AD60" i="3" s="1"/>
  <c r="T60" i="3" s="1"/>
  <c r="R59" i="3"/>
  <c r="AD59" i="3" s="1"/>
  <c r="T59" i="3" s="1"/>
  <c r="R58" i="3"/>
  <c r="AD58" i="3" s="1"/>
  <c r="T58" i="3" s="1"/>
  <c r="R57" i="3"/>
  <c r="AD57" i="3" s="1"/>
  <c r="T57" i="3" s="1"/>
  <c r="R54" i="3"/>
  <c r="AD54" i="3" s="1"/>
  <c r="T54" i="3" s="1"/>
  <c r="R53" i="3"/>
  <c r="AD53" i="3" s="1"/>
  <c r="T53" i="3" s="1"/>
  <c r="R49" i="3"/>
  <c r="AD49" i="3" s="1"/>
  <c r="T49" i="3" s="1"/>
  <c r="R48" i="3"/>
  <c r="AD48" i="3" s="1"/>
  <c r="T48" i="3" s="1"/>
  <c r="R47" i="3"/>
  <c r="AD47" i="3" s="1"/>
  <c r="T47" i="3" s="1"/>
  <c r="R44" i="3"/>
  <c r="AD44" i="3" s="1"/>
  <c r="T44" i="3" s="1"/>
  <c r="R43" i="3"/>
  <c r="AD43" i="3" s="1"/>
  <c r="T43" i="3" s="1"/>
  <c r="R42" i="3"/>
  <c r="AD42" i="3" s="1"/>
  <c r="T42" i="3" s="1"/>
  <c r="R41" i="3"/>
  <c r="AD41" i="3" s="1"/>
  <c r="T41" i="3" s="1"/>
  <c r="R40" i="3"/>
  <c r="AD40" i="3" s="1"/>
  <c r="T40" i="3" s="1"/>
  <c r="R37" i="3"/>
  <c r="AD37" i="3" s="1"/>
  <c r="T37" i="3" s="1"/>
  <c r="R36" i="3"/>
  <c r="AD36" i="3" s="1"/>
  <c r="T36" i="3" s="1"/>
  <c r="R35" i="3"/>
  <c r="AD35" i="3" s="1"/>
  <c r="T35" i="3" s="1"/>
  <c r="R34" i="3"/>
  <c r="AD34" i="3" s="1"/>
  <c r="T34" i="3" s="1"/>
  <c r="R33" i="3"/>
  <c r="AD33" i="3" s="1"/>
  <c r="T33" i="3" s="1"/>
  <c r="R32" i="3"/>
  <c r="AD32" i="3" s="1"/>
  <c r="T32" i="3" s="1"/>
  <c r="R31" i="3"/>
  <c r="AD31" i="3" s="1"/>
  <c r="T31" i="3" s="1"/>
  <c r="R30" i="3"/>
  <c r="AD30" i="3" s="1"/>
  <c r="T30" i="3" s="1"/>
  <c r="R29" i="3"/>
  <c r="AD29" i="3" s="1"/>
  <c r="T29" i="3" s="1"/>
  <c r="R28" i="3"/>
  <c r="AD28" i="3" s="1"/>
  <c r="T28" i="3" s="1"/>
  <c r="R27" i="3"/>
  <c r="AD27" i="3" s="1"/>
  <c r="T27" i="3" s="1"/>
  <c r="R26" i="3"/>
  <c r="AD26" i="3" s="1"/>
  <c r="T26" i="3" s="1"/>
  <c r="R25" i="3"/>
  <c r="AD25" i="3" s="1"/>
  <c r="T25" i="3" s="1"/>
  <c r="R23" i="3"/>
  <c r="AD23" i="3" s="1"/>
  <c r="T23" i="3" s="1"/>
  <c r="R22" i="3"/>
  <c r="AD22" i="3" s="1"/>
  <c r="T22" i="3" s="1"/>
  <c r="R21" i="3"/>
  <c r="AD21" i="3" s="1"/>
  <c r="T21" i="3" s="1"/>
  <c r="R19" i="3"/>
  <c r="AD19" i="3" s="1"/>
  <c r="T19" i="3" s="1"/>
  <c r="R12" i="3"/>
  <c r="AD12" i="3" s="1"/>
  <c r="T12" i="3" s="1"/>
  <c r="R11" i="3"/>
  <c r="AD11" i="3" s="1"/>
  <c r="T11" i="3" s="1"/>
  <c r="R7" i="3"/>
  <c r="AD7" i="3" s="1"/>
  <c r="T7" i="3" s="1"/>
  <c r="R6" i="3"/>
  <c r="AD6" i="3" s="1"/>
  <c r="T6" i="3" s="1"/>
  <c r="R5" i="3"/>
  <c r="AD5" i="3" s="1"/>
  <c r="T5" i="3" s="1"/>
  <c r="R4" i="3"/>
  <c r="AD4" i="3" s="1"/>
  <c r="T4" i="3" s="1"/>
  <c r="R3" i="3"/>
  <c r="AD3" i="3" s="1"/>
  <c r="T3" i="3" s="1"/>
  <c r="O2" i="3"/>
  <c r="R2" i="3" s="1"/>
  <c r="R338" i="3" l="1"/>
  <c r="R350" i="3"/>
  <c r="R376" i="3"/>
  <c r="R394" i="3"/>
  <c r="R412" i="3"/>
  <c r="R422" i="3"/>
  <c r="R435" i="3"/>
  <c r="R449" i="3"/>
  <c r="R456" i="3"/>
  <c r="R516" i="3"/>
  <c r="R537" i="3"/>
  <c r="R549" i="3"/>
  <c r="R351" i="3"/>
  <c r="R356" i="3"/>
  <c r="R395" i="3"/>
  <c r="R416" i="3"/>
  <c r="R423" i="3"/>
  <c r="R436" i="3"/>
  <c r="R450" i="3"/>
  <c r="R485" i="3"/>
  <c r="R492" i="3"/>
  <c r="R497" i="3"/>
  <c r="R505" i="3"/>
  <c r="R509" i="3"/>
  <c r="R517" i="3"/>
  <c r="R529" i="3"/>
  <c r="R316" i="3"/>
  <c r="R347" i="3"/>
  <c r="R357" i="3"/>
  <c r="R372" i="3"/>
  <c r="R404" i="3"/>
  <c r="R405" i="3"/>
  <c r="R407" i="3"/>
  <c r="R417" i="3"/>
  <c r="R426" i="3"/>
  <c r="R451" i="3"/>
  <c r="R471" i="3"/>
  <c r="R486" i="3"/>
  <c r="R493" i="3"/>
  <c r="R498" i="3"/>
  <c r="R501" i="3"/>
  <c r="R503" i="3"/>
  <c r="R525" i="3"/>
  <c r="R531" i="3"/>
  <c r="R538" i="3"/>
  <c r="R560" i="3"/>
  <c r="R317" i="3"/>
  <c r="R348" i="3"/>
  <c r="R358" i="3"/>
  <c r="R373" i="3"/>
  <c r="R396" i="3"/>
  <c r="R441" i="3"/>
  <c r="R444" i="3"/>
  <c r="R452" i="3"/>
  <c r="R464" i="3"/>
  <c r="R472" i="3"/>
  <c r="R494" i="3"/>
  <c r="R520" i="3"/>
  <c r="R539" i="3"/>
  <c r="R545" i="3"/>
  <c r="R581" i="3"/>
  <c r="R318" i="3"/>
  <c r="R324" i="3"/>
  <c r="R352" i="3"/>
  <c r="R359" i="3"/>
  <c r="R379" i="3"/>
  <c r="R397" i="3"/>
  <c r="R408" i="3"/>
  <c r="R465" i="3"/>
  <c r="R473" i="3"/>
  <c r="R495" i="3"/>
  <c r="R511" i="3"/>
  <c r="R521" i="3"/>
  <c r="R522" i="3"/>
  <c r="R540" i="3"/>
  <c r="R562" i="3"/>
  <c r="R319" i="3"/>
  <c r="R321" i="3"/>
  <c r="R380" i="3"/>
  <c r="R384" i="3"/>
  <c r="R398" i="3"/>
  <c r="R413" i="3"/>
  <c r="R437" i="3"/>
  <c r="R474" i="3"/>
  <c r="R487" i="3"/>
  <c r="R541" i="3"/>
  <c r="R547" i="3"/>
  <c r="R550" i="3"/>
  <c r="R575" i="3"/>
  <c r="R326" i="3"/>
  <c r="R360" i="3"/>
  <c r="R365" i="3"/>
  <c r="R374" i="3"/>
  <c r="R381" i="3"/>
  <c r="R393" i="3"/>
  <c r="R399" i="3"/>
  <c r="R409" i="3"/>
  <c r="R414" i="3"/>
  <c r="R438" i="3"/>
  <c r="R445" i="3"/>
  <c r="R475" i="3"/>
  <c r="R488" i="3"/>
  <c r="R513" i="3"/>
  <c r="R530" i="3"/>
  <c r="R542" i="3"/>
  <c r="R555" i="3"/>
  <c r="R566" i="3"/>
  <c r="R582" i="3"/>
  <c r="R354" i="3"/>
  <c r="R361" i="3"/>
  <c r="R366" i="3"/>
  <c r="R382" i="3"/>
  <c r="R410" i="3"/>
  <c r="R439" i="3"/>
  <c r="R442" i="3"/>
  <c r="R461" i="3"/>
  <c r="R543" i="3"/>
  <c r="R564" i="3"/>
  <c r="R580" i="3"/>
  <c r="R362" i="3"/>
  <c r="R367" i="3"/>
  <c r="R389" i="3"/>
  <c r="R391" i="3"/>
  <c r="R400" i="3"/>
  <c r="R406" i="3"/>
  <c r="R415" i="3"/>
  <c r="R419" i="3"/>
  <c r="R446" i="3"/>
  <c r="R453" i="3"/>
  <c r="R476" i="3"/>
  <c r="R490" i="3"/>
  <c r="R499" i="3"/>
  <c r="R544" i="3"/>
  <c r="R565" i="3"/>
  <c r="R363" i="3"/>
  <c r="R401" i="3"/>
  <c r="R420" i="3"/>
  <c r="R424" i="3"/>
  <c r="R454" i="3"/>
  <c r="R466" i="3"/>
  <c r="R484" i="3"/>
  <c r="R491" i="3"/>
  <c r="R546" i="3"/>
  <c r="R371" i="3"/>
  <c r="R402" i="3"/>
  <c r="R421" i="3"/>
  <c r="R447" i="3"/>
  <c r="R455" i="3"/>
  <c r="R462" i="3"/>
  <c r="R467" i="3"/>
  <c r="R477" i="3"/>
  <c r="R557" i="3"/>
  <c r="R583" i="3"/>
  <c r="R320" i="3"/>
  <c r="R355" i="3"/>
  <c r="R375" i="3"/>
  <c r="R387" i="3"/>
  <c r="R390" i="3"/>
  <c r="R411" i="3"/>
  <c r="R448" i="3"/>
  <c r="R463" i="3"/>
  <c r="R468" i="3"/>
  <c r="R500" i="3"/>
  <c r="R515" i="3"/>
  <c r="R535" i="3"/>
  <c r="R558" i="3"/>
  <c r="R569" i="3"/>
  <c r="R584" i="3"/>
  <c r="R20" i="3"/>
  <c r="R134" i="3"/>
  <c r="R46" i="3"/>
  <c r="R96" i="3"/>
  <c r="R167" i="3"/>
  <c r="R179" i="3"/>
  <c r="R14" i="3"/>
  <c r="R8" i="3"/>
  <c r="R18" i="3"/>
  <c r="R56" i="3"/>
  <c r="R72" i="3"/>
  <c r="R89" i="3"/>
  <c r="R13" i="3"/>
  <c r="R90" i="3"/>
  <c r="R171" i="3"/>
  <c r="R215" i="3"/>
  <c r="R126" i="3"/>
  <c r="R172" i="3"/>
  <c r="R266" i="3"/>
  <c r="R184" i="3"/>
  <c r="R205" i="3"/>
  <c r="R237" i="3"/>
  <c r="R259" i="3"/>
  <c r="R50" i="3"/>
  <c r="R135" i="3"/>
  <c r="R155" i="3"/>
  <c r="R174" i="3"/>
  <c r="R185" i="3"/>
  <c r="R206" i="3"/>
  <c r="R82" i="3"/>
  <c r="R15" i="3"/>
  <c r="R51" i="3"/>
  <c r="R182" i="3"/>
  <c r="R264" i="3"/>
  <c r="R315" i="3"/>
  <c r="R330" i="3"/>
  <c r="R221" i="3"/>
  <c r="R265" i="3"/>
  <c r="R277" i="3"/>
  <c r="R440" i="3"/>
  <c r="R481" i="3"/>
  <c r="R573" i="3"/>
  <c r="R312" i="3"/>
  <c r="R325" i="3"/>
  <c r="R333" i="3"/>
  <c r="R512" i="3"/>
  <c r="R552" i="3"/>
  <c r="R267" i="3"/>
  <c r="R334" i="3"/>
  <c r="R345" i="3"/>
  <c r="R232" i="3"/>
  <c r="R248" i="3"/>
  <c r="R260" i="3"/>
  <c r="R346" i="3"/>
  <c r="R418" i="3"/>
  <c r="R427" i="3"/>
  <c r="R136" i="3"/>
  <c r="R176" i="3"/>
  <c r="R233" i="3"/>
  <c r="R261" i="3"/>
  <c r="R304" i="3"/>
  <c r="R341" i="3"/>
  <c r="R553" i="3"/>
  <c r="R16" i="3"/>
  <c r="R24" i="3"/>
  <c r="R52" i="3"/>
  <c r="R85" i="3"/>
  <c r="R137" i="3"/>
  <c r="R157" i="3"/>
  <c r="R177" i="3"/>
  <c r="R187" i="3"/>
  <c r="R208" i="3"/>
  <c r="R250" i="3"/>
  <c r="R262" i="3"/>
  <c r="R305" i="3"/>
  <c r="R342" i="3"/>
  <c r="R554" i="3"/>
  <c r="R94" i="3"/>
  <c r="R114" i="3"/>
  <c r="R138" i="3"/>
  <c r="R178" i="3"/>
  <c r="R209" i="3"/>
  <c r="R306" i="3"/>
  <c r="R428" i="3"/>
  <c r="R489" i="3"/>
  <c r="R17" i="3"/>
  <c r="R45" i="3"/>
  <c r="R87" i="3"/>
  <c r="R95" i="3"/>
  <c r="R115" i="3"/>
  <c r="R189" i="3"/>
  <c r="R483" i="3"/>
  <c r="R572" i="3"/>
  <c r="R576" i="3"/>
  <c r="R38" i="3"/>
  <c r="R65" i="3"/>
  <c r="R70" i="3"/>
  <c r="R168" i="3"/>
  <c r="R180" i="3"/>
  <c r="R219" i="3"/>
  <c r="R226" i="3"/>
  <c r="R329" i="3"/>
  <c r="R340" i="3"/>
  <c r="R556" i="3"/>
  <c r="R9" i="3"/>
  <c r="R10" i="3"/>
  <c r="R39" i="3"/>
  <c r="R55" i="3"/>
  <c r="R88" i="3"/>
  <c r="R118" i="3"/>
  <c r="R123" i="3"/>
  <c r="R160" i="3"/>
  <c r="R175" i="3"/>
  <c r="R181" i="3"/>
  <c r="R191" i="3"/>
  <c r="R213" i="3"/>
  <c r="R220" i="3"/>
  <c r="R263" i="3"/>
  <c r="R353" i="3"/>
  <c r="R470" i="3"/>
  <c r="R482" i="3"/>
  <c r="R534" i="3"/>
  <c r="AE470" i="3" l="1"/>
  <c r="AD470" i="3"/>
  <c r="T470" i="3" s="1"/>
  <c r="AE55" i="3"/>
  <c r="AD55" i="3"/>
  <c r="T55" i="3" s="1"/>
  <c r="AE65" i="3"/>
  <c r="AD65" i="3"/>
  <c r="T65" i="3" s="1"/>
  <c r="AE428" i="3"/>
  <c r="AD428" i="3"/>
  <c r="T428" i="3" s="1"/>
  <c r="AE208" i="3"/>
  <c r="AD208" i="3"/>
  <c r="T208" i="3" s="1"/>
  <c r="AE261" i="3"/>
  <c r="AD261" i="3"/>
  <c r="T261" i="3" s="1"/>
  <c r="AE267" i="3"/>
  <c r="AD267" i="3"/>
  <c r="T267" i="3" s="1"/>
  <c r="AE330" i="3"/>
  <c r="AD330" i="3"/>
  <c r="T330" i="3" s="1"/>
  <c r="AE50" i="3"/>
  <c r="AD50" i="3"/>
  <c r="T50" i="3" s="1"/>
  <c r="AE89" i="3"/>
  <c r="AD89" i="3"/>
  <c r="T89" i="3" s="1"/>
  <c r="AE584" i="3"/>
  <c r="AD584" i="3"/>
  <c r="T584" i="3" s="1"/>
  <c r="AE375" i="3"/>
  <c r="AD375" i="3"/>
  <c r="T375" i="3" s="1"/>
  <c r="AE371" i="3"/>
  <c r="AD371" i="3"/>
  <c r="T371" i="3" s="1"/>
  <c r="AE499" i="3"/>
  <c r="AD499" i="3"/>
  <c r="T499" i="3" s="1"/>
  <c r="AE362" i="3"/>
  <c r="AD362" i="3"/>
  <c r="T362" i="3" s="1"/>
  <c r="AE582" i="3"/>
  <c r="AD582" i="3"/>
  <c r="T582" i="3" s="1"/>
  <c r="AE399" i="3"/>
  <c r="AD399" i="3"/>
  <c r="T399" i="3" s="1"/>
  <c r="AE474" i="3"/>
  <c r="AD474" i="3"/>
  <c r="T474" i="3" s="1"/>
  <c r="AE511" i="3"/>
  <c r="AD511" i="3"/>
  <c r="T511" i="3" s="1"/>
  <c r="AE545" i="3"/>
  <c r="AD545" i="3"/>
  <c r="T545" i="3" s="1"/>
  <c r="AE348" i="3"/>
  <c r="AD348" i="3"/>
  <c r="T348" i="3" s="1"/>
  <c r="AE451" i="3"/>
  <c r="AD451" i="3"/>
  <c r="T451" i="3" s="1"/>
  <c r="AE509" i="3"/>
  <c r="AD509" i="3"/>
  <c r="T509" i="3" s="1"/>
  <c r="AE549" i="3"/>
  <c r="AD549" i="3"/>
  <c r="T549" i="3" s="1"/>
  <c r="AE38" i="3"/>
  <c r="AD38" i="3"/>
  <c r="T38" i="3" s="1"/>
  <c r="AE306" i="3"/>
  <c r="AD306" i="3"/>
  <c r="T306" i="3" s="1"/>
  <c r="AE187" i="3"/>
  <c r="AD187" i="3"/>
  <c r="T187" i="3" s="1"/>
  <c r="AE233" i="3"/>
  <c r="AD233" i="3"/>
  <c r="T233" i="3" s="1"/>
  <c r="AE552" i="3"/>
  <c r="AD552" i="3"/>
  <c r="T552" i="3" s="1"/>
  <c r="AE315" i="3"/>
  <c r="AD315" i="3"/>
  <c r="T315" i="3" s="1"/>
  <c r="AE259" i="3"/>
  <c r="AD259" i="3"/>
  <c r="T259" i="3" s="1"/>
  <c r="AE72" i="3"/>
  <c r="AD72" i="3"/>
  <c r="T72" i="3" s="1"/>
  <c r="AE569" i="3"/>
  <c r="AD569" i="3"/>
  <c r="T569" i="3" s="1"/>
  <c r="AE355" i="3"/>
  <c r="AD355" i="3"/>
  <c r="T355" i="3" s="1"/>
  <c r="AE546" i="3"/>
  <c r="AD546" i="3"/>
  <c r="T546" i="3" s="1"/>
  <c r="AE490" i="3"/>
  <c r="AD490" i="3"/>
  <c r="T490" i="3" s="1"/>
  <c r="AE580" i="3"/>
  <c r="AD580" i="3"/>
  <c r="T580" i="3" s="1"/>
  <c r="AE566" i="3"/>
  <c r="AD566" i="3"/>
  <c r="T566" i="3" s="1"/>
  <c r="AE393" i="3"/>
  <c r="AD393" i="3"/>
  <c r="T393" i="3" s="1"/>
  <c r="AE437" i="3"/>
  <c r="AD437" i="3"/>
  <c r="T437" i="3" s="1"/>
  <c r="AE495" i="3"/>
  <c r="AD495" i="3"/>
  <c r="AE539" i="3"/>
  <c r="AD539" i="3"/>
  <c r="T539" i="3" s="1"/>
  <c r="AE317" i="3"/>
  <c r="AD317" i="3"/>
  <c r="T317" i="3" s="1"/>
  <c r="AE426" i="3"/>
  <c r="AD426" i="3"/>
  <c r="T426" i="3" s="1"/>
  <c r="AE505" i="3"/>
  <c r="AD505" i="3"/>
  <c r="T505" i="3" s="1"/>
  <c r="AE537" i="3"/>
  <c r="AD537" i="3"/>
  <c r="T537" i="3" s="1"/>
  <c r="AE353" i="3"/>
  <c r="AD353" i="3"/>
  <c r="T353" i="3" s="1"/>
  <c r="AE263" i="3"/>
  <c r="AD263" i="3"/>
  <c r="T263" i="3" s="1"/>
  <c r="AE10" i="3"/>
  <c r="AD10" i="3"/>
  <c r="T10" i="3" s="1"/>
  <c r="AE576" i="3"/>
  <c r="AD576" i="3"/>
  <c r="T576" i="3" s="1"/>
  <c r="AE209" i="3"/>
  <c r="AD209" i="3"/>
  <c r="T209" i="3" s="1"/>
  <c r="AE177" i="3"/>
  <c r="AD177" i="3"/>
  <c r="T177" i="3" s="1"/>
  <c r="AE176" i="3"/>
  <c r="AD176" i="3"/>
  <c r="T176" i="3" s="1"/>
  <c r="AE512" i="3"/>
  <c r="AD512" i="3"/>
  <c r="T512" i="3" s="1"/>
  <c r="AE264" i="3"/>
  <c r="AD264" i="3"/>
  <c r="T264" i="3" s="1"/>
  <c r="AE237" i="3"/>
  <c r="AD237" i="3"/>
  <c r="T237" i="3" s="1"/>
  <c r="AE56" i="3"/>
  <c r="AD56" i="3"/>
  <c r="T56" i="3" s="1"/>
  <c r="AE558" i="3"/>
  <c r="AD558" i="3"/>
  <c r="T558" i="3" s="1"/>
  <c r="AE320" i="3"/>
  <c r="AD320" i="3"/>
  <c r="T320" i="3" s="1"/>
  <c r="AE491" i="3"/>
  <c r="AD491" i="3"/>
  <c r="T491" i="3" s="1"/>
  <c r="AE476" i="3"/>
  <c r="AD476" i="3"/>
  <c r="T476" i="3" s="1"/>
  <c r="AE564" i="3"/>
  <c r="AD564" i="3"/>
  <c r="T564" i="3" s="1"/>
  <c r="AE555" i="3"/>
  <c r="AD555" i="3"/>
  <c r="T555" i="3" s="1"/>
  <c r="AE381" i="3"/>
  <c r="AD381" i="3"/>
  <c r="T381" i="3" s="1"/>
  <c r="AE413" i="3"/>
  <c r="AD413" i="3"/>
  <c r="T413" i="3" s="1"/>
  <c r="AE473" i="3"/>
  <c r="AD473" i="3"/>
  <c r="T473" i="3" s="1"/>
  <c r="AE520" i="3"/>
  <c r="AD520" i="3"/>
  <c r="T520" i="3" s="1"/>
  <c r="AE560" i="3"/>
  <c r="AD560" i="3"/>
  <c r="T560" i="3" s="1"/>
  <c r="AE417" i="3"/>
  <c r="AD417" i="3"/>
  <c r="T417" i="3" s="1"/>
  <c r="AE497" i="3"/>
  <c r="AD497" i="3"/>
  <c r="T497" i="3" s="1"/>
  <c r="AE516" i="3"/>
  <c r="AD516" i="3"/>
  <c r="T516" i="3" s="1"/>
  <c r="AE482" i="3"/>
  <c r="AD482" i="3"/>
  <c r="T482" i="3" s="1"/>
  <c r="AE220" i="3"/>
  <c r="AD220" i="3"/>
  <c r="T220" i="3" s="1"/>
  <c r="AE9" i="3"/>
  <c r="AD9" i="3"/>
  <c r="T9" i="3" s="1"/>
  <c r="AE572" i="3"/>
  <c r="AD572" i="3"/>
  <c r="T572" i="3" s="1"/>
  <c r="AE178" i="3"/>
  <c r="AD178" i="3"/>
  <c r="T178" i="3" s="1"/>
  <c r="AE157" i="3"/>
  <c r="AD157" i="3"/>
  <c r="T157" i="3" s="1"/>
  <c r="AE136" i="3"/>
  <c r="AD136" i="3"/>
  <c r="T136" i="3" s="1"/>
  <c r="AE333" i="3"/>
  <c r="AD333" i="3"/>
  <c r="T333" i="3" s="1"/>
  <c r="AE182" i="3"/>
  <c r="AD182" i="3"/>
  <c r="T182" i="3" s="1"/>
  <c r="AE205" i="3"/>
  <c r="AD205" i="3"/>
  <c r="T205" i="3" s="1"/>
  <c r="AE18" i="3"/>
  <c r="AD18" i="3"/>
  <c r="T18" i="3" s="1"/>
  <c r="AE535" i="3"/>
  <c r="AD535" i="3"/>
  <c r="T535" i="3" s="1"/>
  <c r="AE583" i="3"/>
  <c r="AD583" i="3"/>
  <c r="T583" i="3" s="1"/>
  <c r="AE484" i="3"/>
  <c r="AD484" i="3"/>
  <c r="T484" i="3" s="1"/>
  <c r="AE453" i="3"/>
  <c r="AD453" i="3"/>
  <c r="T453" i="3" s="1"/>
  <c r="AE543" i="3"/>
  <c r="AD543" i="3"/>
  <c r="T543" i="3" s="1"/>
  <c r="AE542" i="3"/>
  <c r="AD542" i="3"/>
  <c r="T542" i="3" s="1"/>
  <c r="AE374" i="3"/>
  <c r="AD374" i="3"/>
  <c r="T374" i="3" s="1"/>
  <c r="AE398" i="3"/>
  <c r="AD398" i="3"/>
  <c r="T398" i="3" s="1"/>
  <c r="AE465" i="3"/>
  <c r="AD465" i="3"/>
  <c r="T465" i="3" s="1"/>
  <c r="AE494" i="3"/>
  <c r="AD494" i="3"/>
  <c r="T494" i="3" s="1"/>
  <c r="AE538" i="3"/>
  <c r="AD538" i="3"/>
  <c r="T538" i="3" s="1"/>
  <c r="AE407" i="3"/>
  <c r="AD407" i="3"/>
  <c r="T407" i="3" s="1"/>
  <c r="AE492" i="3"/>
  <c r="AD492" i="3"/>
  <c r="T492" i="3" s="1"/>
  <c r="AE456" i="3"/>
  <c r="AD456" i="3"/>
  <c r="T456" i="3" s="1"/>
  <c r="AE39" i="3"/>
  <c r="AD39" i="3"/>
  <c r="T39" i="3" s="1"/>
  <c r="AE213" i="3"/>
  <c r="AD213" i="3"/>
  <c r="T213" i="3" s="1"/>
  <c r="AE556" i="3"/>
  <c r="AD556" i="3"/>
  <c r="T556" i="3" s="1"/>
  <c r="AE483" i="3"/>
  <c r="AD483" i="3"/>
  <c r="T483" i="3" s="1"/>
  <c r="AE138" i="3"/>
  <c r="AD138" i="3"/>
  <c r="T138" i="3" s="1"/>
  <c r="AE137" i="3"/>
  <c r="AD137" i="3"/>
  <c r="T137" i="3" s="1"/>
  <c r="AE427" i="3"/>
  <c r="AD427" i="3"/>
  <c r="T427" i="3" s="1"/>
  <c r="AE325" i="3"/>
  <c r="AD325" i="3"/>
  <c r="T325" i="3" s="1"/>
  <c r="AE51" i="3"/>
  <c r="AD51" i="3"/>
  <c r="T51" i="3" s="1"/>
  <c r="AE184" i="3"/>
  <c r="AD184" i="3"/>
  <c r="T184" i="3" s="1"/>
  <c r="AE8" i="3"/>
  <c r="AD8" i="3"/>
  <c r="T8" i="3" s="1"/>
  <c r="AE515" i="3"/>
  <c r="AD515" i="3"/>
  <c r="T515" i="3" s="1"/>
  <c r="AE557" i="3"/>
  <c r="AD557" i="3"/>
  <c r="T557" i="3" s="1"/>
  <c r="AE466" i="3"/>
  <c r="AD466" i="3"/>
  <c r="T466" i="3" s="1"/>
  <c r="AE446" i="3"/>
  <c r="AD446" i="3"/>
  <c r="T446" i="3" s="1"/>
  <c r="AE461" i="3"/>
  <c r="AD461" i="3"/>
  <c r="T461" i="3" s="1"/>
  <c r="AE530" i="3"/>
  <c r="AD530" i="3"/>
  <c r="T530" i="3" s="1"/>
  <c r="AE365" i="3"/>
  <c r="AD365" i="3"/>
  <c r="T365" i="3" s="1"/>
  <c r="AE384" i="3"/>
  <c r="AD384" i="3"/>
  <c r="T384" i="3" s="1"/>
  <c r="AE408" i="3"/>
  <c r="AD408" i="3"/>
  <c r="T408" i="3" s="1"/>
  <c r="AE472" i="3"/>
  <c r="AD472" i="3"/>
  <c r="T472" i="3" s="1"/>
  <c r="AE531" i="3"/>
  <c r="AD531" i="3"/>
  <c r="T531" i="3" s="1"/>
  <c r="AE405" i="3"/>
  <c r="AD405" i="3"/>
  <c r="T405" i="3" s="1"/>
  <c r="AE485" i="3"/>
  <c r="AD485" i="3"/>
  <c r="T485" i="3" s="1"/>
  <c r="AE449" i="3"/>
  <c r="AD449" i="3"/>
  <c r="T449" i="3" s="1"/>
  <c r="AE340" i="3"/>
  <c r="AD340" i="3"/>
  <c r="T340" i="3" s="1"/>
  <c r="AE189" i="3"/>
  <c r="AD189" i="3"/>
  <c r="T189" i="3" s="1"/>
  <c r="AE114" i="3"/>
  <c r="AD114" i="3"/>
  <c r="T114" i="3" s="1"/>
  <c r="AE85" i="3"/>
  <c r="AD85" i="3"/>
  <c r="T85" i="3" s="1"/>
  <c r="AE418" i="3"/>
  <c r="AD418" i="3"/>
  <c r="T418" i="3" s="1"/>
  <c r="AE312" i="3"/>
  <c r="AD312" i="3"/>
  <c r="T312" i="3" s="1"/>
  <c r="AE15" i="3"/>
  <c r="AD15" i="3"/>
  <c r="T15" i="3" s="1"/>
  <c r="AE266" i="3"/>
  <c r="AD266" i="3"/>
  <c r="T266" i="3" s="1"/>
  <c r="AE14" i="3"/>
  <c r="AD14" i="3"/>
  <c r="T14" i="3" s="1"/>
  <c r="AE500" i="3"/>
  <c r="AD500" i="3"/>
  <c r="T500" i="3" s="1"/>
  <c r="AE477" i="3"/>
  <c r="AD477" i="3"/>
  <c r="T477" i="3" s="1"/>
  <c r="AE454" i="3"/>
  <c r="AD454" i="3"/>
  <c r="T454" i="3" s="1"/>
  <c r="AE419" i="3"/>
  <c r="AD419" i="3"/>
  <c r="T419" i="3" s="1"/>
  <c r="AE442" i="3"/>
  <c r="AD442" i="3"/>
  <c r="T442" i="3" s="1"/>
  <c r="AE513" i="3"/>
  <c r="AD513" i="3"/>
  <c r="T513" i="3" s="1"/>
  <c r="AE360" i="3"/>
  <c r="AD360" i="3"/>
  <c r="T360" i="3" s="1"/>
  <c r="AE380" i="3"/>
  <c r="AD380" i="3"/>
  <c r="T380" i="3" s="1"/>
  <c r="AE397" i="3"/>
  <c r="AD397" i="3"/>
  <c r="T397" i="3" s="1"/>
  <c r="AE464" i="3"/>
  <c r="AD464" i="3"/>
  <c r="T464" i="3" s="1"/>
  <c r="AE525" i="3"/>
  <c r="AD525" i="3"/>
  <c r="T525" i="3" s="1"/>
  <c r="AE404" i="3"/>
  <c r="AD404" i="3"/>
  <c r="T404" i="3" s="1"/>
  <c r="AE450" i="3"/>
  <c r="AD450" i="3"/>
  <c r="T450" i="3" s="1"/>
  <c r="AE435" i="3"/>
  <c r="AD435" i="3"/>
  <c r="T435" i="3" s="1"/>
  <c r="AE329" i="3"/>
  <c r="AD329" i="3"/>
  <c r="T329" i="3" s="1"/>
  <c r="AE115" i="3"/>
  <c r="AD115" i="3"/>
  <c r="T115" i="3" s="1"/>
  <c r="AE94" i="3"/>
  <c r="AD94" i="3"/>
  <c r="T94" i="3" s="1"/>
  <c r="AE52" i="3"/>
  <c r="AD52" i="3"/>
  <c r="T52" i="3" s="1"/>
  <c r="AE346" i="3"/>
  <c r="AD346" i="3"/>
  <c r="T346" i="3" s="1"/>
  <c r="AE573" i="3"/>
  <c r="AD573" i="3"/>
  <c r="T573" i="3" s="1"/>
  <c r="AE82" i="3"/>
  <c r="AD82" i="3"/>
  <c r="T82" i="3" s="1"/>
  <c r="AE172" i="3"/>
  <c r="AD172" i="3"/>
  <c r="T172" i="3" s="1"/>
  <c r="AE179" i="3"/>
  <c r="AD179" i="3"/>
  <c r="T179" i="3" s="1"/>
  <c r="AE468" i="3"/>
  <c r="AD468" i="3"/>
  <c r="T468" i="3" s="1"/>
  <c r="AE467" i="3"/>
  <c r="AD467" i="3"/>
  <c r="T467" i="3" s="1"/>
  <c r="AE424" i="3"/>
  <c r="AD424" i="3"/>
  <c r="T424" i="3" s="1"/>
  <c r="AE415" i="3"/>
  <c r="AD415" i="3"/>
  <c r="T415" i="3" s="1"/>
  <c r="AE439" i="3"/>
  <c r="AD439" i="3"/>
  <c r="T439" i="3" s="1"/>
  <c r="AE488" i="3"/>
  <c r="AD488" i="3"/>
  <c r="T488" i="3" s="1"/>
  <c r="AE326" i="3"/>
  <c r="AD326" i="3"/>
  <c r="T326" i="3" s="1"/>
  <c r="AE321" i="3"/>
  <c r="AD321" i="3"/>
  <c r="T321" i="3" s="1"/>
  <c r="AE379" i="3"/>
  <c r="AD379" i="3"/>
  <c r="T379" i="3" s="1"/>
  <c r="AE452" i="3"/>
  <c r="AD452" i="3"/>
  <c r="T452" i="3" s="1"/>
  <c r="AE503" i="3"/>
  <c r="AD503" i="3"/>
  <c r="T503" i="3" s="1"/>
  <c r="AE372" i="3"/>
  <c r="AD372" i="3"/>
  <c r="T372" i="3" s="1"/>
  <c r="AE436" i="3"/>
  <c r="AD436" i="3"/>
  <c r="T436" i="3" s="1"/>
  <c r="AE422" i="3"/>
  <c r="AD422" i="3"/>
  <c r="T422" i="3" s="1"/>
  <c r="AE175" i="3"/>
  <c r="AD175" i="3"/>
  <c r="T175" i="3" s="1"/>
  <c r="AE226" i="3"/>
  <c r="AD226" i="3"/>
  <c r="T226" i="3" s="1"/>
  <c r="AE95" i="3"/>
  <c r="AD95" i="3"/>
  <c r="T95" i="3" s="1"/>
  <c r="AE554" i="3"/>
  <c r="AD554" i="3"/>
  <c r="T554" i="3" s="1"/>
  <c r="AE24" i="3"/>
  <c r="AD24" i="3"/>
  <c r="T24" i="3" s="1"/>
  <c r="AE260" i="3"/>
  <c r="AD260" i="3"/>
  <c r="T260" i="3" s="1"/>
  <c r="AE481" i="3"/>
  <c r="AD481" i="3"/>
  <c r="T481" i="3" s="1"/>
  <c r="AE206" i="3"/>
  <c r="AD206" i="3"/>
  <c r="T206" i="3" s="1"/>
  <c r="AE126" i="3"/>
  <c r="AD126" i="3"/>
  <c r="T126" i="3" s="1"/>
  <c r="AE167" i="3"/>
  <c r="AD167" i="3"/>
  <c r="T167" i="3" s="1"/>
  <c r="AE463" i="3"/>
  <c r="AD463" i="3"/>
  <c r="T463" i="3" s="1"/>
  <c r="AE462" i="3"/>
  <c r="AD462" i="3"/>
  <c r="T462" i="3" s="1"/>
  <c r="AE420" i="3"/>
  <c r="AD420" i="3"/>
  <c r="T420" i="3" s="1"/>
  <c r="AE406" i="3"/>
  <c r="AD406" i="3"/>
  <c r="T406" i="3" s="1"/>
  <c r="AE410" i="3"/>
  <c r="AD410" i="3"/>
  <c r="T410" i="3" s="1"/>
  <c r="AE475" i="3"/>
  <c r="AD475" i="3"/>
  <c r="T475" i="3" s="1"/>
  <c r="AE575" i="3"/>
  <c r="AD575" i="3"/>
  <c r="T575" i="3" s="1"/>
  <c r="AE319" i="3"/>
  <c r="AD319" i="3"/>
  <c r="T319" i="3" s="1"/>
  <c r="AE359" i="3"/>
  <c r="AD359" i="3"/>
  <c r="T359" i="3" s="1"/>
  <c r="AE444" i="3"/>
  <c r="AD444" i="3"/>
  <c r="T444" i="3" s="1"/>
  <c r="AE501" i="3"/>
  <c r="AD501" i="3"/>
  <c r="T501" i="3" s="1"/>
  <c r="AE357" i="3"/>
  <c r="AD357" i="3"/>
  <c r="T357" i="3" s="1"/>
  <c r="AE423" i="3"/>
  <c r="AD423" i="3"/>
  <c r="T423" i="3" s="1"/>
  <c r="AE412" i="3"/>
  <c r="AD412" i="3"/>
  <c r="T412" i="3" s="1"/>
  <c r="AE181" i="3"/>
  <c r="AD181" i="3"/>
  <c r="T181" i="3" s="1"/>
  <c r="AE160" i="3"/>
  <c r="AD160" i="3"/>
  <c r="T160" i="3" s="1"/>
  <c r="AE219" i="3"/>
  <c r="AD219" i="3"/>
  <c r="T219" i="3" s="1"/>
  <c r="AE87" i="3"/>
  <c r="AD87" i="3"/>
  <c r="T87" i="3" s="1"/>
  <c r="AE342" i="3"/>
  <c r="AD342" i="3"/>
  <c r="T342" i="3" s="1"/>
  <c r="AE16" i="3"/>
  <c r="AD16" i="3"/>
  <c r="T16" i="3" s="1"/>
  <c r="AE248" i="3"/>
  <c r="AD248" i="3"/>
  <c r="T248" i="3" s="1"/>
  <c r="AE440" i="3"/>
  <c r="AD440" i="3"/>
  <c r="T440" i="3" s="1"/>
  <c r="AE185" i="3"/>
  <c r="AD185" i="3"/>
  <c r="T185" i="3" s="1"/>
  <c r="AE215" i="3"/>
  <c r="AD215" i="3"/>
  <c r="T215" i="3" s="1"/>
  <c r="AE96" i="3"/>
  <c r="AD96" i="3"/>
  <c r="T96" i="3" s="1"/>
  <c r="AE448" i="3"/>
  <c r="AD448" i="3"/>
  <c r="T448" i="3" s="1"/>
  <c r="AE455" i="3"/>
  <c r="AD455" i="3"/>
  <c r="T455" i="3" s="1"/>
  <c r="AE401" i="3"/>
  <c r="AD401" i="3"/>
  <c r="T401" i="3" s="1"/>
  <c r="AE400" i="3"/>
  <c r="AD400" i="3"/>
  <c r="T400" i="3" s="1"/>
  <c r="AE382" i="3"/>
  <c r="AD382" i="3"/>
  <c r="T382" i="3" s="1"/>
  <c r="AE445" i="3"/>
  <c r="AD445" i="3"/>
  <c r="T445" i="3" s="1"/>
  <c r="AE550" i="3"/>
  <c r="AD550" i="3"/>
  <c r="T550" i="3" s="1"/>
  <c r="AE562" i="3"/>
  <c r="AD562" i="3"/>
  <c r="T562" i="3" s="1"/>
  <c r="AE352" i="3"/>
  <c r="AD352" i="3"/>
  <c r="T352" i="3" s="1"/>
  <c r="AE441" i="3"/>
  <c r="AD441" i="3"/>
  <c r="T441" i="3" s="1"/>
  <c r="AE498" i="3"/>
  <c r="AD498" i="3"/>
  <c r="T498" i="3" s="1"/>
  <c r="AE347" i="3"/>
  <c r="AD347" i="3"/>
  <c r="T347" i="3" s="1"/>
  <c r="AE416" i="3"/>
  <c r="AD416" i="3"/>
  <c r="T416" i="3" s="1"/>
  <c r="AE394" i="3"/>
  <c r="AD394" i="3"/>
  <c r="T394" i="3" s="1"/>
  <c r="AE191" i="3"/>
  <c r="AD191" i="3"/>
  <c r="T191" i="3" s="1"/>
  <c r="AE123" i="3"/>
  <c r="AD123" i="3"/>
  <c r="T123" i="3" s="1"/>
  <c r="AE180" i="3"/>
  <c r="AD180" i="3"/>
  <c r="T180" i="3" s="1"/>
  <c r="AE45" i="3"/>
  <c r="AD45" i="3"/>
  <c r="T45" i="3" s="1"/>
  <c r="AE305" i="3"/>
  <c r="AD305" i="3"/>
  <c r="T305" i="3" s="1"/>
  <c r="AE553" i="3"/>
  <c r="AD553" i="3"/>
  <c r="T553" i="3" s="1"/>
  <c r="AE232" i="3"/>
  <c r="AD232" i="3"/>
  <c r="T232" i="3" s="1"/>
  <c r="AE277" i="3"/>
  <c r="AD277" i="3"/>
  <c r="T277" i="3" s="1"/>
  <c r="AE174" i="3"/>
  <c r="AD174" i="3"/>
  <c r="T174" i="3" s="1"/>
  <c r="AE171" i="3"/>
  <c r="AD171" i="3"/>
  <c r="T171" i="3" s="1"/>
  <c r="AE46" i="3"/>
  <c r="AD46" i="3"/>
  <c r="T46" i="3" s="1"/>
  <c r="AE411" i="3"/>
  <c r="AD411" i="3"/>
  <c r="T411" i="3" s="1"/>
  <c r="AE447" i="3"/>
  <c r="AD447" i="3"/>
  <c r="T447" i="3" s="1"/>
  <c r="AE363" i="3"/>
  <c r="AD363" i="3"/>
  <c r="T363" i="3" s="1"/>
  <c r="AE391" i="3"/>
  <c r="AD391" i="3"/>
  <c r="T391" i="3" s="1"/>
  <c r="AE366" i="3"/>
  <c r="AD366" i="3"/>
  <c r="T366" i="3" s="1"/>
  <c r="AE438" i="3"/>
  <c r="AD438" i="3"/>
  <c r="T438" i="3" s="1"/>
  <c r="AE547" i="3"/>
  <c r="AD547" i="3"/>
  <c r="T547" i="3" s="1"/>
  <c r="AE540" i="3"/>
  <c r="AD540" i="3"/>
  <c r="AE324" i="3"/>
  <c r="AD324" i="3"/>
  <c r="T324" i="3" s="1"/>
  <c r="AE396" i="3"/>
  <c r="AD396" i="3"/>
  <c r="T396" i="3" s="1"/>
  <c r="AE493" i="3"/>
  <c r="AD493" i="3"/>
  <c r="T493" i="3" s="1"/>
  <c r="AE316" i="3"/>
  <c r="AD316" i="3"/>
  <c r="T316" i="3" s="1"/>
  <c r="AE395" i="3"/>
  <c r="AD395" i="3"/>
  <c r="T395" i="3" s="1"/>
  <c r="AE376" i="3"/>
  <c r="AD376" i="3"/>
  <c r="T376" i="3" s="1"/>
  <c r="AE534" i="3"/>
  <c r="AD534" i="3"/>
  <c r="T534" i="3" s="1"/>
  <c r="AE118" i="3"/>
  <c r="AD118" i="3"/>
  <c r="T118" i="3" s="1"/>
  <c r="AE168" i="3"/>
  <c r="AD168" i="3"/>
  <c r="T168" i="3" s="1"/>
  <c r="AE17" i="3"/>
  <c r="AD17" i="3"/>
  <c r="T17" i="3" s="1"/>
  <c r="AE262" i="3"/>
  <c r="AD262" i="3"/>
  <c r="T262" i="3" s="1"/>
  <c r="AE341" i="3"/>
  <c r="AD341" i="3"/>
  <c r="T341" i="3" s="1"/>
  <c r="AE345" i="3"/>
  <c r="AD345" i="3"/>
  <c r="T345" i="3" s="1"/>
  <c r="AE265" i="3"/>
  <c r="AD265" i="3"/>
  <c r="T265" i="3" s="1"/>
  <c r="AE155" i="3"/>
  <c r="AD155" i="3"/>
  <c r="T155" i="3" s="1"/>
  <c r="AE90" i="3"/>
  <c r="AD90" i="3"/>
  <c r="T90" i="3" s="1"/>
  <c r="AE134" i="3"/>
  <c r="AD134" i="3"/>
  <c r="T134" i="3" s="1"/>
  <c r="AE390" i="3"/>
  <c r="AD390" i="3"/>
  <c r="T390" i="3" s="1"/>
  <c r="AE421" i="3"/>
  <c r="AD421" i="3"/>
  <c r="T421" i="3" s="1"/>
  <c r="AE565" i="3"/>
  <c r="AD565" i="3"/>
  <c r="T565" i="3" s="1"/>
  <c r="AE389" i="3"/>
  <c r="AD389" i="3"/>
  <c r="T389" i="3" s="1"/>
  <c r="AE361" i="3"/>
  <c r="AD361" i="3"/>
  <c r="T361" i="3" s="1"/>
  <c r="AE414" i="3"/>
  <c r="AD414" i="3"/>
  <c r="T414" i="3" s="1"/>
  <c r="AE541" i="3"/>
  <c r="AD541" i="3"/>
  <c r="T541" i="3" s="1"/>
  <c r="AE522" i="3"/>
  <c r="AD522" i="3"/>
  <c r="T522" i="3" s="1"/>
  <c r="AE318" i="3"/>
  <c r="AD318" i="3"/>
  <c r="T318" i="3" s="1"/>
  <c r="AE373" i="3"/>
  <c r="AD373" i="3"/>
  <c r="T373" i="3" s="1"/>
  <c r="AE486" i="3"/>
  <c r="AD486" i="3"/>
  <c r="T486" i="3" s="1"/>
  <c r="AE529" i="3"/>
  <c r="AD529" i="3"/>
  <c r="T529" i="3" s="1"/>
  <c r="AE356" i="3"/>
  <c r="AD356" i="3"/>
  <c r="AE350" i="3"/>
  <c r="AD350" i="3"/>
  <c r="T350" i="3" s="1"/>
  <c r="AE88" i="3"/>
  <c r="AD88" i="3"/>
  <c r="T88" i="3" s="1"/>
  <c r="AE70" i="3"/>
  <c r="AD70" i="3"/>
  <c r="T70" i="3" s="1"/>
  <c r="AE489" i="3"/>
  <c r="AD489" i="3"/>
  <c r="T489" i="3" s="1"/>
  <c r="AE250" i="3"/>
  <c r="AD250" i="3"/>
  <c r="T250" i="3" s="1"/>
  <c r="AE304" i="3"/>
  <c r="AD304" i="3"/>
  <c r="T304" i="3" s="1"/>
  <c r="AE334" i="3"/>
  <c r="AD334" i="3"/>
  <c r="T334" i="3" s="1"/>
  <c r="AE221" i="3"/>
  <c r="AD221" i="3"/>
  <c r="T221" i="3" s="1"/>
  <c r="AE135" i="3"/>
  <c r="AD135" i="3"/>
  <c r="T135" i="3" s="1"/>
  <c r="AE13" i="3"/>
  <c r="AD13" i="3"/>
  <c r="T13" i="3" s="1"/>
  <c r="AE20" i="3"/>
  <c r="AD20" i="3"/>
  <c r="T20" i="3" s="1"/>
  <c r="AE387" i="3"/>
  <c r="AD387" i="3"/>
  <c r="T387" i="3" s="1"/>
  <c r="AE402" i="3"/>
  <c r="AD402" i="3"/>
  <c r="T402" i="3" s="1"/>
  <c r="AE544" i="3"/>
  <c r="AD544" i="3"/>
  <c r="T544" i="3" s="1"/>
  <c r="AE367" i="3"/>
  <c r="AD367" i="3"/>
  <c r="T367" i="3" s="1"/>
  <c r="AE354" i="3"/>
  <c r="AD354" i="3"/>
  <c r="T354" i="3" s="1"/>
  <c r="AE409" i="3"/>
  <c r="AD409" i="3"/>
  <c r="T409" i="3" s="1"/>
  <c r="AE487" i="3"/>
  <c r="AD487" i="3"/>
  <c r="T487" i="3" s="1"/>
  <c r="AE521" i="3"/>
  <c r="AD521" i="3"/>
  <c r="T521" i="3" s="1"/>
  <c r="AE581" i="3"/>
  <c r="AD581" i="3"/>
  <c r="T581" i="3" s="1"/>
  <c r="AE358" i="3"/>
  <c r="AD358" i="3"/>
  <c r="T358" i="3" s="1"/>
  <c r="AE471" i="3"/>
  <c r="AD471" i="3"/>
  <c r="T471" i="3" s="1"/>
  <c r="AE517" i="3"/>
  <c r="AD517" i="3"/>
  <c r="T517" i="3" s="1"/>
  <c r="AE351" i="3"/>
  <c r="AD351" i="3"/>
  <c r="T351" i="3" s="1"/>
  <c r="AE338" i="3"/>
  <c r="AD338" i="3"/>
  <c r="T338" i="3" s="1"/>
  <c r="AE31" i="3"/>
  <c r="AE335" i="3"/>
  <c r="AE392" i="3"/>
  <c r="AE142" i="3"/>
  <c r="AE377" i="3"/>
  <c r="AE149" i="3"/>
  <c r="AE496" i="3"/>
  <c r="AE254" i="3"/>
  <c r="AE12" i="3"/>
  <c r="AE22" i="3"/>
  <c r="AE158" i="3"/>
  <c r="AE32" i="3"/>
  <c r="AE235" i="3"/>
  <c r="AE223" i="3"/>
  <c r="AE299" i="3"/>
  <c r="AE140" i="3"/>
  <c r="AE48" i="3"/>
  <c r="AE156" i="3"/>
  <c r="AE518" i="3"/>
  <c r="AE139" i="3"/>
  <c r="AE224" i="3"/>
  <c r="AE369" i="3"/>
  <c r="AE432" i="3"/>
  <c r="AE246" i="3"/>
  <c r="AE508" i="3"/>
  <c r="AE478" i="3"/>
  <c r="AE2" i="3"/>
  <c r="AE309" i="3"/>
  <c r="AE328" i="3"/>
  <c r="AE231" i="3"/>
  <c r="AE310" i="3"/>
  <c r="AE74" i="3"/>
  <c r="AE279" i="3"/>
  <c r="AE49" i="3"/>
  <c r="AE459" i="3"/>
  <c r="AE124" i="3"/>
  <c r="AE271" i="3"/>
  <c r="AE228" i="3"/>
  <c r="AE506" i="3"/>
  <c r="AE43" i="3"/>
  <c r="AE195" i="3"/>
  <c r="AE80" i="3"/>
  <c r="AE165" i="3"/>
  <c r="AE243" i="3"/>
  <c r="AE67" i="3"/>
  <c r="AE212" i="3"/>
  <c r="AE193" i="3"/>
  <c r="AE146" i="3"/>
  <c r="AE198" i="3"/>
  <c r="AE77" i="3"/>
  <c r="AE225" i="3"/>
  <c r="AE568" i="3"/>
  <c r="AE132" i="3"/>
  <c r="AE388" i="3"/>
  <c r="AE403" i="3"/>
  <c r="AE117" i="3"/>
  <c r="AE527" i="3"/>
  <c r="AE551" i="3"/>
  <c r="AE204" i="3"/>
  <c r="AE73" i="3"/>
  <c r="AE91" i="3"/>
  <c r="AE548" i="3"/>
  <c r="AE119" i="3"/>
  <c r="AE247" i="3"/>
  <c r="AE111" i="3"/>
  <c r="AE563" i="3"/>
  <c r="AE297" i="3"/>
  <c r="AE536" i="3"/>
  <c r="AE251" i="3"/>
  <c r="AE559" i="3"/>
  <c r="AE370" i="3"/>
  <c r="AE105" i="3"/>
  <c r="AE44" i="3"/>
  <c r="AE336" i="3"/>
  <c r="AE33" i="3"/>
  <c r="AE469" i="3"/>
  <c r="AE78" i="3"/>
  <c r="AE443" i="3"/>
  <c r="AE130" i="3"/>
  <c r="AE292" i="3"/>
  <c r="AE7" i="3"/>
  <c r="AE81" i="3"/>
  <c r="AE528" i="3"/>
  <c r="AE203" i="3"/>
  <c r="AE61" i="3"/>
  <c r="AE280" i="3"/>
  <c r="AE152" i="3"/>
  <c r="AE526" i="3"/>
  <c r="AE253" i="3"/>
  <c r="AE229" i="3"/>
  <c r="AE433" i="3"/>
  <c r="AE120" i="3"/>
  <c r="AE332" i="3"/>
  <c r="AE214" i="3"/>
  <c r="AE288" i="3"/>
  <c r="AE533" i="3"/>
  <c r="AE245" i="3"/>
  <c r="AE301" i="3"/>
  <c r="AE207" i="3"/>
  <c r="AE579" i="3"/>
  <c r="AE303" i="3"/>
  <c r="AE150" i="3"/>
  <c r="AE343" i="3"/>
  <c r="AE364" i="3"/>
  <c r="AE578" i="3"/>
  <c r="AE302" i="3"/>
  <c r="AE112" i="3"/>
  <c r="AE143" i="3"/>
  <c r="AE68" i="3"/>
  <c r="AE161" i="3"/>
  <c r="AE108" i="3"/>
  <c r="AE571" i="3"/>
  <c r="AE252" i="3"/>
  <c r="AE99" i="3"/>
  <c r="AE102" i="3"/>
  <c r="AE30" i="3"/>
  <c r="AE300" i="3"/>
  <c r="AE197" i="3"/>
  <c r="AE116" i="3"/>
  <c r="AE524" i="3"/>
  <c r="AE164" i="3"/>
  <c r="AE173" i="3"/>
  <c r="AE269" i="3"/>
  <c r="AE368" i="3"/>
  <c r="AE331" i="3"/>
  <c r="AE218" i="3"/>
  <c r="AE63" i="3"/>
  <c r="AE183" i="3"/>
  <c r="AE480" i="3"/>
  <c r="AE222" i="3"/>
  <c r="AE27" i="3"/>
  <c r="AE201" i="3"/>
  <c r="AE289" i="3"/>
  <c r="AE507" i="3"/>
  <c r="AE79" i="3"/>
  <c r="AE162" i="3"/>
  <c r="AE294" i="3"/>
  <c r="AE238" i="3"/>
  <c r="AE57" i="3"/>
  <c r="AE4" i="3"/>
  <c r="AE239" i="3"/>
  <c r="AE28" i="3"/>
  <c r="AE19" i="3"/>
  <c r="AE125" i="3"/>
  <c r="AE217" i="3"/>
  <c r="AE460" i="3"/>
  <c r="AE3" i="3"/>
  <c r="AE69" i="3"/>
  <c r="AE567" i="3"/>
  <c r="AE314" i="3"/>
  <c r="AE97" i="3"/>
  <c r="AE570" i="3"/>
  <c r="AE159" i="3"/>
  <c r="AE510" i="3"/>
  <c r="AE71" i="3"/>
  <c r="AE216" i="3"/>
  <c r="AE100" i="3"/>
  <c r="AD2" i="3"/>
  <c r="T2" i="3" s="1"/>
  <c r="AE523" i="3"/>
  <c r="AE131" i="3"/>
  <c r="AE430" i="3"/>
  <c r="AE290" i="3"/>
  <c r="AE311" i="3"/>
  <c r="AE298" i="3"/>
  <c r="AE272" i="3"/>
  <c r="AE121" i="3"/>
  <c r="AE109" i="3"/>
  <c r="AE41" i="3"/>
  <c r="AE75" i="3"/>
  <c r="AE344" i="3"/>
  <c r="AE255" i="3"/>
  <c r="AE93" i="3"/>
  <c r="AE151" i="3"/>
  <c r="AE196" i="3"/>
  <c r="AE577" i="3"/>
  <c r="AE127" i="3"/>
  <c r="AE101" i="3"/>
  <c r="AE257" i="3"/>
  <c r="AE323" i="3"/>
  <c r="AE128" i="3"/>
  <c r="AE83" i="3"/>
  <c r="AE110" i="3"/>
  <c r="AE274" i="3"/>
  <c r="AE62" i="3"/>
  <c r="AE21" i="3"/>
  <c r="AE519" i="3"/>
  <c r="AE270" i="3"/>
  <c r="AE327" i="3"/>
  <c r="AE236" i="3"/>
  <c r="AE285" i="3"/>
  <c r="AE106" i="3"/>
  <c r="AE92" i="3"/>
  <c r="AE281" i="3"/>
  <c r="AE429" i="3"/>
  <c r="AE249" i="3"/>
  <c r="AE242" i="3"/>
  <c r="AE60" i="3"/>
  <c r="AE47" i="3"/>
  <c r="AE278" i="3"/>
  <c r="AE154" i="3"/>
  <c r="AE36" i="3"/>
  <c r="AE241" i="3"/>
  <c r="AE268" i="3"/>
  <c r="AE6" i="3"/>
  <c r="AE282" i="3"/>
  <c r="AE11" i="3"/>
  <c r="AE64" i="3"/>
  <c r="AE202" i="3"/>
  <c r="AE479" i="3"/>
  <c r="AE129" i="3"/>
  <c r="AE200" i="3"/>
  <c r="AE458" i="3"/>
  <c r="AE561" i="3"/>
  <c r="AE457" i="3"/>
  <c r="AE230" i="3"/>
  <c r="AE532" i="3"/>
  <c r="AE5" i="3"/>
  <c r="AE434" i="3"/>
  <c r="AE192" i="3"/>
  <c r="AE386" i="3"/>
  <c r="AE122" i="3"/>
  <c r="AE35" i="3"/>
  <c r="AE113" i="3"/>
  <c r="AE133" i="3"/>
  <c r="AE502" i="3"/>
  <c r="AE240" i="3"/>
  <c r="AE42" i="3"/>
  <c r="AE199" i="3"/>
  <c r="AE258" i="3"/>
  <c r="AE29" i="3"/>
  <c r="AE166" i="3"/>
  <c r="AE210" i="3"/>
  <c r="AE293" i="3"/>
  <c r="AE296" i="3"/>
  <c r="AE148" i="3"/>
  <c r="AE425" i="3"/>
  <c r="AE163" i="3"/>
  <c r="AE284" i="3"/>
  <c r="AE273" i="3"/>
  <c r="AE169" i="3"/>
  <c r="AE40" i="3"/>
  <c r="AE287" i="3"/>
  <c r="AE431" i="3"/>
  <c r="AE147" i="3"/>
  <c r="AE76" i="3"/>
  <c r="AE574" i="3"/>
  <c r="AE66" i="3"/>
  <c r="AE385" i="3"/>
  <c r="AE322" i="3"/>
  <c r="AE59" i="3"/>
  <c r="AE308" i="3"/>
  <c r="AE349" i="3"/>
  <c r="AE23" i="3"/>
  <c r="AE144" i="3"/>
  <c r="AE337" i="3"/>
  <c r="AE188" i="3"/>
  <c r="AE58" i="3"/>
  <c r="AE295" i="3"/>
  <c r="AE25" i="3"/>
  <c r="AE186" i="3"/>
  <c r="AE26" i="3"/>
  <c r="AE86" i="3"/>
  <c r="AE378" i="3"/>
  <c r="AE211" i="3"/>
  <c r="AE307" i="3"/>
  <c r="AE103" i="3"/>
  <c r="AE227" i="3"/>
  <c r="AE276" i="3"/>
  <c r="AE339" i="3"/>
  <c r="AE141" i="3"/>
  <c r="AE383" i="3"/>
  <c r="AE107" i="3"/>
  <c r="AE34" i="3"/>
  <c r="AE194" i="3"/>
  <c r="AE53" i="3"/>
  <c r="AE170" i="3"/>
  <c r="AE244" i="3"/>
  <c r="AE504" i="3"/>
  <c r="AE153" i="3"/>
  <c r="AE84" i="3"/>
  <c r="AE275" i="3"/>
  <c r="AE145" i="3"/>
  <c r="AE98" i="3"/>
  <c r="AE37" i="3"/>
  <c r="AE104" i="3"/>
  <c r="AE313" i="3"/>
  <c r="AE190" i="3"/>
  <c r="AE291" i="3"/>
  <c r="AE54" i="3"/>
  <c r="AE286" i="3"/>
  <c r="AE234" i="3"/>
  <c r="AE256" i="3"/>
  <c r="AE514" i="3"/>
  <c r="AE283" i="3"/>
  <c r="T495" i="3" l="1"/>
  <c r="T590" i="3"/>
  <c r="T589" i="3"/>
  <c r="T356" i="3"/>
  <c r="T587" i="3"/>
  <c r="T588" i="3"/>
  <c r="T540" i="3"/>
  <c r="T594" i="3"/>
  <c r="T593" i="3"/>
</calcChain>
</file>

<file path=xl/sharedStrings.xml><?xml version="1.0" encoding="utf-8"?>
<sst xmlns="http://schemas.openxmlformats.org/spreadsheetml/2006/main" count="31768" uniqueCount="5007">
  <si>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</si>
  <si>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</si>
  <si>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</si>
  <si>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</si>
  <si>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</si>
  <si>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</si>
  <si>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</si>
  <si>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</si>
  <si>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</si>
  <si>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</si>
  <si>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</si>
  <si>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</si>
  <si>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</si>
  <si>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</si>
  <si>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</si>
  <si>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</si>
  <si>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</si>
  <si>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</si>
  <si>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</si>
  <si>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</si>
  <si>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</si>
  <si>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Discount</t>
  </si>
  <si>
    <t>Cancelled Order</t>
  </si>
  <si>
    <t>Short Shipment</t>
  </si>
  <si>
    <t>Unknown Deduction</t>
  </si>
  <si>
    <t>PO Closed</t>
  </si>
  <si>
    <t>Item Not on PO</t>
  </si>
  <si>
    <t>Overshipped PO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</si>
  <si>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</si>
  <si>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</si>
  <si>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</si>
  <si>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</si>
  <si>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</si>
  <si>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</si>
  <si>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</si>
  <si>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</si>
  <si>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</si>
  <si>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</si>
  <si>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Miscellaneous</t>
  </si>
  <si>
    <t>Wrong PO Number</t>
  </si>
  <si>
    <t>Credit Team</t>
  </si>
  <si>
    <t>Owner</t>
  </si>
  <si>
    <t>Processor Name</t>
  </si>
  <si>
    <t>Count</t>
  </si>
  <si>
    <t>Lack of Response</t>
  </si>
  <si>
    <t>Misc Charges</t>
  </si>
  <si>
    <t>RMA Credit Needed</t>
  </si>
  <si>
    <t>Inv. Hold Tariff Credit</t>
  </si>
  <si>
    <t>Billing Wrong Customer</t>
  </si>
  <si>
    <t>Deducted Tax</t>
  </si>
  <si>
    <t>Freight</t>
  </si>
  <si>
    <t>Proof of Delivery</t>
  </si>
  <si>
    <t>Shipping and Handling Charge</t>
  </si>
  <si>
    <t>Paid?</t>
  </si>
  <si>
    <t>Filter</t>
  </si>
  <si>
    <t>Dif Inv</t>
  </si>
  <si>
    <t>Africa</t>
  </si>
  <si>
    <t>GE A 5937</t>
  </si>
  <si>
    <t>PO4000295317</t>
  </si>
  <si>
    <t>SO91108095317</t>
  </si>
  <si>
    <t>Asia</t>
  </si>
  <si>
    <t>ECMM 8891</t>
  </si>
  <si>
    <t>PO4419599207</t>
  </si>
  <si>
    <t>SO91144299207</t>
  </si>
  <si>
    <t>PO4417072629</t>
  </si>
  <si>
    <t>SO91136072629</t>
  </si>
  <si>
    <t>PO4416931400</t>
  </si>
  <si>
    <t>SO91136131400</t>
  </si>
  <si>
    <t>PO4417163911</t>
  </si>
  <si>
    <t>SO91137263911</t>
  </si>
  <si>
    <t>PO4417127934</t>
  </si>
  <si>
    <t>SO91137127934</t>
  </si>
  <si>
    <t>SO91142305140</t>
  </si>
  <si>
    <t>SO91132746369</t>
  </si>
  <si>
    <t>PO4417069163</t>
  </si>
  <si>
    <t>SO91137169163</t>
  </si>
  <si>
    <t>PO4417010392</t>
  </si>
  <si>
    <t>SO91137210392</t>
  </si>
  <si>
    <t>PO4416951621</t>
  </si>
  <si>
    <t>SO91137251621</t>
  </si>
  <si>
    <t>PO4417732293</t>
  </si>
  <si>
    <t>SO91137132293</t>
  </si>
  <si>
    <t>PO4417944583</t>
  </si>
  <si>
    <t>SO91137844583</t>
  </si>
  <si>
    <t>PO4417050728</t>
  </si>
  <si>
    <t>SO91137550728</t>
  </si>
  <si>
    <t>PO4417768270</t>
  </si>
  <si>
    <t>SO91137868270</t>
  </si>
  <si>
    <t>PO4418170949</t>
  </si>
  <si>
    <t>SO91138570949</t>
  </si>
  <si>
    <t>PO2100294636</t>
  </si>
  <si>
    <t>SO91143194636</t>
  </si>
  <si>
    <t>PO4420796271</t>
  </si>
  <si>
    <t>SO91154696271</t>
  </si>
  <si>
    <t>Oceania</t>
  </si>
  <si>
    <t>HONE 0445</t>
  </si>
  <si>
    <t>PO4418025361</t>
  </si>
  <si>
    <t>SO91139325361</t>
  </si>
  <si>
    <t>PO4417792063</t>
  </si>
  <si>
    <t>SO91139892063</t>
  </si>
  <si>
    <t>PO4418203460</t>
  </si>
  <si>
    <t>SO91140103460</t>
  </si>
  <si>
    <t>PO4418862231</t>
  </si>
  <si>
    <t>SO91140462231</t>
  </si>
  <si>
    <t>PO4418012284</t>
  </si>
  <si>
    <t>SO91141712284</t>
  </si>
  <si>
    <t>PO4418765803</t>
  </si>
  <si>
    <t>SO91141565803</t>
  </si>
  <si>
    <t>PO4417938544</t>
  </si>
  <si>
    <t>SO91141038544</t>
  </si>
  <si>
    <t>PO4418579773</t>
  </si>
  <si>
    <t>SO91141079773</t>
  </si>
  <si>
    <t>PO4418821002</t>
  </si>
  <si>
    <t>SO91140821002</t>
  </si>
  <si>
    <t>SO91145744795</t>
  </si>
  <si>
    <t>PO4419338650</t>
  </si>
  <si>
    <t>SO91142938650</t>
  </si>
  <si>
    <t>PO4419297421</t>
  </si>
  <si>
    <t>SO91142997421</t>
  </si>
  <si>
    <t>PO4418956192</t>
  </si>
  <si>
    <t>SO91142456192</t>
  </si>
  <si>
    <t>PO4417970268</t>
  </si>
  <si>
    <t>SO91144170268</t>
  </si>
  <si>
    <t>PO4419424680</t>
  </si>
  <si>
    <t>SO91144924680</t>
  </si>
  <si>
    <t>PO4419831718</t>
  </si>
  <si>
    <t>SO91146531718</t>
  </si>
  <si>
    <t>PO4417714176</t>
  </si>
  <si>
    <t>SO91144014176</t>
  </si>
  <si>
    <t>FLEX 0248</t>
  </si>
  <si>
    <t>PO4419939649</t>
  </si>
  <si>
    <t>SO91146239649</t>
  </si>
  <si>
    <t>PO4420143221</t>
  </si>
  <si>
    <t>SO91148543221</t>
  </si>
  <si>
    <t>PO4419574733</t>
  </si>
  <si>
    <t>SO91146274733</t>
  </si>
  <si>
    <t>PO4419175626</t>
  </si>
  <si>
    <t>SO91146475626</t>
  </si>
  <si>
    <t>PO4419916855</t>
  </si>
  <si>
    <t>SO91147116855</t>
  </si>
  <si>
    <t>PO9961805458</t>
  </si>
  <si>
    <t>SO91147105458</t>
  </si>
  <si>
    <t>PO5500046687</t>
  </si>
  <si>
    <t>SO95112646687</t>
  </si>
  <si>
    <t>PO4420184450</t>
  </si>
  <si>
    <t>SO91148884450</t>
  </si>
  <si>
    <t>PO4419281771</t>
  </si>
  <si>
    <t>SO91141281771</t>
  </si>
  <si>
    <t>PO4420137076</t>
  </si>
  <si>
    <t>SO91148537076</t>
  </si>
  <si>
    <t>PO4419258084</t>
  </si>
  <si>
    <t>SO91145558084</t>
  </si>
  <si>
    <t>SO90116578305</t>
  </si>
  <si>
    <t>PO4420125679</t>
  </si>
  <si>
    <t>SO91148825679</t>
  </si>
  <si>
    <t>PHIL 6082</t>
  </si>
  <si>
    <t>PO4420163079</t>
  </si>
  <si>
    <t>SO91156663079</t>
  </si>
  <si>
    <t>PO4420313495</t>
  </si>
  <si>
    <t>SO91150513495</t>
  </si>
  <si>
    <t>North America</t>
  </si>
  <si>
    <t>HARR 7117</t>
  </si>
  <si>
    <t>PO4420328358</t>
  </si>
  <si>
    <t>SO91150028358</t>
  </si>
  <si>
    <t>SO91153249684</t>
  </si>
  <si>
    <t>PO4419731037</t>
  </si>
  <si>
    <t>SO91150631037</t>
  </si>
  <si>
    <t>Region Integrated</t>
  </si>
  <si>
    <t>PHIL 9549</t>
  </si>
  <si>
    <t>FIER 5113</t>
  </si>
  <si>
    <t>PHIL 6114</t>
  </si>
  <si>
    <t>PO3008875203</t>
  </si>
  <si>
    <t>SO91134775202</t>
  </si>
  <si>
    <t>PO3024664547</t>
  </si>
  <si>
    <t>SO91155364547</t>
  </si>
  <si>
    <t>PO4419990807</t>
  </si>
  <si>
    <t>SO91152890807</t>
  </si>
  <si>
    <t>POC220941011</t>
  </si>
  <si>
    <t>SO91132241011</t>
  </si>
  <si>
    <t>PO4420537288</t>
  </si>
  <si>
    <t>SO91152237288</t>
  </si>
  <si>
    <t>SO91153608455</t>
  </si>
  <si>
    <t>PO4419349578</t>
  </si>
  <si>
    <t>SO91152349578</t>
  </si>
  <si>
    <t>PO4420508349</t>
  </si>
  <si>
    <t>SO91152908349</t>
  </si>
  <si>
    <t>PO4420578517</t>
  </si>
  <si>
    <t>SO91152278517</t>
  </si>
  <si>
    <t>PO4420619746</t>
  </si>
  <si>
    <t>SO91153019746</t>
  </si>
  <si>
    <t>PO3023852257</t>
  </si>
  <si>
    <t>SO91149952257</t>
  </si>
  <si>
    <t>PO3023811028</t>
  </si>
  <si>
    <t>SO91150811028</t>
  </si>
  <si>
    <t>PO3023893486</t>
  </si>
  <si>
    <t>SO91150893486</t>
  </si>
  <si>
    <t>SO91153417173</t>
  </si>
  <si>
    <t>PO3023928570</t>
  </si>
  <si>
    <t>SO91150828570</t>
  </si>
  <si>
    <t>PO4433880409</t>
  </si>
  <si>
    <t>SO91156380409</t>
  </si>
  <si>
    <t>PO3023887341</t>
  </si>
  <si>
    <t>SO91150887341</t>
  </si>
  <si>
    <t>PO4433833035</t>
  </si>
  <si>
    <t>SO91156233035</t>
  </si>
  <si>
    <t>SO91157161081</t>
  </si>
  <si>
    <t>PO4433845325</t>
  </si>
  <si>
    <t>SO91156945325</t>
  </si>
  <si>
    <t>FUJI 8570</t>
  </si>
  <si>
    <t>PO4000068119</t>
  </si>
  <si>
    <t>SO91157668119</t>
  </si>
  <si>
    <t>PO1007377836</t>
  </si>
  <si>
    <t>SO91147877836</t>
  </si>
  <si>
    <t>SO91150658720</t>
  </si>
  <si>
    <t>BAE  0631</t>
  </si>
  <si>
    <t>PO4420242858</t>
  </si>
  <si>
    <t>SO91156242858</t>
  </si>
  <si>
    <t>Latam</t>
  </si>
  <si>
    <t>PO4420456828</t>
  </si>
  <si>
    <t>SO91151456828</t>
  </si>
  <si>
    <t>Global</t>
  </si>
  <si>
    <t>JABI 0420</t>
  </si>
  <si>
    <t>PO4419884087</t>
  </si>
  <si>
    <t>SO91156184087</t>
  </si>
  <si>
    <t>RAYT 9829</t>
  </si>
  <si>
    <t>PO4420701629</t>
  </si>
  <si>
    <t>SO91156101629</t>
  </si>
  <si>
    <t>PO4433847429</t>
  </si>
  <si>
    <t>SO91156347429</t>
  </si>
  <si>
    <t>UNIV 3830</t>
  </si>
  <si>
    <t>PO3014160612</t>
  </si>
  <si>
    <t>SO91160460612</t>
  </si>
  <si>
    <t>BAE  1333</t>
  </si>
  <si>
    <t>PO4420708667</t>
  </si>
  <si>
    <t>SO91156508667</t>
  </si>
  <si>
    <t>PO4000007607</t>
  </si>
  <si>
    <t>SO90113007607</t>
  </si>
  <si>
    <t>PO3020833080</t>
  </si>
  <si>
    <t>SO91130933080</t>
  </si>
  <si>
    <t>Central East</t>
  </si>
  <si>
    <t>South America</t>
  </si>
  <si>
    <t>HARR 0151</t>
  </si>
  <si>
    <t>PO4502034246</t>
  </si>
  <si>
    <t>SO91159734246</t>
  </si>
  <si>
    <t>PO2100367544</t>
  </si>
  <si>
    <t>SO91160167544</t>
  </si>
  <si>
    <t>PO1436826935</t>
  </si>
  <si>
    <t>SO90114126935</t>
  </si>
  <si>
    <t>PO4418050622</t>
  </si>
  <si>
    <t>SO91128050622</t>
  </si>
  <si>
    <t>PS E 3277</t>
  </si>
  <si>
    <t>PO4420805307</t>
  </si>
  <si>
    <t>SO91158005307</t>
  </si>
  <si>
    <t>SO91156993017</t>
  </si>
  <si>
    <t>PO4433836032</t>
  </si>
  <si>
    <t>SO91156236032</t>
  </si>
  <si>
    <t>PO4433577261</t>
  </si>
  <si>
    <t>SO91155077261</t>
  </si>
  <si>
    <t>PO4421296589</t>
  </si>
  <si>
    <t>SO91158296589</t>
  </si>
  <si>
    <t>PO4420786085</t>
  </si>
  <si>
    <t>SO91158486085</t>
  </si>
  <si>
    <t>PO4509386978</t>
  </si>
  <si>
    <t>SO91161186978</t>
  </si>
  <si>
    <t>PO6760975581</t>
  </si>
  <si>
    <t>SO90117675581</t>
  </si>
  <si>
    <t>SO91161958039</t>
  </si>
  <si>
    <t>PO4421364184</t>
  </si>
  <si>
    <t>SO91158564184</t>
  </si>
  <si>
    <t>PO5500001054</t>
  </si>
  <si>
    <t>SO91159101054</t>
  </si>
  <si>
    <t>PO3014336138</t>
  </si>
  <si>
    <t>SO91161936138</t>
  </si>
  <si>
    <t>PO3014294909</t>
  </si>
  <si>
    <t>SO91161994909</t>
  </si>
  <si>
    <t>PO2277142283</t>
  </si>
  <si>
    <t>SO91160642283</t>
  </si>
  <si>
    <t>PO4000062019</t>
  </si>
  <si>
    <t>SO91126862019</t>
  </si>
  <si>
    <t>SO91162149321</t>
  </si>
  <si>
    <t>PO5105844962</t>
  </si>
  <si>
    <t>SO94206244962</t>
  </si>
  <si>
    <t>ANAL 6836</t>
  </si>
  <si>
    <t>PO3014211558</t>
  </si>
  <si>
    <t>SO91162011558</t>
  </si>
  <si>
    <t>SPAC 3616</t>
  </si>
  <si>
    <t>PO3014129100</t>
  </si>
  <si>
    <t>SO91162129100</t>
  </si>
  <si>
    <t>THE  3231</t>
  </si>
  <si>
    <t>PO4417033186</t>
  </si>
  <si>
    <t>SO91137533186</t>
  </si>
  <si>
    <t>COMP 4347</t>
  </si>
  <si>
    <t>PO3006054088</t>
  </si>
  <si>
    <t>SO91113054088</t>
  </si>
  <si>
    <t>PO5106838075</t>
  </si>
  <si>
    <t>SO91154138075</t>
  </si>
  <si>
    <t>PO3019830401</t>
  </si>
  <si>
    <t>SO91099630401</t>
  </si>
  <si>
    <t>PO4418884919</t>
  </si>
  <si>
    <t>SO91136084919</t>
  </si>
  <si>
    <t>POC221243690</t>
  </si>
  <si>
    <t>SO91135743690</t>
  </si>
  <si>
    <t>PO4417508606</t>
  </si>
  <si>
    <t>SO91137308606</t>
  </si>
  <si>
    <t>PO4420708561</t>
  </si>
  <si>
    <t>SO91154908561</t>
  </si>
  <si>
    <t>PO4420149790</t>
  </si>
  <si>
    <t>SO91154949790</t>
  </si>
  <si>
    <t>PO4417691957</t>
  </si>
  <si>
    <t>SO91137991957</t>
  </si>
  <si>
    <t>PO4419009499</t>
  </si>
  <si>
    <t>SO91137809499</t>
  </si>
  <si>
    <t>PO4421304520</t>
  </si>
  <si>
    <t>SO91159104520</t>
  </si>
  <si>
    <t>POON EX99101</t>
  </si>
  <si>
    <t>SO91125199101</t>
  </si>
  <si>
    <t>PO4419088597</t>
  </si>
  <si>
    <t>SO91141388597</t>
  </si>
  <si>
    <t>FRON 8622</t>
  </si>
  <si>
    <t>PO4000078986</t>
  </si>
  <si>
    <t>SO91146378986</t>
  </si>
  <si>
    <t>PO4418379879</t>
  </si>
  <si>
    <t>SO91143079879</t>
  </si>
  <si>
    <t>PO4419503566</t>
  </si>
  <si>
    <t>SO91143003566</t>
  </si>
  <si>
    <t>PO4419262337</t>
  </si>
  <si>
    <t>SO91143062337</t>
  </si>
  <si>
    <t>PO4420302098</t>
  </si>
  <si>
    <t>SO91150702098</t>
  </si>
  <si>
    <t>PO4420195953</t>
  </si>
  <si>
    <t>SO91150595953</t>
  </si>
  <si>
    <t>PO4420378411</t>
  </si>
  <si>
    <t>SO91150778411</t>
  </si>
  <si>
    <t>PO4419519640</t>
  </si>
  <si>
    <t>SO91150719640</t>
  </si>
  <si>
    <t>PO4420260869</t>
  </si>
  <si>
    <t>SO91150660869</t>
  </si>
  <si>
    <t>PO4419237182</t>
  </si>
  <si>
    <t>SO91151137182</t>
  </si>
  <si>
    <t>PO4419944008</t>
  </si>
  <si>
    <t>SO91146244008</t>
  </si>
  <si>
    <t>PO39P0232823</t>
  </si>
  <si>
    <t>SO91153832823</t>
  </si>
  <si>
    <t>PO39P0250365</t>
  </si>
  <si>
    <t>SO91153850365</t>
  </si>
  <si>
    <t>PO39P0291594</t>
  </si>
  <si>
    <t>SO91153891594</t>
  </si>
  <si>
    <t>PO39P0215281</t>
  </si>
  <si>
    <t>SO91153815281</t>
  </si>
  <si>
    <t>POON EX22788</t>
  </si>
  <si>
    <t>SO91125122788</t>
  </si>
  <si>
    <t>GE A 7694</t>
  </si>
  <si>
    <t>PO4420676050</t>
  </si>
  <si>
    <t>SO91154176050</t>
  </si>
  <si>
    <t>PO4420699737</t>
  </si>
  <si>
    <t>SO91154099737</t>
  </si>
  <si>
    <t>PO4419166590</t>
  </si>
  <si>
    <t>SO91139966590</t>
  </si>
  <si>
    <t>PO4420051576</t>
  </si>
  <si>
    <t>SO91155651576</t>
  </si>
  <si>
    <t>PO4420792805</t>
  </si>
  <si>
    <t>SO91155692805</t>
  </si>
  <si>
    <t>POOR24621851</t>
  </si>
  <si>
    <t>SO91157921850</t>
  </si>
  <si>
    <t>PO4000006714</t>
  </si>
  <si>
    <t>SO90111806714</t>
  </si>
  <si>
    <t>PO4500064865</t>
  </si>
  <si>
    <t>SO91153964865</t>
  </si>
  <si>
    <t>PO4000080622</t>
  </si>
  <si>
    <t>SO91159880621</t>
  </si>
  <si>
    <t>PO4420717385</t>
  </si>
  <si>
    <t>SO91155917385</t>
  </si>
  <si>
    <t>PO4419530038</t>
  </si>
  <si>
    <t>SO91147430038</t>
  </si>
  <si>
    <t>HARM 7606</t>
  </si>
  <si>
    <t>PO5500138862</t>
  </si>
  <si>
    <t>SO91150838862</t>
  </si>
  <si>
    <t>PO5500080091</t>
  </si>
  <si>
    <t>SO91150480091</t>
  </si>
  <si>
    <t>BENC 3216</t>
  </si>
  <si>
    <t>PO4418082558</t>
  </si>
  <si>
    <t>SO91143982558</t>
  </si>
  <si>
    <t>PO5500197633</t>
  </si>
  <si>
    <t>SO91150897633</t>
  </si>
  <si>
    <t>PO5552811452</t>
  </si>
  <si>
    <t>SO90117511452</t>
  </si>
  <si>
    <t>PO4419323787</t>
  </si>
  <si>
    <t>SO91144223787</t>
  </si>
  <si>
    <t>NORT 2097</t>
  </si>
  <si>
    <t>SAFR 5677</t>
  </si>
  <si>
    <t>PO4500099949</t>
  </si>
  <si>
    <t>SO91153299949</t>
  </si>
  <si>
    <t>PO4416567695</t>
  </si>
  <si>
    <t>SO91146067695</t>
  </si>
  <si>
    <t>LOCK 2348</t>
  </si>
  <si>
    <t>PO4417663442</t>
  </si>
  <si>
    <t>SO91148963442</t>
  </si>
  <si>
    <t>BENC 0594</t>
  </si>
  <si>
    <t>PO4418083451</t>
  </si>
  <si>
    <t>SO91144983451</t>
  </si>
  <si>
    <t>PO4420539286</t>
  </si>
  <si>
    <t>SO91152039286</t>
  </si>
  <si>
    <t>CELE 0254</t>
  </si>
  <si>
    <t>PO3014136925</t>
  </si>
  <si>
    <t>SO91160936925</t>
  </si>
  <si>
    <t>POPARRY07987</t>
  </si>
  <si>
    <t>SO91159707986</t>
  </si>
  <si>
    <t>PO3014219383</t>
  </si>
  <si>
    <t>SO91160719383</t>
  </si>
  <si>
    <t>PO4420180515</t>
  </si>
  <si>
    <t>SO91148580515</t>
  </si>
  <si>
    <t>PO4419200993</t>
  </si>
  <si>
    <t>SO91144500993</t>
  </si>
  <si>
    <t>PO3014101841</t>
  </si>
  <si>
    <t>SO91160401841</t>
  </si>
  <si>
    <t>PO31 - 41179</t>
  </si>
  <si>
    <t>SO91150641178</t>
  </si>
  <si>
    <t>PO2002243070</t>
  </si>
  <si>
    <t>SO91161343070</t>
  </si>
  <si>
    <t>FLUK 1403</t>
  </si>
  <si>
    <t>PO4420115599</t>
  </si>
  <si>
    <t>SO91148515599</t>
  </si>
  <si>
    <t>PO4421184299</t>
  </si>
  <si>
    <t>SO91157584299</t>
  </si>
  <si>
    <t>ASTR 4741</t>
  </si>
  <si>
    <t>PO4420668331</t>
  </si>
  <si>
    <t>SO91156768331</t>
  </si>
  <si>
    <t>PO4500725528</t>
  </si>
  <si>
    <t>SO91138025528</t>
  </si>
  <si>
    <t>PO4420130886</t>
  </si>
  <si>
    <t>SO91158630886</t>
  </si>
  <si>
    <t>POT009790551</t>
  </si>
  <si>
    <t>SO91160890550</t>
  </si>
  <si>
    <t>PO4434025634</t>
  </si>
  <si>
    <t>SO91158525634</t>
  </si>
  <si>
    <t>Patrick Hayes</t>
  </si>
  <si>
    <t>Materials Team</t>
  </si>
  <si>
    <t>Sophia Turner</t>
  </si>
  <si>
    <t>Rupert Thiem</t>
  </si>
  <si>
    <t>Hannah Brooks</t>
  </si>
  <si>
    <t>Liam Matthews</t>
  </si>
  <si>
    <t>Andrew Clayton</t>
  </si>
  <si>
    <t>Adrian Cruz</t>
  </si>
  <si>
    <t>Tyler Ramirez</t>
  </si>
  <si>
    <t>Cassandra Miles</t>
  </si>
  <si>
    <t>Noah Harrison</t>
  </si>
  <si>
    <t>Lucy Matthews</t>
  </si>
  <si>
    <t>Isabella Griffin</t>
  </si>
  <si>
    <t>Jason Whitman</t>
  </si>
  <si>
    <t>Joshua Reed</t>
  </si>
  <si>
    <t>Gabrielle Terrazas</t>
  </si>
  <si>
    <t>Ryan Cooper</t>
  </si>
  <si>
    <t>Michelle Conway</t>
  </si>
  <si>
    <t>Alejandra Tamez</t>
  </si>
  <si>
    <t>Claire Bennett</t>
  </si>
  <si>
    <t>Arthur Vega</t>
  </si>
  <si>
    <t>Isaac Diaz</t>
  </si>
  <si>
    <t>Caleb Morgan</t>
  </si>
  <si>
    <t>Ethan Collins</t>
  </si>
  <si>
    <t>Lauren Bishop</t>
  </si>
  <si>
    <t>Emma Parker</t>
  </si>
  <si>
    <t>Adam Nichols</t>
  </si>
  <si>
    <t>Jack Morrison</t>
  </si>
  <si>
    <t>Lucas Stone</t>
  </si>
  <si>
    <t>Brianna Collins</t>
  </si>
  <si>
    <t>Gabriella Knight</t>
  </si>
  <si>
    <t>Madison Brooks</t>
  </si>
  <si>
    <t>Elizabeth Monroe</t>
  </si>
  <si>
    <t>Helen Butz</t>
  </si>
  <si>
    <t>Elena Richards</t>
  </si>
  <si>
    <t>Hernanda Luizk</t>
  </si>
  <si>
    <t>Julia Foster</t>
  </si>
  <si>
    <t>Matthew Sullivan</t>
  </si>
  <si>
    <t>Carlos Herrera</t>
  </si>
  <si>
    <t>Jessica Bonus</t>
  </si>
  <si>
    <t>Katherine Miles</t>
  </si>
  <si>
    <t>John Patrickson</t>
  </si>
  <si>
    <t>Mia Sanders</t>
  </si>
  <si>
    <t>Robert Gomez</t>
  </si>
  <si>
    <t>Anthony Price</t>
  </si>
  <si>
    <t>Logan Pierce</t>
  </si>
  <si>
    <t>Mateo Silva</t>
  </si>
  <si>
    <t>Kyle Chandler</t>
  </si>
  <si>
    <t>Caleb Thornton</t>
  </si>
  <si>
    <t>Nicole Walters</t>
  </si>
  <si>
    <t>Emma Lawson</t>
  </si>
  <si>
    <t>Ava Simmons</t>
  </si>
  <si>
    <t>Leo Vargas</t>
  </si>
  <si>
    <t>Dylan Hughes</t>
  </si>
  <si>
    <t>Zachary Morris</t>
  </si>
  <si>
    <t>Christian Evans</t>
  </si>
  <si>
    <t>Thomas Richardson</t>
  </si>
  <si>
    <t>Danielle Carter</t>
  </si>
  <si>
    <t>Diego Navarro</t>
  </si>
  <si>
    <t>Alexander Bailey</t>
  </si>
  <si>
    <t>Evelyn Barnes</t>
  </si>
  <si>
    <t>Ian Spencer</t>
  </si>
  <si>
    <t>Dominic Flores</t>
  </si>
  <si>
    <t>Benjamin Hughes</t>
  </si>
  <si>
    <t>Brandon Kelly</t>
  </si>
  <si>
    <t>Anthony Griffin</t>
  </si>
  <si>
    <t>Jasmine Cooper</t>
  </si>
  <si>
    <t>Jeremy Rhodes</t>
  </si>
  <si>
    <t>Jessica Harmon</t>
  </si>
  <si>
    <t>Samuel Perry</t>
  </si>
  <si>
    <t>Riley Grant</t>
  </si>
  <si>
    <t>Grace Fisher</t>
  </si>
  <si>
    <t>Maria Salazar</t>
  </si>
  <si>
    <t>Harper Long</t>
  </si>
  <si>
    <t>Joel Manning</t>
  </si>
  <si>
    <t>Nathan Cooper</t>
  </si>
  <si>
    <t>Isabella Reed</t>
  </si>
  <si>
    <t>Christopher Morgan</t>
  </si>
  <si>
    <t>Victoria Hamilton</t>
  </si>
  <si>
    <t>Gavin Phillips</t>
  </si>
  <si>
    <t>Isaac Newton</t>
  </si>
  <si>
    <t>Sophia Edwards</t>
  </si>
  <si>
    <t>Ella Bennett</t>
  </si>
  <si>
    <t>Eli Hudson</t>
  </si>
  <si>
    <t>Brandon Pierce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</si>
  <si>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</si>
  <si>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</si>
  <si>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</si>
  <si>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</si>
  <si>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</si>
  <si>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</si>
  <si>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Credit Team and this is related to Misc Charges</t>
  </si>
  <si>
    <t>Description -  This Req has been handled by Sales Team and this is related to Wrong PO Number</t>
  </si>
  <si>
    <t>Description -  This Req has been handled by Materials Team and this is related to RMA Number Needed</t>
  </si>
  <si>
    <t>Description -  This Req has been handled by Sales Team and this is related to Item Not on PO</t>
  </si>
  <si>
    <t>Description -  This Req has been handled by Materials Team and this is related to Shipping and Handling Charge</t>
  </si>
  <si>
    <t>MC A 5960</t>
  </si>
  <si>
    <t>JABI 0734</t>
  </si>
  <si>
    <t>STON 3689</t>
  </si>
  <si>
    <t>L-3  2935</t>
  </si>
  <si>
    <t>APPL 6379</t>
  </si>
  <si>
    <t>GE V 8549</t>
  </si>
  <si>
    <t>GRAS 8845</t>
  </si>
  <si>
    <t>TYCO 0415</t>
  </si>
  <si>
    <t>DYNA 0711</t>
  </si>
  <si>
    <t>SCHN 6402</t>
  </si>
  <si>
    <t>VETE 3202</t>
  </si>
  <si>
    <t>ENTE 3774</t>
  </si>
  <si>
    <t>JABI 0360</t>
  </si>
  <si>
    <t>TERA 6309</t>
  </si>
  <si>
    <t>ROCK 1968</t>
  </si>
  <si>
    <t>NOKI 7913</t>
  </si>
  <si>
    <t>L3HA 9721</t>
  </si>
  <si>
    <t>LOCK 2492</t>
  </si>
  <si>
    <t>CORE 2128</t>
  </si>
  <si>
    <t>CLOU 0994</t>
  </si>
  <si>
    <t>COPE 0870</t>
  </si>
  <si>
    <t>BCS  1314</t>
  </si>
  <si>
    <t>Kidd 5978</t>
  </si>
  <si>
    <t>BCS  3060</t>
  </si>
  <si>
    <t>THAL 2121</t>
  </si>
  <si>
    <t>CATE 0325</t>
  </si>
  <si>
    <t>M/A- 6250</t>
  </si>
  <si>
    <t>FLEX 0246</t>
  </si>
  <si>
    <t>SALC 3071</t>
  </si>
  <si>
    <t>FRAN 9770</t>
  </si>
  <si>
    <t>SPAR 1086</t>
  </si>
  <si>
    <t>BITR 8030</t>
  </si>
  <si>
    <t>GE H 5997</t>
  </si>
  <si>
    <t>HUGH 5540</t>
  </si>
  <si>
    <t>FLEX 0144</t>
  </si>
  <si>
    <t>TYCO 4112</t>
  </si>
  <si>
    <t>GENE 1094</t>
  </si>
  <si>
    <t>EDEN 1785</t>
  </si>
  <si>
    <t>LES  4364</t>
  </si>
  <si>
    <t>AMPH 8418</t>
  </si>
  <si>
    <t>TYCO 3621</t>
  </si>
  <si>
    <t>ASTE 9546</t>
  </si>
  <si>
    <t>BAE  1156</t>
  </si>
  <si>
    <t>PMC  0221</t>
  </si>
  <si>
    <t>JOHN 2612</t>
  </si>
  <si>
    <t>SHAN 9103</t>
  </si>
  <si>
    <t>LCR  2228</t>
  </si>
  <si>
    <t>WATL 2732</t>
  </si>
  <si>
    <t>DC I 3702</t>
  </si>
  <si>
    <t>SIIX 2540</t>
  </si>
  <si>
    <t>ECON 3221</t>
  </si>
  <si>
    <t>UNIV 5117</t>
  </si>
  <si>
    <t>DRS  7634</t>
  </si>
  <si>
    <t>ROSE 2662</t>
  </si>
  <si>
    <t>CELE 0250</t>
  </si>
  <si>
    <t>AUTO 2882</t>
  </si>
  <si>
    <t>LIPP 9030</t>
  </si>
  <si>
    <t>MACK 1373</t>
  </si>
  <si>
    <t>VTEC 9933</t>
  </si>
  <si>
    <t>INCA 7349</t>
  </si>
  <si>
    <t>LOCK 9863</t>
  </si>
  <si>
    <t>J.W. 7459</t>
  </si>
  <si>
    <t>PHIL 2196</t>
  </si>
  <si>
    <t>WINC 2136</t>
  </si>
  <si>
    <t>CONN 3304</t>
  </si>
  <si>
    <t>RIVI 0746</t>
  </si>
  <si>
    <t>SPAR 0172</t>
  </si>
  <si>
    <t>KOEL 4965</t>
  </si>
  <si>
    <t>LACR 9102</t>
  </si>
  <si>
    <t>PROJ 8719</t>
  </si>
  <si>
    <t>PROD 4063</t>
  </si>
  <si>
    <t>SAGE 7819</t>
  </si>
  <si>
    <t>SANM 9208</t>
  </si>
  <si>
    <t>MACK 9471</t>
  </si>
  <si>
    <t>URTE 7745</t>
  </si>
  <si>
    <t>EMS  8334</t>
  </si>
  <si>
    <t>ASTR 4402</t>
  </si>
  <si>
    <t>DWYE 9682</t>
  </si>
  <si>
    <t>ADCO 0546</t>
  </si>
  <si>
    <t>INGR 4929</t>
  </si>
  <si>
    <t>BAE  2308</t>
  </si>
  <si>
    <t>ARIS 3745</t>
  </si>
  <si>
    <t>HELL 9949</t>
  </si>
  <si>
    <t>ROCK 5713</t>
  </si>
  <si>
    <t>ECI  7897</t>
  </si>
  <si>
    <t>INTE 2029</t>
  </si>
  <si>
    <t>GOOD 6724</t>
  </si>
  <si>
    <t>BECK 9521</t>
  </si>
  <si>
    <t>SANM 0489</t>
  </si>
  <si>
    <t>ADVA 0119</t>
  </si>
  <si>
    <t>AVAL 0876</t>
  </si>
  <si>
    <t>CLAR 4091</t>
  </si>
  <si>
    <t>TERA 1361</t>
  </si>
  <si>
    <t>STRA 9146</t>
  </si>
  <si>
    <t>SOLU 0725</t>
  </si>
  <si>
    <t>ADVA 8858</t>
  </si>
  <si>
    <t>HONE 3247</t>
  </si>
  <si>
    <t>HARM 3794</t>
  </si>
  <si>
    <t>MOLE 3286</t>
  </si>
  <si>
    <t>DORT 8119</t>
  </si>
  <si>
    <t>THE  8569</t>
  </si>
  <si>
    <t>LUXS 8332</t>
  </si>
  <si>
    <t>HIP  1882</t>
  </si>
  <si>
    <t>IBM  7746</t>
  </si>
  <si>
    <t>3M C 9411</t>
  </si>
  <si>
    <t>BLUE 1333</t>
  </si>
  <si>
    <t>VIST 9213</t>
  </si>
  <si>
    <t>MAGN 9220</t>
  </si>
  <si>
    <t>BUGG 5013</t>
  </si>
  <si>
    <t>CELE 0223</t>
  </si>
  <si>
    <t>L3 C 5622</t>
  </si>
  <si>
    <t>BAKE 5121</t>
  </si>
  <si>
    <t>AMPH 3769</t>
  </si>
  <si>
    <t>INTU 0166</t>
  </si>
  <si>
    <t>EFI  6140</t>
  </si>
  <si>
    <t>MERC 0001</t>
  </si>
  <si>
    <t>DIAL 7128</t>
  </si>
  <si>
    <t>DUCO 3963</t>
  </si>
  <si>
    <t>SMTC 4610</t>
  </si>
  <si>
    <t>HONE 8017</t>
  </si>
  <si>
    <t>KLA  0204</t>
  </si>
  <si>
    <t>FLEX 4072</t>
  </si>
  <si>
    <t>PHIL 1709</t>
  </si>
  <si>
    <t>LUCI 0516</t>
  </si>
  <si>
    <t>XP P 3669</t>
  </si>
  <si>
    <t>LEAR 0599</t>
  </si>
  <si>
    <t>SIEM 8046</t>
  </si>
  <si>
    <t>MAXT 4941</t>
  </si>
  <si>
    <t>BEAM 2332</t>
  </si>
  <si>
    <t>EXCE 9427</t>
  </si>
  <si>
    <t>JABI 5088</t>
  </si>
  <si>
    <t>PLEX 0480</t>
  </si>
  <si>
    <t>UNIG 5239</t>
  </si>
  <si>
    <t>FIER 5144</t>
  </si>
  <si>
    <t>LEDA 0053</t>
  </si>
  <si>
    <t>FEDE 0276</t>
  </si>
  <si>
    <t>ADI  0317</t>
  </si>
  <si>
    <t>TYCO 3565</t>
  </si>
  <si>
    <t>MERC 3236</t>
  </si>
  <si>
    <t>WILL 8961</t>
  </si>
  <si>
    <t>VALE 3649</t>
  </si>
  <si>
    <t>BAE  5625</t>
  </si>
  <si>
    <t>SCHN 4310</t>
  </si>
  <si>
    <t>THE  1088</t>
  </si>
  <si>
    <t>NRG  8228</t>
  </si>
  <si>
    <t>GENE 1594</t>
  </si>
  <si>
    <t>EXAC 1708</t>
  </si>
  <si>
    <t>CUST 5570</t>
  </si>
  <si>
    <t>ALCO 0193</t>
  </si>
  <si>
    <t>ALCA 0352</t>
  </si>
  <si>
    <t>HITA 7945</t>
  </si>
  <si>
    <t>DIGI 0415</t>
  </si>
  <si>
    <t>MSA  0749</t>
  </si>
  <si>
    <t>HYVE 6432</t>
  </si>
  <si>
    <t>A.F. 2939</t>
  </si>
  <si>
    <t>REBO 2229</t>
  </si>
  <si>
    <t>APTI 3707</t>
  </si>
  <si>
    <t>KOLL 1441</t>
  </si>
  <si>
    <t>ARGO 5512</t>
  </si>
  <si>
    <t>WEG  4186</t>
  </si>
  <si>
    <t>VENT 5203</t>
  </si>
  <si>
    <t>NI M 9479</t>
  </si>
  <si>
    <t>CLOU 1427</t>
  </si>
  <si>
    <t>GOOD 8207</t>
  </si>
  <si>
    <t>APTI 9777</t>
  </si>
  <si>
    <t>FIBE 1790</t>
  </si>
  <si>
    <t>BENC 3486</t>
  </si>
  <si>
    <t>TKR  0835</t>
  </si>
  <si>
    <t>JOHN 5679</t>
  </si>
  <si>
    <t>BENC 1391</t>
  </si>
  <si>
    <t>ZOLL 1351</t>
  </si>
  <si>
    <t>AURI 3708</t>
  </si>
  <si>
    <t>MICR 8065</t>
  </si>
  <si>
    <t>GENE 3884</t>
  </si>
  <si>
    <t>MOOG 5437</t>
  </si>
  <si>
    <t>VALK 8266</t>
  </si>
  <si>
    <t>DRS  2746</t>
  </si>
  <si>
    <t>CARI 3242</t>
  </si>
  <si>
    <t>SOLL 9834</t>
  </si>
  <si>
    <t>LYTE 9677</t>
  </si>
  <si>
    <t>QUAL 3618</t>
  </si>
  <si>
    <t>INTE 3320</t>
  </si>
  <si>
    <t>HERE 9226</t>
  </si>
  <si>
    <t>CAE  5820</t>
  </si>
  <si>
    <t>OTIS 8943</t>
  </si>
  <si>
    <t>ABB  2942</t>
  </si>
  <si>
    <t>ARCX 8191</t>
  </si>
  <si>
    <t>XIPH 8844</t>
  </si>
  <si>
    <t>NOKI 6681</t>
  </si>
  <si>
    <t>AMPE 4099</t>
  </si>
  <si>
    <t>CLOU 0900</t>
  </si>
  <si>
    <t>MICR 2093</t>
  </si>
  <si>
    <t>COMP 2000</t>
  </si>
  <si>
    <t>WNC  0161</t>
  </si>
  <si>
    <t>FLEX 7365</t>
  </si>
  <si>
    <t>BAE  5048</t>
  </si>
  <si>
    <t>AUMO 4231</t>
  </si>
  <si>
    <t>SKL  8979</t>
  </si>
  <si>
    <t>COMT 0708</t>
  </si>
  <si>
    <t>TD S 5139</t>
  </si>
  <si>
    <t>CLOU 4743</t>
  </si>
  <si>
    <t>ACC  0581</t>
  </si>
  <si>
    <t>CREA 0550</t>
  </si>
  <si>
    <t>ETCH 5680</t>
  </si>
  <si>
    <t>FLEX 0733</t>
  </si>
  <si>
    <t>WABT 0689</t>
  </si>
  <si>
    <t>CONT 1684</t>
  </si>
  <si>
    <t>HID  2757</t>
  </si>
  <si>
    <t>RAPI 0383</t>
  </si>
  <si>
    <t>CELE 4471</t>
  </si>
  <si>
    <t>WAYG 5619</t>
  </si>
  <si>
    <t>LUME 7839</t>
  </si>
  <si>
    <t>FLEX 6260</t>
  </si>
  <si>
    <t>ADVA 5370</t>
  </si>
  <si>
    <t>CCK  0464</t>
  </si>
  <si>
    <t>CURT 2744</t>
  </si>
  <si>
    <t>PEGA 9947</t>
  </si>
  <si>
    <t>FINA 5641</t>
  </si>
  <si>
    <t>VULC 3620</t>
  </si>
  <si>
    <t>TELE 6379</t>
  </si>
  <si>
    <t>WESC 0970</t>
  </si>
  <si>
    <t>PO3422124256</t>
  </si>
  <si>
    <t>SO91084824256</t>
  </si>
  <si>
    <t>PO3006036546</t>
  </si>
  <si>
    <t>SO91113536546</t>
  </si>
  <si>
    <t>PO2376777775</t>
  </si>
  <si>
    <t>SO90112477775</t>
  </si>
  <si>
    <t>PO8454560233</t>
  </si>
  <si>
    <t>SO90112860233</t>
  </si>
  <si>
    <t>PO4000072523</t>
  </si>
  <si>
    <t>SO91121172523</t>
  </si>
  <si>
    <t>PO2376790065</t>
  </si>
  <si>
    <t>SO91119890065</t>
  </si>
  <si>
    <t>PO4000096210</t>
  </si>
  <si>
    <t>SO91121296210</t>
  </si>
  <si>
    <t>PO4000037439</t>
  </si>
  <si>
    <t>SO91121037439</t>
  </si>
  <si>
    <t>PO8000078668</t>
  </si>
  <si>
    <t>SO91121878668</t>
  </si>
  <si>
    <t>PO2880019897</t>
  </si>
  <si>
    <t>SO90113219897</t>
  </si>
  <si>
    <t>PO3967802355</t>
  </si>
  <si>
    <t>SO90113302355</t>
  </si>
  <si>
    <t>PO4000067271</t>
  </si>
  <si>
    <t>SO91123867271</t>
  </si>
  <si>
    <t>PO3008826042</t>
  </si>
  <si>
    <t>SO91123726042</t>
  </si>
  <si>
    <t>PO3010608500</t>
  </si>
  <si>
    <t>SO91124008500</t>
  </si>
  <si>
    <t>PO2376749729</t>
  </si>
  <si>
    <t>SO91124249729</t>
  </si>
  <si>
    <t>PO4000090958</t>
  </si>
  <si>
    <t>SO91125290958</t>
  </si>
  <si>
    <t>PO4000032187</t>
  </si>
  <si>
    <t>SO91125232187</t>
  </si>
  <si>
    <t>PO4000073416</t>
  </si>
  <si>
    <t>SO91125373416</t>
  </si>
  <si>
    <t>PO4000055874</t>
  </si>
  <si>
    <t>SO91125455874</t>
  </si>
  <si>
    <t>PO3006014645</t>
  </si>
  <si>
    <t>SO91125514645</t>
  </si>
  <si>
    <t>PO4000097103</t>
  </si>
  <si>
    <t>SO91126097103</t>
  </si>
  <si>
    <t>PO4417638332</t>
  </si>
  <si>
    <t>SO91122738332</t>
  </si>
  <si>
    <t>PO3020379561</t>
  </si>
  <si>
    <t>SO91126979561</t>
  </si>
  <si>
    <t>PO3014903248</t>
  </si>
  <si>
    <t>SO91127403248</t>
  </si>
  <si>
    <t>PO9697144477</t>
  </si>
  <si>
    <t>SO90113944477</t>
  </si>
  <si>
    <t>PO4000068164</t>
  </si>
  <si>
    <t>SO91128768164</t>
  </si>
  <si>
    <t>PO4800121683</t>
  </si>
  <si>
    <t>SO90114421683</t>
  </si>
  <si>
    <t>PO4000027828</t>
  </si>
  <si>
    <t>SO91133927828</t>
  </si>
  <si>
    <t>PO3008804141</t>
  </si>
  <si>
    <t>SO91133304141</t>
  </si>
  <si>
    <t>SO90114592744</t>
  </si>
  <si>
    <t>PO3008869057</t>
  </si>
  <si>
    <t>SO91133869057</t>
  </si>
  <si>
    <t>PO3008810286</t>
  </si>
  <si>
    <t>SO91133810286</t>
  </si>
  <si>
    <t>PO3008851515</t>
  </si>
  <si>
    <t>SO91133851515</t>
  </si>
  <si>
    <t>POC220898889</t>
  </si>
  <si>
    <t>SO91131298889</t>
  </si>
  <si>
    <t>PO4416011179</t>
  </si>
  <si>
    <t>SO90114711179</t>
  </si>
  <si>
    <t>PO9471864698</t>
  </si>
  <si>
    <t>SO90114964698</t>
  </si>
  <si>
    <t>POC221053301</t>
  </si>
  <si>
    <t>SO91133253301</t>
  </si>
  <si>
    <t>PO4000035759</t>
  </si>
  <si>
    <t>SO91138935759</t>
  </si>
  <si>
    <t>PO1340676988</t>
  </si>
  <si>
    <t>SO90115176988</t>
  </si>
  <si>
    <t>POC221218217</t>
  </si>
  <si>
    <t>SO91134918217</t>
  </si>
  <si>
    <t>POC221159446</t>
  </si>
  <si>
    <t>SO91134659446</t>
  </si>
  <si>
    <t>POC221165591</t>
  </si>
  <si>
    <t>SO91134565591</t>
  </si>
  <si>
    <t>POC221141904</t>
  </si>
  <si>
    <t>SO91134341904</t>
  </si>
  <si>
    <t>POC221183133</t>
  </si>
  <si>
    <t>SO91134383133</t>
  </si>
  <si>
    <t>POC221124362</t>
  </si>
  <si>
    <t>SO91134024362</t>
  </si>
  <si>
    <t>PO4000206820</t>
  </si>
  <si>
    <t>SO91132106820</t>
  </si>
  <si>
    <t>PO3021948049</t>
  </si>
  <si>
    <t>SO91139948049</t>
  </si>
  <si>
    <t>PO1318589278</t>
  </si>
  <si>
    <t>SO90115189278</t>
  </si>
  <si>
    <t>PO2376730507</t>
  </si>
  <si>
    <t>SO91137630507</t>
  </si>
  <si>
    <t>POPO25495423</t>
  </si>
  <si>
    <t>SO91138595423</t>
  </si>
  <si>
    <t>POPO25436652</t>
  </si>
  <si>
    <t>SO91138536652</t>
  </si>
  <si>
    <t>POPO25477881</t>
  </si>
  <si>
    <t>SO91138677881</t>
  </si>
  <si>
    <t>POPO25419110</t>
  </si>
  <si>
    <t>SO91138419110</t>
  </si>
  <si>
    <t>PO1845960339</t>
  </si>
  <si>
    <t>SO90115160339</t>
  </si>
  <si>
    <t>PO4418948942</t>
  </si>
  <si>
    <t>SO91137048942</t>
  </si>
  <si>
    <t>PO4417555087</t>
  </si>
  <si>
    <t>SO91136255087</t>
  </si>
  <si>
    <t>POC230120003</t>
  </si>
  <si>
    <t>SO91137220003</t>
  </si>
  <si>
    <t>SO90115326148</t>
  </si>
  <si>
    <t>POC230287598</t>
  </si>
  <si>
    <t>SO91137787598</t>
  </si>
  <si>
    <t>PO4418291064</t>
  </si>
  <si>
    <t>SO91136791064</t>
  </si>
  <si>
    <t>PO4417514751</t>
  </si>
  <si>
    <t>SO91137314751</t>
  </si>
  <si>
    <t>PO4417697209</t>
  </si>
  <si>
    <t>SO91137997209</t>
  </si>
  <si>
    <t>PO4417638438</t>
  </si>
  <si>
    <t>SO91137938438</t>
  </si>
  <si>
    <t>PO4417079667</t>
  </si>
  <si>
    <t>SO91137679667</t>
  </si>
  <si>
    <t>PO4419120896</t>
  </si>
  <si>
    <t>SO91138120896</t>
  </si>
  <si>
    <t>PO4417062125</t>
  </si>
  <si>
    <t>SO91137662125</t>
  </si>
  <si>
    <t>PO4417057766</t>
  </si>
  <si>
    <t>SO91137257766</t>
  </si>
  <si>
    <t>PO4416922682</t>
  </si>
  <si>
    <t>SO91137222682</t>
  </si>
  <si>
    <t>POC230228827</t>
  </si>
  <si>
    <t>SO91137528827</t>
  </si>
  <si>
    <t>PO4000052514</t>
  </si>
  <si>
    <t>SO91142352514</t>
  </si>
  <si>
    <t>PO4000034972</t>
  </si>
  <si>
    <t>SO91142334972</t>
  </si>
  <si>
    <t>PO4419106033</t>
  </si>
  <si>
    <t>SO91138106033</t>
  </si>
  <si>
    <t>PO4417029720</t>
  </si>
  <si>
    <t>SO91138229720</t>
  </si>
  <si>
    <t>PO2100253407</t>
  </si>
  <si>
    <t>SO91143153407</t>
  </si>
  <si>
    <t>PO3008877094</t>
  </si>
  <si>
    <t>SO91142977094</t>
  </si>
  <si>
    <t>PO3006018323</t>
  </si>
  <si>
    <t>SO91143318323</t>
  </si>
  <si>
    <t>PO4416859552</t>
  </si>
  <si>
    <t>SO91135159552</t>
  </si>
  <si>
    <t>PO4419224468</t>
  </si>
  <si>
    <t>SO91140324468</t>
  </si>
  <si>
    <t>PO4419142010</t>
  </si>
  <si>
    <t>SO91138842010</t>
  </si>
  <si>
    <t>PO4417483239</t>
  </si>
  <si>
    <t>SO91139383239</t>
  </si>
  <si>
    <t>PO4417406926</t>
  </si>
  <si>
    <t>SO91139306926</t>
  </si>
  <si>
    <t>PO4419360445</t>
  </si>
  <si>
    <t>SO91140860445</t>
  </si>
  <si>
    <t>PO4416931506</t>
  </si>
  <si>
    <t>SO91139031506</t>
  </si>
  <si>
    <t>PO4417465697</t>
  </si>
  <si>
    <t>SO91139365697</t>
  </si>
  <si>
    <t>PO4417848155</t>
  </si>
  <si>
    <t>SO91139348155</t>
  </si>
  <si>
    <t>PO4417489384</t>
  </si>
  <si>
    <t>SO91139389384</t>
  </si>
  <si>
    <t>PO4418971842</t>
  </si>
  <si>
    <t>SO91139371842</t>
  </si>
  <si>
    <t>PO4419213071</t>
  </si>
  <si>
    <t>SO91140313071</t>
  </si>
  <si>
    <t>PO4418254300</t>
  </si>
  <si>
    <t>SO91139354300</t>
  </si>
  <si>
    <t>PO4417295529</t>
  </si>
  <si>
    <t>SO91139395529</t>
  </si>
  <si>
    <t>SO91143736758</t>
  </si>
  <si>
    <t>PO4418977987</t>
  </si>
  <si>
    <t>SO91139677987</t>
  </si>
  <si>
    <t>PO4418819216</t>
  </si>
  <si>
    <t>SO91139319216</t>
  </si>
  <si>
    <t>PO4417790277</t>
  </si>
  <si>
    <t>SO91140090277</t>
  </si>
  <si>
    <t>PO4417872735</t>
  </si>
  <si>
    <t>SO91139972735</t>
  </si>
  <si>
    <t>PO4417013964</t>
  </si>
  <si>
    <t>SO91138013964</t>
  </si>
  <si>
    <t>PO4419237651</t>
  </si>
  <si>
    <t>SO91141037651</t>
  </si>
  <si>
    <t>SO91141396422</t>
  </si>
  <si>
    <t>PO4417869269</t>
  </si>
  <si>
    <t>SO91141169269</t>
  </si>
  <si>
    <t>PO6613520109</t>
  </si>
  <si>
    <t>SO90115620109</t>
  </si>
  <si>
    <t>PO4417961338</t>
  </si>
  <si>
    <t>SO91141161338</t>
  </si>
  <si>
    <t>PO4419202567</t>
  </si>
  <si>
    <t>SO91140902567</t>
  </si>
  <si>
    <t>PO4418043796</t>
  </si>
  <si>
    <t>SO91140943796</t>
  </si>
  <si>
    <t>SO91143726254</t>
  </si>
  <si>
    <t>PO4419367483</t>
  </si>
  <si>
    <t>SO91140767483</t>
  </si>
  <si>
    <t>PO4419308712</t>
  </si>
  <si>
    <t>SO91141108712</t>
  </si>
  <si>
    <t>PO4417732399</t>
  </si>
  <si>
    <t>SO91140232399</t>
  </si>
  <si>
    <t>PO4419297315</t>
  </si>
  <si>
    <t>SO91140697315</t>
  </si>
  <si>
    <t>PO4419227147</t>
  </si>
  <si>
    <t>SO91140227147</t>
  </si>
  <si>
    <t>PO4417768376</t>
  </si>
  <si>
    <t>SO91141068376</t>
  </si>
  <si>
    <t>PO4419309605</t>
  </si>
  <si>
    <t>SO91140909605</t>
  </si>
  <si>
    <t>PO4417750834</t>
  </si>
  <si>
    <t>SO91139850834</t>
  </si>
  <si>
    <t>POON EX57872</t>
  </si>
  <si>
    <t>SO91125157872</t>
  </si>
  <si>
    <t>POON EX16643</t>
  </si>
  <si>
    <t>SO91125216643</t>
  </si>
  <si>
    <t>POON EX41223</t>
  </si>
  <si>
    <t>SO91125241223</t>
  </si>
  <si>
    <t>PO4417051727</t>
  </si>
  <si>
    <t>SO91140951727</t>
  </si>
  <si>
    <t>PO4418895635</t>
  </si>
  <si>
    <t>SO91142195635</t>
  </si>
  <si>
    <t>PO7820023681</t>
  </si>
  <si>
    <t>SO90115723681</t>
  </si>
  <si>
    <t>SO91146064910</t>
  </si>
  <si>
    <t>PO4419329826</t>
  </si>
  <si>
    <t>SO91141929826</t>
  </si>
  <si>
    <t>PO4419353513</t>
  </si>
  <si>
    <t>SO91141753513</t>
  </si>
  <si>
    <t>SO91146294742</t>
  </si>
  <si>
    <t>PO4419135971</t>
  </si>
  <si>
    <t>SO91141835971</t>
  </si>
  <si>
    <t>PO4418977200</t>
  </si>
  <si>
    <t>SO91141877200</t>
  </si>
  <si>
    <t>PO4419318429</t>
  </si>
  <si>
    <t>SO91141918429</t>
  </si>
  <si>
    <t>PO4417959658</t>
  </si>
  <si>
    <t>SO91141659658</t>
  </si>
  <si>
    <t>PO4419500887</t>
  </si>
  <si>
    <t>SO91141900887</t>
  </si>
  <si>
    <t>PO4419383345</t>
  </si>
  <si>
    <t>SO91141683345</t>
  </si>
  <si>
    <t>PO4419224574</t>
  </si>
  <si>
    <t>SO91141924574</t>
  </si>
  <si>
    <t>PO4419260551</t>
  </si>
  <si>
    <t>SO91142260551</t>
  </si>
  <si>
    <t>PO4419501780</t>
  </si>
  <si>
    <t>SO91142301780</t>
  </si>
  <si>
    <t>PO4418184238</t>
  </si>
  <si>
    <t>SO91141784238</t>
  </si>
  <si>
    <t>PO4418525467</t>
  </si>
  <si>
    <t>SO91141625467</t>
  </si>
  <si>
    <t>PO4419266696</t>
  </si>
  <si>
    <t>SO91139266696</t>
  </si>
  <si>
    <t>PO4417207925</t>
  </si>
  <si>
    <t>SO91130807925</t>
  </si>
  <si>
    <t>PO4418655299</t>
  </si>
  <si>
    <t>SO91141255299</t>
  </si>
  <si>
    <t>PO4419290383</t>
  </si>
  <si>
    <t>SO91139090383</t>
  </si>
  <si>
    <t>PO4419031612</t>
  </si>
  <si>
    <t>SO91141031612</t>
  </si>
  <si>
    <t>PO4419308818</t>
  </si>
  <si>
    <t>SO91142708818</t>
  </si>
  <si>
    <t>PO4417237757</t>
  </si>
  <si>
    <t>SO91134537757</t>
  </si>
  <si>
    <t>PO4000020215</t>
  </si>
  <si>
    <t>SO91146320215</t>
  </si>
  <si>
    <t>PO4000061444</t>
  </si>
  <si>
    <t>SO91146361444</t>
  </si>
  <si>
    <t>PO8918702673</t>
  </si>
  <si>
    <t>SO90115802673</t>
  </si>
  <si>
    <t>SO91145543902</t>
  </si>
  <si>
    <t>SO91145585131</t>
  </si>
  <si>
    <t>PO4419367589</t>
  </si>
  <si>
    <t>SO91142767589</t>
  </si>
  <si>
    <t>SO91147086024</t>
  </si>
  <si>
    <t>PO4419521108</t>
  </si>
  <si>
    <t>SO91143021108</t>
  </si>
  <si>
    <t>SO90115927253</t>
  </si>
  <si>
    <t>SO90115968482</t>
  </si>
  <si>
    <t>PO39P0274627</t>
  </si>
  <si>
    <t>SO91146974627</t>
  </si>
  <si>
    <t>SO91143439543</t>
  </si>
  <si>
    <t>PO4417386917</t>
  </si>
  <si>
    <t>SO91143286917</t>
  </si>
  <si>
    <t>PO4419628146</t>
  </si>
  <si>
    <t>SO91143928146</t>
  </si>
  <si>
    <t>PO4418869375</t>
  </si>
  <si>
    <t>SO91143869375</t>
  </si>
  <si>
    <t>PO4419610604</t>
  </si>
  <si>
    <t>SO91143610604</t>
  </si>
  <si>
    <t>PO4419693062</t>
  </si>
  <si>
    <t>SO91143793062</t>
  </si>
  <si>
    <t>PO4419634291</t>
  </si>
  <si>
    <t>SO91143434291</t>
  </si>
  <si>
    <t>PO4418075520</t>
  </si>
  <si>
    <t>SO91143575520</t>
  </si>
  <si>
    <t>PO4419416749</t>
  </si>
  <si>
    <t>SO91143416749</t>
  </si>
  <si>
    <t>PO4418881665</t>
  </si>
  <si>
    <t>SO91144281665</t>
  </si>
  <si>
    <t>PO4419622894</t>
  </si>
  <si>
    <t>SO91145422894</t>
  </si>
  <si>
    <t>PO4419405352</t>
  </si>
  <si>
    <t>SO91143805352</t>
  </si>
  <si>
    <t>PO4419446581</t>
  </si>
  <si>
    <t>SO91144746581</t>
  </si>
  <si>
    <t>PO4418958871</t>
  </si>
  <si>
    <t>SO91143558871</t>
  </si>
  <si>
    <t>PO4418300100</t>
  </si>
  <si>
    <t>SO91143400100</t>
  </si>
  <si>
    <t>PO4418341329</t>
  </si>
  <si>
    <t>SO91143741329</t>
  </si>
  <si>
    <t>PO4418165016</t>
  </si>
  <si>
    <t>SO91144365016</t>
  </si>
  <si>
    <t>PO4418688703</t>
  </si>
  <si>
    <t>SO91132888703</t>
  </si>
  <si>
    <t>PO4417929932</t>
  </si>
  <si>
    <t>SO91129829932</t>
  </si>
  <si>
    <t>PO4417753619</t>
  </si>
  <si>
    <t>SO91130053619</t>
  </si>
  <si>
    <t>PO4418654512</t>
  </si>
  <si>
    <t>SO91144954512</t>
  </si>
  <si>
    <t>PO4419577306</t>
  </si>
  <si>
    <t>SO91145277306</t>
  </si>
  <si>
    <t>PO4419318535</t>
  </si>
  <si>
    <t>SO91144518535</t>
  </si>
  <si>
    <t>PO4418842222</t>
  </si>
  <si>
    <t>SO91145142222</t>
  </si>
  <si>
    <t>PO4418678199</t>
  </si>
  <si>
    <t>SO91145178199</t>
  </si>
  <si>
    <t>PO4418689596</t>
  </si>
  <si>
    <t>SO91144489596</t>
  </si>
  <si>
    <t>PO4418572054</t>
  </si>
  <si>
    <t>SO91145172054</t>
  </si>
  <si>
    <t>PO4419413283</t>
  </si>
  <si>
    <t>SO91144813283</t>
  </si>
  <si>
    <t>PO4419396634</t>
  </si>
  <si>
    <t>SO91145396634</t>
  </si>
  <si>
    <t>PO4419126466</t>
  </si>
  <si>
    <t>SO91146026466</t>
  </si>
  <si>
    <t>SO91147721214</t>
  </si>
  <si>
    <t>PO5100497527</t>
  </si>
  <si>
    <t>SO91147697527</t>
  </si>
  <si>
    <t>SO91145338756</t>
  </si>
  <si>
    <t>PO4419890489</t>
  </si>
  <si>
    <t>SO91145990489</t>
  </si>
  <si>
    <t>PO4419955405</t>
  </si>
  <si>
    <t>SO91146155405</t>
  </si>
  <si>
    <t>PO4417402779</t>
  </si>
  <si>
    <t>SO91145302779</t>
  </si>
  <si>
    <t>PO4418008924</t>
  </si>
  <si>
    <t>SO91145508924</t>
  </si>
  <si>
    <t>PO4419650153</t>
  </si>
  <si>
    <t>SO91145950153</t>
  </si>
  <si>
    <t>PO4418091382</t>
  </si>
  <si>
    <t>SO91145991382</t>
  </si>
  <si>
    <t>PO4419673840</t>
  </si>
  <si>
    <t>SO91145773840</t>
  </si>
  <si>
    <t>PO4419115069</t>
  </si>
  <si>
    <t>SO91145315069</t>
  </si>
  <si>
    <t>SO91149356298</t>
  </si>
  <si>
    <t>PO4000268588</t>
  </si>
  <si>
    <t>SO91119668588</t>
  </si>
  <si>
    <t>PO4419609817</t>
  </si>
  <si>
    <t>SO91146809817</t>
  </si>
  <si>
    <t>PO4419951046</t>
  </si>
  <si>
    <t>SO91146951046</t>
  </si>
  <si>
    <t>PO4419992275</t>
  </si>
  <si>
    <t>SO91146292275</t>
  </si>
  <si>
    <t>PO3022944901</t>
  </si>
  <si>
    <t>SO91147544901</t>
  </si>
  <si>
    <t>PO3023286130</t>
  </si>
  <si>
    <t>SO91146086130</t>
  </si>
  <si>
    <t>PO4000227359</t>
  </si>
  <si>
    <t>SO91129827359</t>
  </si>
  <si>
    <t>PO4419915962</t>
  </si>
  <si>
    <t>SO91146215962</t>
  </si>
  <si>
    <t>PO4419957191</t>
  </si>
  <si>
    <t>SO91146257191</t>
  </si>
  <si>
    <t>PO4419998420</t>
  </si>
  <si>
    <t>SO91146898420</t>
  </si>
  <si>
    <t>PO4416704565</t>
  </si>
  <si>
    <t>SO91146804565</t>
  </si>
  <si>
    <t>PO4419569481</t>
  </si>
  <si>
    <t>SO91147269481</t>
  </si>
  <si>
    <t>PO4419551939</t>
  </si>
  <si>
    <t>SO91146551939</t>
  </si>
  <si>
    <t>PO4416793168</t>
  </si>
  <si>
    <t>SO91146393168</t>
  </si>
  <si>
    <t>PO4418334397</t>
  </si>
  <si>
    <t>SO91147034397</t>
  </si>
  <si>
    <t>PO4417936183</t>
  </si>
  <si>
    <t>SO91143136183</t>
  </si>
  <si>
    <t>PO4419223000</t>
  </si>
  <si>
    <t>SO91147223000</t>
  </si>
  <si>
    <t>SO91146664229</t>
  </si>
  <si>
    <t>PO4416987916</t>
  </si>
  <si>
    <t>SO91148087916</t>
  </si>
  <si>
    <t>PO4419529145</t>
  </si>
  <si>
    <t>SO91147929145</t>
  </si>
  <si>
    <t>PO4419470374</t>
  </si>
  <si>
    <t>SO91148070374</t>
  </si>
  <si>
    <t>PO4416911603</t>
  </si>
  <si>
    <t>SO91148011603</t>
  </si>
  <si>
    <t>PO4419352832</t>
  </si>
  <si>
    <t>SO91147452832</t>
  </si>
  <si>
    <t>PO5500094061</t>
  </si>
  <si>
    <t>SO91149894061</t>
  </si>
  <si>
    <t>PO4418635290</t>
  </si>
  <si>
    <t>SO91147435290</t>
  </si>
  <si>
    <t>PO4419876519</t>
  </si>
  <si>
    <t>SO91147476519</t>
  </si>
  <si>
    <t>PO4419417748</t>
  </si>
  <si>
    <t>SO91147817748</t>
  </si>
  <si>
    <t>PO4419758977</t>
  </si>
  <si>
    <t>SO91147758977</t>
  </si>
  <si>
    <t>PO4420100206</t>
  </si>
  <si>
    <t>SO91148600206</t>
  </si>
  <si>
    <t>PO4418841435</t>
  </si>
  <si>
    <t>SO91148041435</t>
  </si>
  <si>
    <t>PO4418506351</t>
  </si>
  <si>
    <t>SO91147806351</t>
  </si>
  <si>
    <t>PO4420047580</t>
  </si>
  <si>
    <t>SO91147847580</t>
  </si>
  <si>
    <t>PO4419912496</t>
  </si>
  <si>
    <t>SO91146212496</t>
  </si>
  <si>
    <t>PO4418694954</t>
  </si>
  <si>
    <t>SO91137094954</t>
  </si>
  <si>
    <t>PO4418677412</t>
  </si>
  <si>
    <t>SO91143777412</t>
  </si>
  <si>
    <t>PO4934618641</t>
  </si>
  <si>
    <t>SO90116418641</t>
  </si>
  <si>
    <t>SO91150159870</t>
  </si>
  <si>
    <t>PO4417783557</t>
  </si>
  <si>
    <t>SO91148883557</t>
  </si>
  <si>
    <t>PO4420024786</t>
  </si>
  <si>
    <t>SO91148224786</t>
  </si>
  <si>
    <t>PO4420189702</t>
  </si>
  <si>
    <t>SO91148889702</t>
  </si>
  <si>
    <t>PO4420154618</t>
  </si>
  <si>
    <t>SO91148754618</t>
  </si>
  <si>
    <t>SO91151586236</t>
  </si>
  <si>
    <t>PO4500109923</t>
  </si>
  <si>
    <t>SO91150009923</t>
  </si>
  <si>
    <t>PO4500021320</t>
  </si>
  <si>
    <t>SO91152121320</t>
  </si>
  <si>
    <t>SO91148750259</t>
  </si>
  <si>
    <t>PO4420119534</t>
  </si>
  <si>
    <t>SO91148519534</t>
  </si>
  <si>
    <t>PO4420239755</t>
  </si>
  <si>
    <t>SO91149639755</t>
  </si>
  <si>
    <t>PO4418560763</t>
  </si>
  <si>
    <t>SO91148460763</t>
  </si>
  <si>
    <t>PO4419401992</t>
  </si>
  <si>
    <t>SO91148401992</t>
  </si>
  <si>
    <t>PO4419502885</t>
  </si>
  <si>
    <t>SO91148102885</t>
  </si>
  <si>
    <t>PO4420144114</t>
  </si>
  <si>
    <t>SO91148344114</t>
  </si>
  <si>
    <t>PO4417785343</t>
  </si>
  <si>
    <t>SO91148785343</t>
  </si>
  <si>
    <t>PO4419726572</t>
  </si>
  <si>
    <t>SO91148626572</t>
  </si>
  <si>
    <t>SO91148891488</t>
  </si>
  <si>
    <t>PO4500232717</t>
  </si>
  <si>
    <t>SO91152132717</t>
  </si>
  <si>
    <t>SO91135673946</t>
  </si>
  <si>
    <t>SO90116615175</t>
  </si>
  <si>
    <t>SO91149356404</t>
  </si>
  <si>
    <t>SO90116662549</t>
  </si>
  <si>
    <t>SO91145403778</t>
  </si>
  <si>
    <t>SO91145445007</t>
  </si>
  <si>
    <t>SO90116627465</t>
  </si>
  <si>
    <t>SO91151568694</t>
  </si>
  <si>
    <t>PO4419951152</t>
  </si>
  <si>
    <t>SO91150951152</t>
  </si>
  <si>
    <t>PO4420092381</t>
  </si>
  <si>
    <t>SO91148692381</t>
  </si>
  <si>
    <t>PO4420233610</t>
  </si>
  <si>
    <t>SO91149333610</t>
  </si>
  <si>
    <t>PO4419974839</t>
  </si>
  <si>
    <t>SO91149074839</t>
  </si>
  <si>
    <t>PO4418816068</t>
  </si>
  <si>
    <t>SO91148916068</t>
  </si>
  <si>
    <t>PO4418557297</t>
  </si>
  <si>
    <t>SO91148957297</t>
  </si>
  <si>
    <t>PO4419998526</t>
  </si>
  <si>
    <t>SO91149898526</t>
  </si>
  <si>
    <t>PO4417280984</t>
  </si>
  <si>
    <t>SO91149680984</t>
  </si>
  <si>
    <t>PO4417222213</t>
  </si>
  <si>
    <t>SO91149822213</t>
  </si>
  <si>
    <t>PO4420204671</t>
  </si>
  <si>
    <t>SO91149604671</t>
  </si>
  <si>
    <t>PO4419645900</t>
  </si>
  <si>
    <t>SO91150045900</t>
  </si>
  <si>
    <t>PO4420387129</t>
  </si>
  <si>
    <t>SO91150087129</t>
  </si>
  <si>
    <t>PO4420369587</t>
  </si>
  <si>
    <t>SO91150069587</t>
  </si>
  <si>
    <t>PO4420205564</t>
  </si>
  <si>
    <t>SO91149705564</t>
  </si>
  <si>
    <t>PO4420052045</t>
  </si>
  <si>
    <t>SO91147652045</t>
  </si>
  <si>
    <t>PO4419993274</t>
  </si>
  <si>
    <t>SO91148993274</t>
  </si>
  <si>
    <t>PO4419234503</t>
  </si>
  <si>
    <t>SO91148934503</t>
  </si>
  <si>
    <t>PO4419675732</t>
  </si>
  <si>
    <t>SO91149675732</t>
  </si>
  <si>
    <t>PO4420246793</t>
  </si>
  <si>
    <t>SO91149746793</t>
  </si>
  <si>
    <t>PO4417688022</t>
  </si>
  <si>
    <t>SO91149088022</t>
  </si>
  <si>
    <t>PO4419835396</t>
  </si>
  <si>
    <t>SO91150035396</t>
  </si>
  <si>
    <t>PO4420076625</t>
  </si>
  <si>
    <t>SO91149176625</t>
  </si>
  <si>
    <t>PO4420217854</t>
  </si>
  <si>
    <t>SO91150017854</t>
  </si>
  <si>
    <t>SO91152083663</t>
  </si>
  <si>
    <t>PO4420077518</t>
  </si>
  <si>
    <t>SO91148877518</t>
  </si>
  <si>
    <t>POC240218747</t>
  </si>
  <si>
    <t>SO91149918747</t>
  </si>
  <si>
    <t>PO4420366121</t>
  </si>
  <si>
    <t>SO91150166121</t>
  </si>
  <si>
    <t>PO4420307350</t>
  </si>
  <si>
    <t>SO91150107350</t>
  </si>
  <si>
    <t>PO4420384556</t>
  </si>
  <si>
    <t>SO91150484556</t>
  </si>
  <si>
    <t>PO4420254724</t>
  </si>
  <si>
    <t>SO91149854724</t>
  </si>
  <si>
    <t>PO4419790701</t>
  </si>
  <si>
    <t>SO91148990701</t>
  </si>
  <si>
    <t>PO4420243327</t>
  </si>
  <si>
    <t>SO91150343327</t>
  </si>
  <si>
    <t>PO4419825785</t>
  </si>
  <si>
    <t>SO91150125785</t>
  </si>
  <si>
    <t>SO91152973159</t>
  </si>
  <si>
    <t>SO91153114388</t>
  </si>
  <si>
    <t>PO4514155617</t>
  </si>
  <si>
    <t>SO91153955617</t>
  </si>
  <si>
    <t>PO4501596846</t>
  </si>
  <si>
    <t>SO91149296846</t>
  </si>
  <si>
    <t>SO91151661762</t>
  </si>
  <si>
    <t>SO91151002991</t>
  </si>
  <si>
    <t>PO39P0226678</t>
  </si>
  <si>
    <t>SO91153826678</t>
  </si>
  <si>
    <t>PO39P0267907</t>
  </si>
  <si>
    <t>SO91153867907</t>
  </si>
  <si>
    <t>PO3024492487</t>
  </si>
  <si>
    <t>SO91154492487</t>
  </si>
  <si>
    <t>PO3024451258</t>
  </si>
  <si>
    <t>SO91154551258</t>
  </si>
  <si>
    <t>PO3024586342</t>
  </si>
  <si>
    <t>SO91154586342</t>
  </si>
  <si>
    <t>PO3024427571</t>
  </si>
  <si>
    <t>SO91154527571</t>
  </si>
  <si>
    <t>PO39P0209136</t>
  </si>
  <si>
    <t>SO91153809136</t>
  </si>
  <si>
    <t>PO39P0274052</t>
  </si>
  <si>
    <t>SO91153874052</t>
  </si>
  <si>
    <t>PO39P0297739</t>
  </si>
  <si>
    <t>SO91153897739</t>
  </si>
  <si>
    <t>PO39P0280197</t>
  </si>
  <si>
    <t>SO91153880197</t>
  </si>
  <si>
    <t>PO39P0221426</t>
  </si>
  <si>
    <t>SO91153821426</t>
  </si>
  <si>
    <t>PO39P0262655</t>
  </si>
  <si>
    <t>SO91153862655</t>
  </si>
  <si>
    <t>PO3023903884</t>
  </si>
  <si>
    <t>SO91150903884</t>
  </si>
  <si>
    <t>PO3024568800</t>
  </si>
  <si>
    <t>SO91154568800</t>
  </si>
  <si>
    <t>PO3024110029</t>
  </si>
  <si>
    <t>SO91154510029</t>
  </si>
  <si>
    <t>PO4420581983</t>
  </si>
  <si>
    <t>SO91152081983</t>
  </si>
  <si>
    <t>PO4420440754</t>
  </si>
  <si>
    <t>SO91151640754</t>
  </si>
  <si>
    <t>PO4420428464</t>
  </si>
  <si>
    <t>SO91151228464</t>
  </si>
  <si>
    <t>PO4420569693</t>
  </si>
  <si>
    <t>SO91151869693</t>
  </si>
  <si>
    <t>PO4419810922</t>
  </si>
  <si>
    <t>SO91151110922</t>
  </si>
  <si>
    <t>PO4420252151</t>
  </si>
  <si>
    <t>SO91151452151</t>
  </si>
  <si>
    <t>PO4420493380</t>
  </si>
  <si>
    <t>SO91151293380</t>
  </si>
  <si>
    <t>PO4420434609</t>
  </si>
  <si>
    <t>SO91151334609</t>
  </si>
  <si>
    <t>SO90116875838</t>
  </si>
  <si>
    <t>PO4420205670</t>
  </si>
  <si>
    <t>SO91151705670</t>
  </si>
  <si>
    <t>PO4419846899</t>
  </si>
  <si>
    <t>SO91151546899</t>
  </si>
  <si>
    <t>PO4420288128</t>
  </si>
  <si>
    <t>SO91151388128</t>
  </si>
  <si>
    <t>PO4420560975</t>
  </si>
  <si>
    <t>SO91152260975</t>
  </si>
  <si>
    <t>PO4420102204</t>
  </si>
  <si>
    <t>SO91152902204</t>
  </si>
  <si>
    <t>PO4420584662</t>
  </si>
  <si>
    <t>SO91152684662</t>
  </si>
  <si>
    <t>PO4420525891</t>
  </si>
  <si>
    <t>SO91152225891</t>
  </si>
  <si>
    <t>PO4420667120</t>
  </si>
  <si>
    <t>SO91153067120</t>
  </si>
  <si>
    <t>PO4418409242</t>
  </si>
  <si>
    <t>SO91145109242</t>
  </si>
  <si>
    <t>PO4420596952</t>
  </si>
  <si>
    <t>SO91152096952</t>
  </si>
  <si>
    <t>POC240561868</t>
  </si>
  <si>
    <t>SO91152461868</t>
  </si>
  <si>
    <t>POC240503097</t>
  </si>
  <si>
    <t>SO91152803097</t>
  </si>
  <si>
    <t>POC240544326</t>
  </si>
  <si>
    <t>SO91152444326</t>
  </si>
  <si>
    <t>POC240685555</t>
  </si>
  <si>
    <t>SO91153285555</t>
  </si>
  <si>
    <t>SO91148726784</t>
  </si>
  <si>
    <t>PO3023639074</t>
  </si>
  <si>
    <t>SO91148939074</t>
  </si>
  <si>
    <t>PO3023297845</t>
  </si>
  <si>
    <t>SO91148497845</t>
  </si>
  <si>
    <t>PO3023980303</t>
  </si>
  <si>
    <t>SO91148980303</t>
  </si>
  <si>
    <t>PO3023721532</t>
  </si>
  <si>
    <t>SO91148921532</t>
  </si>
  <si>
    <t>SO91148903990</t>
  </si>
  <si>
    <t>PO3023963654</t>
  </si>
  <si>
    <t>SO91150863654</t>
  </si>
  <si>
    <t>PO3023834715</t>
  </si>
  <si>
    <t>SO91150834715</t>
  </si>
  <si>
    <t>PO0466323318</t>
  </si>
  <si>
    <t>SO90117023318</t>
  </si>
  <si>
    <t>PO3024618066</t>
  </si>
  <si>
    <t>SO91155318066</t>
  </si>
  <si>
    <t>PO4419831249</t>
  </si>
  <si>
    <t>SO91153131249</t>
  </si>
  <si>
    <t>PO4417247898</t>
  </si>
  <si>
    <t>SO91153147898</t>
  </si>
  <si>
    <t>PO4420478623</t>
  </si>
  <si>
    <t>SO91150978623</t>
  </si>
  <si>
    <t>PO4419954043</t>
  </si>
  <si>
    <t>SO91153454043</t>
  </si>
  <si>
    <t>PO4420107562</t>
  </si>
  <si>
    <t>SO91152707562</t>
  </si>
  <si>
    <t>PO4420648791</t>
  </si>
  <si>
    <t>SO91153148791</t>
  </si>
  <si>
    <t>PO4420490020</t>
  </si>
  <si>
    <t>SO91153290020</t>
  </si>
  <si>
    <t>PO4433113707</t>
  </si>
  <si>
    <t>SO91150713707</t>
  </si>
  <si>
    <t>PO4417055829</t>
  </si>
  <si>
    <t>SO91138355829</t>
  </si>
  <si>
    <t>PO4420590913</t>
  </si>
  <si>
    <t>SO91152090913</t>
  </si>
  <si>
    <t>PO4417061974</t>
  </si>
  <si>
    <t>SO91137761974</t>
  </si>
  <si>
    <t>PO4900085661</t>
  </si>
  <si>
    <t>SO91154985661</t>
  </si>
  <si>
    <t>PO4433839180</t>
  </si>
  <si>
    <t>SO91156239180</t>
  </si>
  <si>
    <t>PO4433916386</t>
  </si>
  <si>
    <t>SO91156516386</t>
  </si>
  <si>
    <t>PO4433804096</t>
  </si>
  <si>
    <t>SO91156304096</t>
  </si>
  <si>
    <t>PO4433969012</t>
  </si>
  <si>
    <t>SO91156469012</t>
  </si>
  <si>
    <t>PO4417032142</t>
  </si>
  <si>
    <t>SO91138532142</t>
  </si>
  <si>
    <t>PO4417073371</t>
  </si>
  <si>
    <t>SO91138573371</t>
  </si>
  <si>
    <t>PO4417014600</t>
  </si>
  <si>
    <t>SO91138514600</t>
  </si>
  <si>
    <t>PO4433940073</t>
  </si>
  <si>
    <t>SO91156540073</t>
  </si>
  <si>
    <t>PO4417038287</t>
  </si>
  <si>
    <t>SO91137838287</t>
  </si>
  <si>
    <t>PO2420526890</t>
  </si>
  <si>
    <t>SO91157126890</t>
  </si>
  <si>
    <t>PO4433874264</t>
  </si>
  <si>
    <t>SO91156274264</t>
  </si>
  <si>
    <t>SO91157415493</t>
  </si>
  <si>
    <t>PO4433856722</t>
  </si>
  <si>
    <t>SO91156256722</t>
  </si>
  <si>
    <t>PO4433897951</t>
  </si>
  <si>
    <t>SO91156297951</t>
  </si>
  <si>
    <t>PO4433921638</t>
  </si>
  <si>
    <t>SO91157021638</t>
  </si>
  <si>
    <t>PO4433862867</t>
  </si>
  <si>
    <t>SO91156962867</t>
  </si>
  <si>
    <t>PO4433886554</t>
  </si>
  <si>
    <t>SO91156386554</t>
  </si>
  <si>
    <t>PO4433910241</t>
  </si>
  <si>
    <t>SO91156410241</t>
  </si>
  <si>
    <t>PO4433951470</t>
  </si>
  <si>
    <t>SO91156551470</t>
  </si>
  <si>
    <t>PO4433992699</t>
  </si>
  <si>
    <t>SO91156592699</t>
  </si>
  <si>
    <t>PO4433933928</t>
  </si>
  <si>
    <t>SO91156533928</t>
  </si>
  <si>
    <t>PO4433975157</t>
  </si>
  <si>
    <t>SO91156575157</t>
  </si>
  <si>
    <t>PO4433957615</t>
  </si>
  <si>
    <t>SO91156157615</t>
  </si>
  <si>
    <t>PO4433898844</t>
  </si>
  <si>
    <t>SO91156298844</t>
  </si>
  <si>
    <t>PO4433881302</t>
  </si>
  <si>
    <t>SO91155481302</t>
  </si>
  <si>
    <t>SO91157393592</t>
  </si>
  <si>
    <t>PO4420640966</t>
  </si>
  <si>
    <t>SO91154040966</t>
  </si>
  <si>
    <t>PO4420082195</t>
  </si>
  <si>
    <t>SO91154282195</t>
  </si>
  <si>
    <t>PO4433863760</t>
  </si>
  <si>
    <t>SO91155363760</t>
  </si>
  <si>
    <t>PO4433804989</t>
  </si>
  <si>
    <t>SO91155704989</t>
  </si>
  <si>
    <t>PO4420635714</t>
  </si>
  <si>
    <t>SO91153135714</t>
  </si>
  <si>
    <t>PO4433946218</t>
  </si>
  <si>
    <t>SO91155746218</t>
  </si>
  <si>
    <t>PO8020252363</t>
  </si>
  <si>
    <t>SO91156252363</t>
  </si>
  <si>
    <t>PO4420534821</t>
  </si>
  <si>
    <t>SO91154034821</t>
  </si>
  <si>
    <t>PO4000024317</t>
  </si>
  <si>
    <t>SO90117124317</t>
  </si>
  <si>
    <t>SO91154218172</t>
  </si>
  <si>
    <t>PO4000041859</t>
  </si>
  <si>
    <t>SO90117141859</t>
  </si>
  <si>
    <t>SO91154959401</t>
  </si>
  <si>
    <t>PO4420617279</t>
  </si>
  <si>
    <t>SO91153917279</t>
  </si>
  <si>
    <t>SO91155723424</t>
  </si>
  <si>
    <t>PO4420725210</t>
  </si>
  <si>
    <t>SO91155225210</t>
  </si>
  <si>
    <t>PO4420764653</t>
  </si>
  <si>
    <t>SO91154364653</t>
  </si>
  <si>
    <t>PO4419305882</t>
  </si>
  <si>
    <t>SO91154305882</t>
  </si>
  <si>
    <t>PO4420247111</t>
  </si>
  <si>
    <t>SO91153447111</t>
  </si>
  <si>
    <t>PO4420288340</t>
  </si>
  <si>
    <t>SO91154388340</t>
  </si>
  <si>
    <t>PO4420729569</t>
  </si>
  <si>
    <t>SO91154429569</t>
  </si>
  <si>
    <t>PO4419870798</t>
  </si>
  <si>
    <t>SO91154470798</t>
  </si>
  <si>
    <t>PO4420812027</t>
  </si>
  <si>
    <t>SO91154512027</t>
  </si>
  <si>
    <t>PO4419553256</t>
  </si>
  <si>
    <t>SO91154353256</t>
  </si>
  <si>
    <t>PO4419994485</t>
  </si>
  <si>
    <t>SO91154594485</t>
  </si>
  <si>
    <t>PO4420676943</t>
  </si>
  <si>
    <t>SO91154076943</t>
  </si>
  <si>
    <t>PO4000000630</t>
  </si>
  <si>
    <t>SO90117100630</t>
  </si>
  <si>
    <t>PO4000083088</t>
  </si>
  <si>
    <t>SO90117183088</t>
  </si>
  <si>
    <t>PO4000065546</t>
  </si>
  <si>
    <t>SO90117165546</t>
  </si>
  <si>
    <t>PO4000006775</t>
  </si>
  <si>
    <t>SO90117106775</t>
  </si>
  <si>
    <t>PO4420772584</t>
  </si>
  <si>
    <t>SO91155172584</t>
  </si>
  <si>
    <t>PO4420066439</t>
  </si>
  <si>
    <t>SO91155266439</t>
  </si>
  <si>
    <t>PO4420990126</t>
  </si>
  <si>
    <t>SO91155290126</t>
  </si>
  <si>
    <t>PO4420732248</t>
  </si>
  <si>
    <t>SO91154732248</t>
  </si>
  <si>
    <t>PO4420713813</t>
  </si>
  <si>
    <t>SO91154613813</t>
  </si>
  <si>
    <t>PO4420855042</t>
  </si>
  <si>
    <t>SO91154855042</t>
  </si>
  <si>
    <t>PO4420785767</t>
  </si>
  <si>
    <t>SO91155685767</t>
  </si>
  <si>
    <t>PO4420278729</t>
  </si>
  <si>
    <t>SO91154678729</t>
  </si>
  <si>
    <t>PO4420161187</t>
  </si>
  <si>
    <t>SO91154961187</t>
  </si>
  <si>
    <t>PO4420702416</t>
  </si>
  <si>
    <t>SO91154702416</t>
  </si>
  <si>
    <t>PO4420743645</t>
  </si>
  <si>
    <t>SO91154843645</t>
  </si>
  <si>
    <t>PO4420784874</t>
  </si>
  <si>
    <t>SO91154784874</t>
  </si>
  <si>
    <t>PO4420773477</t>
  </si>
  <si>
    <t>SO91154973477</t>
  </si>
  <si>
    <t>SO91157314706</t>
  </si>
  <si>
    <t>PO4420955935</t>
  </si>
  <si>
    <t>SO91155655935</t>
  </si>
  <si>
    <t>PO4420997164</t>
  </si>
  <si>
    <t>SO91155597164</t>
  </si>
  <si>
    <t>PO4419520851</t>
  </si>
  <si>
    <t>SO91155620851</t>
  </si>
  <si>
    <t>PO4420562080</t>
  </si>
  <si>
    <t>SO91154062080</t>
  </si>
  <si>
    <t>PO4420144538</t>
  </si>
  <si>
    <t>SO91155444538</t>
  </si>
  <si>
    <t>PO4420726996</t>
  </si>
  <si>
    <t>SO91155426996</t>
  </si>
  <si>
    <t>SO91143868225</t>
  </si>
  <si>
    <t>PO4420909454</t>
  </si>
  <si>
    <t>SO91155409454</t>
  </si>
  <si>
    <t>PO4420950683</t>
  </si>
  <si>
    <t>SO91155550683</t>
  </si>
  <si>
    <t>PO4420745431</t>
  </si>
  <si>
    <t>SO91155945431</t>
  </si>
  <si>
    <t>SO90117291912</t>
  </si>
  <si>
    <t>PO4420233141</t>
  </si>
  <si>
    <t>SO91149733141</t>
  </si>
  <si>
    <t>PO4420574370</t>
  </si>
  <si>
    <t>SO91152674370</t>
  </si>
  <si>
    <t>PO4420498057</t>
  </si>
  <si>
    <t>SO91151798057</t>
  </si>
  <si>
    <t>PO4420421744</t>
  </si>
  <si>
    <t>SO91153221744</t>
  </si>
  <si>
    <t>PO4420662973</t>
  </si>
  <si>
    <t>SO91153262973</t>
  </si>
  <si>
    <t>PO4420704202</t>
  </si>
  <si>
    <t>SO91155704202</t>
  </si>
  <si>
    <t>PO4420986660</t>
  </si>
  <si>
    <t>SO91155886660</t>
  </si>
  <si>
    <t>PO4420227889</t>
  </si>
  <si>
    <t>SO91155827889</t>
  </si>
  <si>
    <t>PO4419934034</t>
  </si>
  <si>
    <t>SO91154334034</t>
  </si>
  <si>
    <t>PO4417175263</t>
  </si>
  <si>
    <t>SO91155175263</t>
  </si>
  <si>
    <t>PO4420816492</t>
  </si>
  <si>
    <t>SO91154816492</t>
  </si>
  <si>
    <t>PO4420757721</t>
  </si>
  <si>
    <t>SO91154357721</t>
  </si>
  <si>
    <t>PO4419998950</t>
  </si>
  <si>
    <t>SO91155198950</t>
  </si>
  <si>
    <t>SO91158882301</t>
  </si>
  <si>
    <t>PO4420846324</t>
  </si>
  <si>
    <t>SO91155646324</t>
  </si>
  <si>
    <t>PO4420752469</t>
  </si>
  <si>
    <t>SO91155952469</t>
  </si>
  <si>
    <t>PO4420793698</t>
  </si>
  <si>
    <t>SO91156093698</t>
  </si>
  <si>
    <t>PO4420676156</t>
  </si>
  <si>
    <t>SO91155876156</t>
  </si>
  <si>
    <t>PO4420758614</t>
  </si>
  <si>
    <t>SO91155958614</t>
  </si>
  <si>
    <t>PO4419929675</t>
  </si>
  <si>
    <t>SO91155529675</t>
  </si>
  <si>
    <t>PO4420770904</t>
  </si>
  <si>
    <t>SO91155870904</t>
  </si>
  <si>
    <t>PO5100412133</t>
  </si>
  <si>
    <t>SO91157012133</t>
  </si>
  <si>
    <t>PO4420653362</t>
  </si>
  <si>
    <t>SO91153553362</t>
  </si>
  <si>
    <t>PO4420830568</t>
  </si>
  <si>
    <t>SO91154630568</t>
  </si>
  <si>
    <t>PO4420635820</t>
  </si>
  <si>
    <t>SO91153535820</t>
  </si>
  <si>
    <t>PO4420677049</t>
  </si>
  <si>
    <t>SO91153677049</t>
  </si>
  <si>
    <t>PO4420760400</t>
  </si>
  <si>
    <t>SO91156160400</t>
  </si>
  <si>
    <t>PO4420736713</t>
  </si>
  <si>
    <t>SO91156236713</t>
  </si>
  <si>
    <t>PO4420141965</t>
  </si>
  <si>
    <t>SO91153041965</t>
  </si>
  <si>
    <t>PO4420824423</t>
  </si>
  <si>
    <t>SO91154924423</t>
  </si>
  <si>
    <t>PO4420865652</t>
  </si>
  <si>
    <t>SO91154865652</t>
  </si>
  <si>
    <t>PO4420806881</t>
  </si>
  <si>
    <t>SO91155406881</t>
  </si>
  <si>
    <t>PO4500248110</t>
  </si>
  <si>
    <t>SO91156948110</t>
  </si>
  <si>
    <t>PO4420871797</t>
  </si>
  <si>
    <t>SO91155471797</t>
  </si>
  <si>
    <t>PO4420813026</t>
  </si>
  <si>
    <t>SO91156413026</t>
  </si>
  <si>
    <t>PO4420654255</t>
  </si>
  <si>
    <t>SO91156254255</t>
  </si>
  <si>
    <t>PO4420766545</t>
  </si>
  <si>
    <t>SO91154166545</t>
  </si>
  <si>
    <t>PO4420777942</t>
  </si>
  <si>
    <t>SO91156077942</t>
  </si>
  <si>
    <t>PO4420707774</t>
  </si>
  <si>
    <t>SO91154207774</t>
  </si>
  <si>
    <t>SO91155449003</t>
  </si>
  <si>
    <t>SO91156090232</t>
  </si>
  <si>
    <t>PO4420931461</t>
  </si>
  <si>
    <t>SO91156031461</t>
  </si>
  <si>
    <t>POC240813919</t>
  </si>
  <si>
    <t>SO91155813919</t>
  </si>
  <si>
    <t>POC240955148</t>
  </si>
  <si>
    <t>SO91155855148</t>
  </si>
  <si>
    <t>POC240896377</t>
  </si>
  <si>
    <t>SO91155296377</t>
  </si>
  <si>
    <t>PO4420737606</t>
  </si>
  <si>
    <t>SO91154237606</t>
  </si>
  <si>
    <t>PO4519520064</t>
  </si>
  <si>
    <t>SO91158820064</t>
  </si>
  <si>
    <t>PO4420261293</t>
  </si>
  <si>
    <t>SO91156061293</t>
  </si>
  <si>
    <t>PO5500002522</t>
  </si>
  <si>
    <t>SO91159002522</t>
  </si>
  <si>
    <t>PO4420943751</t>
  </si>
  <si>
    <t>SO91156343751</t>
  </si>
  <si>
    <t>PO4420784980</t>
  </si>
  <si>
    <t>SO91156584980</t>
  </si>
  <si>
    <t>PO4420826209</t>
  </si>
  <si>
    <t>SO91156426209</t>
  </si>
  <si>
    <t>PO4420367438</t>
  </si>
  <si>
    <t>SO91156467438</t>
  </si>
  <si>
    <t>PO4420791125</t>
  </si>
  <si>
    <t>SO91156391125</t>
  </si>
  <si>
    <t>PO4421073583</t>
  </si>
  <si>
    <t>SO91156673583</t>
  </si>
  <si>
    <t>PO5106956041</t>
  </si>
  <si>
    <t>SO91159056041</t>
  </si>
  <si>
    <t>PO4417503415</t>
  </si>
  <si>
    <t>SO91138303415</t>
  </si>
  <si>
    <t>PO5106897270</t>
  </si>
  <si>
    <t>SO95113197270</t>
  </si>
  <si>
    <t>PO8856438499</t>
  </si>
  <si>
    <t>SO91158338499</t>
  </si>
  <si>
    <t>PO5106279728</t>
  </si>
  <si>
    <t>SO95113179728</t>
  </si>
  <si>
    <t>PO4400920957</t>
  </si>
  <si>
    <t>SO91158220957</t>
  </si>
  <si>
    <t>PO4419862186</t>
  </si>
  <si>
    <t>SO91151162186</t>
  </si>
  <si>
    <t>PO4421009560</t>
  </si>
  <si>
    <t>SO91156809560</t>
  </si>
  <si>
    <t>PO4420850789</t>
  </si>
  <si>
    <t>SO91156650789</t>
  </si>
  <si>
    <t>PO4420892018</t>
  </si>
  <si>
    <t>SO91156692018</t>
  </si>
  <si>
    <t>PO9723774476</t>
  </si>
  <si>
    <t>SO91159474476</t>
  </si>
  <si>
    <t>PO4420815705</t>
  </si>
  <si>
    <t>SO91156315705</t>
  </si>
  <si>
    <t>SO91158456934</t>
  </si>
  <si>
    <t>PO4421039392</t>
  </si>
  <si>
    <t>SO91156839392</t>
  </si>
  <si>
    <t>PO4416999056</t>
  </si>
  <si>
    <t>SO91139899056</t>
  </si>
  <si>
    <t>PO4417281514</t>
  </si>
  <si>
    <t>SO91146881514</t>
  </si>
  <si>
    <t>PO4420986766</t>
  </si>
  <si>
    <t>SO91155886766</t>
  </si>
  <si>
    <t>PO4420992911</t>
  </si>
  <si>
    <t>SO95113192911</t>
  </si>
  <si>
    <t>PO4420734140</t>
  </si>
  <si>
    <t>SO91157034140</t>
  </si>
  <si>
    <t>SO91159775369</t>
  </si>
  <si>
    <t>PO4420716598</t>
  </si>
  <si>
    <t>SO91156716598</t>
  </si>
  <si>
    <t>PO4420757827</t>
  </si>
  <si>
    <t>SO91156857827</t>
  </si>
  <si>
    <t>PO4417240285</t>
  </si>
  <si>
    <t>SO91146840285</t>
  </si>
  <si>
    <t>PO4420705201</t>
  </si>
  <si>
    <t>SO91157005201</t>
  </si>
  <si>
    <t>SO90117346430</t>
  </si>
  <si>
    <t>SO91158476262</t>
  </si>
  <si>
    <t>SO91158570117</t>
  </si>
  <si>
    <t>SO91159647323</t>
  </si>
  <si>
    <t>PO4500059613</t>
  </si>
  <si>
    <t>SO91154159613</t>
  </si>
  <si>
    <t>PO5107078048</t>
  </si>
  <si>
    <t>SO91160278048</t>
  </si>
  <si>
    <t>PO4500042071</t>
  </si>
  <si>
    <t>SO91156442071</t>
  </si>
  <si>
    <t>SO90117383300</t>
  </si>
  <si>
    <t>PO4500013132</t>
  </si>
  <si>
    <t>SO91154213132</t>
  </si>
  <si>
    <t>SO91158654361</t>
  </si>
  <si>
    <t>PO4500095590</t>
  </si>
  <si>
    <t>SO91153995590</t>
  </si>
  <si>
    <t>SO91160107880</t>
  </si>
  <si>
    <t>PO9940119277</t>
  </si>
  <si>
    <t>SO92104119277</t>
  </si>
  <si>
    <t>PO5107060506</t>
  </si>
  <si>
    <t>SO91160260506</t>
  </si>
  <si>
    <t>PO4420701735</t>
  </si>
  <si>
    <t>SO91157101735</t>
  </si>
  <si>
    <t>SO91159008773</t>
  </si>
  <si>
    <t>POMR6H572796</t>
  </si>
  <si>
    <t>SO91158272796</t>
  </si>
  <si>
    <t>PO4419920170</t>
  </si>
  <si>
    <t>SO91156820170</t>
  </si>
  <si>
    <t>PO1081562292</t>
  </si>
  <si>
    <t>SO91159362292</t>
  </si>
  <si>
    <t>PO5353721956</t>
  </si>
  <si>
    <t>SO90117421956</t>
  </si>
  <si>
    <t>PO4420728101</t>
  </si>
  <si>
    <t>SO91157828101</t>
  </si>
  <si>
    <t>PO4420710559</t>
  </si>
  <si>
    <t>SO91157910559</t>
  </si>
  <si>
    <t>PO4420887765</t>
  </si>
  <si>
    <t>SO91158287765</t>
  </si>
  <si>
    <t>PO4433882513</t>
  </si>
  <si>
    <t>SO91155782513</t>
  </si>
  <si>
    <t>PO4433952681</t>
  </si>
  <si>
    <t>SO91157552681</t>
  </si>
  <si>
    <t>PO4421775475</t>
  </si>
  <si>
    <t>SO95113275475</t>
  </si>
  <si>
    <t>PO4220116704</t>
  </si>
  <si>
    <t>SO90117416704</t>
  </si>
  <si>
    <t>PO2346457933</t>
  </si>
  <si>
    <t>SO94206257933</t>
  </si>
  <si>
    <t>PO2705499162</t>
  </si>
  <si>
    <t>SO95113299162</t>
  </si>
  <si>
    <t>PO5218140391</t>
  </si>
  <si>
    <t>SO90117540391</t>
  </si>
  <si>
    <t>PO4420764078</t>
  </si>
  <si>
    <t>SO91158064078</t>
  </si>
  <si>
    <t>PO4420746536</t>
  </si>
  <si>
    <t>SO91157946536</t>
  </si>
  <si>
    <t>PO4420728994</t>
  </si>
  <si>
    <t>SO91157928994</t>
  </si>
  <si>
    <t>SO91160070223</t>
  </si>
  <si>
    <t>PO4433835139</t>
  </si>
  <si>
    <t>SO91156235139</t>
  </si>
  <si>
    <t>PO4433876368</t>
  </si>
  <si>
    <t>SO91155576368</t>
  </si>
  <si>
    <t>PO4433917597</t>
  </si>
  <si>
    <t>SO91157217597</t>
  </si>
  <si>
    <t>PO4433823742</t>
  </si>
  <si>
    <t>SO91157423742</t>
  </si>
  <si>
    <t>PO4433864971</t>
  </si>
  <si>
    <t>SO91156364971</t>
  </si>
  <si>
    <t>PO4433988658</t>
  </si>
  <si>
    <t>SO91156588658</t>
  </si>
  <si>
    <t>PO4433812345</t>
  </si>
  <si>
    <t>SO91155312345</t>
  </si>
  <si>
    <t>PO4433853574</t>
  </si>
  <si>
    <t>SO91156753574</t>
  </si>
  <si>
    <t>PO4433894803</t>
  </si>
  <si>
    <t>SO91156994803</t>
  </si>
  <si>
    <t>PO3014113238</t>
  </si>
  <si>
    <t>SO91160813238</t>
  </si>
  <si>
    <t>PO4433859719</t>
  </si>
  <si>
    <t>SO91156259719</t>
  </si>
  <si>
    <t>SO91157600948</t>
  </si>
  <si>
    <t>SO91159242177</t>
  </si>
  <si>
    <t>SO91159183406</t>
  </si>
  <si>
    <t>PO5107024635</t>
  </si>
  <si>
    <t>SO91160424635</t>
  </si>
  <si>
    <t>PO5107065864</t>
  </si>
  <si>
    <t>SO91160465864</t>
  </si>
  <si>
    <t>PO4421207093</t>
  </si>
  <si>
    <t>SO91158107093</t>
  </si>
  <si>
    <t>PO4421230780</t>
  </si>
  <si>
    <t>SO91158130780</t>
  </si>
  <si>
    <t>PO3014154467</t>
  </si>
  <si>
    <t>SO91160854467</t>
  </si>
  <si>
    <t>SO91160890444</t>
  </si>
  <si>
    <t>SO91156331673</t>
  </si>
  <si>
    <t>PO5107072902</t>
  </si>
  <si>
    <t>SO91160472902</t>
  </si>
  <si>
    <t>PO4421214131</t>
  </si>
  <si>
    <t>SO91157814131</t>
  </si>
  <si>
    <t>PO4421255360</t>
  </si>
  <si>
    <t>SO91159155360</t>
  </si>
  <si>
    <t>PO4420939604</t>
  </si>
  <si>
    <t>SO91158539604</t>
  </si>
  <si>
    <t>PO4420703627</t>
  </si>
  <si>
    <t>SO91158303627</t>
  </si>
  <si>
    <t>SO91159827314</t>
  </si>
  <si>
    <t>PO4420568543</t>
  </si>
  <si>
    <t>SO91160868543</t>
  </si>
  <si>
    <t>SO91159909772</t>
  </si>
  <si>
    <t>PO4421351001</t>
  </si>
  <si>
    <t>SO91159151001</t>
  </si>
  <si>
    <t>PO4518574688</t>
  </si>
  <si>
    <t>SO91160274688</t>
  </si>
  <si>
    <t>PO4518515917</t>
  </si>
  <si>
    <t>SO91160215917</t>
  </si>
  <si>
    <t>PO4421357146</t>
  </si>
  <si>
    <t>SO91158657146</t>
  </si>
  <si>
    <t>PO4421198375</t>
  </si>
  <si>
    <t>SO91158598375</t>
  </si>
  <si>
    <t>PO4420880833</t>
  </si>
  <si>
    <t>SO91158580833</t>
  </si>
  <si>
    <t>SO91158546642</t>
  </si>
  <si>
    <t>PO5500028207</t>
  </si>
  <si>
    <t>SO91159728207</t>
  </si>
  <si>
    <t>PO3014370329</t>
  </si>
  <si>
    <t>SO91162170329</t>
  </si>
  <si>
    <t>PO3014265077</t>
  </si>
  <si>
    <t>SO91161965077</t>
  </si>
  <si>
    <t>PO3014323848</t>
  </si>
  <si>
    <t>SO91161923848</t>
  </si>
  <si>
    <t>PO3014241390</t>
  </si>
  <si>
    <t>SO91161041390</t>
  </si>
  <si>
    <t>PO3014158932</t>
  </si>
  <si>
    <t>SO91161758932</t>
  </si>
  <si>
    <t>PO4519694016</t>
  </si>
  <si>
    <t>SO91161294016</t>
  </si>
  <si>
    <t>PO4519652787</t>
  </si>
  <si>
    <t>SO91161252787</t>
  </si>
  <si>
    <t>PO4420669436</t>
  </si>
  <si>
    <t>SO91158869436</t>
  </si>
  <si>
    <t>PO4420210665</t>
  </si>
  <si>
    <t>SO91158810665</t>
  </si>
  <si>
    <t>PO3014229993</t>
  </si>
  <si>
    <t>SO91161929993</t>
  </si>
  <si>
    <t>SO91161293123</t>
  </si>
  <si>
    <t>PO3014222955</t>
  </si>
  <si>
    <t>SO91161922955</t>
  </si>
  <si>
    <t>PO4420148428</t>
  </si>
  <si>
    <t>SO91158648428</t>
  </si>
  <si>
    <t>PO6996165970</t>
  </si>
  <si>
    <t>SO90117665970</t>
  </si>
  <si>
    <t>PO3014335245</t>
  </si>
  <si>
    <t>SO91162135245</t>
  </si>
  <si>
    <t>PO3014276474</t>
  </si>
  <si>
    <t>SO91161876474</t>
  </si>
  <si>
    <t>PO3014217703</t>
  </si>
  <si>
    <t>SO91161717703</t>
  </si>
  <si>
    <t>PO3014300161</t>
  </si>
  <si>
    <t>SO91161600161</t>
  </si>
  <si>
    <t>PO3014206306</t>
  </si>
  <si>
    <t>SO91161906306</t>
  </si>
  <si>
    <t>PO3014147535</t>
  </si>
  <si>
    <t>SO91161947535</t>
  </si>
  <si>
    <t>PO3014112451</t>
  </si>
  <si>
    <t>SO91161912451</t>
  </si>
  <si>
    <t>PO4291059825</t>
  </si>
  <si>
    <t>SO91160459825</t>
  </si>
  <si>
    <t>PO4291083512</t>
  </si>
  <si>
    <t>SO91160583512</t>
  </si>
  <si>
    <t>PO4291024741</t>
  </si>
  <si>
    <t>SO91160524741</t>
  </si>
  <si>
    <t>PO4420107199</t>
  </si>
  <si>
    <t>SO91158607199</t>
  </si>
  <si>
    <t>PO4515066863</t>
  </si>
  <si>
    <t>SO91161366863</t>
  </si>
  <si>
    <t>PO4420289657</t>
  </si>
  <si>
    <t>SO91158689657</t>
  </si>
  <si>
    <t>SO91161872115</t>
  </si>
  <si>
    <t>PO8019813344</t>
  </si>
  <si>
    <t>SO90117613344</t>
  </si>
  <si>
    <t>SO91161354573</t>
  </si>
  <si>
    <t>PO8016395802</t>
  </si>
  <si>
    <t>SO90117695802</t>
  </si>
  <si>
    <t>SO91160437031</t>
  </si>
  <si>
    <t>SO91151001947</t>
  </si>
  <si>
    <t>SO91152143176</t>
  </si>
  <si>
    <t>PO9300884405</t>
  </si>
  <si>
    <t>SO91159484405</t>
  </si>
  <si>
    <t>PO4514731779</t>
  </si>
  <si>
    <t>SO91161331779</t>
  </si>
  <si>
    <t>PO2730196695</t>
  </si>
  <si>
    <t>SO91160696695</t>
  </si>
  <si>
    <t>SO91158861611</t>
  </si>
  <si>
    <t>SO91161002840</t>
  </si>
  <si>
    <t>SO91161544069</t>
  </si>
  <si>
    <t>PO5800291443</t>
  </si>
  <si>
    <t>SO91160291443</t>
  </si>
  <si>
    <t>PO5800232672</t>
  </si>
  <si>
    <t>SO91160232672</t>
  </si>
  <si>
    <t>SO91160886191</t>
  </si>
  <si>
    <t>SO91156015130</t>
  </si>
  <si>
    <t>PO4502056359</t>
  </si>
  <si>
    <t>SO91160456359</t>
  </si>
  <si>
    <t>PO7257638817</t>
  </si>
  <si>
    <t>SO90117738817</t>
  </si>
  <si>
    <t>PO8063180046</t>
  </si>
  <si>
    <t>SO91159280046</t>
  </si>
  <si>
    <t>PO0472609878</t>
  </si>
  <si>
    <t>SO91160809878</t>
  </si>
  <si>
    <t>SO91160462504</t>
  </si>
  <si>
    <t>PO4419980939</t>
  </si>
  <si>
    <t>SO91158580939</t>
  </si>
  <si>
    <t>PO7686068649</t>
  </si>
  <si>
    <t>SO90117768649</t>
  </si>
  <si>
    <t>PO2305633565</t>
  </si>
  <si>
    <t>SO91161033565</t>
  </si>
  <si>
    <t>PO0729216023</t>
  </si>
  <si>
    <t>SO91160416023</t>
  </si>
  <si>
    <t>PO4420957252</t>
  </si>
  <si>
    <t>SO91159557252</t>
  </si>
  <si>
    <t>PO4421439710</t>
  </si>
  <si>
    <t>SO91159239710</t>
  </si>
  <si>
    <t>PO4220122168</t>
  </si>
  <si>
    <t>SO90117722168</t>
  </si>
  <si>
    <t>PO7680063397</t>
  </si>
  <si>
    <t>SO90117763397</t>
  </si>
  <si>
    <t>PO7680004626</t>
  </si>
  <si>
    <t>SO90117704626</t>
  </si>
  <si>
    <t>PO7680045855</t>
  </si>
  <si>
    <t>SO90117745855</t>
  </si>
  <si>
    <t>PO0472681832</t>
  </si>
  <si>
    <t>SO91160981832</t>
  </si>
  <si>
    <t>PO7968623061</t>
  </si>
  <si>
    <t>SO90117723061</t>
  </si>
  <si>
    <t>PO4420664290</t>
  </si>
  <si>
    <t>SO91159064290</t>
  </si>
  <si>
    <t>PO4419805519</t>
  </si>
  <si>
    <t>SO91158905519</t>
  </si>
  <si>
    <t>PO7570146748</t>
  </si>
  <si>
    <t>SO90117746748</t>
  </si>
  <si>
    <t>PO4291000267</t>
  </si>
  <si>
    <t>SO91161500267</t>
  </si>
  <si>
    <t>PO2024071328</t>
  </si>
  <si>
    <t>SO95113371328</t>
  </si>
  <si>
    <t>PO0472640603</t>
  </si>
  <si>
    <t>SO91161040603</t>
  </si>
  <si>
    <t>PO7570187977</t>
  </si>
  <si>
    <t>SO90117787977</t>
  </si>
  <si>
    <t>PO7570129206</t>
  </si>
  <si>
    <t>SO90117729206</t>
  </si>
  <si>
    <t>PO7570111664</t>
  </si>
  <si>
    <t>SO90117711664</t>
  </si>
  <si>
    <t>PO7570152893</t>
  </si>
  <si>
    <t>SO90117752893</t>
  </si>
  <si>
    <t>PO457194122</t>
  </si>
  <si>
    <t>SO91162394122</t>
  </si>
  <si>
    <t>PO4501635351</t>
  </si>
  <si>
    <t>SO91162035351</t>
  </si>
  <si>
    <t>PO7972376580</t>
  </si>
  <si>
    <t>SO90117776580</t>
  </si>
  <si>
    <t>PO7972317809</t>
  </si>
  <si>
    <t>SO90117717809</t>
  </si>
  <si>
    <t>PO07-FE48534</t>
  </si>
  <si>
    <t>SO91160148534</t>
  </si>
  <si>
    <t>PO14-FE89763</t>
  </si>
  <si>
    <t>SO91160989763</t>
  </si>
  <si>
    <t>PO4850059038</t>
  </si>
  <si>
    <t>SO91159659038</t>
  </si>
  <si>
    <t>PO4291082725</t>
  </si>
  <si>
    <t>SO91161182725</t>
  </si>
  <si>
    <t>PO9508306412</t>
  </si>
  <si>
    <t>SO91163306412</t>
  </si>
  <si>
    <t>PO33E8788870</t>
  </si>
  <si>
    <t>SO91159988870</t>
  </si>
  <si>
    <t>PO2024030099</t>
  </si>
  <si>
    <t>SO95113330099</t>
  </si>
  <si>
    <t>PO2025012557</t>
  </si>
  <si>
    <t>SO95113312557</t>
  </si>
  <si>
    <t>PO4421295015</t>
  </si>
  <si>
    <t>SO91158995015</t>
  </si>
  <si>
    <t>POP444077473</t>
  </si>
  <si>
    <t>SO90117877473</t>
  </si>
  <si>
    <t>PO8012259931</t>
  </si>
  <si>
    <t>SO90117859931</t>
  </si>
  <si>
    <t>PO1180901160</t>
  </si>
  <si>
    <t>SO91162001160</t>
  </si>
  <si>
    <t>PO39P0242389</t>
  </si>
  <si>
    <t>SO91160342389</t>
  </si>
  <si>
    <t>POME38A07305</t>
  </si>
  <si>
    <t>SO91162307305</t>
  </si>
  <si>
    <t>PO39P0230992</t>
  </si>
  <si>
    <t>SO91160330992</t>
  </si>
  <si>
    <t>PO0472672221</t>
  </si>
  <si>
    <t>SO91161472221</t>
  </si>
  <si>
    <t>PO5500213450</t>
  </si>
  <si>
    <t>SO91160613450</t>
  </si>
  <si>
    <t>PO4421337137</t>
  </si>
  <si>
    <t>SO91159237137</t>
  </si>
  <si>
    <t>PO1685260824</t>
  </si>
  <si>
    <t>SO91162160824</t>
  </si>
  <si>
    <t>POWol84511</t>
  </si>
  <si>
    <t>SO91160384511</t>
  </si>
  <si>
    <t>PO5500049427</t>
  </si>
  <si>
    <t>SO91160549427</t>
  </si>
  <si>
    <t>PO4421450320</t>
  </si>
  <si>
    <t>SO91159150320</t>
  </si>
  <si>
    <t>POKLN0197694</t>
  </si>
  <si>
    <t>SO91163597694</t>
  </si>
  <si>
    <t>POTLNT238030</t>
  </si>
  <si>
    <t>SO91162038030</t>
  </si>
  <si>
    <t>PO4417279259</t>
  </si>
  <si>
    <t>SO91146879259</t>
  </si>
  <si>
    <t>POTLNT220488</t>
  </si>
  <si>
    <t>SO91162020488</t>
  </si>
  <si>
    <t>PO4420785404</t>
  </si>
  <si>
    <t>SO91159585404</t>
  </si>
  <si>
    <t>PO2176291549</t>
  </si>
  <si>
    <t>SO91161491549</t>
  </si>
  <si>
    <t>PO4421332778</t>
  </si>
  <si>
    <t>SO91159132778</t>
  </si>
  <si>
    <t>PO4420574007</t>
  </si>
  <si>
    <t>SO91159374007</t>
  </si>
  <si>
    <t>PO4420615236</t>
  </si>
  <si>
    <t>SO91159215236</t>
  </si>
  <si>
    <t>PO4600056465</t>
  </si>
  <si>
    <t>SO91160656465</t>
  </si>
  <si>
    <t>PO0472638923</t>
  </si>
  <si>
    <t>SO91161638923</t>
  </si>
  <si>
    <t>PO1897245068</t>
  </si>
  <si>
    <t>SO91162845068</t>
  </si>
  <si>
    <t>PO4421539816</t>
  </si>
  <si>
    <t>SO91159739816</t>
  </si>
  <si>
    <t>PO05-AD22274</t>
  </si>
  <si>
    <t>SO91160922274</t>
  </si>
  <si>
    <t>PO4519686297</t>
  </si>
  <si>
    <t>SO95113486297</t>
  </si>
  <si>
    <t>PO28-FE09984</t>
  </si>
  <si>
    <t>SO91161109984</t>
  </si>
  <si>
    <t>PO0472652106</t>
  </si>
  <si>
    <t>SO91162052106</t>
  </si>
  <si>
    <t>PO4761151213</t>
  </si>
  <si>
    <t>SO91161651213</t>
  </si>
  <si>
    <t>PO27-FE92442</t>
  </si>
  <si>
    <t>SO91161692442</t>
  </si>
  <si>
    <t>PO4420916129</t>
  </si>
  <si>
    <t>SO91159316129</t>
  </si>
  <si>
    <t>POATIP458251</t>
  </si>
  <si>
    <t>SO91164158251</t>
  </si>
  <si>
    <t>PO4502224060</t>
  </si>
  <si>
    <t>SO91161424060</t>
  </si>
  <si>
    <t>PO4520210877</t>
  </si>
  <si>
    <t>SO91163110877</t>
  </si>
  <si>
    <t>PO3014493335</t>
  </si>
  <si>
    <t>SO91163293335</t>
  </si>
  <si>
    <t>PO20R-134564</t>
  </si>
  <si>
    <t>SO91161934564</t>
  </si>
  <si>
    <t>PO1150099480</t>
  </si>
  <si>
    <t>SO90117899480</t>
  </si>
  <si>
    <t>PO4501681938</t>
  </si>
  <si>
    <t>SO91160981938</t>
  </si>
  <si>
    <t>PO4502294228</t>
  </si>
  <si>
    <t>SO91161494228</t>
  </si>
  <si>
    <t>PO5500035457</t>
  </si>
  <si>
    <t>SO91163435457</t>
  </si>
  <si>
    <t>PO8480876686</t>
  </si>
  <si>
    <t>SO90117876686</t>
  </si>
  <si>
    <t>PO4700452999</t>
  </si>
  <si>
    <t>SO91162552999</t>
  </si>
  <si>
    <t>PO8481817915</t>
  </si>
  <si>
    <t>SO90117817915</t>
  </si>
  <si>
    <t>PO4502241602</t>
  </si>
  <si>
    <t>SO91161441602</t>
  </si>
  <si>
    <t>PO4710030205</t>
  </si>
  <si>
    <t>SO91162930205</t>
  </si>
  <si>
    <t>PO4502271434</t>
  </si>
  <si>
    <t>SO91162371434</t>
  </si>
  <si>
    <t>PO4513445174</t>
  </si>
  <si>
    <t>SO91162645174</t>
  </si>
  <si>
    <t>PO4504512663</t>
  </si>
  <si>
    <t>SO91162412663</t>
  </si>
  <si>
    <t>PO4700453892</t>
  </si>
  <si>
    <t>SO91162653892</t>
  </si>
  <si>
    <t>PO3251032884</t>
  </si>
  <si>
    <t>SO91162932884</t>
  </si>
  <si>
    <t>POcriti15342</t>
  </si>
  <si>
    <t>SO91160215342</t>
  </si>
  <si>
    <t>PO3251056571</t>
  </si>
  <si>
    <t>SO91162956571</t>
  </si>
  <si>
    <t>PO3251497800</t>
  </si>
  <si>
    <t>SO91162997800</t>
  </si>
  <si>
    <t>POAV06239029</t>
  </si>
  <si>
    <t>SO90117939029</t>
  </si>
  <si>
    <t>POAV05280258</t>
  </si>
  <si>
    <t>SO90117980258</t>
  </si>
  <si>
    <t>PO4500621487</t>
  </si>
  <si>
    <t>SO91162121487</t>
  </si>
  <si>
    <t>PO4513362716</t>
  </si>
  <si>
    <t>SO91161562716</t>
  </si>
  <si>
    <t>PO4513303945</t>
  </si>
  <si>
    <t>SO91161503945</t>
  </si>
  <si>
    <t>PO4517427632</t>
  </si>
  <si>
    <t>SO95113427632</t>
  </si>
  <si>
    <t>PO4517368861</t>
  </si>
  <si>
    <t>SO95113468861</t>
  </si>
  <si>
    <t>PO4420610090</t>
  </si>
  <si>
    <t>SO91159910090</t>
  </si>
  <si>
    <t>PO4513851319</t>
  </si>
  <si>
    <t>SO91163251319</t>
  </si>
  <si>
    <t>PO8856433777</t>
  </si>
  <si>
    <t>SO91162533777</t>
  </si>
  <si>
    <t>PO4421216235</t>
  </si>
  <si>
    <t>SO91160916235</t>
  </si>
  <si>
    <t>PO4421157464</t>
  </si>
  <si>
    <t>SO91160957464</t>
  </si>
  <si>
    <t>PO4421398693</t>
  </si>
  <si>
    <t>SO91159998693</t>
  </si>
  <si>
    <t>PO8856439922</t>
  </si>
  <si>
    <t>SO91162839922</t>
  </si>
  <si>
    <t>PO4421481151</t>
  </si>
  <si>
    <t>SO91159981151</t>
  </si>
  <si>
    <t>PO4421522380</t>
  </si>
  <si>
    <t>SO91160222380</t>
  </si>
  <si>
    <t>PO9198363609</t>
  </si>
  <si>
    <t>SO90117963609</t>
  </si>
  <si>
    <t>PO4513704838</t>
  </si>
  <si>
    <t>SO91163104838</t>
  </si>
  <si>
    <t>PO4421546067</t>
  </si>
  <si>
    <t>SO91160046067</t>
  </si>
  <si>
    <t>PO2100346960</t>
  </si>
  <si>
    <t>SO91164046960</t>
  </si>
  <si>
    <t>PO9198310983</t>
  </si>
  <si>
    <t>SO90117910983</t>
  </si>
  <si>
    <t>PO5101575899</t>
  </si>
  <si>
    <t>SO91163475899</t>
  </si>
  <si>
    <t>PO39U2006624</t>
  </si>
  <si>
    <t>SO91163306624</t>
  </si>
  <si>
    <t>PO9095558357</t>
  </si>
  <si>
    <t>SO90117958357</t>
  </si>
  <si>
    <t>PO2312870647</t>
  </si>
  <si>
    <t>SO91161970647</t>
  </si>
  <si>
    <t>PO2100311876</t>
  </si>
  <si>
    <t>SO91163711876</t>
  </si>
  <si>
    <t>PO2100353105</t>
  </si>
  <si>
    <t>SO91163753105</t>
  </si>
  <si>
    <t>PO39U1794334</t>
  </si>
  <si>
    <t>SO91162894334</t>
  </si>
  <si>
    <t>PO39P0235563</t>
  </si>
  <si>
    <t>SO91162735563</t>
  </si>
  <si>
    <t>PO39U1676792</t>
  </si>
  <si>
    <t>SO91162876792</t>
  </si>
  <si>
    <t>PO39U1118021</t>
  </si>
  <si>
    <t>SO91162818021</t>
  </si>
  <si>
    <t>PO39U1659250</t>
  </si>
  <si>
    <t>SO91162859250</t>
  </si>
  <si>
    <t>PO3917200479</t>
  </si>
  <si>
    <t>SO91162800479</t>
  </si>
  <si>
    <t>PO39U1641708</t>
  </si>
  <si>
    <t>SO91162841708</t>
  </si>
  <si>
    <t>PO39U2082937</t>
  </si>
  <si>
    <t>SO91163382937</t>
  </si>
  <si>
    <t>PO2100324166</t>
  </si>
  <si>
    <t>SO91163424166</t>
  </si>
  <si>
    <t>POPO76365395</t>
  </si>
  <si>
    <t>SO91160065395</t>
  </si>
  <si>
    <t>PO2526268967</t>
  </si>
  <si>
    <t>SO91163668967</t>
  </si>
  <si>
    <t>PO2100360143</t>
  </si>
  <si>
    <t>SO91163660143</t>
  </si>
  <si>
    <t>PO2100301372</t>
  </si>
  <si>
    <t>SO91163401372</t>
  </si>
  <si>
    <t>PO2100342601</t>
  </si>
  <si>
    <t>SO91163642601</t>
  </si>
  <si>
    <t>PO2100383830</t>
  </si>
  <si>
    <t>SO91163683830</t>
  </si>
  <si>
    <t>PO2100325059</t>
  </si>
  <si>
    <t>SO91163625059</t>
  </si>
  <si>
    <t>PO2100366288</t>
  </si>
  <si>
    <t>SO91163666288</t>
  </si>
  <si>
    <t>PO2100307517</t>
  </si>
  <si>
    <t>SO91163407517</t>
  </si>
  <si>
    <t>PO4525289975</t>
  </si>
  <si>
    <t>SO91159389975</t>
  </si>
  <si>
    <t>PO2025-72433</t>
  </si>
  <si>
    <t>SO72433</t>
  </si>
  <si>
    <t>PO2000128631</t>
  </si>
  <si>
    <t>SO91164128631</t>
  </si>
  <si>
    <t>PO1123464608</t>
  </si>
  <si>
    <t>SO91163764608</t>
  </si>
  <si>
    <t>PO1123487402</t>
  </si>
  <si>
    <t>SO91164987402</t>
  </si>
  <si>
    <t>PO4517419807</t>
  </si>
  <si>
    <t>SO95113519807</t>
  </si>
  <si>
    <t>PO4517361036</t>
  </si>
  <si>
    <t>SO95113561036</t>
  </si>
  <si>
    <t>POPO-0325952</t>
  </si>
  <si>
    <t>SO91163625952</t>
  </si>
  <si>
    <t>PO985-167181</t>
  </si>
  <si>
    <t>SO91164167181</t>
  </si>
  <si>
    <t>PO102408410</t>
  </si>
  <si>
    <t>SO91162208410</t>
  </si>
  <si>
    <t>PO604-149639</t>
  </si>
  <si>
    <t>SO91163749639</t>
  </si>
  <si>
    <t>PO5124490868</t>
  </si>
  <si>
    <t>SO91164090868</t>
  </si>
  <si>
    <t>PO4500232097</t>
  </si>
  <si>
    <t>SO91163032097</t>
  </si>
  <si>
    <t>PO0304514555</t>
  </si>
  <si>
    <t>SO90118014555</t>
  </si>
  <si>
    <t>PO3251055784</t>
  </si>
  <si>
    <t>SO91162155784</t>
  </si>
  <si>
    <t>PO1442762822</t>
  </si>
  <si>
    <t>SO90117962822</t>
  </si>
  <si>
    <t>PO0472604051</t>
  </si>
  <si>
    <t>SO91162604051</t>
  </si>
  <si>
    <t>PO0110145280</t>
  </si>
  <si>
    <t>SO90118045280</t>
  </si>
  <si>
    <t>PO5500086509</t>
  </si>
  <si>
    <t>SO91161486509</t>
  </si>
  <si>
    <t>PO1188227738</t>
  </si>
  <si>
    <t>SO91161627738</t>
  </si>
  <si>
    <t>POG320051425</t>
  </si>
  <si>
    <t>SO91163751425</t>
  </si>
  <si>
    <t>POCM15892654</t>
  </si>
  <si>
    <t>SO91163992654</t>
  </si>
  <si>
    <t>POCM15833883</t>
  </si>
  <si>
    <t>SO91163933883</t>
  </si>
  <si>
    <t>PO4516816341</t>
  </si>
  <si>
    <t>SO95113516341</t>
  </si>
  <si>
    <t>PO21-MA57570</t>
  </si>
  <si>
    <t>SO91161657570</t>
  </si>
  <si>
    <t>POPO-1022486</t>
  </si>
  <si>
    <t>SO91164022486</t>
  </si>
  <si>
    <t>PO9801704944</t>
  </si>
  <si>
    <t>SO90117904944</t>
  </si>
  <si>
    <t>PO4513146173</t>
  </si>
  <si>
    <t>SO91163746173</t>
  </si>
  <si>
    <t>PO4513699692</t>
  </si>
  <si>
    <t>SO91163899692</t>
  </si>
  <si>
    <t>PO2246440921</t>
  </si>
  <si>
    <t>SO91164440921</t>
  </si>
  <si>
    <t>PO4513182150</t>
  </si>
  <si>
    <t>SO91163882150</t>
  </si>
  <si>
    <t>PO4513723379</t>
  </si>
  <si>
    <t>SO91164323379</t>
  </si>
  <si>
    <t>PO4421529524</t>
  </si>
  <si>
    <t>SO91160429524</t>
  </si>
  <si>
    <t>PO4700035669</t>
  </si>
  <si>
    <t>SO91161935669</t>
  </si>
  <si>
    <t>PO3405576898</t>
  </si>
  <si>
    <t>SO90118076898</t>
  </si>
  <si>
    <t>PO551518127</t>
  </si>
  <si>
    <t>SO91164918127</t>
  </si>
  <si>
    <t>PO#PO5800585</t>
  </si>
  <si>
    <t>SO91162900585</t>
  </si>
  <si>
    <t>POPO 1168180</t>
  </si>
  <si>
    <t>SO91164168180</t>
  </si>
  <si>
    <t>PO4421389188</t>
  </si>
  <si>
    <t>SO91160389188</t>
  </si>
  <si>
    <t>PO4421612875</t>
  </si>
  <si>
    <t>SO91161312875</t>
  </si>
  <si>
    <t>PO4419995333</t>
  </si>
  <si>
    <t>SO91159995333</t>
  </si>
  <si>
    <t>PO4421636562</t>
  </si>
  <si>
    <t>SO91160536562</t>
  </si>
  <si>
    <t>PO4421677791</t>
  </si>
  <si>
    <t>SO91160577791</t>
  </si>
  <si>
    <t>PO4420719020</t>
  </si>
  <si>
    <t>SO91161319020</t>
  </si>
  <si>
    <t>PO4700060249</t>
  </si>
  <si>
    <t>SO91161760249</t>
  </si>
  <si>
    <t>PO5101501478</t>
  </si>
  <si>
    <t>SO91164001478</t>
  </si>
  <si>
    <t>PO5500042707</t>
  </si>
  <si>
    <t>SO91161742707</t>
  </si>
  <si>
    <t>PO4700083936</t>
  </si>
  <si>
    <t>SO91161883936</t>
  </si>
  <si>
    <t>PO4420725165</t>
  </si>
  <si>
    <t>SO91161425165</t>
  </si>
  <si>
    <t>PO2000766394</t>
  </si>
  <si>
    <t>SO91164466394</t>
  </si>
  <si>
    <t>PO4504496226</t>
  </si>
  <si>
    <t>SO91162996226</t>
  </si>
  <si>
    <t>PO2000784829</t>
  </si>
  <si>
    <t>SO91164584829</t>
  </si>
  <si>
    <t>PO4291026058</t>
  </si>
  <si>
    <t>SO91160726058</t>
  </si>
  <si>
    <t>PO5500067287</t>
  </si>
  <si>
    <t>SO91162667287</t>
  </si>
  <si>
    <t>PO4504549745</t>
  </si>
  <si>
    <t>SO91164049745</t>
  </si>
  <si>
    <t>PO4421690974</t>
  </si>
  <si>
    <t>SO91160690974</t>
  </si>
  <si>
    <t>PO4504532203</t>
  </si>
  <si>
    <t>SO91164332203</t>
  </si>
  <si>
    <t>PO4291073432</t>
  </si>
  <si>
    <t>SO91161173432</t>
  </si>
  <si>
    <t>PO4421214661</t>
  </si>
  <si>
    <t>SO91161514661</t>
  </si>
  <si>
    <t>PO2846397119</t>
  </si>
  <si>
    <t>SO91163597119</t>
  </si>
  <si>
    <t>PO2247338348</t>
  </si>
  <si>
    <t>SO90117938348</t>
  </si>
  <si>
    <t>PO2247379577</t>
  </si>
  <si>
    <t>SO90117979577</t>
  </si>
  <si>
    <t>PO1100162035</t>
  </si>
  <si>
    <t>SO91163762035</t>
  </si>
  <si>
    <t>PO8201703264</t>
  </si>
  <si>
    <t>SO91163003264</t>
  </si>
  <si>
    <t>PO9846744493</t>
  </si>
  <si>
    <t>SO91156944493</t>
  </si>
  <si>
    <t>PO4291085722</t>
  </si>
  <si>
    <t>SO91162885722</t>
  </si>
  <si>
    <t>PO3014351531</t>
  </si>
  <si>
    <t>SO91163051531</t>
  </si>
  <si>
    <t>PO9055433989</t>
  </si>
  <si>
    <t>SO91163933989</t>
  </si>
  <si>
    <t>PO9055457676</t>
  </si>
  <si>
    <t>SO91163957676</t>
  </si>
  <si>
    <t>PO4420509409</t>
  </si>
  <si>
    <t>SO91152409409</t>
  </si>
  <si>
    <t>PO3922293653</t>
  </si>
  <si>
    <t>SO91163293653</t>
  </si>
  <si>
    <t>PO4420550638</t>
  </si>
  <si>
    <t>SO91152450638</t>
  </si>
  <si>
    <t>POPO 1191867</t>
  </si>
  <si>
    <t>SO91164291867</t>
  </si>
  <si>
    <t>PO6432274325</t>
  </si>
  <si>
    <t>SO91164174325</t>
  </si>
  <si>
    <t>PO4421398012</t>
  </si>
  <si>
    <t>SO91158698012</t>
  </si>
  <si>
    <t>PO3405539241</t>
  </si>
  <si>
    <t>SO90117939241</t>
  </si>
  <si>
    <t>PO3405580470</t>
  </si>
  <si>
    <t>SO90117980470</t>
  </si>
  <si>
    <t>PO3405521699</t>
  </si>
  <si>
    <t>SO90117921699</t>
  </si>
  <si>
    <t>PO4421345386</t>
  </si>
  <si>
    <t>SO91158245386</t>
  </si>
  <si>
    <t>POPO-4029630</t>
  </si>
  <si>
    <t>SO91160529630</t>
  </si>
  <si>
    <t>PO05-VA27844</t>
  </si>
  <si>
    <t>SO91163627844</t>
  </si>
  <si>
    <t>PO0535810302</t>
  </si>
  <si>
    <t>SO90118010302</t>
  </si>
  <si>
    <t>POUS18592760</t>
  </si>
  <si>
    <t>SO91161892760</t>
  </si>
  <si>
    <t>POPO-0075218</t>
  </si>
  <si>
    <t>SO91163075218</t>
  </si>
  <si>
    <t>PO4520235775</t>
  </si>
  <si>
    <t>SO91164535775</t>
  </si>
  <si>
    <t>PO3014363821</t>
  </si>
  <si>
    <t>SO91162563821</t>
  </si>
  <si>
    <t>PO5062705050</t>
  </si>
  <si>
    <t>SO91164005050</t>
  </si>
  <si>
    <t>PO6974846279</t>
  </si>
  <si>
    <t>SO91163946279</t>
  </si>
  <si>
    <t>POP010187508</t>
  </si>
  <si>
    <t>SO91157287508</t>
  </si>
  <si>
    <t>PO39U2228737</t>
  </si>
  <si>
    <t>SO91164328737</t>
  </si>
  <si>
    <t>PO39U1169966</t>
  </si>
  <si>
    <t>SO91164169966</t>
  </si>
  <si>
    <t>PO8006511195</t>
  </si>
  <si>
    <t>SO91164511195</t>
  </si>
  <si>
    <t>PO7005834882</t>
  </si>
  <si>
    <t>SO91162034882</t>
  </si>
  <si>
    <t>PO0841752424</t>
  </si>
  <si>
    <t>SO90118052424</t>
  </si>
  <si>
    <t>PO3917276111</t>
  </si>
  <si>
    <t>SO91162276111</t>
  </si>
  <si>
    <t>PO39U1517340</t>
  </si>
  <si>
    <t>SO91162217340</t>
  </si>
  <si>
    <t>PO39U1758569</t>
  </si>
  <si>
    <t>SO91162258569</t>
  </si>
  <si>
    <t>PO2002241027</t>
  </si>
  <si>
    <t>SO91160641027</t>
  </si>
  <si>
    <t>PO4433882256</t>
  </si>
  <si>
    <t>SO91159182256</t>
  </si>
  <si>
    <t>PO3251123485</t>
  </si>
  <si>
    <t>SO91163223485</t>
  </si>
  <si>
    <t>PO2002264714</t>
  </si>
  <si>
    <t>SO91160564714</t>
  </si>
  <si>
    <t>PO2002270859</t>
  </si>
  <si>
    <t>SO91159470859</t>
  </si>
  <si>
    <t>PO4500212088</t>
  </si>
  <si>
    <t>SO91161812088</t>
  </si>
  <si>
    <t>PO4600053317</t>
  </si>
  <si>
    <t>SO91164953317</t>
  </si>
  <si>
    <t>POHNP0294546</t>
  </si>
  <si>
    <t>SO91164694546</t>
  </si>
  <si>
    <t>PO4434013874</t>
  </si>
  <si>
    <t>SO91161013874</t>
  </si>
  <si>
    <t>PO4420948958</t>
  </si>
  <si>
    <t>SO91160948958</t>
  </si>
  <si>
    <t>POP803959462</t>
  </si>
  <si>
    <t>SO91163959462</t>
  </si>
  <si>
    <t>PO2000700691</t>
  </si>
  <si>
    <t>SO91164300691</t>
  </si>
  <si>
    <t>PO0590241920</t>
  </si>
  <si>
    <t>SO94108041920</t>
  </si>
  <si>
    <t>POHNP0283149</t>
  </si>
  <si>
    <t>SO91164683149</t>
  </si>
  <si>
    <t>POHNP0224378</t>
  </si>
  <si>
    <t>SO91164624378</t>
  </si>
  <si>
    <t>PO39U1206836</t>
  </si>
  <si>
    <t>SO91164406836</t>
  </si>
  <si>
    <t>PO7703148065</t>
  </si>
  <si>
    <t>SO91164548065</t>
  </si>
  <si>
    <t>PO39P0389294</t>
  </si>
  <si>
    <t>SO91164489294</t>
  </si>
  <si>
    <t>PO2000002477</t>
  </si>
  <si>
    <t>SO91163702477</t>
  </si>
  <si>
    <t>PO4951271752</t>
  </si>
  <si>
    <t>SO91162171752</t>
  </si>
  <si>
    <t>PO4951212981</t>
  </si>
  <si>
    <t>SO91162112981</t>
  </si>
  <si>
    <t>PO4421695439</t>
  </si>
  <si>
    <t>SO91161295439</t>
  </si>
  <si>
    <t>PO05-VA36668</t>
  </si>
  <si>
    <t>SO91163736668</t>
  </si>
  <si>
    <t>PO0989560355</t>
  </si>
  <si>
    <t>SO90118060355</t>
  </si>
  <si>
    <t>PO4047925271</t>
  </si>
  <si>
    <t>SO94206425271</t>
  </si>
  <si>
    <t>PO4433966500</t>
  </si>
  <si>
    <t>SO91159966500</t>
  </si>
  <si>
    <t>PO4420907729</t>
  </si>
  <si>
    <t>SO91160807729</t>
  </si>
  <si>
    <t>PO4421631416</t>
  </si>
  <si>
    <t>SO91161031416</t>
  </si>
  <si>
    <t>PO4420772645</t>
  </si>
  <si>
    <t>SO91161672645</t>
  </si>
  <si>
    <t>PO4421655103</t>
  </si>
  <si>
    <t>SO91161155103</t>
  </si>
  <si>
    <t>PO4421696332</t>
  </si>
  <si>
    <t>SO91161096332</t>
  </si>
  <si>
    <t>PO517-137561</t>
  </si>
  <si>
    <t>SO91161037561</t>
  </si>
  <si>
    <t>PO7697912194</t>
  </si>
  <si>
    <t>SO91161912194</t>
  </si>
  <si>
    <t>PO7698070965</t>
  </si>
  <si>
    <t>SO91161970965</t>
  </si>
  <si>
    <t>PO7676129736</t>
  </si>
  <si>
    <t>SO91161929736</t>
  </si>
  <si>
    <t>PO5797388507</t>
  </si>
  <si>
    <t>SO91161888507</t>
  </si>
  <si>
    <t>PO5429847278</t>
  </si>
  <si>
    <t>SO91161847278</t>
  </si>
  <si>
    <t>PO3021278790</t>
  </si>
  <si>
    <t>SO91165178790</t>
  </si>
  <si>
    <t>PO6932020019</t>
  </si>
  <si>
    <t>SO91162120019</t>
  </si>
  <si>
    <t>PO2000043706</t>
  </si>
  <si>
    <t>SO91163743706</t>
  </si>
  <si>
    <t>PO2000084935</t>
  </si>
  <si>
    <t>SO91163784935</t>
  </si>
  <si>
    <t>PO1000126164</t>
  </si>
  <si>
    <t>SO91163426164</t>
  </si>
  <si>
    <t>PO1840249851</t>
  </si>
  <si>
    <t>SO91162749851</t>
  </si>
  <si>
    <t>PO4500091080</t>
  </si>
  <si>
    <t>SO91163491080</t>
  </si>
  <si>
    <t>PO5500055996</t>
  </si>
  <si>
    <t>SO91163555996</t>
  </si>
  <si>
    <t>PO0363679683</t>
  </si>
  <si>
    <t>SO91163779683</t>
  </si>
  <si>
    <t>PO1840220912</t>
  </si>
  <si>
    <t>SO91162320912</t>
  </si>
  <si>
    <t>PO1840262141</t>
  </si>
  <si>
    <t>SO91162362141</t>
  </si>
  <si>
    <t>PO1840203370</t>
  </si>
  <si>
    <t>SO91163703370</t>
  </si>
  <si>
    <t>PO1840209515</t>
  </si>
  <si>
    <t>SO91163109515</t>
  </si>
  <si>
    <t>PO1840250744</t>
  </si>
  <si>
    <t>SO91163150744</t>
  </si>
  <si>
    <t>PO1840291973</t>
  </si>
  <si>
    <t>SO91163191973</t>
  </si>
  <si>
    <t>PO1840233202</t>
  </si>
  <si>
    <t>SO91163133202</t>
  </si>
  <si>
    <t>POPO-0380576</t>
  </si>
  <si>
    <t>SO91164680576</t>
  </si>
  <si>
    <t>POPG21371858</t>
  </si>
  <si>
    <t>SO91163171858</t>
  </si>
  <si>
    <t>PO8248413087</t>
  </si>
  <si>
    <t>SO91162313087</t>
  </si>
  <si>
    <t>POSO71854316</t>
  </si>
  <si>
    <t>SO94108054316</t>
  </si>
  <si>
    <t>POGMP1278003</t>
  </si>
  <si>
    <t>SO91162978003</t>
  </si>
  <si>
    <t>POPOJS275324</t>
  </si>
  <si>
    <t>SO91161075324</t>
  </si>
  <si>
    <t>PO1042516553</t>
  </si>
  <si>
    <t>SO91163316553</t>
  </si>
  <si>
    <t>PO4846181469</t>
  </si>
  <si>
    <t>SO91162281469</t>
  </si>
  <si>
    <t>PO1086122698</t>
  </si>
  <si>
    <t>SO91163522698</t>
  </si>
  <si>
    <t>PO6885363927</t>
  </si>
  <si>
    <t>SO91162663927</t>
  </si>
  <si>
    <t>POT009787614</t>
  </si>
  <si>
    <t>SO91163187614</t>
  </si>
  <si>
    <t>PO1061028843</t>
  </si>
  <si>
    <t>SO91163428843</t>
  </si>
  <si>
    <t>PO4101470072</t>
  </si>
  <si>
    <t>SO91162870072</t>
  </si>
  <si>
    <t>PO1088611301</t>
  </si>
  <si>
    <t>SO91163511301</t>
  </si>
  <si>
    <t>PO2000252530</t>
  </si>
  <si>
    <t>SO91161452530</t>
  </si>
  <si>
    <t>PO4929034988</t>
  </si>
  <si>
    <t>SO91161634988</t>
  </si>
  <si>
    <t>PO4788776217</t>
  </si>
  <si>
    <t>SO91161676217</t>
  </si>
  <si>
    <t>PO4824417446</t>
  </si>
  <si>
    <t>SO91161617446</t>
  </si>
  <si>
    <t>PO2000258675</t>
  </si>
  <si>
    <t>SO91161558675</t>
  </si>
  <si>
    <t>PO8065941133</t>
  </si>
  <si>
    <t>SO91162241133</t>
  </si>
  <si>
    <t>POPO-US82362</t>
  </si>
  <si>
    <t>SO91163282362</t>
  </si>
  <si>
    <t>PO5295106049</t>
  </si>
  <si>
    <t>SO91161706049</t>
  </si>
  <si>
    <t>PO8079464820</t>
  </si>
  <si>
    <t>SO91162264820</t>
  </si>
  <si>
    <t>PO4867318339</t>
  </si>
  <si>
    <t>SO91161718339</t>
  </si>
  <si>
    <t>PO4950959568</t>
  </si>
  <si>
    <t>SO91161759568</t>
  </si>
  <si>
    <t>PO8209389400</t>
  </si>
  <si>
    <t>SO91162389400</t>
  </si>
  <si>
    <t>PO2000295545</t>
  </si>
  <si>
    <t>SO91160595545</t>
  </si>
  <si>
    <t>PO9222236774</t>
  </si>
  <si>
    <t>SO91162436774</t>
  </si>
  <si>
    <t>PO0242119232</t>
  </si>
  <si>
    <t>SO94108019232</t>
  </si>
  <si>
    <t>PO4800160461</t>
  </si>
  <si>
    <t>SO91158860461</t>
  </si>
  <si>
    <t>POGMP1301690</t>
  </si>
  <si>
    <t>SO91163801690</t>
  </si>
  <si>
    <t>POME38M84148</t>
  </si>
  <si>
    <t>SO91164084148</t>
  </si>
  <si>
    <t>PO4507066606</t>
  </si>
  <si>
    <t>SO91165266606</t>
  </si>
  <si>
    <t>PO1193507835</t>
  </si>
  <si>
    <t>SO90118107835</t>
  </si>
  <si>
    <t>PO4951249064</t>
  </si>
  <si>
    <t>SO91162249064</t>
  </si>
  <si>
    <t>PO2516490293</t>
  </si>
  <si>
    <t>SO91164890293</t>
  </si>
  <si>
    <t>POGMP1272751</t>
  </si>
  <si>
    <t>SO91163572751</t>
  </si>
  <si>
    <t>PO4951213980</t>
  </si>
  <si>
    <t>SO91162213980</t>
  </si>
  <si>
    <t>PO4951237667</t>
  </si>
  <si>
    <t>SO91162237667</t>
  </si>
  <si>
    <t>PO4951278896</t>
  </si>
  <si>
    <t>SO91162278896</t>
  </si>
  <si>
    <t>PO4951220125</t>
  </si>
  <si>
    <t>SO91162220125</t>
  </si>
  <si>
    <t>POPO21202583</t>
  </si>
  <si>
    <t>SO95113502583</t>
  </si>
  <si>
    <t>PO4420743812</t>
  </si>
  <si>
    <t>SO91161043812</t>
  </si>
  <si>
    <t>PO1937385041</t>
  </si>
  <si>
    <t>SO91164785041</t>
  </si>
  <si>
    <t>PO4421726270</t>
  </si>
  <si>
    <t>SO91161426270</t>
  </si>
  <si>
    <t>PO4420867499</t>
  </si>
  <si>
    <t>SO91161167499</t>
  </si>
  <si>
    <t>PO4420208728</t>
  </si>
  <si>
    <t>SO91161108728</t>
  </si>
  <si>
    <t>PO4420732415</t>
  </si>
  <si>
    <t>SO91161032415</t>
  </si>
  <si>
    <t>PO4000065485</t>
  </si>
  <si>
    <t>SO90111865485</t>
  </si>
  <si>
    <t>PO4000048836</t>
  </si>
  <si>
    <t>SO91120148836</t>
  </si>
  <si>
    <t>PO3006031294</t>
  </si>
  <si>
    <t>SO91119931294</t>
  </si>
  <si>
    <t>PO4000001462</t>
  </si>
  <si>
    <t>SO90112801462</t>
  </si>
  <si>
    <t>PO2429242691</t>
  </si>
  <si>
    <t>SO90112842691</t>
  </si>
  <si>
    <t>PO2448483920</t>
  </si>
  <si>
    <t>SO90112883920</t>
  </si>
  <si>
    <t>PO4000225149</t>
  </si>
  <si>
    <t>SO90112825149</t>
  </si>
  <si>
    <t>POPO25454194</t>
  </si>
  <si>
    <t>SO91138554194</t>
  </si>
  <si>
    <t>PO4000047943</t>
  </si>
  <si>
    <t>SO90111847943</t>
  </si>
  <si>
    <t>PO3006012859</t>
  </si>
  <si>
    <t>SO91112112859</t>
  </si>
  <si>
    <t>PO2448466378</t>
  </si>
  <si>
    <t>SO90112866378</t>
  </si>
  <si>
    <t>PO1634913752</t>
  </si>
  <si>
    <t>SO90113113752</t>
  </si>
  <si>
    <t>PO3006054981</t>
  </si>
  <si>
    <t>SO91120954981</t>
  </si>
  <si>
    <t>PO3020361126</t>
  </si>
  <si>
    <t>SO91122061126</t>
  </si>
  <si>
    <t>PO4142543584</t>
  </si>
  <si>
    <t>SO90113443584</t>
  </si>
  <si>
    <t>PO4000084813</t>
  </si>
  <si>
    <t>SO91123784813</t>
  </si>
  <si>
    <t>PO4000085706</t>
  </si>
  <si>
    <t>SO91129185706</t>
  </si>
  <si>
    <t>PO1966509393</t>
  </si>
  <si>
    <t>SO90114109393</t>
  </si>
  <si>
    <t>PO3020691851</t>
  </si>
  <si>
    <t>SO91129891851</t>
  </si>
  <si>
    <t>PO4417573522</t>
  </si>
  <si>
    <t>SO91137373522</t>
  </si>
  <si>
    <t>PO4418280454</t>
  </si>
  <si>
    <t>SO91128880454</t>
  </si>
  <si>
    <t>PO4000045370</t>
  </si>
  <si>
    <t>SO91133745370</t>
  </si>
  <si>
    <t>PO4000186599</t>
  </si>
  <si>
    <t>SO91133886599</t>
  </si>
  <si>
    <t>POC220792745</t>
  </si>
  <si>
    <t>PO4000128721</t>
  </si>
  <si>
    <t>SO91136205034</t>
  </si>
  <si>
    <t>POW162369951</t>
  </si>
  <si>
    <t>SO90114769950</t>
  </si>
  <si>
    <t>PO9532305927</t>
  </si>
  <si>
    <t>SO90114905927</t>
  </si>
  <si>
    <t>PO3053129614</t>
  </si>
  <si>
    <t>SO90114947156</t>
  </si>
  <si>
    <t>POC221029614</t>
  </si>
  <si>
    <t>SO91133629614</t>
  </si>
  <si>
    <t>POC221070843</t>
  </si>
  <si>
    <t>SO91133770843</t>
  </si>
  <si>
    <t>PO4000194530</t>
  </si>
  <si>
    <t>SO91136694530</t>
  </si>
  <si>
    <t>PO3100170843</t>
  </si>
  <si>
    <t>SO91137788385</t>
  </si>
  <si>
    <t>POC221100675</t>
  </si>
  <si>
    <t>SO91134600675</t>
  </si>
  <si>
    <t>PO4418812965</t>
  </si>
  <si>
    <t>SO91135912965</t>
  </si>
  <si>
    <t>PO3019201568</t>
  </si>
  <si>
    <t>SO90115201568</t>
  </si>
  <si>
    <t>PO2417884026</t>
  </si>
  <si>
    <t>SO90115284026</t>
  </si>
  <si>
    <t>PO7472025255</t>
  </si>
  <si>
    <t>SO91127425255</t>
  </si>
  <si>
    <t>PO4416907713</t>
  </si>
  <si>
    <t>SO91136007713</t>
  </si>
  <si>
    <t>POC221202461</t>
  </si>
  <si>
    <t>SO91135802461</t>
  </si>
  <si>
    <t>PO3019226149</t>
  </si>
  <si>
    <t>PO4417567377</t>
  </si>
  <si>
    <t>SO91137367377</t>
  </si>
  <si>
    <t>PO4417849835</t>
  </si>
  <si>
    <t>SO91137349835</t>
  </si>
  <si>
    <t>PO4417127041</t>
  </si>
  <si>
    <t>SO91137827041</t>
  </si>
  <si>
    <t>PO0441235865</t>
  </si>
  <si>
    <t>SO94107035865</t>
  </si>
  <si>
    <t>PO3006005141</t>
  </si>
  <si>
    <t>POXAD 946370</t>
  </si>
  <si>
    <t>POC230270056</t>
  </si>
  <si>
    <t>SO91137970056</t>
  </si>
  <si>
    <t>PO4000093743</t>
  </si>
  <si>
    <t>SO91142793743</t>
  </si>
  <si>
    <t>PO4716358659</t>
  </si>
  <si>
    <t>SO90115458659</t>
  </si>
  <si>
    <t>PO4417882346</t>
  </si>
  <si>
    <t>SO91138782346</t>
  </si>
  <si>
    <t>PO2137911584</t>
  </si>
  <si>
    <t>PO4419178880</t>
  </si>
  <si>
    <t>SO91141078880</t>
  </si>
  <si>
    <t>PO3006036759</t>
  </si>
  <si>
    <t>PO996570355</t>
  </si>
  <si>
    <t>SO91144855193</t>
  </si>
  <si>
    <t>PO3022926255</t>
  </si>
  <si>
    <t>PO4419114857</t>
  </si>
  <si>
    <t>SO91140414857</t>
  </si>
  <si>
    <t>PO4418519322</t>
  </si>
  <si>
    <t>SO91141219322</t>
  </si>
  <si>
    <t>PO4417198208</t>
  </si>
  <si>
    <t>SO91141398208</t>
  </si>
  <si>
    <t>PO6714210498</t>
  </si>
  <si>
    <t>SO90115610498</t>
  </si>
  <si>
    <t>POON EX99994</t>
  </si>
  <si>
    <t>SO91125199994</t>
  </si>
  <si>
    <t>PO3008864911</t>
  </si>
  <si>
    <t>PO4416206139</t>
  </si>
  <si>
    <t>SO91141006139</t>
  </si>
  <si>
    <t>POW227109711</t>
  </si>
  <si>
    <t>PO3023094743</t>
  </si>
  <si>
    <t>PO4418307032</t>
  </si>
  <si>
    <t>SO91141907032</t>
  </si>
  <si>
    <t>PO4419343009</t>
  </si>
  <si>
    <t>SO91141343009</t>
  </si>
  <si>
    <t>PO4417249154</t>
  </si>
  <si>
    <t>SO91127649154</t>
  </si>
  <si>
    <t>PO39P0226360</t>
  </si>
  <si>
    <t>POSBP1144796</t>
  </si>
  <si>
    <t>PO3008886025</t>
  </si>
  <si>
    <t>POW227150940</t>
  </si>
  <si>
    <t>PO39P0233398</t>
  </si>
  <si>
    <t>SO91146933398</t>
  </si>
  <si>
    <t>PO2100180772</t>
  </si>
  <si>
    <t>SO91143498314</t>
  </si>
  <si>
    <t>PO2100122001</t>
  </si>
  <si>
    <t>PO4417964123</t>
  </si>
  <si>
    <t>SO91140964123</t>
  </si>
  <si>
    <t>PO4419317642</t>
  </si>
  <si>
    <t>SO91144217642</t>
  </si>
  <si>
    <t>PO4417747474</t>
  </si>
  <si>
    <t>SO91129747474</t>
  </si>
  <si>
    <t>PO4419328252</t>
  </si>
  <si>
    <t>SO91147228252</t>
  </si>
  <si>
    <t>PO4419637863</t>
  </si>
  <si>
    <t>SO91145937863</t>
  </si>
  <si>
    <t>PO4418820321</t>
  </si>
  <si>
    <t>SO91145420321</t>
  </si>
  <si>
    <t>PO4000356299</t>
  </si>
  <si>
    <t>PO1182638757</t>
  </si>
  <si>
    <t>PO39U0503672</t>
  </si>
  <si>
    <t>PO3023062443</t>
  </si>
  <si>
    <t>SO91147962443</t>
  </si>
  <si>
    <t>PO4419263336</t>
  </si>
  <si>
    <t>SO91146463336</t>
  </si>
  <si>
    <t>PO4419980878</t>
  </si>
  <si>
    <t>SO91146380878</t>
  </si>
  <si>
    <t>PO4418345794</t>
  </si>
  <si>
    <t>SO91146445794</t>
  </si>
  <si>
    <t>PO4418187023</t>
  </si>
  <si>
    <t>SO91146787023</t>
  </si>
  <si>
    <t>PO4419140542</t>
  </si>
  <si>
    <t>SO91139540542</t>
  </si>
  <si>
    <t>POXAD 364230</t>
  </si>
  <si>
    <t>PO4418671267</t>
  </si>
  <si>
    <t>SO91140571267</t>
  </si>
  <si>
    <t>PO4200359871</t>
  </si>
  <si>
    <t>PO4500001099</t>
  </si>
  <si>
    <t>SO91151901099</t>
  </si>
  <si>
    <t>PO5500042328</t>
  </si>
  <si>
    <t>SO91148642328</t>
  </si>
  <si>
    <t>PO4420066015</t>
  </si>
  <si>
    <t>SO91148066015</t>
  </si>
  <si>
    <t>PO4420007244</t>
  </si>
  <si>
    <t>SO91148107244</t>
  </si>
  <si>
    <t>PO4417630931</t>
  </si>
  <si>
    <t>SO91148830931</t>
  </si>
  <si>
    <t>PO4420195847</t>
  </si>
  <si>
    <t>SO91148595847</t>
  </si>
  <si>
    <t>PO4092178306</t>
  </si>
  <si>
    <t>PO4419808137</t>
  </si>
  <si>
    <t>SO91148608137</t>
  </si>
  <si>
    <t>POP000162550</t>
  </si>
  <si>
    <t>POC240232717</t>
  </si>
  <si>
    <t>SO91149009030</t>
  </si>
  <si>
    <t>POC240273946</t>
  </si>
  <si>
    <t>POC240315175</t>
  </si>
  <si>
    <t>POC221273947</t>
  </si>
  <si>
    <t>PO4000015176</t>
  </si>
  <si>
    <t>POPO88356405</t>
  </si>
  <si>
    <t>POHPEPO27466</t>
  </si>
  <si>
    <t>POSI00268695</t>
  </si>
  <si>
    <t>PO4419889808</t>
  </si>
  <si>
    <t>SO91150089808</t>
  </si>
  <si>
    <t>PO4417248579</t>
  </si>
  <si>
    <t>SO91150048579</t>
  </si>
  <si>
    <t>PO4420310816</t>
  </si>
  <si>
    <t>SO91150010816</t>
  </si>
  <si>
    <t>PO3024485449</t>
  </si>
  <si>
    <t>PO0399731931</t>
  </si>
  <si>
    <t>SO91152531930</t>
  </si>
  <si>
    <t>PO3023809242</t>
  </si>
  <si>
    <t>POMR6H396846</t>
  </si>
  <si>
    <t>PO3024244220</t>
  </si>
  <si>
    <t>PO39P0238968</t>
  </si>
  <si>
    <t>SO91153838968</t>
  </si>
  <si>
    <t>PO3024545113</t>
  </si>
  <si>
    <t>SO91154545113</t>
  </si>
  <si>
    <t>PO3024333716</t>
  </si>
  <si>
    <t>SO91154533716</t>
  </si>
  <si>
    <t>PO1011139862</t>
  </si>
  <si>
    <t>SO91149739861</t>
  </si>
  <si>
    <t>PO0116023425</t>
  </si>
  <si>
    <t>PO3970158296</t>
  </si>
  <si>
    <t>PO4420423212</t>
  </si>
  <si>
    <t>SO91151623212</t>
  </si>
  <si>
    <t>PO4420464441</t>
  </si>
  <si>
    <t>SO91151064441</t>
  </si>
  <si>
    <t>PO4201668226</t>
  </si>
  <si>
    <t>PO3023850471</t>
  </si>
  <si>
    <t>SO91148868013</t>
  </si>
  <si>
    <t>PO4418950471</t>
  </si>
  <si>
    <t>SO91148450471</t>
  </si>
  <si>
    <t>PO3023686448</t>
  </si>
  <si>
    <t>POME80M17174</t>
  </si>
  <si>
    <t>PO3024505776</t>
  </si>
  <si>
    <t>SO91155305776</t>
  </si>
  <si>
    <t>PO3024670692</t>
  </si>
  <si>
    <t>SO91155370692</t>
  </si>
  <si>
    <t>PO3024511921</t>
  </si>
  <si>
    <t>SO91155311921</t>
  </si>
  <si>
    <t>PO4419912814</t>
  </si>
  <si>
    <t>SO91153412814</t>
  </si>
  <si>
    <t>PO4420666333</t>
  </si>
  <si>
    <t>SO91153366333</t>
  </si>
  <si>
    <t>PO4433837394</t>
  </si>
  <si>
    <t>SO91153337394</t>
  </si>
  <si>
    <t>POMR6H561082</t>
  </si>
  <si>
    <t>PO4000067226</t>
  </si>
  <si>
    <t>SO91157267226</t>
  </si>
  <si>
    <t>POC240690913</t>
  </si>
  <si>
    <t>POC240732142</t>
  </si>
  <si>
    <t>PO4417079516</t>
  </si>
  <si>
    <t>SO91137779516</t>
  </si>
  <si>
    <t>PO4417103203</t>
  </si>
  <si>
    <t>SO91131103203</t>
  </si>
  <si>
    <t>PO4433827783</t>
  </si>
  <si>
    <t>SO91156327783</t>
  </si>
  <si>
    <t>PO3100115494</t>
  </si>
  <si>
    <t>PO4433887447</t>
  </si>
  <si>
    <t>SO91155687447</t>
  </si>
  <si>
    <t>PO4433828676</t>
  </si>
  <si>
    <t>SO91155528676</t>
  </si>
  <si>
    <t>PO4420711240</t>
  </si>
  <si>
    <t>SO91155911240</t>
  </si>
  <si>
    <t>POC240800630</t>
  </si>
  <si>
    <t>POC240841859</t>
  </si>
  <si>
    <t>PO4000330462</t>
  </si>
  <si>
    <t>SO90117130462</t>
  </si>
  <si>
    <t>PO1175848004</t>
  </si>
  <si>
    <t>SO91158048004</t>
  </si>
  <si>
    <t>PO4000089233</t>
  </si>
  <si>
    <t>SO90117189233</t>
  </si>
  <si>
    <t>PO2337454149</t>
  </si>
  <si>
    <t>SO90117254149</t>
  </si>
  <si>
    <t>PO4420795484</t>
  </si>
  <si>
    <t>SO91156195484</t>
  </si>
  <si>
    <t>PO4420825316</t>
  </si>
  <si>
    <t>SO91156425316</t>
  </si>
  <si>
    <t>PO4420978835</t>
  </si>
  <si>
    <t>SO91155878835</t>
  </si>
  <si>
    <t>POC241272690</t>
  </si>
  <si>
    <t>PO4419900736</t>
  </si>
  <si>
    <t>SO91153400736</t>
  </si>
  <si>
    <t>PO4420694591</t>
  </si>
  <si>
    <t>SO91153694591</t>
  </si>
  <si>
    <t>PO4419759507</t>
  </si>
  <si>
    <t>SO91156159507</t>
  </si>
  <si>
    <t>PO4420618278</t>
  </si>
  <si>
    <t>SO91153618278</t>
  </si>
  <si>
    <t>POC241131461</t>
  </si>
  <si>
    <t>PO4420007668</t>
  </si>
  <si>
    <t>SO91155207668</t>
  </si>
  <si>
    <t>PO4420848897</t>
  </si>
  <si>
    <t>SO91154748897</t>
  </si>
  <si>
    <t>PO4419831355</t>
  </si>
  <si>
    <t>SO91154531355</t>
  </si>
  <si>
    <t>PO4419737500</t>
  </si>
  <si>
    <t>SO91154637500</t>
  </si>
  <si>
    <t>PO4420791019</t>
  </si>
  <si>
    <t>SO91154791019</t>
  </si>
  <si>
    <t>PO39P0214707</t>
  </si>
  <si>
    <t>PO2713991913</t>
  </si>
  <si>
    <t>PO4420440179</t>
  </si>
  <si>
    <t>SO91155340179</t>
  </si>
  <si>
    <t>PO4500194697</t>
  </si>
  <si>
    <t>SO91156794697</t>
  </si>
  <si>
    <t>PO4000082302</t>
  </si>
  <si>
    <t>PO4500036819</t>
  </si>
  <si>
    <t>SO91153536819</t>
  </si>
  <si>
    <t>PO4420888446</t>
  </si>
  <si>
    <t>SO91155888446</t>
  </si>
  <si>
    <t>PO2100389340</t>
  </si>
  <si>
    <t>SO91157289339</t>
  </si>
  <si>
    <t>PO4420819171</t>
  </si>
  <si>
    <t>SO91156019171</t>
  </si>
  <si>
    <t>POC240972690</t>
  </si>
  <si>
    <t>SO91155972690</t>
  </si>
  <si>
    <t>PO4512649896</t>
  </si>
  <si>
    <t>SO91158149896</t>
  </si>
  <si>
    <t>PO4421032354</t>
  </si>
  <si>
    <t>SO91156732354</t>
  </si>
  <si>
    <t>PO4419914812</t>
  </si>
  <si>
    <t>SO91156514812</t>
  </si>
  <si>
    <t>POMR6H508774</t>
  </si>
  <si>
    <t>PO4421161399</t>
  </si>
  <si>
    <t>SO91157461399</t>
  </si>
  <si>
    <t>PO126885086</t>
  </si>
  <si>
    <t>SO91159185086</t>
  </si>
  <si>
    <t>PO4421178941</t>
  </si>
  <si>
    <t>SO91157278941</t>
  </si>
  <si>
    <t>POOR24656935</t>
  </si>
  <si>
    <t>PO4421098163</t>
  </si>
  <si>
    <t>SO91156898163</t>
  </si>
  <si>
    <t>PO4420745537</t>
  </si>
  <si>
    <t>SO91156745537</t>
  </si>
  <si>
    <t>PO4420881620</t>
  </si>
  <si>
    <t>SO91158081620</t>
  </si>
  <si>
    <t>PO4420722849</t>
  </si>
  <si>
    <t>SO91157922849</t>
  </si>
  <si>
    <t>PO4000170224</t>
  </si>
  <si>
    <t>POPO89334246</t>
  </si>
  <si>
    <t>SO91157551788</t>
  </si>
  <si>
    <t>POMK05375370</t>
  </si>
  <si>
    <t>PO4433871116</t>
  </si>
  <si>
    <t>SO91156271116</t>
  </si>
  <si>
    <t>PO4433829887</t>
  </si>
  <si>
    <t>SO91156229887</t>
  </si>
  <si>
    <t>PO2100370118</t>
  </si>
  <si>
    <t>PO3996646431</t>
  </si>
  <si>
    <t>PO4500187659</t>
  </si>
  <si>
    <t>SO91160087659</t>
  </si>
  <si>
    <t>PO4500028888</t>
  </si>
  <si>
    <t>SO91152028888</t>
  </si>
  <si>
    <t>POPO10131674</t>
  </si>
  <si>
    <t>PO4421289551</t>
  </si>
  <si>
    <t>SO91159189551</t>
  </si>
  <si>
    <t>PO3013895696</t>
  </si>
  <si>
    <t>SO91160095696</t>
  </si>
  <si>
    <t>PO3238050702</t>
  </si>
  <si>
    <t>POPPM4283407</t>
  </si>
  <si>
    <t>PO1708491931</t>
  </si>
  <si>
    <t>POADC-372902</t>
  </si>
  <si>
    <t>PO31 - 58721</t>
  </si>
  <si>
    <t>PO2100306095</t>
  </si>
  <si>
    <t>SO91158606094</t>
  </si>
  <si>
    <t>PO31-9647324</t>
  </si>
  <si>
    <t>PO2100412239</t>
  </si>
  <si>
    <t>SO91158629781</t>
  </si>
  <si>
    <t>POJU00675581</t>
  </si>
  <si>
    <t>PO4420751894</t>
  </si>
  <si>
    <t>SO91158751894</t>
  </si>
  <si>
    <t>PO5500045749</t>
  </si>
  <si>
    <t>SO91161545749</t>
  </si>
  <si>
    <t>PO4420944856</t>
  </si>
  <si>
    <t>SO91158444856</t>
  </si>
  <si>
    <t>PO05-AD09773</t>
  </si>
  <si>
    <t>POT009763292</t>
  </si>
  <si>
    <t>SO91159163291</t>
  </si>
  <si>
    <t>PO05-AD27315</t>
  </si>
  <si>
    <t>PO3014158040</t>
  </si>
  <si>
    <t>PO4421399268</t>
  </si>
  <si>
    <t>SO91158699268</t>
  </si>
  <si>
    <t>PO3014240497</t>
  </si>
  <si>
    <t>SO91161840497</t>
  </si>
  <si>
    <t>PO4420822062</t>
  </si>
  <si>
    <t>SO91158522062</t>
  </si>
  <si>
    <t>PO4420784193</t>
  </si>
  <si>
    <t>SO91157184193</t>
  </si>
  <si>
    <t>PO3014271222</t>
  </si>
  <si>
    <t>SO91161971222</t>
  </si>
  <si>
    <t>PO4291018596</t>
  </si>
  <si>
    <t>SO91160618596</t>
  </si>
  <si>
    <t>PO1014178261</t>
  </si>
  <si>
    <t>SO90117778260</t>
  </si>
  <si>
    <t>PO39U1537032</t>
  </si>
  <si>
    <t>POMH/GP54574</t>
  </si>
  <si>
    <t>PO2526272116</t>
  </si>
  <si>
    <t>POPROX043177</t>
  </si>
  <si>
    <t>POPOJS15595</t>
  </si>
  <si>
    <t>PO5841819489</t>
  </si>
  <si>
    <t>SO91161619489</t>
  </si>
  <si>
    <t>PO2002246643</t>
  </si>
  <si>
    <t>POU200187872</t>
  </si>
  <si>
    <t>SO91159287871</t>
  </si>
  <si>
    <t>POMR6H531567</t>
  </si>
  <si>
    <t>SO91158531567</t>
  </si>
  <si>
    <t>PO4421102628</t>
  </si>
  <si>
    <t>SO91157302628</t>
  </si>
  <si>
    <t>PO2100256147</t>
  </si>
  <si>
    <t>SO91159956147</t>
  </si>
  <si>
    <t>PO4017079834</t>
  </si>
  <si>
    <t>SO90117479834</t>
  </si>
  <si>
    <t>PO2500021063</t>
  </si>
  <si>
    <t>SO91159821063</t>
  </si>
  <si>
    <t>PO4420703521</t>
  </si>
  <si>
    <t>SO91157503521</t>
  </si>
  <si>
    <t>PO4420785979</t>
  </si>
  <si>
    <t>SO91157585979</t>
  </si>
  <si>
    <t>PO4421192124</t>
  </si>
  <si>
    <t>SO91157792124</t>
  </si>
  <si>
    <t>PO5357480727</t>
  </si>
  <si>
    <t>SO90117480727</t>
  </si>
  <si>
    <t>PO2673544069</t>
  </si>
  <si>
    <t>PO788081998</t>
  </si>
  <si>
    <t>POPO76844070</t>
  </si>
  <si>
    <t>PO4433893910</t>
  </si>
  <si>
    <t>SO91154193910</t>
  </si>
  <si>
    <t>PO0472686192</t>
  </si>
  <si>
    <t>PO8369803733</t>
  </si>
  <si>
    <t>SO90117703733</t>
  </si>
  <si>
    <t>PO5105827420</t>
  </si>
  <si>
    <t>SO94206227420</t>
  </si>
  <si>
    <t>PO1004462505</t>
  </si>
  <si>
    <t>PO20E6021276</t>
  </si>
  <si>
    <t>SO91161321275</t>
  </si>
  <si>
    <t>POPG10415131</t>
  </si>
  <si>
    <t>PO4519697588</t>
  </si>
  <si>
    <t>SO91161497588</t>
  </si>
  <si>
    <t>POPO89175475</t>
  </si>
  <si>
    <t>Description -  This Req has been handled by Materials Team and this is related to Overshipped PO</t>
  </si>
  <si>
    <t>Description -  This Req has been handled by Sales Team and this is related to Cancelled Order</t>
  </si>
  <si>
    <t>Description -  This Req has been handled by Credit Team and this is related to Discount</t>
  </si>
  <si>
    <t>Description -  This Req has been handled by Sales Team and this is related to Lack of Response</t>
  </si>
  <si>
    <t>Description -  This Req has been handled by Materials Team and this is related to RMA Credit Needed</t>
  </si>
  <si>
    <t>Description -  This Req has been handled by Sales Team and this is related to Inv. Hold Tariff Credit</t>
  </si>
  <si>
    <t>Description -  This Req has been handled by Sales Team and this is related to Billing Wrong Customer</t>
  </si>
  <si>
    <t>Description -  This Req has been handled by Tax Team and this is related to Deducted Tax</t>
  </si>
  <si>
    <t>Description -  This Req has been handled by Materials Team and this is related to Freight</t>
  </si>
  <si>
    <t>Description -  This Req has been handled by Materials Team and this is related to Proof of Delivery</t>
  </si>
  <si>
    <t>Abigail Henderson</t>
  </si>
  <si>
    <t>Andrew Ross</t>
  </si>
  <si>
    <t>Emily Coleman</t>
  </si>
  <si>
    <t>Charles Benson</t>
  </si>
  <si>
    <t>James Mitchell</t>
  </si>
  <si>
    <t>Abigail Foster</t>
  </si>
  <si>
    <t>Noah Ellis</t>
  </si>
  <si>
    <t>Edward Stevens</t>
  </si>
  <si>
    <t>Taylor Jennings</t>
  </si>
  <si>
    <t>Elizabeth Brooks</t>
  </si>
  <si>
    <t>Sydney Walker</t>
  </si>
  <si>
    <t>Alan Carter</t>
  </si>
  <si>
    <t>Olivia Jenkins</t>
  </si>
  <si>
    <t>Mason Reynolds</t>
  </si>
  <si>
    <t>Blake Ramsey</t>
  </si>
  <si>
    <t>Jordan Keller</t>
  </si>
  <si>
    <t>Megan Fisher</t>
  </si>
  <si>
    <t>Jennifer Larson</t>
  </si>
  <si>
    <t>Isabella Dawson</t>
  </si>
  <si>
    <t>Leah Pearson</t>
  </si>
  <si>
    <t>Aiden Harper</t>
  </si>
  <si>
    <t>Jackson Norris</t>
  </si>
  <si>
    <t>Connor Bishop</t>
  </si>
  <si>
    <t>Brooke Palmer</t>
  </si>
  <si>
    <t>Grace Whitaker</t>
  </si>
  <si>
    <t>Cameron Russell</t>
  </si>
  <si>
    <t>Sebastian Castillo</t>
  </si>
  <si>
    <t>David Brooks</t>
  </si>
  <si>
    <t>Lucas Bennett</t>
  </si>
  <si>
    <t>Emily Carter</t>
  </si>
  <si>
    <t>Cameron Blake</t>
  </si>
  <si>
    <t>Austin Porter</t>
  </si>
  <si>
    <t>Mason Harper</t>
  </si>
  <si>
    <t>John Peterson</t>
  </si>
  <si>
    <t>Kevin Wallace</t>
  </si>
  <si>
    <t>Gavin Chandler</t>
  </si>
  <si>
    <t>Lily Murphy</t>
  </si>
  <si>
    <t>Mia Bailey</t>
  </si>
  <si>
    <t>Nicholas Ward</t>
  </si>
  <si>
    <t>Aaron Stewart</t>
  </si>
  <si>
    <t>Caroline West</t>
  </si>
  <si>
    <t>Cody Daniels</t>
  </si>
  <si>
    <t>Rebecca Simmons</t>
  </si>
  <si>
    <t>Ella Foster</t>
  </si>
  <si>
    <t>Ava Mitchell</t>
  </si>
  <si>
    <t>Hailey Sanders</t>
  </si>
  <si>
    <t>Amelia Powell</t>
  </si>
  <si>
    <t>Connor Ellis</t>
  </si>
  <si>
    <t>Robert Hayes</t>
  </si>
  <si>
    <t>Logan Pearson</t>
  </si>
  <si>
    <t>Justin Barrett</t>
  </si>
  <si>
    <t>Xavier Mendoza</t>
  </si>
  <si>
    <t>Lily Harper</t>
  </si>
  <si>
    <t>Henry Wagner</t>
  </si>
  <si>
    <t>Brian Foster</t>
  </si>
  <si>
    <t>Rachel Morrison</t>
  </si>
  <si>
    <t>Jonathan Simmons</t>
  </si>
  <si>
    <t>Liam Foster</t>
  </si>
  <si>
    <t>Zoey Griffin</t>
  </si>
  <si>
    <t>Amanda Doyle</t>
  </si>
  <si>
    <t>Audrey Vaughn</t>
  </si>
  <si>
    <t>Vanessa Brooks</t>
  </si>
  <si>
    <t>Julian Ortiz</t>
  </si>
  <si>
    <t>Alex Donovan</t>
  </si>
  <si>
    <t>Jacob Flynn</t>
  </si>
  <si>
    <t>Charlotte Price</t>
  </si>
  <si>
    <t>Amelia Sanders</t>
  </si>
  <si>
    <t>Cole Patterson</t>
  </si>
  <si>
    <t>Jacob Walters</t>
  </si>
  <si>
    <t>Hannah Ross</t>
  </si>
  <si>
    <t>Emily Patterson</t>
  </si>
  <si>
    <t>Jack Crawford</t>
  </si>
  <si>
    <t>Michael Turner</t>
  </si>
  <si>
    <t>Natalie Brooks</t>
  </si>
  <si>
    <t>Ethan Bryant</t>
  </si>
  <si>
    <t>Stephanie Nolan</t>
  </si>
  <si>
    <t>Dominic Hardy</t>
  </si>
  <si>
    <t>Samantha Hayes</t>
  </si>
  <si>
    <t>Mackenzie Cole</t>
  </si>
  <si>
    <t>Charlotte Murphy</t>
  </si>
  <si>
    <t>Owen Matthews</t>
  </si>
  <si>
    <t>Paige Sullivan</t>
  </si>
  <si>
    <t>Savannah Collins</t>
  </si>
  <si>
    <t>Nora Simmons</t>
  </si>
  <si>
    <t>Penelope West</t>
  </si>
  <si>
    <t>Christian Warren</t>
  </si>
  <si>
    <t>Evelyn Richardson</t>
  </si>
  <si>
    <t>Dylan Armstrong</t>
  </si>
  <si>
    <t>Stella Donovan</t>
  </si>
  <si>
    <t>Hannah Palmer</t>
  </si>
  <si>
    <t>Anna Holloway</t>
  </si>
  <si>
    <t>Sophia Lambert</t>
  </si>
  <si>
    <t>Kimberly Stone</t>
  </si>
  <si>
    <t>Daniel Coleman</t>
  </si>
  <si>
    <t>Monica Hayes</t>
  </si>
  <si>
    <t>Hunter McBride</t>
  </si>
  <si>
    <t>Daniel Wheeler</t>
  </si>
  <si>
    <t>Sarah McKenzie</t>
  </si>
  <si>
    <t>Whitney Palmer</t>
  </si>
  <si>
    <t>William Foster</t>
  </si>
  <si>
    <t>Derek Lawson</t>
  </si>
  <si>
    <t>Jacob Franklin</t>
  </si>
  <si>
    <t>Eric Vaughn</t>
  </si>
  <si>
    <t>Laura Whitfield</t>
  </si>
  <si>
    <t>Lily Spencer</t>
  </si>
  <si>
    <t>Harper Watson</t>
  </si>
  <si>
    <t>Natalie Parker</t>
  </si>
  <si>
    <t>Joseph Bennett</t>
  </si>
  <si>
    <t>Bella Grant</t>
  </si>
  <si>
    <t>Scarlett Powell</t>
  </si>
  <si>
    <t>Allison Bennett</t>
  </si>
  <si>
    <t>Gabriel Nichols</t>
  </si>
  <si>
    <t>Zoe Carrington</t>
  </si>
  <si>
    <t>Olivia Brooks</t>
  </si>
  <si>
    <t>Victoria Hughes</t>
  </si>
  <si>
    <t>Victoria Rhodes</t>
  </si>
  <si>
    <t>George Lawson</t>
  </si>
  <si>
    <t>Grace Coleman</t>
  </si>
  <si>
    <t>Grant Fuller</t>
  </si>
  <si>
    <t>DN20022801</t>
  </si>
  <si>
    <t>AVNS127641AVN7</t>
  </si>
  <si>
    <t>AVN7</t>
  </si>
  <si>
    <t>DN77499801</t>
  </si>
  <si>
    <t>ON S1BC846BM3T5GON 9</t>
  </si>
  <si>
    <t>ON 9</t>
  </si>
  <si>
    <t>DN28388801</t>
  </si>
  <si>
    <t>RENS1HI1-0201/883REN1</t>
  </si>
  <si>
    <t>REN1</t>
  </si>
  <si>
    <t>DN48555801</t>
  </si>
  <si>
    <t>VISS1MKT1817510065VIS8</t>
  </si>
  <si>
    <t>VIS8</t>
  </si>
  <si>
    <t>DN28044801</t>
  </si>
  <si>
    <t>AVXS112101C225KAT2AAVX0</t>
  </si>
  <si>
    <t>AVX0</t>
  </si>
  <si>
    <t>DN30266801</t>
  </si>
  <si>
    <t>VISS1136078-L3VIS0</t>
  </si>
  <si>
    <t>VIS0</t>
  </si>
  <si>
    <t>DN29188801</t>
  </si>
  <si>
    <t>SOUS1G121XCE-L01SOU4</t>
  </si>
  <si>
    <t>SOU4</t>
  </si>
  <si>
    <t>DN50999801</t>
  </si>
  <si>
    <t>DN57933801</t>
  </si>
  <si>
    <t>FUJS1FTP-68EMCL161-RFUJ5</t>
  </si>
  <si>
    <t>FUJ5</t>
  </si>
  <si>
    <t>DN69699801</t>
  </si>
  <si>
    <t>LAIS1NRE CHARGELAI7</t>
  </si>
  <si>
    <t>LAI7</t>
  </si>
  <si>
    <t>AVNS1ABI-H168793AVN7</t>
  </si>
  <si>
    <t>DN28188801</t>
  </si>
  <si>
    <t>MICS1ATECC508A-MAHHL-TMIC0</t>
  </si>
  <si>
    <t>MIC0</t>
  </si>
  <si>
    <t>DN24422800</t>
  </si>
  <si>
    <t>INNS1G150XNE-L01INN6</t>
  </si>
  <si>
    <t>INN6</t>
  </si>
  <si>
    <t>DN16866801</t>
  </si>
  <si>
    <t>ON S1NCP3286MNTXGON 9</t>
  </si>
  <si>
    <t>DN01200801</t>
  </si>
  <si>
    <t>AVA2</t>
  </si>
  <si>
    <t>DN93966801</t>
  </si>
  <si>
    <t>TE 6</t>
  </si>
  <si>
    <t>DN72055801</t>
  </si>
  <si>
    <t>ON S12N7002DWON 9</t>
  </si>
  <si>
    <t>DN20533801</t>
  </si>
  <si>
    <t>TAI1</t>
  </si>
  <si>
    <t>DN86800801</t>
  </si>
  <si>
    <t>VIS7</t>
  </si>
  <si>
    <t>DN84700801</t>
  </si>
  <si>
    <t>LAIS128B0735-000LAI7</t>
  </si>
  <si>
    <t>STA8</t>
  </si>
  <si>
    <t>DN97266801</t>
  </si>
  <si>
    <t>ON S1NOICPSEVRICA-GCCON 9</t>
  </si>
  <si>
    <t>EVES111-22/R8G6C-A30/2TEVE1</t>
  </si>
  <si>
    <t>EVE1</t>
  </si>
  <si>
    <t>DN16555801</t>
  </si>
  <si>
    <t>DN08833801</t>
  </si>
  <si>
    <t>DN36077801</t>
  </si>
  <si>
    <t>TE S12834171-3TE 6</t>
  </si>
  <si>
    <t>DN02255801</t>
  </si>
  <si>
    <t>RF3S1B39242B7520P810RF38</t>
  </si>
  <si>
    <t>RF38</t>
  </si>
  <si>
    <t>DN61299801</t>
  </si>
  <si>
    <t>MICS1KSZ8081RNBIA-TRMIC4</t>
  </si>
  <si>
    <t>MIC4</t>
  </si>
  <si>
    <t>DN21688801</t>
  </si>
  <si>
    <t>TDK1</t>
  </si>
  <si>
    <t>KEM5</t>
  </si>
  <si>
    <t>DN19000801</t>
  </si>
  <si>
    <t>AVXS108055A4R7BAT2AAVX0</t>
  </si>
  <si>
    <t>DN98322801</t>
  </si>
  <si>
    <t>SOUS1IQDLFXTAL062558SOU4</t>
  </si>
  <si>
    <t>DN97522801</t>
  </si>
  <si>
    <t>VISS1CRCW0603100RFKEAHPVIS7</t>
  </si>
  <si>
    <t>DN55855801</t>
  </si>
  <si>
    <t>ALPS1RKJXM1015004ALP2</t>
  </si>
  <si>
    <t>ALP2</t>
  </si>
  <si>
    <t>DN58777801</t>
  </si>
  <si>
    <t>YAGS1RC0402FR-073MLYAG5</t>
  </si>
  <si>
    <t>YAG5</t>
  </si>
  <si>
    <t>DN56555801</t>
  </si>
  <si>
    <t>INTS1HW8076502444202S R381INT0</t>
  </si>
  <si>
    <t>INT0</t>
  </si>
  <si>
    <t>CTSS1219-7LPSTRFCTS9</t>
  </si>
  <si>
    <t>CTS9</t>
  </si>
  <si>
    <t>DN73255801</t>
  </si>
  <si>
    <t>AVNS1TARIFF_RECOVERYAVN7</t>
  </si>
  <si>
    <t>DN89522801</t>
  </si>
  <si>
    <t>DN88633801</t>
  </si>
  <si>
    <t>PANS1A102-10069-FBF5WPAN4</t>
  </si>
  <si>
    <t>PAN4</t>
  </si>
  <si>
    <t>DN32899801</t>
  </si>
  <si>
    <t>DN29700801</t>
  </si>
  <si>
    <t>MICS1MTFC16GAPALNA-AATMIC0</t>
  </si>
  <si>
    <t>DN45699801</t>
  </si>
  <si>
    <t>DN13399801</t>
  </si>
  <si>
    <t>ITTS1MDM-25PH003LITT0</t>
  </si>
  <si>
    <t>ITT0</t>
  </si>
  <si>
    <t>DN54788801</t>
  </si>
  <si>
    <t>ISSS1IS65WV51216EBLL-45CTLA3-TRISS3</t>
  </si>
  <si>
    <t>ISS3</t>
  </si>
  <si>
    <t>DN32888801</t>
  </si>
  <si>
    <t>PANS1ERJ-6ENF3011VPAN4</t>
  </si>
  <si>
    <t>MOLS1203632-2000MOL9</t>
  </si>
  <si>
    <t>MOL9</t>
  </si>
  <si>
    <t>DN07266801</t>
  </si>
  <si>
    <t>ACES1MTLT335DACE8</t>
  </si>
  <si>
    <t>ACE8</t>
  </si>
  <si>
    <t>TE S130ESK6CTE 4</t>
  </si>
  <si>
    <t>TE 4</t>
  </si>
  <si>
    <t>ON S1NCP4305DDR2GON 9</t>
  </si>
  <si>
    <t>DN09477801</t>
  </si>
  <si>
    <t>MICS1SG2003JMIC4</t>
  </si>
  <si>
    <t>DN07766801</t>
  </si>
  <si>
    <t>AMP7</t>
  </si>
  <si>
    <t>DN16233801</t>
  </si>
  <si>
    <t>HALS1TG1G-EX05J24LFHAL9</t>
  </si>
  <si>
    <t>HAL9</t>
  </si>
  <si>
    <t>AMPS15911021-2AMP8</t>
  </si>
  <si>
    <t>AMP8</t>
  </si>
  <si>
    <t>ON S1SMMBT5551LT1GON 9</t>
  </si>
  <si>
    <t>DN83511801</t>
  </si>
  <si>
    <t>ON S1BC848BLT3GON 9</t>
  </si>
  <si>
    <t>DN32744801</t>
  </si>
  <si>
    <t>AVXS104021J1R2PBSTR\500AVX0</t>
  </si>
  <si>
    <t>DN88600801</t>
  </si>
  <si>
    <t>INFS1SPW20N60S5FKSA1INF9</t>
  </si>
  <si>
    <t>INF9</t>
  </si>
  <si>
    <t>AVNS1DROPSHIP_TARIFFAVN7</t>
  </si>
  <si>
    <t>DN29633801</t>
  </si>
  <si>
    <t>AVXS10805ZC106KAT2AAVX0</t>
  </si>
  <si>
    <t>VISS1CRCW04022M00FKTDVIS7</t>
  </si>
  <si>
    <t>GOLS1CP-Y1121-151KSZGOL2</t>
  </si>
  <si>
    <t>GOL2</t>
  </si>
  <si>
    <t>DN24388801</t>
  </si>
  <si>
    <t>VISS1IHLP5050FDER2R2M5AVIS7</t>
  </si>
  <si>
    <t>DN21588801</t>
  </si>
  <si>
    <t>RENS1JM38510/19005BEAREN1</t>
  </si>
  <si>
    <t>DN40266801</t>
  </si>
  <si>
    <t>ABRS1WC26SMFC-32.768KHZ-TABR1</t>
  </si>
  <si>
    <t>ABR1</t>
  </si>
  <si>
    <t>DN25155801</t>
  </si>
  <si>
    <t>ON S1NLVX2G16AMUTCGON 9</t>
  </si>
  <si>
    <t>DN13833801</t>
  </si>
  <si>
    <t>ON S1BAS16XV2T1GON 9</t>
  </si>
  <si>
    <t>DN56899801</t>
  </si>
  <si>
    <t>ACES1MTLT335D-GACE8</t>
  </si>
  <si>
    <t>DN32733801</t>
  </si>
  <si>
    <t>PANS1ERJ-1GNF7501CPAN4</t>
  </si>
  <si>
    <t>AVNS1FREIGHT CHARGEAVN7</t>
  </si>
  <si>
    <t>DN36144801</t>
  </si>
  <si>
    <t>BOUS1RTR22DP502MBOU5</t>
  </si>
  <si>
    <t>BOU5</t>
  </si>
  <si>
    <t>DN18433801</t>
  </si>
  <si>
    <t>DN96899801</t>
  </si>
  <si>
    <t>VISS1593D107X0010C2TE3VIS9</t>
  </si>
  <si>
    <t>VIS9</t>
  </si>
  <si>
    <t>MICS11N5307-1MIC7</t>
  </si>
  <si>
    <t>MIC7</t>
  </si>
  <si>
    <t>ON S1MMSZ4690T1GON 9</t>
  </si>
  <si>
    <t>DN25955801</t>
  </si>
  <si>
    <t>DN78166801</t>
  </si>
  <si>
    <t>EAT4</t>
  </si>
  <si>
    <t>DN66055801</t>
  </si>
  <si>
    <t>DN78400801</t>
  </si>
  <si>
    <t>DN68500801</t>
  </si>
  <si>
    <t>DN47777801</t>
  </si>
  <si>
    <t>DN19311801</t>
  </si>
  <si>
    <t>AVAS1AFCD-P84HSAVA2</t>
  </si>
  <si>
    <t>DN32900801</t>
  </si>
  <si>
    <t>ON S1RHRD660S9AON 9</t>
  </si>
  <si>
    <t>DN15266801</t>
  </si>
  <si>
    <t>ON S1MBR0530T1GON 9</t>
  </si>
  <si>
    <t>VISS1RWR80N76R8FRB12VIS7</t>
  </si>
  <si>
    <t>DN64199801</t>
  </si>
  <si>
    <t>GLES1D38999/21NB98PNGLE0</t>
  </si>
  <si>
    <t>GLE0</t>
  </si>
  <si>
    <t>DEL4</t>
  </si>
  <si>
    <t>PULS1W1095KPUL5</t>
  </si>
  <si>
    <t>PUL5</t>
  </si>
  <si>
    <t>DN30500801</t>
  </si>
  <si>
    <t>AVNS1FREIGHT CHARGESAVN7</t>
  </si>
  <si>
    <t>DN32699801</t>
  </si>
  <si>
    <t>VISS1FAST TRACKVIS7</t>
  </si>
  <si>
    <t>TAIS1NRS4018T100MDGJTAI1</t>
  </si>
  <si>
    <t>DN91155801</t>
  </si>
  <si>
    <t>ON S1BC858CLT1GON 9</t>
  </si>
  <si>
    <t>DN16933801</t>
  </si>
  <si>
    <t>DN48199801</t>
  </si>
  <si>
    <t>NXP0</t>
  </si>
  <si>
    <t>MICS1UMSH-8252MD-TMIC8</t>
  </si>
  <si>
    <t>MIC8</t>
  </si>
  <si>
    <t>MICS1PIC16F819-I/PMIC4</t>
  </si>
  <si>
    <t>DN86099801</t>
  </si>
  <si>
    <t>ABL6</t>
  </si>
  <si>
    <t>DN54644801</t>
  </si>
  <si>
    <t>AVNS123805AVN7</t>
  </si>
  <si>
    <t>DN18444801</t>
  </si>
  <si>
    <t>VISS1RCA040210R0FKEDVIS7</t>
  </si>
  <si>
    <t>DN18422801</t>
  </si>
  <si>
    <t>LEN6</t>
  </si>
  <si>
    <t>TRIS1M39029/87-476TRI1</t>
  </si>
  <si>
    <t>TRI1</t>
  </si>
  <si>
    <t>DN44500801</t>
  </si>
  <si>
    <t>AVNS127800AVN7</t>
  </si>
  <si>
    <t>DN92944801</t>
  </si>
  <si>
    <t>MOLS141662-0007MOL9</t>
  </si>
  <si>
    <t>DIOS1DESD1LIN2WSQ-7DIO1</t>
  </si>
  <si>
    <t>DIO1</t>
  </si>
  <si>
    <t>HALS1TG111-E212NWRLHAL9</t>
  </si>
  <si>
    <t>ALLS1AS6C62256-55SINTRALL5</t>
  </si>
  <si>
    <t>ALL5</t>
  </si>
  <si>
    <t>NIC6</t>
  </si>
  <si>
    <t>STM6</t>
  </si>
  <si>
    <t>DN70199801</t>
  </si>
  <si>
    <t>VIS6</t>
  </si>
  <si>
    <t>MURS1LQH44PH220MPRLMUR8</t>
  </si>
  <si>
    <t>MUR8</t>
  </si>
  <si>
    <t>STMS1STD35P6LLF6STM6</t>
  </si>
  <si>
    <t>DN66700801</t>
  </si>
  <si>
    <t>MICS1ATTINY45-20SURMIC0</t>
  </si>
  <si>
    <t>ON S1MM5Z5V6ST1GON 9</t>
  </si>
  <si>
    <t>NXPS1PCA9512AD,118NXP0</t>
  </si>
  <si>
    <t>ROHS1SML-210MTT86ROH7</t>
  </si>
  <si>
    <t>ROH7</t>
  </si>
  <si>
    <t>DN99544801</t>
  </si>
  <si>
    <t>DN37477801</t>
  </si>
  <si>
    <t>NEX4</t>
  </si>
  <si>
    <t>DN38900801</t>
  </si>
  <si>
    <t>MICS1MTFC64GASAQHD-AATMIC0</t>
  </si>
  <si>
    <t>LAIS1SNL60RXP-300CC-NALAI7</t>
  </si>
  <si>
    <t>DN32722801</t>
  </si>
  <si>
    <t>AVNS1PIC18LF452-I/PTAVN7</t>
  </si>
  <si>
    <t>DN08688801</t>
  </si>
  <si>
    <t>INNS1G121XCE-L01INN6</t>
  </si>
  <si>
    <t>DN32944801</t>
  </si>
  <si>
    <t>DIA5</t>
  </si>
  <si>
    <t>DN54033801</t>
  </si>
  <si>
    <t>SAMS1TSM-105-01-L-DV-P-TRSAM2</t>
  </si>
  <si>
    <t>SAM2</t>
  </si>
  <si>
    <t>DN36000801</t>
  </si>
  <si>
    <t>MOLS1144697-0001MOL9</t>
  </si>
  <si>
    <t>CTSS1403C11E32M00000CTS9</t>
  </si>
  <si>
    <t>MURS1GRM31CR72A105KA01LMUR8</t>
  </si>
  <si>
    <t>SCH7</t>
  </si>
  <si>
    <t>NXPS1MPC5554MZP132NXP0</t>
  </si>
  <si>
    <t>DN57766801</t>
  </si>
  <si>
    <t>KEMS1C0805C393K5RACTUKEM5</t>
  </si>
  <si>
    <t>DN65977801</t>
  </si>
  <si>
    <t>DN25799801</t>
  </si>
  <si>
    <t>DN64422801</t>
  </si>
  <si>
    <t>ON S1NTF6P02T3GON 9</t>
  </si>
  <si>
    <t>DN77222801</t>
  </si>
  <si>
    <t>MURS1LQH44PN100MP0LMUR8</t>
  </si>
  <si>
    <t>DN60055801</t>
  </si>
  <si>
    <t>STMS1LM324PTSTM6</t>
  </si>
  <si>
    <t>YAGS1CC0603KRX5R9BB105YAG5</t>
  </si>
  <si>
    <t>DN45100800</t>
  </si>
  <si>
    <t>DN32711801</t>
  </si>
  <si>
    <t>DN57666801</t>
  </si>
  <si>
    <t>TE S12834167-3TE 6</t>
  </si>
  <si>
    <t>DN36411801</t>
  </si>
  <si>
    <t>DN97933801</t>
  </si>
  <si>
    <t>DN36755801</t>
  </si>
  <si>
    <t>ON S1BC846BDW1T1GON 9</t>
  </si>
  <si>
    <t>KEMS1C1206C105K3RACTUKEM5</t>
  </si>
  <si>
    <t>STMS1SMP100LC-8STM6</t>
  </si>
  <si>
    <t>PAN0</t>
  </si>
  <si>
    <t>SCHS13410.0022.03SCH0</t>
  </si>
  <si>
    <t>SCH0</t>
  </si>
  <si>
    <t>DN66500801</t>
  </si>
  <si>
    <t>RENS1R5F562N8BDBG#00REN3</t>
  </si>
  <si>
    <t>REN3</t>
  </si>
  <si>
    <t>DN44433801</t>
  </si>
  <si>
    <t>AU S1G156HTN02.0AU 4</t>
  </si>
  <si>
    <t>AU 4</t>
  </si>
  <si>
    <t>NICS1NMC0805X7R106K10TRPLP3KFNIC6</t>
  </si>
  <si>
    <t>DN96888801</t>
  </si>
  <si>
    <t>SCHS16009.1315SCH0</t>
  </si>
  <si>
    <t>DN84899801</t>
  </si>
  <si>
    <t>TE S1R10-E2W4-S1.8KTE 8</t>
  </si>
  <si>
    <t>TE 8</t>
  </si>
  <si>
    <t>DN93744801</t>
  </si>
  <si>
    <t>CTSS1219-4LPSTRFCTS9</t>
  </si>
  <si>
    <t>DN99122801</t>
  </si>
  <si>
    <t>CTSS1222CS0011CTS9</t>
  </si>
  <si>
    <t>MICS1AT91SAM7S64C-AUMIC0</t>
  </si>
  <si>
    <t>DN39844801</t>
  </si>
  <si>
    <t>NXPS1MKL28Z512VLL7RNXP0</t>
  </si>
  <si>
    <t>DN56922801</t>
  </si>
  <si>
    <t>STMS1VNB14NV04TR-ESTM6</t>
  </si>
  <si>
    <t>DN32700801</t>
  </si>
  <si>
    <t>MICS124LC128T-I/SNMIC4</t>
  </si>
  <si>
    <t>DN05477801</t>
  </si>
  <si>
    <t>ON S1NTGS3441T1GON 9</t>
  </si>
  <si>
    <t>AVNS1MISCELLANEOUS CHARGEAVN7</t>
  </si>
  <si>
    <t>CTSS1219-3LPSTRFCTS9</t>
  </si>
  <si>
    <t>SAMS1EQRD-026-04.50-TBR-TBL-4-NSAM2</t>
  </si>
  <si>
    <t>MICS1ATA8401C-6AQY-66MIC0</t>
  </si>
  <si>
    <t>MURS1BLM15HG102SN1DMUR8</t>
  </si>
  <si>
    <t>DN41399801</t>
  </si>
  <si>
    <t>VISS1SMF24A-E3-08VIS0</t>
  </si>
  <si>
    <t>MOLS152437-2433MOL9</t>
  </si>
  <si>
    <t>DIAS1AT45DB081E-MHN-TDIA5</t>
  </si>
  <si>
    <t>MICS1MCP2200T-I/SOMIC4</t>
  </si>
  <si>
    <t>DN07833801</t>
  </si>
  <si>
    <t>DN84800801</t>
  </si>
  <si>
    <t>DN69344801</t>
  </si>
  <si>
    <t>AVXS108055C332KAT2AAVX0</t>
  </si>
  <si>
    <t>ON S1NRVA4004T3GON 9</t>
  </si>
  <si>
    <t>LITS1LTV-217-GLIT5</t>
  </si>
  <si>
    <t>LIT5</t>
  </si>
  <si>
    <t>AVAS1BCM89530B1BPBGAVA6</t>
  </si>
  <si>
    <t>AVA6</t>
  </si>
  <si>
    <t>DN43299801</t>
  </si>
  <si>
    <t>DN36355801</t>
  </si>
  <si>
    <t>SAMS1CL21B106KPQNNNESAM0</t>
  </si>
  <si>
    <t>SAM0</t>
  </si>
  <si>
    <t>PULS1J0011D01BNLPUL5</t>
  </si>
  <si>
    <t>STMS1STN3P6F6STM6</t>
  </si>
  <si>
    <t>NXPS1BAP70-02,115NXP0</t>
  </si>
  <si>
    <t>XIL0</t>
  </si>
  <si>
    <t>DN71377801</t>
  </si>
  <si>
    <t>DN28166801</t>
  </si>
  <si>
    <t>INFS1BGA855N6E6327XTSA1INF9</t>
  </si>
  <si>
    <t>OSRS1LR T67F-U1AA-1-1-ZOSR4</t>
  </si>
  <si>
    <t>OSR4</t>
  </si>
  <si>
    <t>TE S15-146278-4TE 6</t>
  </si>
  <si>
    <t>MOLS167643-3911MOL9</t>
  </si>
  <si>
    <t>TE S1147873-2TE 2</t>
  </si>
  <si>
    <t>TE 2</t>
  </si>
  <si>
    <t>YAGS1PE1206FRF470R01LYAG5</t>
  </si>
  <si>
    <t>DN11088801</t>
  </si>
  <si>
    <t>FCL7</t>
  </si>
  <si>
    <t>DN02399801</t>
  </si>
  <si>
    <t>ON S1DTC114TET1GON 9</t>
  </si>
  <si>
    <t>DN57611801</t>
  </si>
  <si>
    <t>ON S11SMA5915BT3GON 9</t>
  </si>
  <si>
    <t>XIL5</t>
  </si>
  <si>
    <t>STAS1RMCF0402JT56K0STA8</t>
  </si>
  <si>
    <t>AVXS108051C104KAT2AAVX0</t>
  </si>
  <si>
    <t>BOUS1CRT0603-BY-1002ELFBOU5</t>
  </si>
  <si>
    <t>MURS1GRM155R71C104KA88DMUR8</t>
  </si>
  <si>
    <t>DN76855801</t>
  </si>
  <si>
    <t>AMP1</t>
  </si>
  <si>
    <t>SURS1VUA220M1VTR-0607LSSUR7</t>
  </si>
  <si>
    <t>SUR7</t>
  </si>
  <si>
    <t>MOLS116-02-0097MOL9</t>
  </si>
  <si>
    <t>INFS1IRFZ44NPBFINF9</t>
  </si>
  <si>
    <t>INFS1IRF4905LPBFINF9</t>
  </si>
  <si>
    <t>DIOS1DMP4013LFGQ-7DIO1</t>
  </si>
  <si>
    <t>DN32922801</t>
  </si>
  <si>
    <t>KEMS1A768EB107M1ELAS036KEM5</t>
  </si>
  <si>
    <t>INFS1FS01MR08A8MA2CHPSA1INF9</t>
  </si>
  <si>
    <t>CENS1CMR1-10 TR13 PBFREECEN3</t>
  </si>
  <si>
    <t>CEN3</t>
  </si>
  <si>
    <t>INTS1EYE810XXVAM2   S LNFZINT0</t>
  </si>
  <si>
    <t>INFS1BGA824N6E6329XTSA1INF9</t>
  </si>
  <si>
    <t>ON S1NUF2221W1T2GON 9</t>
  </si>
  <si>
    <t>ON S1BSS84ON 9</t>
  </si>
  <si>
    <t>DIOS1BZT52C5V1-7-FDIO1</t>
  </si>
  <si>
    <t>MICS1MIC4416YM4-TRMIC4</t>
  </si>
  <si>
    <t>DN59022801</t>
  </si>
  <si>
    <t>DN32911801</t>
  </si>
  <si>
    <t>AAV7</t>
  </si>
  <si>
    <t>VISS1MLV1812E39503TVIS6</t>
  </si>
  <si>
    <t>DN89222801</t>
  </si>
  <si>
    <t>AVXS1046298003000883+AVX0</t>
  </si>
  <si>
    <t>NXPS1MC34PF3000A3EPR2NXP0</t>
  </si>
  <si>
    <t>FOXS1FC7ASBBMM9.216-T1FOX4</t>
  </si>
  <si>
    <t>FOX4</t>
  </si>
  <si>
    <t>CTSS1219-8LPSTRFCTS9</t>
  </si>
  <si>
    <t>FOXS1FKFSREIHM0.032768-T3FOX4</t>
  </si>
  <si>
    <t>DN72911801</t>
  </si>
  <si>
    <t>ON S1NOICPSMVG62A-GBCON 9</t>
  </si>
  <si>
    <t>TDK9</t>
  </si>
  <si>
    <t>FCLS1FTP-68EMCL161-RFCL7</t>
  </si>
  <si>
    <t>LAIS128R0984-200LAI7</t>
  </si>
  <si>
    <t>ON S1BAV99LT1GON 9</t>
  </si>
  <si>
    <t>ON S1NCP431AISNT1GON 9</t>
  </si>
  <si>
    <t>DN63888801</t>
  </si>
  <si>
    <t>DN88033801</t>
  </si>
  <si>
    <t>TAIS1JMK316BJ106KL-TTAI1</t>
  </si>
  <si>
    <t>TDKS1VLS6045AF-101MTDK9</t>
  </si>
  <si>
    <t>MICS1MT29F1G01ABAFDWB-IT:F TRMIC0</t>
  </si>
  <si>
    <t>VISS1CRCW0805100RFKEAHPVIS7</t>
  </si>
  <si>
    <t>DIOS1FL4910002DIO1</t>
  </si>
  <si>
    <t>OMES1MTP-K-FOME6</t>
  </si>
  <si>
    <t>OME6</t>
  </si>
  <si>
    <t>DN39600801</t>
  </si>
  <si>
    <t>VISS1CRCW0603200RFKEAHPVIS7</t>
  </si>
  <si>
    <t>NXPS1SC516757CDWERNXP0</t>
  </si>
  <si>
    <t>OMES1SMTC-AL-SOME6</t>
  </si>
  <si>
    <t>GRES1GPFC219-0402B239R1ZFGRE1</t>
  </si>
  <si>
    <t>GRE1</t>
  </si>
  <si>
    <t>NEXS1PESD18VF1BL-QYLNEX4</t>
  </si>
  <si>
    <t>BOUS1SRP7028A-1R0MBOU5</t>
  </si>
  <si>
    <t>INTS1EY82C621       S R3HEINT0</t>
  </si>
  <si>
    <t>TE S11410142-1TE 6</t>
  </si>
  <si>
    <t>AVXS106035A101JAT2AAVX0</t>
  </si>
  <si>
    <t>SCHS14301.5202SCH0</t>
  </si>
  <si>
    <t>SAMS1TSW-104-05-T-DSAM2</t>
  </si>
  <si>
    <t>AVAS1BCM53101EKMLGAVA6</t>
  </si>
  <si>
    <t>TE S16450330-1TE 6</t>
  </si>
  <si>
    <t>TE S13-520141-2TE 6</t>
  </si>
  <si>
    <t>VISS1SSC53L-E3/57TVIS0</t>
  </si>
  <si>
    <t>SOUS1DEIVCHA105D-3R3MS6SOU4</t>
  </si>
  <si>
    <t>SITS1SIT9386AE-2B1-33E156.250000GSIT5</t>
  </si>
  <si>
    <t>SIT5</t>
  </si>
  <si>
    <t>QORS1EXPEDITE ACBUQOR0</t>
  </si>
  <si>
    <t>QOR0</t>
  </si>
  <si>
    <t>BELS1133-3711-202BEL7</t>
  </si>
  <si>
    <t>BEL7</t>
  </si>
  <si>
    <t>ROHS1RB751SM-40T2RROH7</t>
  </si>
  <si>
    <t>SUMS106518-T065SUM7</t>
  </si>
  <si>
    <t>SUM7</t>
  </si>
  <si>
    <t>DIOS1SMAJ58A-13-FDIO1</t>
  </si>
  <si>
    <t>ON S1BSP52T1GON 9</t>
  </si>
  <si>
    <t>TE S11-794065-1TE 6</t>
  </si>
  <si>
    <t>DN53866801</t>
  </si>
  <si>
    <t>OSRS1LB Q39G-L2OO-35-1OSR4</t>
  </si>
  <si>
    <t>TE S1640453-2TE 6</t>
  </si>
  <si>
    <t>TAIS1TMK325BJ226MM-TTAI1</t>
  </si>
  <si>
    <t>COPS1SC-2111COP1</t>
  </si>
  <si>
    <t>COP1</t>
  </si>
  <si>
    <t>INTS1GG8067402569403S R2UBINT0</t>
  </si>
  <si>
    <t>SOUS1TERA-TIANJIN-2NDHALF2025-INSPSOU4</t>
  </si>
  <si>
    <t>MURS1GCM155R71H222KA37JMUR8</t>
  </si>
  <si>
    <t>YAGS1AF0201FR-0721K5LYAG5</t>
  </si>
  <si>
    <t>AAVS1BEAM V6 CP ASSEMBLYAAV7</t>
  </si>
  <si>
    <t>MARS188E6185-A2-LKJ1I000MAR1</t>
  </si>
  <si>
    <t>VISS1M55342K06B2E74RS6VIS7</t>
  </si>
  <si>
    <t>ITTS1025-1158-001ITT0</t>
  </si>
  <si>
    <t>DIOS1BSS84Q-13-FDIO1</t>
  </si>
  <si>
    <t>DN33566801</t>
  </si>
  <si>
    <t>MICS1AT25640B-SSHL-TMIC0</t>
  </si>
  <si>
    <t>HEWS1GSS-VAR-PERHEW7</t>
  </si>
  <si>
    <t>HEW7</t>
  </si>
  <si>
    <t>RENS15962-8513103EAREN1</t>
  </si>
  <si>
    <t>GOLS1LPS3015-332MRCGOL2</t>
  </si>
  <si>
    <t>SCHS13-127-408SCH0</t>
  </si>
  <si>
    <t>AVNS1DF38324WVAVN7</t>
  </si>
  <si>
    <t>SUMS1CDRH127/LDNP-150MCSUM7</t>
  </si>
  <si>
    <t>ON S1NJV4031NT3GON 9</t>
  </si>
  <si>
    <t>ON S1NSVMMBT6520LT1GON 9</t>
  </si>
  <si>
    <t>KEMS1T510X337K010ATA035KEM5</t>
  </si>
  <si>
    <t>ON S1FDMC86184ON 9</t>
  </si>
  <si>
    <t>OSRS1SFH 4715AS-EAOSR4</t>
  </si>
  <si>
    <t>MPSS1MPQ4322CGDE-AEC1-ZMPS5</t>
  </si>
  <si>
    <t>MPS5</t>
  </si>
  <si>
    <t>BEL5</t>
  </si>
  <si>
    <t>PANS1ERJ-1GNF4702CPAN4</t>
  </si>
  <si>
    <t>MOLS1120341-0301MOL9</t>
  </si>
  <si>
    <t>NXPS1TJA1042TK/3/2ZNXP0</t>
  </si>
  <si>
    <t>VISS1PTF565K0000BZREVIS7</t>
  </si>
  <si>
    <t>AMPS1M1001-12315AMP9</t>
  </si>
  <si>
    <t>AMP9</t>
  </si>
  <si>
    <t>TE S1204351-1TE 6</t>
  </si>
  <si>
    <t>MARS1EV-CD822AA0-A0-R0MAR0</t>
  </si>
  <si>
    <t>AVAS1AFBR-5803ZAVA2</t>
  </si>
  <si>
    <t>LAIS1CF730SA00600589VSELAI7</t>
  </si>
  <si>
    <t>MICS1UC1611W DRIVER ICMIC8</t>
  </si>
  <si>
    <t>MURS1GCM155R71C104KA55DMUR8</t>
  </si>
  <si>
    <t>ON S1SBAT54XV2T1GON 9</t>
  </si>
  <si>
    <t>MICS1OX-249-0032-16M384000MIC4</t>
  </si>
  <si>
    <t>TE S1RW-125-HW-1-X-SPTE 9</t>
  </si>
  <si>
    <t>TE 9</t>
  </si>
  <si>
    <t>OMRS1B3F-4155OMR6</t>
  </si>
  <si>
    <t>OMR6</t>
  </si>
  <si>
    <t>ON S1NSVR0520V2T1GON 9</t>
  </si>
  <si>
    <t>MOLS153398-0871MOL9</t>
  </si>
  <si>
    <t>ON S1SZNUP2105LT3GON 9</t>
  </si>
  <si>
    <t>MICS1MUU-00032-1PKMIC6</t>
  </si>
  <si>
    <t>MIC6</t>
  </si>
  <si>
    <t>ON S1MMBT5401LT1GON 9</t>
  </si>
  <si>
    <t>KONS1EVAL FEEKON9</t>
  </si>
  <si>
    <t>KON9</t>
  </si>
  <si>
    <t>ITTS1BACC63G14S-7SWITT0</t>
  </si>
  <si>
    <t>AVAS1ACPL-W340-560EAVA2</t>
  </si>
  <si>
    <t>NICS1NRC04F2210TRFNIC6</t>
  </si>
  <si>
    <t>TE S1352275RFTTE 6</t>
  </si>
  <si>
    <t>CTSS1195-3MSNCTS9</t>
  </si>
  <si>
    <t>STMS1VN7003AHTRSTM6</t>
  </si>
  <si>
    <t>RENS1SLG46855-APREN3</t>
  </si>
  <si>
    <t>ON S1MURS360T3GON 9</t>
  </si>
  <si>
    <t>BOUS1CR0402-FX-4751GLFBOU5</t>
  </si>
  <si>
    <t>OMES15TC-TT-T-30-300OME6</t>
  </si>
  <si>
    <t>PANS1ERJ-1GNF1002CPAN4</t>
  </si>
  <si>
    <t>RAD1</t>
  </si>
  <si>
    <t>AVXS1SB3B3B202C CLASS B TESTAVX0</t>
  </si>
  <si>
    <t>MARS1MV78460-B0-BJR4C160MAR1</t>
  </si>
  <si>
    <t>MPSS1MPQ4572GQBE-AEC1-ZMPS5</t>
  </si>
  <si>
    <t>MICS1VSC8541WZBRT-EMIC4</t>
  </si>
  <si>
    <t>RADS17105-1521-019RAD1</t>
  </si>
  <si>
    <t>REN4</t>
  </si>
  <si>
    <t>AVNS1LOGISTICS SERVICES FEEAVN7</t>
  </si>
  <si>
    <t>GOLS1179739-0001/KGOL2</t>
  </si>
  <si>
    <t>MOLS146999-0914MOL9</t>
  </si>
  <si>
    <t>MOLS11203410301MOL4</t>
  </si>
  <si>
    <t>MOL4</t>
  </si>
  <si>
    <t>STMS1ULQ2003D1013TRSTM6</t>
  </si>
  <si>
    <t>ON S11SMB5937BT3GON 9</t>
  </si>
  <si>
    <t>RADS180-6825-002RAD1</t>
  </si>
  <si>
    <t>ISSS1IS46TR16128C-125KBLA25-TRISS3</t>
  </si>
  <si>
    <t>SURS1FREIGHT CHARGESUR7</t>
  </si>
  <si>
    <t>AVXS108055A100BAT2AAVX0</t>
  </si>
  <si>
    <t>TAIS1EMK325ABJ107MM-PTAI1</t>
  </si>
  <si>
    <t>PANS1MT25QL256ABA1EW9-0SITPAN0</t>
  </si>
  <si>
    <t>ON S1BSS123ON 9</t>
  </si>
  <si>
    <t>VISS1WYO152MCMBF0KRVIS8</t>
  </si>
  <si>
    <t>VISS1RN60C7320BRE6VIS7</t>
  </si>
  <si>
    <t>AVXS1LD035C104KAB2AAVX0</t>
  </si>
  <si>
    <t>ON S1NTR4171PT1GON 9</t>
  </si>
  <si>
    <t>AVAS1ACPL-217-50DEAVA2</t>
  </si>
  <si>
    <t>RENS17705202EAREN1</t>
  </si>
  <si>
    <t>ON S1SBC846BDW1T1GON 9</t>
  </si>
  <si>
    <t>GLES1601-025GLE0</t>
  </si>
  <si>
    <t>ON S1NL7SZ58DFT2G-QON 9</t>
  </si>
  <si>
    <t>INFS1TLF35584QVVS2XUMA2INF9</t>
  </si>
  <si>
    <t>VISS156006021-008 QCIVIS5</t>
  </si>
  <si>
    <t>VIS5</t>
  </si>
  <si>
    <t>MOLS134792-2081MOL9</t>
  </si>
  <si>
    <t>PANS1PV14-10RB-3KPAN9</t>
  </si>
  <si>
    <t>PAN9</t>
  </si>
  <si>
    <t>AVAS1ACPL-M43T-000EAVA2</t>
  </si>
  <si>
    <t>CTSS1405I35E25M00000CTS9</t>
  </si>
  <si>
    <t>MOLS133472-0681MOL9</t>
  </si>
  <si>
    <t>DIOS12N7002K-7DIO1</t>
  </si>
  <si>
    <t>GLES1630A022M04BTGLE0</t>
  </si>
  <si>
    <t>AVNS122519AVN7</t>
  </si>
  <si>
    <t>VISS1CRCW040252R3FKTDVIS7</t>
  </si>
  <si>
    <t>MPSS1MP2172CGQFU-ZMPS5</t>
  </si>
  <si>
    <t>VISS1M55342K08B127DPULVIS7</t>
  </si>
  <si>
    <t>ISSS1IS25WP040D-JULA3-TRISS3</t>
  </si>
  <si>
    <t>INFS1TC297TP128F300NBCKXUMA1INF9</t>
  </si>
  <si>
    <t>NEXS174AHC14D,118NEX4</t>
  </si>
  <si>
    <t>AVNS1MELLANOX CIENAAVN7</t>
  </si>
  <si>
    <t>OMRS1FREIGHT CHARGEOMR6</t>
  </si>
  <si>
    <t>DIOS1BCX5216QTADIO1</t>
  </si>
  <si>
    <t>CENS13SMC12CA TR13 PBFREECEN3</t>
  </si>
  <si>
    <t>LAIS1SND-Q276911A-00-DNLAI7</t>
  </si>
  <si>
    <t>AVAS1ASMT-RR45-AQ902AVA2</t>
  </si>
  <si>
    <t>TRIS1U223-004-INDTRI6</t>
  </si>
  <si>
    <t>TRI6</t>
  </si>
  <si>
    <t>KONS1REPAIR CHARGEKON9</t>
  </si>
  <si>
    <t>KEMS1F881BK273M300CKEM5</t>
  </si>
  <si>
    <t>NXPS1TJA1040T/CM,118NXP0</t>
  </si>
  <si>
    <t>TE S11-406541-6TE 6</t>
  </si>
  <si>
    <t>NEXS1BSS84,215NEX4</t>
  </si>
  <si>
    <t>MURS1CSTLS8M00G53Z-A0MUR8</t>
  </si>
  <si>
    <t>KEMS1C1812C335K1RACAUTOKEM5</t>
  </si>
  <si>
    <t>YAGS1RT0402BRD07100KLYAG5</t>
  </si>
  <si>
    <t>VISS1RWR74S3000BSRSLVIS7</t>
  </si>
  <si>
    <t>AVAS1HCPL-0601-500EAVA2</t>
  </si>
  <si>
    <t>AVXS1SV08AA473KAAAVX0</t>
  </si>
  <si>
    <t>KEMS1CDR05BX334AKURKEM5</t>
  </si>
  <si>
    <t>VPTS1JANTX1N759A-1VPT9</t>
  </si>
  <si>
    <t>VPT9</t>
  </si>
  <si>
    <t>INFS1FF1MR12MM1HB11BPSA1INF9</t>
  </si>
  <si>
    <t>OSRS1SFH 7781-1/2/3OSR4</t>
  </si>
  <si>
    <t>MARS1KT1FE6193XP22-A0MAR0</t>
  </si>
  <si>
    <t>INFS188Q5192-D0-DGG2A000INF9</t>
  </si>
  <si>
    <t>TAIS1EMK212B7225KG-TTAI1</t>
  </si>
  <si>
    <t>XILS1XC5VLX30-1FF676IXIL5</t>
  </si>
  <si>
    <t>AVNS121649AVN7</t>
  </si>
  <si>
    <t>VISS156006021-003 FAI INSPECTIONVIS5</t>
  </si>
  <si>
    <t>TDKS1C3216X5R1E476M160ACTDK9</t>
  </si>
  <si>
    <t>DIOS12N7002-7-FDIO1</t>
  </si>
  <si>
    <t>OSRS1LY E63F-FAGA-46-1-50-R33-ZOSR4</t>
  </si>
  <si>
    <t>GSIS1GS82564Z18GD-333IGSI6</t>
  </si>
  <si>
    <t>GSI6</t>
  </si>
  <si>
    <t>XILS1XQ7Z045-2RF900IXIL0</t>
  </si>
  <si>
    <t>VISS1SQ3427AEEV-T1_GE3VIS0</t>
  </si>
  <si>
    <t>PANS11N5404RLGPAN0</t>
  </si>
  <si>
    <t>SUP6</t>
  </si>
  <si>
    <t>INGS1100-300000170ING9</t>
  </si>
  <si>
    <t>ING9</t>
  </si>
  <si>
    <t>VISS1CRCW06031K00FKEAVIS7</t>
  </si>
  <si>
    <t>VISS1RS01A2K000FB12VIS7</t>
  </si>
  <si>
    <t>MOLS138704-4902MOL9</t>
  </si>
  <si>
    <t>XILS1A-U50-P00G-PQ-GXIL6</t>
  </si>
  <si>
    <t>XIL6</t>
  </si>
  <si>
    <t>INFS1JANSR2N7467U2AINF0</t>
  </si>
  <si>
    <t>INF0</t>
  </si>
  <si>
    <t>AVAS1AFCD-V84LPAVA2</t>
  </si>
  <si>
    <t>NEXS174LVC1G08GW,125NEX4</t>
  </si>
  <si>
    <t>PANS1EEE-FK1V151PPAN4</t>
  </si>
  <si>
    <t>AIMS1AM3D-1212SZAIM0</t>
  </si>
  <si>
    <t>AIM0</t>
  </si>
  <si>
    <t>AMPS1RVPX-P16DM2AMP7</t>
  </si>
  <si>
    <t>KEMS1C0603C102K5RACTUKEM5</t>
  </si>
  <si>
    <t>ON S115022-516-XTDON 9</t>
  </si>
  <si>
    <t>TSCS1GBU806-KTSC0</t>
  </si>
  <si>
    <t>TSC0</t>
  </si>
  <si>
    <t>GOLS10402CS-4N7XJRWGOL2</t>
  </si>
  <si>
    <t>MICS1AT28LV010-20TUMIC0</t>
  </si>
  <si>
    <t>KEMS1M39014/02-1310VKEM5</t>
  </si>
  <si>
    <t>AVXS1M49470X01126KBN SLDR SAMAVX0</t>
  </si>
  <si>
    <t>BOUS1RT24C2W501BOU5</t>
  </si>
  <si>
    <t>AVAS1W1206-601205AVA6</t>
  </si>
  <si>
    <t>MICS1HRDS-JANTXV_DATA_PACKAGEMIC7</t>
  </si>
  <si>
    <t>AVNS119736AVN7</t>
  </si>
  <si>
    <t>AVNS124840AVN7</t>
  </si>
  <si>
    <t>NXPS1PCA9553DP/01,118NXP0</t>
  </si>
  <si>
    <t>BOUS1RLB9012-102KLBOU5</t>
  </si>
  <si>
    <t>ON S1FDMS86200ON 9</t>
  </si>
  <si>
    <t>KEMS1C1206C103K5RACTUKEM5</t>
  </si>
  <si>
    <t>NEXS1BZX84-C12-QRNEX4</t>
  </si>
  <si>
    <t>MOLS143045-1827MOL9</t>
  </si>
  <si>
    <t>CYPS1CY2305SXC-1CYP7</t>
  </si>
  <si>
    <t>CYP7</t>
  </si>
  <si>
    <t>PANS1MA40S4SPAN0</t>
  </si>
  <si>
    <t>PULS1PA2750NLTPUL5</t>
  </si>
  <si>
    <t>AVXS106031C102KAT2AAVX0</t>
  </si>
  <si>
    <t>AVAS1HLMP-P305-F0031AVA2</t>
  </si>
  <si>
    <t>SCHS10001.1016.PTSCH0</t>
  </si>
  <si>
    <t>VISS1RWR80S1001FPS73VIS7</t>
  </si>
  <si>
    <t>AVAS1HCPL-316J-500EAVA2</t>
  </si>
  <si>
    <t>NXPS1MPF7100BMBA0ESNXP0</t>
  </si>
  <si>
    <t>VISS1136079-L3VIS0</t>
  </si>
  <si>
    <t>VISS1NTCALUG01S103F501VIS6</t>
  </si>
  <si>
    <t>BIT9</t>
  </si>
  <si>
    <t>AVNS1PROCESSING FEEAVN7</t>
  </si>
  <si>
    <t>MICS1AT28C256-15JUMIC0</t>
  </si>
  <si>
    <t>MICS1MTA36ASF8G72PZ-3G2F1MIC0</t>
  </si>
  <si>
    <t>AVXS112065C104KAT2AAVX0</t>
  </si>
  <si>
    <t>MOLS176825-0004MOL9</t>
  </si>
  <si>
    <t>BOUS1SRR6028-471YBOU5</t>
  </si>
  <si>
    <t>VISS1SOMC160110K0JDCVIS7</t>
  </si>
  <si>
    <t>PANS1EEE-FK0J102PPAN4</t>
  </si>
  <si>
    <t>NEXS174LVC2T45DC-Q100HNEX4</t>
  </si>
  <si>
    <t>AVNS132357AVN7</t>
  </si>
  <si>
    <t>MICS1MTSD128ANC8MS-1WTMIC0</t>
  </si>
  <si>
    <t>AVNS128342AVN7</t>
  </si>
  <si>
    <t>MARS188E6393XA0-BXB2I000MAR0</t>
  </si>
  <si>
    <t>AMPS1MS27484E24F35SAMP6</t>
  </si>
  <si>
    <t>AMP6</t>
  </si>
  <si>
    <t>BOUS15.0SMDJ45ABOU5</t>
  </si>
  <si>
    <t>HIRS1FH48-30S-0.5SVHIR3</t>
  </si>
  <si>
    <t>HIR3</t>
  </si>
  <si>
    <t>MPSS1MP8792GLE-ZMPS5</t>
  </si>
  <si>
    <t>Ok</t>
  </si>
  <si>
    <t>Not Paid</t>
  </si>
  <si>
    <t>Credit Memo Not Open</t>
  </si>
  <si>
    <t>Description -  This Req has been handled by Credit Team and this is related to Credit Memo Not Open</t>
  </si>
  <si>
    <t>Deducted More Than CM</t>
  </si>
  <si>
    <t>Description -  This Req has been handled by Credit Team and this is related to Deducted More Than CM</t>
  </si>
  <si>
    <t>Cons Inv Recon</t>
  </si>
  <si>
    <t>Description -  This Req has been handled by Credit Team and this is related to Cons Inv Recon</t>
  </si>
  <si>
    <t>COPE 9814</t>
  </si>
  <si>
    <t>MICS1DSPIC30F6014A-30I/PTMIC4</t>
  </si>
  <si>
    <t>SAMS1MEC6-110-02-L-DV-TRSAM2</t>
  </si>
  <si>
    <t>LENS143V7099LEN4</t>
  </si>
  <si>
    <t>LEN4</t>
  </si>
  <si>
    <t>SOUS12358145SOU4</t>
  </si>
  <si>
    <t>LENS169Y5816LEN4</t>
  </si>
  <si>
    <t>RENS1UPD70F3628GCA-UEU-E2-QS-AXREN3</t>
  </si>
  <si>
    <t>AVNS1SUPPLY CHAIN SERVICESAVN7</t>
  </si>
  <si>
    <t>RADS17512-1511-006RAD1</t>
  </si>
  <si>
    <t>STMS1STA8600ASTM6</t>
  </si>
  <si>
    <t>VISS1CRCW0402121KFKTDVIS7</t>
  </si>
  <si>
    <t>ON S1NDT2955ON 9</t>
  </si>
  <si>
    <t>SOUS1YTKCON8661DRSOU4</t>
  </si>
  <si>
    <t>SOUS1AL-085UM-T311-101SOU4</t>
  </si>
  <si>
    <t>SOUS15321734PSPSOU4</t>
  </si>
  <si>
    <t>DELS13000115120721DEL4</t>
  </si>
  <si>
    <t>XILS1DS-XPA-10KXIL5</t>
  </si>
  <si>
    <t>SEAS1STKM1000400SEA0</t>
  </si>
  <si>
    <t>SEA0</t>
  </si>
  <si>
    <t>INFS1BSS314PEH6327XTSA1INF9</t>
  </si>
  <si>
    <t>LENS17Y37S1L100LEN6</t>
  </si>
  <si>
    <t>INTS1CM8068403358316S R3QSINT0</t>
  </si>
  <si>
    <t>HEWS1CRM-10GAS9901HEW7</t>
  </si>
  <si>
    <t>TAIS1AMK107BC6476MA-RETAI1</t>
  </si>
  <si>
    <t>RENS1X9313ZSIZ-3T1REN8</t>
  </si>
  <si>
    <t>REN8</t>
  </si>
  <si>
    <t>DIOS1S8KC-13DIO1</t>
  </si>
  <si>
    <t>AVNS1MC68332GCEH25AVN7</t>
  </si>
  <si>
    <t>AMPS1GTC08SB36-5P(025)AMP4</t>
  </si>
  <si>
    <t>AMP4</t>
  </si>
  <si>
    <t>SCHS1DC12.2102.001SCH0</t>
  </si>
  <si>
    <t>SOUS1FMATSP-S2AA1-M1TVSOU4</t>
  </si>
  <si>
    <t>AVNS127731AVN7</t>
  </si>
  <si>
    <t>MSCS1SM2S-AL-01 HSP-001 /1137476MSC9</t>
  </si>
  <si>
    <t>MSC9</t>
  </si>
  <si>
    <t>MSCS190108MSC9</t>
  </si>
  <si>
    <t>RENS1X9313ZSZT1REN8</t>
  </si>
  <si>
    <t>DIAS1AT45DB161E-SHD-TDIA5</t>
  </si>
  <si>
    <t>TDKS1CGA6P4C0G2J333G250AETDK9</t>
  </si>
  <si>
    <t>VISS1KBU8J-E4/51VIS0</t>
  </si>
  <si>
    <t>RENS1R5F5631ECDFC#V0REN3</t>
  </si>
  <si>
    <t>SCHS1SRT2200XLASCH7</t>
  </si>
  <si>
    <t>NXPS1S912ZVML32AWKHNXP0</t>
  </si>
  <si>
    <t>MURS1LQM21NNR68K10DMUR8</t>
  </si>
  <si>
    <t>ALLS1AS7C3256A-12TINTRALL5</t>
  </si>
  <si>
    <t>INFS1FS1150R08A8P3LMCHPSA1INF9</t>
  </si>
  <si>
    <t>DELS13000181616778DEL4</t>
  </si>
  <si>
    <t>MOLS122-27-2021MOL9</t>
  </si>
  <si>
    <t>INVS1ICM-42605INV4</t>
  </si>
  <si>
    <t>INV4</t>
  </si>
  <si>
    <t>KEMS1C0805C224K1RACTUKEM5</t>
  </si>
  <si>
    <t>INFS1BSP75NHUMA1INF9</t>
  </si>
  <si>
    <t>MICS1USB3300-EZK-TRMIC4</t>
  </si>
  <si>
    <t>MICS1MT53E1G32D2FW-046 AAT:B TRMIC0</t>
  </si>
  <si>
    <t>MICS1MTFC8GAMALNA-AAT TRMIC0</t>
  </si>
  <si>
    <t>AAVS1MAX07NGAAV7</t>
  </si>
  <si>
    <t>STMS1STPS1L60ZFYSTM6</t>
  </si>
  <si>
    <t>AVXS104025C152KAT2AAVX0</t>
  </si>
  <si>
    <t>TAIS1LBC3225T101MRTAI1</t>
  </si>
  <si>
    <t>VISS1CRCW201010R0FKEFHPVIS7</t>
  </si>
  <si>
    <t>SOUS1HOC2532-14SOU4</t>
  </si>
  <si>
    <t>XILS1XCVU095-H1FFVC1517EXIL5</t>
  </si>
  <si>
    <t>AVXS104025A101JAT2AAVX0</t>
  </si>
  <si>
    <t>AVXS104025A270KAT2AAVX0</t>
  </si>
  <si>
    <t>AVXS10805YC105KAT2AAVX0</t>
  </si>
  <si>
    <t>KEMS1C0805C105K8RACTUKEM5</t>
  </si>
  <si>
    <t>MURS1GRM188R71E474KA12DMUR8</t>
  </si>
  <si>
    <t>ON S1LM358DR2GON 9</t>
  </si>
  <si>
    <t>SAMS1CL05B332KB5NNNCSAM0</t>
  </si>
  <si>
    <t>TAIS1CBC2518T2R2MTAI1</t>
  </si>
  <si>
    <t>MICS15962-8989701CA SOLDER DESTRUCTMIC6</t>
  </si>
  <si>
    <t>MICS15962-8989701CA SOLDER TESTMIC6</t>
  </si>
  <si>
    <t>MICS15962-8989701CAMIC6</t>
  </si>
  <si>
    <t>VISS1CW00533K00JE12VIS7</t>
  </si>
  <si>
    <t>MPSS1MP2318GJ-ZMPS5</t>
  </si>
  <si>
    <t>BOUS1SRP1038A-100MBOU5</t>
  </si>
  <si>
    <t>KEMS1C0402C102K3RACTUKEM5</t>
  </si>
  <si>
    <t>VISS1IHDM1008BCEV100M30VIS7</t>
  </si>
  <si>
    <t>MOLS1130304-9601MOL9</t>
  </si>
  <si>
    <t>AVXS104025A120FAT2AAVX0</t>
  </si>
  <si>
    <t>AVXS10402YC103KAT2AAVX0</t>
  </si>
  <si>
    <t>MOLS139523-2004MOL9</t>
  </si>
  <si>
    <t>MOLS146765-1001MOL9</t>
  </si>
  <si>
    <t>MICS1JANTX1N5552MIC7</t>
  </si>
  <si>
    <t>NXPS1DSP56F803BU80ENXP0</t>
  </si>
  <si>
    <t>MICS1SST25VF010A-33-4I-SAE-TMIC4</t>
  </si>
  <si>
    <t>MOLS143045-2014MOL9</t>
  </si>
  <si>
    <t>TDKS1REPAIRTDK5</t>
  </si>
  <si>
    <t>TDK5</t>
  </si>
  <si>
    <t>ASRS1FSP/FSP120-ABAN3/9NA120-ADAPTERASR3</t>
  </si>
  <si>
    <t>ASR3</t>
  </si>
  <si>
    <t>PO7959598481</t>
  </si>
  <si>
    <t>SO90117798481</t>
  </si>
  <si>
    <t>HP S152788621HP 2</t>
  </si>
  <si>
    <t>HP 2</t>
  </si>
  <si>
    <t>SMIS102349-001SMI1</t>
  </si>
  <si>
    <t>SMI1</t>
  </si>
  <si>
    <t>SMIS17510-309SMI1</t>
  </si>
  <si>
    <t>MICS179P-05589MIC0</t>
  </si>
  <si>
    <t>KEMS1C1210C106K5RACTUKEM5</t>
  </si>
  <si>
    <t>ADVS1M06-1717-020X02ADV7</t>
  </si>
  <si>
    <t>ADV7</t>
  </si>
  <si>
    <t>MICS1GC42107-04MIC4</t>
  </si>
  <si>
    <t>VISS1SMBJ24A-E3/52VIS0</t>
  </si>
  <si>
    <t>DELS13000078798726DEL4</t>
  </si>
  <si>
    <t>SMIS144X3472SMI1</t>
  </si>
  <si>
    <t>SOUS1CHIPI-X10SOU4</t>
  </si>
  <si>
    <t>EATS1CTX01-18056-REAT4</t>
  </si>
  <si>
    <t>EATS1GMA-250-REAT4</t>
  </si>
  <si>
    <t>NECS1E243F-BKNEC3</t>
  </si>
  <si>
    <t>NEC3</t>
  </si>
  <si>
    <t>AMPS121-032904-121AMP7</t>
  </si>
  <si>
    <t>AMPS121-032905-121AMP7</t>
  </si>
  <si>
    <t>SEMS11N6172AUSJANTXVSEM5</t>
  </si>
  <si>
    <t>SEM5</t>
  </si>
  <si>
    <t>INFS1CY62157EV30LL-45ZSXITINF3</t>
  </si>
  <si>
    <t>INF3</t>
  </si>
  <si>
    <t>STMS15962F8776003VXCSTM6</t>
  </si>
  <si>
    <t>STMS1DC3SLDC-71$STM6</t>
  </si>
  <si>
    <t>LENS15MS7A24106LEN6</t>
  </si>
  <si>
    <t>NICS1NMC0603X7R104K25TRPFNIC6</t>
  </si>
  <si>
    <t>SUMS1MISC FEESUM7</t>
  </si>
  <si>
    <t>MICS1PIC16F630T-I/ST052MIC4</t>
  </si>
  <si>
    <t>MICS1MT41K256M16TW-107 IT:PMIC0</t>
  </si>
  <si>
    <t>SCHS10034.6018SCH0</t>
  </si>
  <si>
    <t>VISS1CRCW040210K0FKTDVIS7</t>
  </si>
  <si>
    <t>AVXS1G311P838ACX473K3R1AVX0</t>
  </si>
  <si>
    <t>SAMS1BM_CL05A106MQ5NUNCSAM0</t>
  </si>
  <si>
    <t>SOUS1GSS-VAR-PERSOU4</t>
  </si>
  <si>
    <t>ON S1MMSZ4705T1GON 9</t>
  </si>
  <si>
    <t>OSRS1SFH 4243-ZOSR4</t>
  </si>
  <si>
    <t>DIGS1EZ16-A100-USDIG0</t>
  </si>
  <si>
    <t>DIG0</t>
  </si>
  <si>
    <t>VISS1CRCW040249R9FKTDVIS7</t>
  </si>
  <si>
    <t>ON S1MMSZ4694T1GON 9</t>
  </si>
  <si>
    <t>GOLS1MP02374GOL2</t>
  </si>
  <si>
    <t>FUJS1FTP-68EMP0524-RFUJ5</t>
  </si>
  <si>
    <t>WEES1ACTT2S-800E,118WEE8</t>
  </si>
  <si>
    <t>WEE8</t>
  </si>
  <si>
    <t>WEES1BTA2008W-800D,135WEE8</t>
  </si>
  <si>
    <t>WEES1BTA416Y-800B,127WEE8</t>
  </si>
  <si>
    <t>DIOS1AP2127K-3.3TRG1DIO1</t>
  </si>
  <si>
    <t>TE S1640024-1TE 6</t>
  </si>
  <si>
    <t>AVNS124798AVN7</t>
  </si>
  <si>
    <t>MURS1GRM1555C1H102JA01DMUR8</t>
  </si>
  <si>
    <t>AVXS104023C331KAT2AAVX0</t>
  </si>
  <si>
    <t>AVXS10603ZC224JAT2AAVX0</t>
  </si>
  <si>
    <t>BOUS12300LL-220-V-RCBOU9</t>
  </si>
  <si>
    <t>BOU9</t>
  </si>
  <si>
    <t>ECSS1ECS-.327-CDX-2216ECS2</t>
  </si>
  <si>
    <t>ECS2</t>
  </si>
  <si>
    <t>SOUS1KPL-U20080-CZ-OEMSOU4</t>
  </si>
  <si>
    <t>SOUS1KPL-U20080-DE-OEMSOU4</t>
  </si>
  <si>
    <t>SOUS1KPL-U20080-DUT-OEMSOU4</t>
  </si>
  <si>
    <t>SOUS1KPL-U20080-ES-OEMSOU4</t>
  </si>
  <si>
    <t>SOUS1KPL-U20080-FR-OEMSOU4</t>
  </si>
  <si>
    <t>SOUS1KPL-U20080-HUN-OEMSOU4</t>
  </si>
  <si>
    <t>SOUS1KPL-U20080-IT-OEMSOU4</t>
  </si>
  <si>
    <t>SOUS160-741-01SOU4</t>
  </si>
  <si>
    <t>AVNS129464AVN7</t>
  </si>
  <si>
    <t>SMIS1MZ-V9P4T0B/AMSMI1</t>
  </si>
  <si>
    <t>INFS1IRF1405STRLPBFINF9</t>
  </si>
  <si>
    <t>NXPS1NT3H2211W0FHKHNXP0</t>
  </si>
  <si>
    <t>SOUS1EOLQ-161HG-40-L7DLSOU4</t>
  </si>
  <si>
    <t>AMPS1D38999/24MB35SNAMP6</t>
  </si>
  <si>
    <t>PO4417116537</t>
  </si>
  <si>
    <t>SO91137216537</t>
  </si>
  <si>
    <t>ON S1FSV20100VON 9</t>
  </si>
  <si>
    <t>POWS1INN2603K-TLPOW9</t>
  </si>
  <si>
    <t>POW9</t>
  </si>
  <si>
    <t>KEMS1C0603C103K5RACAUTOKEM5</t>
  </si>
  <si>
    <t>KEMS1C0603C271J5GACAUTOKEM5</t>
  </si>
  <si>
    <t>TE S1T92P7D14-24-02TE 8</t>
  </si>
  <si>
    <t>ON S1NJD2873T4GON 9</t>
  </si>
  <si>
    <t>KEMS1C0603C105K4RACAUTOKEM5</t>
  </si>
  <si>
    <t>KEMS1C0603C472K5RACAUTOKEM5</t>
  </si>
  <si>
    <t>KEMS1C0603X104K5RECAUTOKEM5</t>
  </si>
  <si>
    <t>ADVS1BB-2052301-001ADV8</t>
  </si>
  <si>
    <t>ADV8</t>
  </si>
  <si>
    <t>KEMS1C0603C102F1GACAUTOKEM5</t>
  </si>
  <si>
    <t>KEMS1C0603C102K5RACAUTOKEM5</t>
  </si>
  <si>
    <t>KEMS1C0603C104M5RACAUTOKEM5</t>
  </si>
  <si>
    <t>KEMS1C0603X104M5RACAUTOKEM5</t>
  </si>
  <si>
    <t>POWS1TNY284KG-TLPOW9</t>
  </si>
  <si>
    <t>SAMS1CL10B474KA8VPNCSAM0</t>
  </si>
  <si>
    <t>XILS1XCAU25P-1SFVB784IXIL6</t>
  </si>
  <si>
    <t>DIGS170001927DIG0</t>
  </si>
  <si>
    <t>DIOS1BCP5416QTADIO1</t>
  </si>
  <si>
    <t>KEMS1C0805C102K1RACAUTOKEM5</t>
  </si>
  <si>
    <t>KEMS1C1206V333KBRACTUKEM5</t>
  </si>
  <si>
    <t>DELS13000186689430DEL4</t>
  </si>
  <si>
    <t>DIOS1DMN62D0U-7DIO1</t>
  </si>
  <si>
    <t>VISS111455880-193/CERTQR122VIS7</t>
  </si>
  <si>
    <t>VISS1MBR30H60CT-E3/45VIS0</t>
  </si>
  <si>
    <t>GOLS1CP-P0606-AH GRP A SUCGOL2</t>
  </si>
  <si>
    <t>GOLS1CP-P0606-AHGOL2</t>
  </si>
  <si>
    <t>MICS1ATMEGA640V-8AURMIC0</t>
  </si>
  <si>
    <t>AMPS1D38999/20FC4PNAMP7</t>
  </si>
  <si>
    <t>AMPS1D38999/20FG35SNAMP7</t>
  </si>
  <si>
    <t>AMPS1D38999/26FE35PNAMP7</t>
  </si>
  <si>
    <t>OMRS1B3FS-1012POMR6</t>
  </si>
  <si>
    <t>DIOS1SBR140S1FQ-7DIO1</t>
  </si>
  <si>
    <t>INFS1IRFTS9342TRPBFINF9</t>
  </si>
  <si>
    <t>KEMS1C0402C104K4RACTUKEM5</t>
  </si>
  <si>
    <t>STMS1M24C02-RMC6TGSTM6</t>
  </si>
  <si>
    <t>OSRS1BPW 34 FS-ZOSR4</t>
  </si>
  <si>
    <t>DIOS1BAV99W-7-FDIO1</t>
  </si>
  <si>
    <t>MPSS1MP24833-AGN-ZMPS5</t>
  </si>
  <si>
    <t>XILS1EK-U1-ZCU104-GXIL5</t>
  </si>
  <si>
    <t>TAIS1JMK325BJ107MY-TTAI1</t>
  </si>
  <si>
    <t>BOUS1SRN6045-101MBOU5</t>
  </si>
  <si>
    <t>MOLS143031-0003MOL9</t>
  </si>
  <si>
    <t>MICS1LAN7500I-ABZJ-TRMIC4</t>
  </si>
  <si>
    <t>XILS1HW-FMC-XM105-GXIL5</t>
  </si>
  <si>
    <t>ALLS1MT40A512M16TD-062E:RALL5</t>
  </si>
  <si>
    <t>ODUS1167-010-000-301-001ODU2</t>
  </si>
  <si>
    <t>ODU2</t>
  </si>
  <si>
    <t>TE S1292174-4TE 6</t>
  </si>
  <si>
    <t>MOLS139880-0305MOL9</t>
  </si>
  <si>
    <t>NXPS1PCA9575PW2,118NXP0</t>
  </si>
  <si>
    <t>NXPS1AFT05MS031GNR1NXP0</t>
  </si>
  <si>
    <t>MURS1GQM1875C2E4R7CB12DMUR8</t>
  </si>
  <si>
    <t>MURS1BLM18KG601SN1DMUR8</t>
  </si>
  <si>
    <t>MICS1MPF200TS-1FCSG536IMIC0</t>
  </si>
  <si>
    <t>DIOS1ZXCT1009FTADIO1</t>
  </si>
  <si>
    <t>AAVS1NP975367-04AAV7</t>
  </si>
  <si>
    <t>NXPS1PS-SUPPORT-050NXP0</t>
  </si>
  <si>
    <t>SYNS1VPX-3U-DC48P-001-MC2SYN1</t>
  </si>
  <si>
    <t>SYN1</t>
  </si>
  <si>
    <t>AVXS1H8000090 SLDR SAMAVX0</t>
  </si>
  <si>
    <t>AVXS1H8000090-279 RYAVX0</t>
  </si>
  <si>
    <t>AVXS106033A120J4T2AAVX0</t>
  </si>
  <si>
    <t>MICS1MCP9700AT-E/LTMIC4</t>
  </si>
  <si>
    <t>LENS17Y37S1L200LEN6</t>
  </si>
  <si>
    <t>OSRS1GH CSSRM6.24-VAA3-1-1OSR4</t>
  </si>
  <si>
    <t>INTS1CM8064601561214S R1QNINT0</t>
  </si>
  <si>
    <t>MICS1MCP9700T-E/LTMIC4</t>
  </si>
  <si>
    <t>CENS1CEN1169 TR PBFREECEN3</t>
  </si>
  <si>
    <t>LENS14XB7A82260LEN6</t>
  </si>
  <si>
    <t>STMS1SM6T36CAYSTM6</t>
  </si>
  <si>
    <t>SAMS1ASP-32521-01SAM2</t>
  </si>
  <si>
    <t>SMIS1652705SMI1</t>
  </si>
  <si>
    <t>DIOS1DMN2056U-7DIO1</t>
  </si>
  <si>
    <t>KONS138116-0000-00-5KON9</t>
  </si>
  <si>
    <t>STMS1P0102MN 5AA4STM6</t>
  </si>
  <si>
    <t>AVNS124841AVN7</t>
  </si>
  <si>
    <t>DIOS1AP3012KTR-E1DIO1</t>
  </si>
  <si>
    <t>ITTS1078426-0000ITT0</t>
  </si>
  <si>
    <t>ISSS1IS62WV1288BLL-55TLIISS3</t>
  </si>
  <si>
    <t>RENS1HI3-0548-5ZREN1</t>
  </si>
  <si>
    <t>DIOS1SDA004-7DIO1</t>
  </si>
  <si>
    <t>INFS1IRLML6344TRPBFINF9</t>
  </si>
  <si>
    <t>OMES1TL-E-170-10OME6</t>
  </si>
  <si>
    <t>MICS1JANTX1N4942MIC6</t>
  </si>
  <si>
    <t>RF3S1B39232B2646P810RF38</t>
  </si>
  <si>
    <t>MOLS1105307-1205MOL9</t>
  </si>
  <si>
    <t>TE S1ATUM-9/3-0-STKTE 9</t>
  </si>
  <si>
    <t>MOLS115167-0722MOL9</t>
  </si>
  <si>
    <t>YAGS1AC0402FR-0710KLYAG5</t>
  </si>
  <si>
    <t>ON S1SBC807-25WT1GON 9</t>
  </si>
  <si>
    <t>RF3S1B39232B2649P810RF38</t>
  </si>
  <si>
    <t>ISSS1IS25LP032D-JTLA3-TRISS3</t>
  </si>
  <si>
    <t>AVXS1M49470X01825KBN ARCH DATAAVX0</t>
  </si>
  <si>
    <t>AVXS1M49470X01825KBNAVX0</t>
  </si>
  <si>
    <t>MICS1SY89833LMG-TRMIC4</t>
  </si>
  <si>
    <t>VISS1VS-15MQ040-M3/5ATVIS0</t>
  </si>
  <si>
    <t>LENS14F17A82884LEN6</t>
  </si>
  <si>
    <t>LENS14XH7A82902LEN6</t>
  </si>
  <si>
    <t>MOLS153476-0410MOL9</t>
  </si>
  <si>
    <t>SAMS1CL31B225KCHSNNFSAM0</t>
  </si>
  <si>
    <t>RENS1525R-02ILFTREN4</t>
  </si>
  <si>
    <t>MICS1MPF200TLS-FCSG325IMIC0</t>
  </si>
  <si>
    <t>AVXS108055C104KAT2AAVX0</t>
  </si>
  <si>
    <t>AVNS131251AVN7</t>
  </si>
  <si>
    <t>MICS1TNA-00028-10PKMIC6</t>
  </si>
  <si>
    <t>MOLS1502352-0500MOL9</t>
  </si>
  <si>
    <t>VISS1VJ0603D101FXPAJVIS1</t>
  </si>
  <si>
    <t>VIS1</t>
  </si>
  <si>
    <t>VISS1VJ0603D220FXPAJVIS1</t>
  </si>
  <si>
    <t>VISS1WSC2515243R0FTAVIS7</t>
  </si>
  <si>
    <t>INFS1FS01MR08A8MA2LMCHPSA1INF9</t>
  </si>
  <si>
    <t>ITTS1D110551ITT8</t>
  </si>
  <si>
    <t>ITT8</t>
  </si>
  <si>
    <t>VISS1M55342H12B10D0RT0VIS7</t>
  </si>
  <si>
    <t>AVIS1AES-ZU7EV-1-SOM-I-GAVI7</t>
  </si>
  <si>
    <t>AVI7</t>
  </si>
  <si>
    <t>MICS1MTC10C1084S1TC56BD1MIC0</t>
  </si>
  <si>
    <t>BOUS1SRF4532-510YBOU5</t>
  </si>
  <si>
    <t>MICS1MCP1790T-3302E/DBMIC4</t>
  </si>
  <si>
    <t>AMPS1D38999/26SE26SNAMP7</t>
  </si>
  <si>
    <t>NXPS1AFV121KGSR5NXP0</t>
  </si>
  <si>
    <t>AVIS1AES-ZUEV-CC-GAVI7</t>
  </si>
  <si>
    <t>AVXS106033C104KAT2AAVX0</t>
  </si>
  <si>
    <t>XILS1DS-XPA-150KXIL5</t>
  </si>
  <si>
    <t>SCHS1PNET1GBSCH7</t>
  </si>
  <si>
    <t>CYPS1FDC2512CYP7</t>
  </si>
  <si>
    <t>MURS1GJM1555C1H120JB01DMUR8</t>
  </si>
  <si>
    <t>ON S119309-900-NREON 9</t>
  </si>
  <si>
    <t>AVNS131028AVN7</t>
  </si>
  <si>
    <t>SAMS191140-506-11/TEST REPORTSAM2</t>
  </si>
  <si>
    <t>SAMS191140-506-11SAM2</t>
  </si>
  <si>
    <t>ON S1FDV303NON 9</t>
  </si>
  <si>
    <t>XILS1DS-XPA-50KXIL5</t>
  </si>
  <si>
    <t>GLES1891-013-51SA1-BRSTGLE0</t>
  </si>
  <si>
    <t>VISS1TR3E227K016C0100VIS9</t>
  </si>
  <si>
    <t>KONS136099-0000-99-4KON9</t>
  </si>
  <si>
    <t>ON S1MMBZ5231BLT1GON 9</t>
  </si>
  <si>
    <t>RADS17512-2212-007RAD1</t>
  </si>
  <si>
    <t>BELS10ZCG0010FF2CBEL5</t>
  </si>
  <si>
    <t>XILS1EFR-DI-TEMAC-SITEXIL5</t>
  </si>
  <si>
    <t>VISS1VJ0402D1R3VXCAJVIS1</t>
  </si>
  <si>
    <t>MOLS176825-0004MOL4</t>
  </si>
  <si>
    <t>YAGS1AC0201FR-071K8LYAG5</t>
  </si>
  <si>
    <t>MICS1AT89C51RD2-SLRUMMIC0</t>
  </si>
  <si>
    <t>ADVS1BB-2052300-001ADV8</t>
  </si>
  <si>
    <t>ADVS1BB-2052300-002ADV8</t>
  </si>
  <si>
    <t>MOLS119070-0137MOL9</t>
  </si>
  <si>
    <t>AMPS1MUSBRA111R07AMP1</t>
  </si>
  <si>
    <t>TAOS1CGIP.25.4.A.02TAO9</t>
  </si>
  <si>
    <t>TAO9</t>
  </si>
  <si>
    <t>XILS1EK-VEK385-PP-GXIL5</t>
  </si>
  <si>
    <t>MARS188E1111-B2-BAB2I000MAR1</t>
  </si>
  <si>
    <t>VISS1RNC55H2210FSB14VIS7</t>
  </si>
  <si>
    <t>MOLS174057-8504MOL9</t>
  </si>
  <si>
    <t>MOLS174058-8514MOL9</t>
  </si>
  <si>
    <t>MOLS174059-8524MOL9</t>
  </si>
  <si>
    <t>KONS138017-0000-00-5KON9</t>
  </si>
  <si>
    <t>CTSS1206-8STCTS9</t>
  </si>
  <si>
    <t>SAMS1CLT-106-02-H-D-BE-A-PSAM2</t>
  </si>
  <si>
    <t>CTSS1219S0080CTS9</t>
  </si>
  <si>
    <t>DIOS1SMAJ5.0A-13-FDIO1</t>
  </si>
  <si>
    <t>ON S1FCH072N60FON 9</t>
  </si>
  <si>
    <t>TAIS1TMK212ABJ475KG-TTAI1</t>
  </si>
  <si>
    <t>STAS1RSMF1JT68R0STA8</t>
  </si>
  <si>
    <t>KEMS1CDR31BP561AKUSKEM5</t>
  </si>
  <si>
    <t>VISS1M55342H12B2E49RWSVIS7</t>
  </si>
  <si>
    <t>VISS1EGN10215R0FB128 BUBBLE/COCVIS7</t>
  </si>
  <si>
    <t>VISS1EGN10215R0FB128VIS7</t>
  </si>
  <si>
    <t>MICS124LC512T-I/SMMIC4</t>
  </si>
  <si>
    <t>KEMS1T495X686K025ATE200KEM5</t>
  </si>
  <si>
    <t>PANS1ERJ-2RKF1002XPAN4</t>
  </si>
  <si>
    <t>PANS1ERJ-2RKF5231XPAN4</t>
  </si>
  <si>
    <t>KEMS1C1206C104KARACTUKEM5</t>
  </si>
  <si>
    <t>AMPS1BK4SRL22129BZN-B1AMP7</t>
  </si>
  <si>
    <t>INFS1JANTX2N7228INF0</t>
  </si>
  <si>
    <t>SAMS1DW-12-13-G-S-750-LLSAM2</t>
  </si>
  <si>
    <t>PANS1ERJ-14YJ200UPAN0</t>
  </si>
  <si>
    <t>AVXS10402ZC102KAT2AAVX0</t>
  </si>
  <si>
    <t>AVXS1CK05BX102KTR1AVX0</t>
  </si>
  <si>
    <t>LAIS1LI0402C221R-10LAI7</t>
  </si>
  <si>
    <t>ITTS1DPX2MB-57P57P-34B-00ITT0</t>
  </si>
  <si>
    <t>STMS1ST-LINK/V2STM6</t>
  </si>
  <si>
    <t>AVXS11206GC102KAT1AAVX0</t>
  </si>
  <si>
    <t>XILS1EF-VIVADO-ENTER-NLXIL5</t>
  </si>
  <si>
    <t>DIOS1S1M-13-FDIO1</t>
  </si>
  <si>
    <t>ON S1MMBT5551LT1GON 9</t>
  </si>
  <si>
    <t>KEMS1T541X337M010AH66107505KEM5</t>
  </si>
  <si>
    <t>RADS17010-1511-042RAD1</t>
  </si>
  <si>
    <t>MOLS1105164-0001MOL9</t>
  </si>
  <si>
    <t>SUPS1MBD-X11SCW-F-AM047SUP6</t>
  </si>
  <si>
    <t>MICS1MT25QU01GBBB8ESF-0AAT TRMIC0</t>
  </si>
  <si>
    <t>MICS1884-00364-100PKMIC6</t>
  </si>
  <si>
    <t>MICS1TC1232EPAMIC4</t>
  </si>
  <si>
    <t>STMS1UC3844BD1013TRSTM6</t>
  </si>
  <si>
    <t>BOUS13386H-1-105LFBOU5</t>
  </si>
  <si>
    <t>MOLS143045-0602MOL9</t>
  </si>
  <si>
    <t>OSRS1SFH 4550OSR4</t>
  </si>
  <si>
    <t>TWIS1TTZ2564CSHTTWI6</t>
  </si>
  <si>
    <t>TWI6</t>
  </si>
  <si>
    <t>VISS1CRCW060310K0FKEAVIS7</t>
  </si>
  <si>
    <t>CTSS1218-2LPSTCTS9</t>
  </si>
  <si>
    <t>GRAS176SB08STGRA0</t>
  </si>
  <si>
    <t>GRA0</t>
  </si>
  <si>
    <t>ON S1CAT24C08TDI-GT3ON 9</t>
  </si>
  <si>
    <t>SAMS1SSM-105-L-DV-BE-K-TRSAM2</t>
  </si>
  <si>
    <t>NICS1NAZT221M16V6.3X8NLBFNIC6</t>
  </si>
  <si>
    <t>PANS1ECQ-E2155KBPAN4</t>
  </si>
  <si>
    <t>MURS1DLW5BTM102SQ2LMUR8</t>
  </si>
  <si>
    <t>SOUS1ERJ-1GNJ472CSOU4</t>
  </si>
  <si>
    <t>MICS1MT25QL128ABA8E12-0SIT TRMIC0</t>
  </si>
  <si>
    <t>INFS188Q5151-D0-DGH2A000-P123/SAMPLEINF9</t>
  </si>
  <si>
    <t>BELS10685T5000-01BEL7</t>
  </si>
  <si>
    <t>GOLS11008LS-472XJLCGOL2</t>
  </si>
  <si>
    <t>MICS124AA16T-I/STMIC4</t>
  </si>
  <si>
    <t>SAMS1TSM-103-01-L-SV-P-TRSAM2</t>
  </si>
  <si>
    <t>MURS1GRM188R71A225KE15DMUR8</t>
  </si>
  <si>
    <t>ON S1MISCCHGBAAON 9</t>
  </si>
  <si>
    <t>STAS1RNCF0201DTE100RSTA8</t>
  </si>
  <si>
    <t>AVXS1709176001422006AVX0</t>
  </si>
  <si>
    <t>AVXS1M49470Q01395KEN GRPA DTAAVX0</t>
  </si>
  <si>
    <t>AVXS1M49470Q01395KEN SLDR SAMAVX0</t>
  </si>
  <si>
    <t>AVXS1M49470Q01395KENAVX0</t>
  </si>
  <si>
    <t>MPSS1MPF52000GRE-0013-AEC2-ZMPS5</t>
  </si>
  <si>
    <t>MOLS138724-4908MOL9</t>
  </si>
  <si>
    <t>SAMS1CL10B104KC8NNNCSAM0</t>
  </si>
  <si>
    <t>YAGS1AC0402JR-070RLYAG5</t>
  </si>
  <si>
    <t>KEMS1EDT107M035S9MAAKEM5</t>
  </si>
  <si>
    <t>AVAS1HLMP-P505-G0031AVA2</t>
  </si>
  <si>
    <t>TDKS1C3216X5R1H106K160ABTDK9</t>
  </si>
  <si>
    <t>AVXS13640AC104KAV00JAVX0</t>
  </si>
  <si>
    <t>AVAS1247C1-1270TAVA2</t>
  </si>
  <si>
    <t>AVAS1247C1-1290TAVA2</t>
  </si>
  <si>
    <t>NXPS1MPC8270CZUUPEANXP0</t>
  </si>
  <si>
    <t>BLAS1PWOI350649BLA4</t>
  </si>
  <si>
    <t>BLA4</t>
  </si>
  <si>
    <t>ABLS1S-8215BAB-K8T2UABL6</t>
  </si>
  <si>
    <t>ABLS1S-8225AAH-TCT1UABL6</t>
  </si>
  <si>
    <t>VISS1EXPEDITE CHARGEVIS7</t>
  </si>
  <si>
    <t>ON S1NSVBC114YDXV6T1GON 4</t>
  </si>
  <si>
    <t>ON 4</t>
  </si>
  <si>
    <t>RF3S1B39162B4327P810RF38</t>
  </si>
  <si>
    <t>TE S15747842-6TE 6</t>
  </si>
  <si>
    <t>DIOS1BAT54LPQ-7DIO1</t>
  </si>
  <si>
    <t>YAGS1AC0402FR-072K61LYAG5</t>
  </si>
  <si>
    <t>DIOS1DMTH4008LFDFWQ-13DIO1</t>
  </si>
  <si>
    <t>MOLS1100216-2606MOL9</t>
  </si>
  <si>
    <t>AVXS108053C104KAT2AAVX0</t>
  </si>
  <si>
    <t>AMPS171922-114LFAMP0</t>
  </si>
  <si>
    <t>AMP0</t>
  </si>
  <si>
    <t>EATS1HCM1A0805V3-220-REAT4</t>
  </si>
  <si>
    <t>ITTS1D20420-159ITT8</t>
  </si>
  <si>
    <t>MURS1NDL2415SCMUR8</t>
  </si>
  <si>
    <t>AVXS1M49470R01825KCN GRPA DTAAVX0</t>
  </si>
  <si>
    <t>AVXS1M49470R01825KCNAVX0</t>
  </si>
  <si>
    <t>KEMS1A768KS337M1ELAS019KEM5</t>
  </si>
  <si>
    <t>AVXS11210ZD476KAT2AAVX0</t>
  </si>
  <si>
    <t>RADS1R223703270RAD1</t>
  </si>
  <si>
    <t>MOLS152610-1633MOL9</t>
  </si>
  <si>
    <t>PO4419836289</t>
  </si>
  <si>
    <t>SO91149136289</t>
  </si>
  <si>
    <t>EVES191-21SUBC/S400-A6/TR10EVE1</t>
  </si>
  <si>
    <t>OMRS1G5Q-1A4-EL2-HA DC12 BY OMZOMR6</t>
  </si>
  <si>
    <t>MURS1GRM32ER60J227ME05LMUR8</t>
  </si>
  <si>
    <t>MURS1BWR-15/330-D48A-CMUR8</t>
  </si>
  <si>
    <t>RENS1SFT-M2A-SLDCREN1</t>
  </si>
  <si>
    <t>AVXS187106-027 RW GROUP A DATAAVX0</t>
  </si>
  <si>
    <t>SOUS1PM6CNSOU4</t>
  </si>
  <si>
    <t>INFS1BTS6163DAUMA1INF9</t>
  </si>
  <si>
    <t>INFS1SLS37CSAUSVQFN32XTMA4/SAMPLEINF9</t>
  </si>
  <si>
    <t>AVNS1WAREHOUSE LABOR - OVERTIMEAVN7</t>
  </si>
  <si>
    <t>GOLS1A17237-001GOL2</t>
  </si>
  <si>
    <t>KEMS1C1206C105K5RACTUKEM5</t>
  </si>
  <si>
    <t>NXPS1MRFE6VP61K25HR5NXP0</t>
  </si>
  <si>
    <t>KEMS1T493X106K050AH6110KEM5</t>
  </si>
  <si>
    <t>SAMS1CL10A475KP8NNNCSAM0</t>
  </si>
  <si>
    <t>KEMS1R82MC1470AA50JKEM5</t>
  </si>
  <si>
    <t>CENS13SMC13A TR13 PBFREECEN3</t>
  </si>
  <si>
    <t>ON S1MBR0520LT1GON 9</t>
  </si>
  <si>
    <t>ON S1SBRS8340T3GON 9</t>
  </si>
  <si>
    <t>COPS1CAS-220TBCOP1</t>
  </si>
  <si>
    <t>ON S1NXH006P120MNF2PTGON 9</t>
  </si>
  <si>
    <t>RADS180-4623-006RAD1</t>
  </si>
  <si>
    <t>INFS1BGA123N6E6327XTSA1INF9</t>
  </si>
  <si>
    <t>RENS1553MILFTREN4</t>
  </si>
  <si>
    <t>STMS1TL431AIL3TSTM6</t>
  </si>
  <si>
    <t>MICS15962-3826707MXAMIC0</t>
  </si>
  <si>
    <t>SUPS1112H-TN-OTO-15 W/O DRIVESUP6</t>
  </si>
  <si>
    <t>ON S1AR0135AT2M00XUEA0-TPBRON 9</t>
  </si>
  <si>
    <t>AVXS108055A101KAT2AAVX0</t>
  </si>
  <si>
    <t>AVXS112103C106MAT2AAVX0</t>
  </si>
  <si>
    <t>ON S1MMSZ4699T1GON 9</t>
  </si>
  <si>
    <t>KEMS13DU001-013CHWC4 GRP BKEM5</t>
  </si>
  <si>
    <t>KEMS13DU001-013CHWC4KEM5</t>
  </si>
  <si>
    <t>AVXS10603YC104KAT2AAVX0</t>
  </si>
  <si>
    <t>GOLS1179739-0001/K QA175GOL2</t>
  </si>
  <si>
    <t>GLES1BAKEOUT/DATAGLE0</t>
  </si>
  <si>
    <t>EBMS14112N/2H4EBM8</t>
  </si>
  <si>
    <t>EBM8</t>
  </si>
  <si>
    <t>VISS1TFBS4711-TR1VIS0</t>
  </si>
  <si>
    <t>EVES142-21SYGC/S530-E2/TR8EVE1</t>
  </si>
  <si>
    <t>VISS110004-18KSVIS9</t>
  </si>
  <si>
    <t>TE S1927774-3TE 6</t>
  </si>
  <si>
    <t>OSRS1LS E65F-CADA-1-1-50-R33-ZOSR4</t>
  </si>
  <si>
    <t>OSRS1LG T676-Q2R1-34-XXOSR4</t>
  </si>
  <si>
    <t>PULS1HX1188FNLTPUL5</t>
  </si>
  <si>
    <t>TAIS1EMK212BJ106KG-TTAI1</t>
  </si>
  <si>
    <t>NICS1NACZ220M50V6.3X6.3TR13FNIC6</t>
  </si>
  <si>
    <t>KEMS1M3253503E2A473KZMB T\R CHRGKEM5</t>
  </si>
  <si>
    <t>KEMS1M3253503E2A473KZMB7189KEM5</t>
  </si>
  <si>
    <t>VISS111455880-240 REV FVIS7</t>
  </si>
  <si>
    <t>VISS111455880-240/GRPAVIS7</t>
  </si>
  <si>
    <t>AVXS1TPSD227M010R0150AVX0</t>
  </si>
  <si>
    <t>ON S1NSVBAT54SWT1GON 9</t>
  </si>
  <si>
    <t>FUTS1ELI70-CRFUT7</t>
  </si>
  <si>
    <t>FUT7</t>
  </si>
  <si>
    <t>VISS1CRCW0402301KFKTDVIS7</t>
  </si>
  <si>
    <t>ABLS1S-1000N19-M5T1GABL6</t>
  </si>
  <si>
    <t>SUPS1112H-TN-OTO-21SUP6</t>
  </si>
  <si>
    <t>MOLS174059-8514MOL9</t>
  </si>
  <si>
    <t>KEMS1A768EB476M1ELAS042KEM5</t>
  </si>
  <si>
    <t>RF3S1B39232B3442U410RF38</t>
  </si>
  <si>
    <t>GLES1171-001-6NS-P2CL-634AGLE0</t>
  </si>
  <si>
    <t>GLES1NASA/SCREENINGGLE0</t>
  </si>
  <si>
    <t>RF3S1B39232B3404U410RF38</t>
  </si>
  <si>
    <t>DIOS1B340-13-93-FDIO1</t>
  </si>
  <si>
    <t>MURS1NL_99830-02027MUR8</t>
  </si>
  <si>
    <t>MURS1NL_99842-74761MUR8</t>
  </si>
  <si>
    <t>MURS1NL_99875-61035MUR8</t>
  </si>
  <si>
    <t>MURS1NL_99875-61045MUR8</t>
  </si>
  <si>
    <t>MURS1NL_99875-61051MUR8</t>
  </si>
  <si>
    <t>MURS1NL_99875-72251MUR8</t>
  </si>
  <si>
    <t>VISS111455880-68 REV FVIS7</t>
  </si>
  <si>
    <t>VISS111455880-68/CERTQR122VIS7</t>
  </si>
  <si>
    <t>BELS10826-1A1T-23-FBEL7</t>
  </si>
  <si>
    <t>GLES1171-001-6NS-P1CL-634AGLE0</t>
  </si>
  <si>
    <t>DIOS1DMP4013LFGQ-13DIO1</t>
  </si>
  <si>
    <t>DIOS1BSS138-7-FDIO1</t>
  </si>
  <si>
    <t>QORS1QPC1230QTR13QOR0</t>
  </si>
  <si>
    <t>TE S1103906-2TE 6</t>
  </si>
  <si>
    <t>PANS1TLRP3A20DR040FTEPAN0</t>
  </si>
  <si>
    <t>MICS1MT41K128M16JT-125 IT:K TRMIC0</t>
  </si>
  <si>
    <t>STMS1LM224PTSTM6</t>
  </si>
  <si>
    <t>SUPS1AS -1014S-WTRT-OTO-80SUP6</t>
  </si>
  <si>
    <t>CTSS1218-10LPSTRCTS9</t>
  </si>
  <si>
    <t>HEWS1MCX631102AN-ADATHEW7</t>
  </si>
  <si>
    <t>GLES1GMR7580-51S2BRN-429AGLE0</t>
  </si>
  <si>
    <t>SAMS1SSW-106-06-T-SSAM2</t>
  </si>
  <si>
    <t>MURS1GRM0335C1H1R1BA01DMUR8</t>
  </si>
  <si>
    <t>MOLS1207054-5948MOL9</t>
  </si>
  <si>
    <t>STMS1STT3P2UH7STM6</t>
  </si>
  <si>
    <t>DIOS1FZT692BQTADIO1</t>
  </si>
  <si>
    <t>INFS1IRLML6401TRPBFINF9</t>
  </si>
  <si>
    <t>DELS1CE08TQJGS-F2000-DDEL9</t>
  </si>
  <si>
    <t>DEL9</t>
  </si>
  <si>
    <t>MICS1JANTXV1N5806USMIC7</t>
  </si>
  <si>
    <t>LITS1LTL1CHKRKNNLIT5</t>
  </si>
  <si>
    <t>TAIS1LMK212BJ475KD-TTAI1</t>
  </si>
  <si>
    <t>AVXS1TPSE476K035R0250AVX0</t>
  </si>
  <si>
    <t>AMPS1ZZL-4020-36LTAMP9</t>
  </si>
  <si>
    <t>NEXS1PMEG045T050EPDZNEX4</t>
  </si>
  <si>
    <t>MICS1MT29F4G08ABADAH4-IT:D TRMIC0</t>
  </si>
  <si>
    <t>MICS1AT91SAM7SE256B-AUMIC0</t>
  </si>
  <si>
    <t>VISS1IRFBE30PBFVIS0</t>
  </si>
  <si>
    <t>DIOS1FL2400068DIO1</t>
  </si>
  <si>
    <t>MOLS1503480-2000MOL9</t>
  </si>
  <si>
    <t>XILS1XC4VLX40-12FF668CXIL6</t>
  </si>
  <si>
    <t>VISS1CRCW08051R00FKEAVIS7</t>
  </si>
  <si>
    <t>VISS1TCLT1018VIS0</t>
  </si>
  <si>
    <t>KEMS100871-2106-1700 FAIKEM5</t>
  </si>
  <si>
    <t>KEMS100871-2106-1700 REV CKEM5</t>
  </si>
  <si>
    <t>KEMS100871-2106-0800 FAIKEM5</t>
  </si>
  <si>
    <t>KEMS100871-2106-0800 REV CKEM5</t>
  </si>
  <si>
    <t>KEMS100871-2106-1100 FAIKEM5</t>
  </si>
  <si>
    <t>KEMS100871-2106-1100 REV CKEM5</t>
  </si>
  <si>
    <t>AMPS1AT13-6P-BM03GRYAMP1</t>
  </si>
  <si>
    <t>EATS1KR-5R5C105-REAT4</t>
  </si>
  <si>
    <t>MOLS139-29-9023MOL9</t>
  </si>
  <si>
    <t>TE S11217754-1TE 6</t>
  </si>
  <si>
    <t>KEMS100871-2106-0900 FAIKEM5</t>
  </si>
  <si>
    <t>KEMS100871-2106-0900 REV CKEM5</t>
  </si>
  <si>
    <t>ON S1NOICPSEVG4SA-GCCON 9</t>
  </si>
  <si>
    <t>KEMS100871-2106-1900 FAIKEM5</t>
  </si>
  <si>
    <t>KEMS100871-2106-1900 REV CKEM5</t>
  </si>
  <si>
    <t>KEMS100871-2106-0700 FAIKEM5</t>
  </si>
  <si>
    <t>KEMS100871-2106-0700 REV CKEM5</t>
  </si>
  <si>
    <t>STAS1RNCF0201DTC8K06STA8</t>
  </si>
  <si>
    <t>ON S1MMSZ4696T1GON 9</t>
  </si>
  <si>
    <t>NICS1NMC0603NPO150J50TRPFNIC6</t>
  </si>
  <si>
    <t>YAGS1AC0402FR-075K6LYAG5</t>
  </si>
  <si>
    <t>AVXS11206ZC225KAT2AAVX0</t>
  </si>
  <si>
    <t>OSRS1LS M676-Q1Q2-1-ZOSR4</t>
  </si>
  <si>
    <t>ON S1MMSZ4681T1GON 9</t>
  </si>
  <si>
    <t>MURS1GRM188R61A226ME15DMUR8</t>
  </si>
  <si>
    <t>TE S1643071-4TE 6</t>
  </si>
  <si>
    <t>RENS174FCT3807AQG8REN4</t>
  </si>
  <si>
    <t>INTS1GG8067402570503S R2M2INT0</t>
  </si>
  <si>
    <t>RADS17225-1512-000RAD1</t>
  </si>
  <si>
    <t>VISS1CDR33BX104AKWSAJ-HSVIS1</t>
  </si>
  <si>
    <t>MOLS1130143-0153MOL9</t>
  </si>
  <si>
    <t>AVNS1MISC CHARGEAVN7</t>
  </si>
  <si>
    <t>TDKS1FS1406-1000-ASTDK9</t>
  </si>
  <si>
    <t>ON S1NOICPSCVG62A-GCCON 9</t>
  </si>
  <si>
    <t>XILS1XC3S400A-4FGG320IXIL5</t>
  </si>
  <si>
    <t>MACS1MX25R6435FZAIL0MAC4</t>
  </si>
  <si>
    <t>MAC4</t>
  </si>
  <si>
    <t>MOLS154104-4596MOL9</t>
  </si>
  <si>
    <t>MURS1CSTCR4M00G53-R0MUR8</t>
  </si>
  <si>
    <t>AMPS1107H151S-1M249AMP8</t>
  </si>
  <si>
    <t>U BS1EVA-M8M-0U B4</t>
  </si>
  <si>
    <t>U B4</t>
  </si>
  <si>
    <t>KEMS1T491C476M010ATKEM5</t>
  </si>
  <si>
    <t>BOUS1CAT16-473J4LFBOU5</t>
  </si>
  <si>
    <t>GRAS178YY22555SGRA0</t>
  </si>
  <si>
    <t>KEMS100871-2106-4900 FAIKEM5</t>
  </si>
  <si>
    <t>KEMS100871-2106-4900 REV BKEM5</t>
  </si>
  <si>
    <t>AVXS1SG1A1R263AAVX0</t>
  </si>
  <si>
    <t>STMS1T1235H-6TSTM6</t>
  </si>
  <si>
    <t>ON S1FDG6317NZON 9</t>
  </si>
  <si>
    <t>ADVS1100-000001910ADV4</t>
  </si>
  <si>
    <t>ADV4</t>
  </si>
  <si>
    <t>SUMS1CPFC74NP-PS02H2A20SUM7</t>
  </si>
  <si>
    <t>AVXS108056D106KAT2AAVX0</t>
  </si>
  <si>
    <t>AVXS1600L0R6BT200TAVX2</t>
  </si>
  <si>
    <t>AVX2</t>
  </si>
  <si>
    <t>AVXS1600S1R2BT250XTAVX2</t>
  </si>
  <si>
    <t>AVXS1TPME227K016R0025AVX0</t>
  </si>
  <si>
    <t>SOUS1LCLC10GA-03M/COHESITYSOU4</t>
  </si>
  <si>
    <t>SENS1100% SCREENINGSEN1</t>
  </si>
  <si>
    <t>SEN1</t>
  </si>
  <si>
    <t>SENS1SEN-6372SEN1</t>
  </si>
  <si>
    <t>AVXS112101C105KAZ2AAVX0</t>
  </si>
  <si>
    <t>AMPS1D38999/26FF35PNAMP7</t>
  </si>
  <si>
    <t>TOSS1TCK22911G,LFTOS6</t>
  </si>
  <si>
    <t>TOS6</t>
  </si>
  <si>
    <t>STMS1STB55NF06T4STM6</t>
  </si>
  <si>
    <t>MICS1MT40A1G8SA-062E IT:R TRMIC0</t>
  </si>
  <si>
    <t>MURS1GRM31CR71H475KA12LMUR8</t>
  </si>
  <si>
    <t>VISS1TSOP37438TT1VIS0</t>
  </si>
  <si>
    <t>NEXS1BC847AQAZNEX4</t>
  </si>
  <si>
    <t>AVXS112065A471KAT2AAVX0</t>
  </si>
  <si>
    <t>AVXS10603YC105KAT2AAVX0</t>
  </si>
  <si>
    <t>KEMS1C0402C222J3GACTUKEM5</t>
  </si>
  <si>
    <t>AVXS108055C103KAT2AAVX0</t>
  </si>
  <si>
    <t>AVXS10805YC224MAT2AAVX0</t>
  </si>
  <si>
    <t>MPSS1MPQ4228GRE-AEC1-ZMPS5</t>
  </si>
  <si>
    <t>KEMS1T491X226K035ATKEM5</t>
  </si>
  <si>
    <t>MICS1TCM810SVLB713MIC4</t>
  </si>
  <si>
    <t>RENS1R5F566NNHDBD#20REN3</t>
  </si>
  <si>
    <t>SMIS1KPL-U20080-FR-OEMSMI1</t>
  </si>
  <si>
    <t>SMIS1KPL-U20080-UK-OEMSMI1</t>
  </si>
  <si>
    <t>D-LS1DGS-3130-54TS-AMD-L3</t>
  </si>
  <si>
    <t>D-L3</t>
  </si>
  <si>
    <t>PANS1SMTC-AL-SPAN0</t>
  </si>
  <si>
    <t>VPTS1DATA PACKVPT9</t>
  </si>
  <si>
    <t>VPTS1JANS1N829UR-1VPT9</t>
  </si>
  <si>
    <t>AMPS171918-250LFAMP0</t>
  </si>
  <si>
    <t>ON S1FDMS86182ON 9</t>
  </si>
  <si>
    <t>NEXS12N7002BKS,115NEX4</t>
  </si>
  <si>
    <t>NEXS1BSS84AKS,115NEX4</t>
  </si>
  <si>
    <t>AMPS1D09P24B4GV00LFAMP0</t>
  </si>
  <si>
    <t>NICS1NMC0402X7R104K16TRPFNIC6</t>
  </si>
  <si>
    <t>TE S17-338069-6TE 6</t>
  </si>
  <si>
    <t>AVXS1TPSE156K050R0250AVX0</t>
  </si>
  <si>
    <t>AVXS106035U150JAT2AAVX0</t>
  </si>
  <si>
    <t>MICS1EP2-27352MIC0</t>
  </si>
  <si>
    <t>CTSS1445I23D25M00000CTS9</t>
  </si>
  <si>
    <t>DIOS174LVC1G3157DW-7DIO1</t>
  </si>
  <si>
    <t>KEMS1C1206C107M9PACTUKEM5</t>
  </si>
  <si>
    <t>MURS1GCM155R71H103KA55DMUR8</t>
  </si>
  <si>
    <t>MURS1GRM033R71A103KA01DMUR8</t>
  </si>
  <si>
    <t>PANS1ERJ-8GEY0R00VPAN4</t>
  </si>
  <si>
    <t>TAIS1EMK107ABJ475KA-TTAI1</t>
  </si>
  <si>
    <t>VISS1CRCW04022K00FKEDVIS7</t>
  </si>
  <si>
    <t>VISS1CRCW04028K06FKEDVIS7</t>
  </si>
  <si>
    <t>YAGS1RC0201FR-0710KLYAG5</t>
  </si>
  <si>
    <t>AVNS122201AVN7</t>
  </si>
  <si>
    <t>AVNS122213AVN7</t>
  </si>
  <si>
    <t>TELS1SQ24D25TEL6</t>
  </si>
  <si>
    <t>TEL6</t>
  </si>
  <si>
    <t>MICS1TC54VN3002ECB713MIC4</t>
  </si>
  <si>
    <t>INTS1GGNOCPU05016100S RLGEINT0</t>
  </si>
  <si>
    <t>INRS1TL1553-45INR7</t>
  </si>
  <si>
    <t>INR7</t>
  </si>
  <si>
    <t>PANS1BAS70-05-7-FPAN0</t>
  </si>
  <si>
    <t>TDKS1C2012X5R1V226M125ACTDK9</t>
  </si>
  <si>
    <t>AVAS1APDS-9306-065AVA2</t>
  </si>
  <si>
    <t>SAMS1TFM-125-02-S-D-ASAM2</t>
  </si>
  <si>
    <t>AVXS1AS0814N7GTRAVX0</t>
  </si>
  <si>
    <t>INFS1IGLT65R110B2AUMA1INF9</t>
  </si>
  <si>
    <t>ABRS1AMDLA1707S-220MTABR1</t>
  </si>
  <si>
    <t>MICS1MT29F2G08ABAEAWP:EMIC0</t>
  </si>
  <si>
    <t>DIOS1FZT753QTADIO1</t>
  </si>
  <si>
    <t>CTSS1219-2MSTRCTS9</t>
  </si>
  <si>
    <t>ON S11SMB5913BT3GON 9</t>
  </si>
  <si>
    <t>SOUS1CD8067303536100SSOU0</t>
  </si>
  <si>
    <t>SOU0</t>
  </si>
  <si>
    <t>AVXS1TAJC106K016RNJAVX0</t>
  </si>
  <si>
    <t>STAS1RMCF0402JT2M20STA8</t>
  </si>
  <si>
    <t>EATS1KR-5R5H105-REAT4</t>
  </si>
  <si>
    <t>TOSS1TLP383(D4BLLTL,ETOS6</t>
  </si>
  <si>
    <t>KINS1SKC600/2048GKIN2</t>
  </si>
  <si>
    <t>KIN2</t>
  </si>
  <si>
    <t>TELS1ER412DYM-12BTEL6</t>
  </si>
  <si>
    <t>ON S1SZNUP3105LT1GON 9</t>
  </si>
  <si>
    <t>INFS1Q6223-B0-WT170AA-A000/SAMPLEINF9</t>
  </si>
  <si>
    <t>MICS1MT40A512M16TB-062E IT:R TRMIC0</t>
  </si>
  <si>
    <t>MPSS1MPQ4313GRE-33-AEC1-C01U-ZMPS5</t>
  </si>
  <si>
    <t>AVAS1HEDS-9100-A00AVA2</t>
  </si>
  <si>
    <t>AVXS112061Z475KAT2AAVX0</t>
  </si>
  <si>
    <t>NORS1NRF52810-QFAA-R7NOR7</t>
  </si>
  <si>
    <t>NOR7</t>
  </si>
  <si>
    <t>SYNS1SYN-9178SYN1</t>
  </si>
  <si>
    <t>RENS15PB1104CMGI8REN4</t>
  </si>
  <si>
    <t>VISS1M55342E06B825ASTI_GRP_A_DATAVIS7</t>
  </si>
  <si>
    <t>VISS1M55342E06B825ASTIVIS7</t>
  </si>
  <si>
    <t>VISS1CRCW0402150KFKEDVIS7</t>
  </si>
  <si>
    <t>ON S1MURS120T3GON 9</t>
  </si>
  <si>
    <t>ON S1BAV70LT1GON 9</t>
  </si>
  <si>
    <t>AVXS1W3A4YC104K4T2AAVX0</t>
  </si>
  <si>
    <t>AMPS1M12A-08PFFS-SF8001AMP1</t>
  </si>
  <si>
    <t>WESS1SDSDAF3-032G-IWES6</t>
  </si>
  <si>
    <t>WES6</t>
  </si>
  <si>
    <t>MPSS1MPC61011-220-CFA2-TMPS5</t>
  </si>
  <si>
    <t>INFS1JANSR2N7503U8INF0</t>
  </si>
  <si>
    <t>SAMS1CL31B105KOFNNNESAM0</t>
  </si>
  <si>
    <t>TE S15-747908-2TE 6</t>
  </si>
  <si>
    <t>TE S160960-3TE 6</t>
  </si>
  <si>
    <t>BITS1AV-870P-0001BIT9</t>
  </si>
  <si>
    <t>SCHS14301.1014.02SCH0</t>
  </si>
  <si>
    <t>VISS1M39003/01-7111VIS9</t>
  </si>
  <si>
    <t>MICS1JANS1N5806US/TRMIC7</t>
  </si>
  <si>
    <t>VISS1RWR84SR100FPB12VIS7</t>
  </si>
  <si>
    <t>KEMS1C0603C471J5GACTUKEM5</t>
  </si>
  <si>
    <t>ON S1STZD3155CT1GON 9</t>
  </si>
  <si>
    <t>MICS1JANS1N6103US DATAPACKMIC6</t>
  </si>
  <si>
    <t>MICS1JANS1N6103USMIC6</t>
  </si>
  <si>
    <t>AVXS1CCR06CG123FPVAVX0</t>
  </si>
  <si>
    <t>CTSS1405I35A14M40000CTS9</t>
  </si>
  <si>
    <t>ON S1LM393DR2GON 9</t>
  </si>
  <si>
    <t>CTSS1219-5LPSTRCTS9</t>
  </si>
  <si>
    <t>MURS1GRM1885C2A471JA01DMUR8</t>
  </si>
  <si>
    <t>LAIS1MM0787-200LAI7</t>
  </si>
  <si>
    <t>CTSS1204-211STRCTS9</t>
  </si>
  <si>
    <t>RENS1R5F5630DCDFC#V0REN3</t>
  </si>
  <si>
    <t>RENS1R5F5651EHDBG#20REN3</t>
  </si>
  <si>
    <t>KEMS100871-2106-2100 FAIKEM5</t>
  </si>
  <si>
    <t>KEMS100871-2106-2100 REV CKEM5</t>
  </si>
  <si>
    <t>CTSS1219-4LPSTCTS9</t>
  </si>
  <si>
    <t>BOUS1CHV1206-FX-1004ELFBOU5</t>
  </si>
  <si>
    <t>STMS1HSP061-4NY8STM6</t>
  </si>
  <si>
    <t>MURS1GRM155C80J475MEAADMUR8</t>
  </si>
  <si>
    <t>DIOS1MMSZ5232BSQ-7-FDIO1</t>
  </si>
  <si>
    <t>MURS1GRM188R60J106ME47DMUR8</t>
  </si>
  <si>
    <t>BOUS1GDT25-75-S1-RPBOU5</t>
  </si>
  <si>
    <t>STAS1RWT2AJB4R70STA8</t>
  </si>
  <si>
    <t>ARTS1MVME6100-0163R-CCART4</t>
  </si>
  <si>
    <t>ART4</t>
  </si>
  <si>
    <t>DIOS1BZT52C6V2TQ-13-FDIO1</t>
  </si>
  <si>
    <t>AVAS15962-8876901XAAVA2</t>
  </si>
  <si>
    <t>SMIS1FEE-SMHSMI1</t>
  </si>
  <si>
    <t>DIOS1MMBT2222A-7-FDIO1</t>
  </si>
  <si>
    <t>SAMS1SSW-107-01-T-DSAM2</t>
  </si>
  <si>
    <t>STAS1RMCF0402FT1M00STA8</t>
  </si>
  <si>
    <t>STAS1RMCF0402FT53K6STA8</t>
  </si>
  <si>
    <t>SOUS1NRE FEESOU4</t>
  </si>
  <si>
    <t>DIOS1BZT52C13TQ-7-FDIO1</t>
  </si>
  <si>
    <t>ON S1STK541UC62K-EON 9</t>
  </si>
  <si>
    <t>STMS1Z0103MN 5AA4STM6</t>
  </si>
  <si>
    <t>AVAS1HSMS-C190AVA2</t>
  </si>
  <si>
    <t>DIOS1BAV199Q-7-FDIO1</t>
  </si>
  <si>
    <t>VISS1TNPW060312K7BEEAVIS7</t>
  </si>
  <si>
    <t>VISS1IRF820PBFVIS0</t>
  </si>
  <si>
    <t>MICS1JANTX1N6761UR-1/TRMIC7</t>
  </si>
  <si>
    <t>SAMS1RSP-160060-02SAM2</t>
  </si>
  <si>
    <t>MICS15962-0720102MLAMIC0</t>
  </si>
  <si>
    <t>LUMS1SFT-25R-WG57-AV2-F3HMB1LUM4</t>
  </si>
  <si>
    <t>LUM4</t>
  </si>
  <si>
    <t>EATS1LPJ-250SPEAT4</t>
  </si>
  <si>
    <t>STAS1RMCF1206JT1M50STA8</t>
  </si>
  <si>
    <t>ON S1MMSZ5261BT1GON 9</t>
  </si>
  <si>
    <t>MURS1GRM188R71C224KA01DMUR8</t>
  </si>
  <si>
    <t>INFS1IRFR6215TRLPBFINF9</t>
  </si>
  <si>
    <t>MOLS190130-3208MOL9</t>
  </si>
  <si>
    <t>VISS1RS0052R500BE73VIS7</t>
  </si>
  <si>
    <t>TE S1770065-1TE 6</t>
  </si>
  <si>
    <t>MICS124LC256T-I/SNMIC4</t>
  </si>
  <si>
    <t>AVXS1TBME336K035LRLC90GC DPAAVX0</t>
  </si>
  <si>
    <t>AVXS1TBME336K035LRLC90GCAVX0</t>
  </si>
  <si>
    <t>AMPS1ELFH20240AMP2</t>
  </si>
  <si>
    <t>AMP2</t>
  </si>
  <si>
    <t>VISS1CRCW0402475KFKTDVIS7</t>
  </si>
  <si>
    <t>MOLS1505110-1592MOL4</t>
  </si>
  <si>
    <t>TE S1WCP2400SQ1-17UFLTE 4</t>
  </si>
  <si>
    <t>NXPS1PCA9515AD,118NXP0</t>
  </si>
  <si>
    <t>AAES1MIX-Q370A1-A12-4L-210FTAAE3</t>
  </si>
  <si>
    <t>AAE3</t>
  </si>
  <si>
    <t>STMS1ST25R3914-AQWTSTM6</t>
  </si>
  <si>
    <t>KEMS1M3253502E1Z102JZMB TR CHRGKEM5</t>
  </si>
  <si>
    <t>KEMS1M3253502E1Z102JZMB7189KEM5</t>
  </si>
  <si>
    <t>KEMS1M3253502E2Y151JZMB TR CHRGKEM5</t>
  </si>
  <si>
    <t>KEMS1M3253502E2Y151JZMB7189KEM5</t>
  </si>
  <si>
    <t>XILS1XCZU9EG-2FFVB1156I4560XIL0</t>
  </si>
  <si>
    <t>BOUS1CR2512-JW-362ELFBOU5</t>
  </si>
  <si>
    <t>BOUS1MF-SM030-2BOU5</t>
  </si>
  <si>
    <t>BOUS1MH3261-601YBOU5</t>
  </si>
  <si>
    <t>MURS1GRM033R71C103KE14DMUR8</t>
  </si>
  <si>
    <t>MURS1GRM155R71C223KA01DMUR8</t>
  </si>
  <si>
    <t>INFS1ESD5V3U2U03FH6327XTSA1INF9</t>
  </si>
  <si>
    <t>MURS1DLW21SN900HQ2LMUR8</t>
  </si>
  <si>
    <t>STMS1STPS30L30CG-TRSTM6</t>
  </si>
  <si>
    <t>TDKS1B82792C106N365TDK1</t>
  </si>
  <si>
    <t>AVXS102016D225MAT2AAVX0</t>
  </si>
  <si>
    <t>PANS1ERJ-6GEYJ121VPAN4</t>
  </si>
  <si>
    <t>VISS1CRCW08050000Z0EAVIS7</t>
  </si>
  <si>
    <t>YAGS1CC0201KRX7R8BB103YAG5</t>
  </si>
  <si>
    <t>NXPS1MC14489BDWENXP0</t>
  </si>
  <si>
    <t>MICS1USB3503T-I/MLMIC4</t>
  </si>
  <si>
    <t>LAIS1ETC-Q412888C-00-B5LAI7</t>
  </si>
  <si>
    <t>VISS1CRCW0603332RFKEAVIS7</t>
  </si>
  <si>
    <t>ON S1NCV20074DTBR2GON 9</t>
  </si>
  <si>
    <t>MICS1HRDS-HOT_SOLDER_DIPMIC7</t>
  </si>
  <si>
    <t>MICS1JANSR2N7587U3MIC7</t>
  </si>
  <si>
    <t>AVAS1HCPL-181-00CEAVA2</t>
  </si>
  <si>
    <t>SAMS1SNT-100-BK-GSAM2</t>
  </si>
  <si>
    <t>PANS1EEE-FK2A331AMPAN4</t>
  </si>
  <si>
    <t>SAMS1CL21A475KAQNNNESAM0</t>
  </si>
  <si>
    <t>TDKS1HWS30A-24/ATDK5</t>
  </si>
  <si>
    <t>XILS1XC7Z045-2FFG676IXIL0</t>
  </si>
  <si>
    <t>DIOS1PDS560-13DIO1</t>
  </si>
  <si>
    <t>DIOS1DXTP3C60PSQ-13DIO1</t>
  </si>
  <si>
    <t>TE S12-1445094-3TE 6</t>
  </si>
  <si>
    <t>TE S13-794682-6TE 6</t>
  </si>
  <si>
    <t>AVXS108055C102JAT2AAVX0</t>
  </si>
  <si>
    <t>ON S1BAS21LT1GON 9</t>
  </si>
  <si>
    <t>RF3S1B39921B3588U410RF38</t>
  </si>
  <si>
    <t>AMPS1SJTP00RT-24-35PAMP7</t>
  </si>
  <si>
    <t>GOLS1AS3093 TR FEEGOL2</t>
  </si>
  <si>
    <t>GOLS1AS3093GOL2</t>
  </si>
  <si>
    <t>AVAS1HDSP-2112AVA2</t>
  </si>
  <si>
    <t>ITTS1025-0478-000ITT0</t>
  </si>
  <si>
    <t>MICS1EXPEDITE  CHARGEMIC4</t>
  </si>
  <si>
    <t>LEOS1237644LEO9</t>
  </si>
  <si>
    <t>LEO9</t>
  </si>
  <si>
    <t>VISS111455880-350 REV FVIS7</t>
  </si>
  <si>
    <t>VISS111455880-350/CERTQR122VIS7</t>
  </si>
  <si>
    <t>MURS1GCM32DC72A475ME02LMUR8</t>
  </si>
  <si>
    <t>MURS1GRM1885C1H102JA01DMUR8</t>
  </si>
  <si>
    <t>MURS1GRT31CR61H106KE01LMUR8</t>
  </si>
  <si>
    <t>NICS1NRC04F1102TRFNIC6</t>
  </si>
  <si>
    <t>VISS1WSC45272R370FTAVIS7</t>
  </si>
  <si>
    <t>AVNS1MC908QY8CDWEAVN7</t>
  </si>
  <si>
    <t>ON S1MC1413BDR2GON 9</t>
  </si>
  <si>
    <t>STMS1SM4T30CAYSTM6</t>
  </si>
  <si>
    <t>PO4421248322</t>
  </si>
  <si>
    <t>SO91158148322</t>
  </si>
  <si>
    <t>LITS1LTST-T680KRWT-WHLIT5</t>
  </si>
  <si>
    <t>LITS1LTW-C193DC5-PA2LIT5</t>
  </si>
  <si>
    <t>MICS1ATA663454-GDQW-V15MIC0</t>
  </si>
  <si>
    <t>AVXS108055A6R2BAT2AAVX0</t>
  </si>
  <si>
    <t>ON S11SS400T1GON 9</t>
  </si>
  <si>
    <t>AVAS1HLMP-Q105-P0031AVA2</t>
  </si>
  <si>
    <t>MOLS163444-1003MOL9</t>
  </si>
  <si>
    <t>ALPS1SSSU015100ALP2</t>
  </si>
  <si>
    <t>AVNS132036AVN7</t>
  </si>
  <si>
    <t>SOUS10805N560FW251XSOU4</t>
  </si>
  <si>
    <t>STMS1TSV912AIYSTSTM6</t>
  </si>
  <si>
    <t>DIOS174AUP2G07DW-7DIO1</t>
  </si>
  <si>
    <t>ON S1MMBT5550LT3GON 9</t>
  </si>
  <si>
    <t>MPSS1MPQ2918GLE-AEC1-C824-ZMPS5</t>
  </si>
  <si>
    <t>TELS1422KXM3-0752TEL6</t>
  </si>
  <si>
    <t>TELS1END ITEM DATA PACKAGETEL6</t>
  </si>
  <si>
    <t>COHS1FTCE3327R1CCLCOH7</t>
  </si>
  <si>
    <t>COH7</t>
  </si>
  <si>
    <t>XILS1XCKU5P-2FFVB676EXIL0</t>
  </si>
  <si>
    <t>INFS1IPA60R650CEXKSA1INF9</t>
  </si>
  <si>
    <t>MOLS1105133-0011MOL9</t>
  </si>
  <si>
    <t>MOLS143650-0216MOL9</t>
  </si>
  <si>
    <t>ON S1MMBT3904LT1GON 9</t>
  </si>
  <si>
    <t>SAMS1CL21B223KBANNNCSAM0</t>
  </si>
  <si>
    <t>TDKS1MLZ1608N1R0LT000TDK9</t>
  </si>
  <si>
    <t>VISS1BFC233860223VIS6</t>
  </si>
  <si>
    <t>YAGS1RT0603BRD073KLYAG5</t>
  </si>
  <si>
    <t>PANS1142-1701-031PAN0</t>
  </si>
  <si>
    <t>TRIS1319-2203-309TRI1</t>
  </si>
  <si>
    <t>AVXS104025U200FAT2AAVX0</t>
  </si>
  <si>
    <t>VISS1VJ0603D120GXPAJVIS1</t>
  </si>
  <si>
    <t>RENS1HS1-3182-8REN1</t>
  </si>
  <si>
    <t>KEMS1T530X337M010AHE010KEM5</t>
  </si>
  <si>
    <t>AVXS1TAJB475K025RNJAVX0</t>
  </si>
  <si>
    <t>AVXS1G311P838ACX474J2R2 G/AB TS SMPAVX0</t>
  </si>
  <si>
    <t>TAIS1AMK212BC6476MG-TTAI1</t>
  </si>
  <si>
    <t>AVXS104025C471JAT2AAVX0</t>
  </si>
  <si>
    <t>MARS1DB-88Q5192-D0-1MAR0</t>
  </si>
  <si>
    <t>SO91158600842</t>
  </si>
  <si>
    <t>XILS1XC7A75T-1FGG484CXIL0</t>
  </si>
  <si>
    <t>MICS1AT88SC6416CRF-MR2MIC0</t>
  </si>
  <si>
    <t>MPSS1MPQ9842GLE-33-AEC1-ZMPS5</t>
  </si>
  <si>
    <t>AMPS1RJFC7BAMP7</t>
  </si>
  <si>
    <t>AVIS1AES-Z7PZ-7Z015-SOM-I-G/REV-EAVI7</t>
  </si>
  <si>
    <t>ON S1NDT3055ON 9</t>
  </si>
  <si>
    <t>MICS1JANTX1N4148-1/TRMIC7</t>
  </si>
  <si>
    <t>TDKS1TFM252012ALMA3R3MTAATDK9</t>
  </si>
  <si>
    <t>TE S1M83513/02-BNTE 6</t>
  </si>
  <si>
    <t>AVAS1W1187-601809AVA6</t>
  </si>
  <si>
    <t>CTSS1219-8LPSTRCTS9</t>
  </si>
  <si>
    <t>XILS1XC7A35T-2FGG484CXIL0</t>
  </si>
  <si>
    <t>XILS1XC7A50T-1FGG484CXIL0</t>
  </si>
  <si>
    <t>ON S1NXH020U90MNF2PTGON 9</t>
  </si>
  <si>
    <t>HP S17HS99EC#ABAHP 2</t>
  </si>
  <si>
    <t>LEOS1217241LEO9</t>
  </si>
  <si>
    <t>SOUS1PH8120-5429-AVWSOU4</t>
  </si>
  <si>
    <t>TRIS1SMART1200XLHGTRI6</t>
  </si>
  <si>
    <t>NEXS1PMV65XP,215NEX4</t>
  </si>
  <si>
    <t>AVXS108055A2R7BAT2AAVX0</t>
  </si>
  <si>
    <t>TDKS1MLZ1608M100WT000TDK9</t>
  </si>
  <si>
    <t>VISS119836-506-1 BBL TST/COFC CHGVIS7</t>
  </si>
  <si>
    <t>VISS119836-506-1 REV 07VIS7</t>
  </si>
  <si>
    <t>TE S1HFW4A1201S29    COLLINSTE 6</t>
  </si>
  <si>
    <t>INFS1IPW60R070P6XKSA1INF9</t>
  </si>
  <si>
    <t>PANS122-11-2022PAN0</t>
  </si>
  <si>
    <t>AVXS104025A101KAT2AAVX0</t>
  </si>
  <si>
    <t>GOLS1DT1608C-223MLCGOL2</t>
  </si>
  <si>
    <t>TDKS1C1005X7R1C224K050BCTDK9</t>
  </si>
  <si>
    <t>SOUS1TERA-TERA5-BIS-TIANJINSOU4</t>
  </si>
  <si>
    <t>OMES1SA1-KOME6</t>
  </si>
  <si>
    <t>NXPS1S912ZVML64F3WKHRNXP0</t>
  </si>
  <si>
    <t>HP S16N6E6AAHP 2</t>
  </si>
  <si>
    <t>OMRS1XF3M(1)-2215-1BOMR6</t>
  </si>
  <si>
    <t>POJC59223954</t>
  </si>
  <si>
    <t>SO91159923954</t>
  </si>
  <si>
    <t>BOUS1RLB9012-101KLBOU5</t>
  </si>
  <si>
    <t>SAMS1CL10F104ZA8NNNDSAM0</t>
  </si>
  <si>
    <t>VISS1CRCW060310K0FKTAVIS7</t>
  </si>
  <si>
    <t>YAGS1RC0603FR-0711K5LYAG5</t>
  </si>
  <si>
    <t>NEXS174AVCH4T245GU,115NEX4</t>
  </si>
  <si>
    <t>VISS1CRCW1206330RFKEAVIS7</t>
  </si>
  <si>
    <t>PO0729274794</t>
  </si>
  <si>
    <t>SO91160174794</t>
  </si>
  <si>
    <t>AVNS112504AVN7</t>
  </si>
  <si>
    <t>AVNS122356AVN7</t>
  </si>
  <si>
    <t>AVXS10402YG104ZAT2AAVX0</t>
  </si>
  <si>
    <t>KEMS1C0805C106K8PACTUKEM5</t>
  </si>
  <si>
    <t>NICS1NPIS27H150MTRFNIC6</t>
  </si>
  <si>
    <t>SAMS1CL31A107MQHNNWESAM0</t>
  </si>
  <si>
    <t>VISS1TNPW120630K1BEEAVIS7</t>
  </si>
  <si>
    <t>KONS134003-2000-13-1GE1KON9</t>
  </si>
  <si>
    <t>GOLS12119-4721-6205GOL2</t>
  </si>
  <si>
    <t>KEMS1C0603C474K4RACTUKEM5</t>
  </si>
  <si>
    <t>OMES15SRTC-TT-T-24-120OME6</t>
  </si>
  <si>
    <t>GLES1000-01-15-163GLE0</t>
  </si>
  <si>
    <t>MOLS1146236-2123MOL9</t>
  </si>
  <si>
    <t>INFS1SLDC/JANSR2N7589U3INF0</t>
  </si>
  <si>
    <t>ON S1NCP300LSN44T1GON 9</t>
  </si>
  <si>
    <t>INFS1SLDC/JANSR2N7467U2AINF0</t>
  </si>
  <si>
    <t>SAMS1TSW-113-05-T-SSAM2</t>
  </si>
  <si>
    <t>MOLS1130304-9506MOL9</t>
  </si>
  <si>
    <t>TE S12-1625868-8TE 6</t>
  </si>
  <si>
    <t>GCXS1PH-0078-62GCX2</t>
  </si>
  <si>
    <t>GCX2</t>
  </si>
  <si>
    <t>SAMS1SMPM-PS-P-EG-ST-SM-1SAM2</t>
  </si>
  <si>
    <t>INFS1CY62167EV30LL-45BVXIINF3</t>
  </si>
  <si>
    <t>MARS1EXPEDITE FEE AUTOMOTIVEMAR0</t>
  </si>
  <si>
    <t>KEMS195158-19KHKEM5</t>
  </si>
  <si>
    <t>NXPS1PCF7937EA/C1AB5901NXP0</t>
  </si>
  <si>
    <t>MURS1GCM155R71H104KE02JMUR8</t>
  </si>
  <si>
    <t>MURS1GCM188R71E105KA64DMUR8</t>
  </si>
  <si>
    <t>TDKS1CGA6P3X7R1E226M250AETDK9</t>
  </si>
  <si>
    <t>TE S11-640250-4TE 6</t>
  </si>
  <si>
    <t>VISS110271356-226 REV G GRP A TESTVIS7</t>
  </si>
  <si>
    <t>VISS110271356-226 REV GVIS7</t>
  </si>
  <si>
    <t>PO1107565183</t>
  </si>
  <si>
    <t>SO91160765183</t>
  </si>
  <si>
    <t>MURS1GRM188R60J226MEA0DMUR8</t>
  </si>
  <si>
    <t>SOUS1MUU-00005-1PSOU4</t>
  </si>
  <si>
    <t>TAIS1LMK105BJ225MV-FTAI1</t>
  </si>
  <si>
    <t>MICS1HRDS-GROUP_A_TESTINGMIC7</t>
  </si>
  <si>
    <t>MOLS12-1376382-3MOL4</t>
  </si>
  <si>
    <t>MURS1GRM32EE70G107ME19LMUR8</t>
  </si>
  <si>
    <t>VISS1M39006/22-0620HTM0 DEST UNITSVIS9</t>
  </si>
  <si>
    <t>VISS1M39006/22-0620HTM0 LOT CHGVIS9</t>
  </si>
  <si>
    <t>VISS1M39006/22-0620HTM0VIS9</t>
  </si>
  <si>
    <t>INFS1IRLR2908TRPBFINF9</t>
  </si>
  <si>
    <t>ITTS1H373247-25 REV HITT0</t>
  </si>
  <si>
    <t>ITTS1LOT CHARGEITT0</t>
  </si>
  <si>
    <t>CONS1016160CON2</t>
  </si>
  <si>
    <t>CON2</t>
  </si>
  <si>
    <t>DIOS1ES1G-13-FDIO1</t>
  </si>
  <si>
    <t>INFS1IRFR5305TRPBFINF9</t>
  </si>
  <si>
    <t>MOLS139-30-2042MOL9</t>
  </si>
  <si>
    <t>MURS1BNX002-11MUR8</t>
  </si>
  <si>
    <t>ON S1MMBT4401LT1GON 9</t>
  </si>
  <si>
    <t>ON S1MMBT4403LT1GON 9</t>
  </si>
  <si>
    <t>STMS1ULN2804ASTM6</t>
  </si>
  <si>
    <t>YAGS1CC0805KRX7R9BB104YAG5</t>
  </si>
  <si>
    <t>KEMS1M39003/01-2306KEM5</t>
  </si>
  <si>
    <t>ON S1MUR815GON 9</t>
  </si>
  <si>
    <t>TE S1350180TE 6</t>
  </si>
  <si>
    <t>TE S14515DO-DS3BK010GPLTE 1</t>
  </si>
  <si>
    <t>TE 1</t>
  </si>
  <si>
    <t>PANS1ERJ-1GNF1003CPAN4</t>
  </si>
  <si>
    <t>DIOS12N7002W-7-FDIO1</t>
  </si>
  <si>
    <t>MICS1DSB-1002/TRMIC5</t>
  </si>
  <si>
    <t>MIC5</t>
  </si>
  <si>
    <t>MICS1DSB-1002MIC5</t>
  </si>
  <si>
    <t>MURS1GRT188R61H105KE13DMUR8</t>
  </si>
  <si>
    <t>SAMS1BM_CL21A226MAYNNNESAM0</t>
  </si>
  <si>
    <t>YAGS1RC0603FR-07499RLYAG5</t>
  </si>
  <si>
    <t>VPTS1JANS2N2907AUBVPT9</t>
  </si>
  <si>
    <t>VPTS1TAPE AND REEL CHARGEVPT9</t>
  </si>
  <si>
    <t>RADS1312061-003 REV MRAD1</t>
  </si>
  <si>
    <t>RADS1GROUP A&amp;B TEST CHARGERAD1</t>
  </si>
  <si>
    <t>ON S1MBRM140T1GON 9</t>
  </si>
  <si>
    <t>VASS1SW-U-1200VAS0</t>
  </si>
  <si>
    <t>VAS0</t>
  </si>
  <si>
    <t>AMPS1MUSBR3193M0AMP1</t>
  </si>
  <si>
    <t>ON S1SMMSD4148T1GON 9</t>
  </si>
  <si>
    <t>MOLS133471-0206MOL9</t>
  </si>
  <si>
    <t>PANS1ERJ-8ENF3161VPAN4</t>
  </si>
  <si>
    <t>TDKS1C2012X7R1H224K125AATDK9</t>
  </si>
  <si>
    <t>PO4893077110</t>
  </si>
  <si>
    <t>SO91161777110</t>
  </si>
  <si>
    <t>MOLS143045-1812MOL9</t>
  </si>
  <si>
    <t>MOLS143650-0315MOL9</t>
  </si>
  <si>
    <t>ON S1BSS123LT1GON 9</t>
  </si>
  <si>
    <t>ON S1MMSZ4684T1GON 9</t>
  </si>
  <si>
    <t>STMS1LM2901YPTSTM6</t>
  </si>
  <si>
    <t>STMS1STPS2150ASTM6</t>
  </si>
  <si>
    <t>TDKS1CGA2B3X7R1H104K050BBTDK9</t>
  </si>
  <si>
    <t>YAGS1CC0402KRX7R9BB104YAG5</t>
  </si>
  <si>
    <t>YAGS1RC0402FR-1310KLYAG5</t>
  </si>
  <si>
    <t>MOLS133482-4806MOL9</t>
  </si>
  <si>
    <t>OMRS1G7SA-2A2B DC24OMR6</t>
  </si>
  <si>
    <t>PO4951204157</t>
  </si>
  <si>
    <t>SO91161804157</t>
  </si>
  <si>
    <t>NEXS1BAS321JXNEX4</t>
  </si>
  <si>
    <t>NEXS1PESD2ETH1G-TRNEX4</t>
  </si>
  <si>
    <t>STMS1L9305EP-TRSTM6</t>
  </si>
  <si>
    <t>STMS1TSX3704IYPTSTM6</t>
  </si>
  <si>
    <t>STMS1VN9D30Q100FTRSTM6</t>
  </si>
  <si>
    <t>STMS1VN9D5D20FNTRSTM6</t>
  </si>
  <si>
    <t>VISS1CRCW0402100KFKTDVIS7</t>
  </si>
  <si>
    <t>VISS1CRCW060310K2FKTAVIS7</t>
  </si>
  <si>
    <t>VISS1CRCW060315R0FKTAVIS7</t>
  </si>
  <si>
    <t>VISS1CRCW0603240RFKTAVIS7</t>
  </si>
  <si>
    <t>VISS1FSOT5516E10R00JE7VIS7</t>
  </si>
  <si>
    <t>PANS1EXB-38V220JVPAN4</t>
  </si>
  <si>
    <t>ON S1MBRS3100T3GON 9</t>
  </si>
  <si>
    <t>INFS1SI4435DYTRPBFINF9</t>
  </si>
  <si>
    <t>STMS1TIP36CSTM6</t>
  </si>
  <si>
    <t>KEMS1C0805C225K3RACTUKEM5</t>
  </si>
  <si>
    <t>INTS1GG8067402569900S R2DQINT0</t>
  </si>
  <si>
    <t>MPSS1MPQ4263GQVE-0016AECC15C-ZMPS5</t>
  </si>
  <si>
    <t>YAGS1AT0402BRD072K49LYAG5</t>
  </si>
  <si>
    <t>TDKS1CGA2B2X7R1H682K050BATDK9</t>
  </si>
  <si>
    <t>AVNS117922AVN7</t>
  </si>
  <si>
    <t>AVNS118581AVN7</t>
  </si>
  <si>
    <t>AVNS127690AVN7</t>
  </si>
  <si>
    <t>GLES11770-4964-1GLE0</t>
  </si>
  <si>
    <t>DIOS1BAV99DW-7-FDIO1</t>
  </si>
  <si>
    <t>KEMS1C0402C102K5RACTUKEM5</t>
  </si>
  <si>
    <t>MURS1GRM219R61E225KA12DMUR8</t>
  </si>
  <si>
    <t>VISS156006021-001 DESTRUCT UNITSVIS5</t>
  </si>
  <si>
    <t>VISS156006021-001 QCIVIS5</t>
  </si>
  <si>
    <t>VISS156006021-001 REV BVIS5</t>
  </si>
  <si>
    <t>INFS1IPD600N25N3GATMA1INF9</t>
  </si>
  <si>
    <t>INFS1IPT60R016CM8XTMA1INF9</t>
  </si>
  <si>
    <t>ON S1NTMFS6H801NT1GON 9</t>
  </si>
  <si>
    <t>SMIS1SSKSV207SMI1</t>
  </si>
  <si>
    <t>SMIS1SSKSV208DESMI1</t>
  </si>
  <si>
    <t>SMIS1SSKSV208FRSMI1</t>
  </si>
  <si>
    <t>SMIS1SSKSV208ITSMI1</t>
  </si>
  <si>
    <t>VISS156006021-007 DESTRUCT UNITSVIS5</t>
  </si>
  <si>
    <t>VISS156006021-007 QCIVIS5</t>
  </si>
  <si>
    <t>VISS156006021-007 REV BVIS5</t>
  </si>
  <si>
    <t>VISS156006021-008 DESTRUCT UNITSVIS5</t>
  </si>
  <si>
    <t>VISS156006021-008 FAIVIS5</t>
  </si>
  <si>
    <t>KEMS1C0805C102J1GACAUTOKEM5</t>
  </si>
  <si>
    <t>VISS1CRCW201010K0FKEFHPVIS7</t>
  </si>
  <si>
    <t>GOLS1330408-002/K GRP A TESTGOL2</t>
  </si>
  <si>
    <t>GOLS1330408-002/KGOL2</t>
  </si>
  <si>
    <t>MURS1GCM1555C1H221JA16DMUR8</t>
  </si>
  <si>
    <t>NEXS1PMV250EPEARNEX4</t>
  </si>
  <si>
    <t>POWS1TOP222PNPOW9</t>
  </si>
  <si>
    <t>STMS1STM32F101CBT6STM6</t>
  </si>
  <si>
    <t>MICS17NQ-01793MIC0</t>
  </si>
  <si>
    <t>MOLS175710-3208MOL9</t>
  </si>
  <si>
    <t>SAMS1CL21A226MAYNNNFSAM0</t>
  </si>
  <si>
    <t>AIMS1AM6TW-2405SH30-NZAIM0</t>
  </si>
  <si>
    <t>ABRS1ABM3-8.000MHZ-D2Y-TABR1</t>
  </si>
  <si>
    <t>ON S14N35SR2MON 9</t>
  </si>
  <si>
    <t>PO201565758</t>
  </si>
  <si>
    <t>PO7570170435</t>
  </si>
  <si>
    <t>SO90117770435</t>
  </si>
  <si>
    <t>SIEM 6262</t>
  </si>
  <si>
    <t>Fuel Surcharge</t>
  </si>
  <si>
    <t>Evan Franklin</t>
  </si>
  <si>
    <t>CONT 3414</t>
  </si>
  <si>
    <t>AMI  9743</t>
  </si>
  <si>
    <t>EXTR 7032</t>
  </si>
  <si>
    <t>DN S 9221</t>
  </si>
  <si>
    <t>TECP 4337</t>
  </si>
  <si>
    <t>FLUO 0786</t>
  </si>
  <si>
    <t>SANM 4583</t>
  </si>
  <si>
    <t>N.F. 6945</t>
  </si>
  <si>
    <t>POBNKZC86236</t>
  </si>
  <si>
    <t>Chloe Marshall</t>
  </si>
  <si>
    <t>POBNKZC127465</t>
  </si>
  <si>
    <t>PO39P0267589</t>
  </si>
  <si>
    <t>SUPE 5897</t>
  </si>
  <si>
    <t>CAD  4292</t>
  </si>
  <si>
    <t>KABE 4095</t>
  </si>
  <si>
    <t>BUSE 8238</t>
  </si>
  <si>
    <t>TH E 6869</t>
  </si>
  <si>
    <t>TA I 5517</t>
  </si>
  <si>
    <t>POSI00286237</t>
  </si>
  <si>
    <t>PO39P0283664</t>
  </si>
  <si>
    <t>BOST 5916</t>
  </si>
  <si>
    <t>PAR  9927</t>
  </si>
  <si>
    <t>POMR6H455617</t>
  </si>
  <si>
    <t>HALL 0147</t>
  </si>
  <si>
    <t>PARP 9614</t>
  </si>
  <si>
    <t>ACCU 8883</t>
  </si>
  <si>
    <t>Angela Curtis</t>
  </si>
  <si>
    <t>DYNA 0644</t>
  </si>
  <si>
    <t>VALE 1335</t>
  </si>
  <si>
    <t>PO1261393593</t>
  </si>
  <si>
    <t>PO2100376263</t>
  </si>
  <si>
    <t>D.E. 2428</t>
  </si>
  <si>
    <t>PO2100354362</t>
  </si>
  <si>
    <t>PO2100300843</t>
  </si>
  <si>
    <t>PO4000007881</t>
  </si>
  <si>
    <t>Univ 0881</t>
  </si>
  <si>
    <t>INTE 0319</t>
  </si>
  <si>
    <t>AVNS1VIS440LD68-R/010274-1/B/GEAVN7</t>
  </si>
  <si>
    <t>AVNS1064-1643-00/REV.BAVN7</t>
  </si>
  <si>
    <t>AVNS140014847-MC908QY8CDWEAVN7</t>
  </si>
  <si>
    <t>AVNS1R5F563NFHDFB#10AVN7</t>
  </si>
  <si>
    <t>AVNS1R5F21386CNFP#30AVN7</t>
  </si>
  <si>
    <t>AVNS1X28HC64JIZ-12AVN7</t>
  </si>
  <si>
    <t>AVNS1NSS60601MZ4T1GAVN7</t>
  </si>
  <si>
    <t>AVNS1MC74ACT14DGAVN7</t>
  </si>
  <si>
    <t>AVNS110181-9826-020/REV.LAVN7</t>
  </si>
  <si>
    <t>AVNS1MC74ACT245DWGAVN7</t>
  </si>
  <si>
    <t>AVNS15613AVN7</t>
  </si>
  <si>
    <t>AVNS1MC74HCT244ADWGAVN7</t>
  </si>
  <si>
    <t>AVNS140013461-XC3S200AN-4FTG256IAVN7</t>
  </si>
  <si>
    <t>AVNS1MC908QY4ACDWEAVN7</t>
  </si>
  <si>
    <t>AVNS127570AVN7</t>
  </si>
  <si>
    <t>AVNS1R5F51115ADFL#1AAVN7</t>
  </si>
  <si>
    <t>AVNS1LM317BD2TGAVN7</t>
  </si>
  <si>
    <t>AVNS1HI9P0548-9ZAVN7</t>
  </si>
  <si>
    <t>AVNS1ATTINY25-20SUAVN7</t>
  </si>
  <si>
    <t>AVNS1HI9P0546-9Z96AVN7</t>
  </si>
  <si>
    <t>AVNS1006-0171-000/REV.AAVN7</t>
  </si>
  <si>
    <t>AVNS1MJB44H11GAVN7</t>
  </si>
  <si>
    <t>AVNS1W25Q128JWBIQAVN7</t>
  </si>
  <si>
    <t>AVNS1MKL28Z512VLL7AVN7</t>
  </si>
  <si>
    <t>AVNS1ATMEGA168PV-10MUAVN7</t>
  </si>
  <si>
    <t>AVNS1XC9572XL-10VQG64IAVN7</t>
  </si>
  <si>
    <t>AVNS1REN5962-8671601EA/C00-19/801/62/BOEAVN7</t>
  </si>
  <si>
    <t>AVNS1AS6C1008-55STINAVN7</t>
  </si>
  <si>
    <t>AVNS1MCF52259CAG80AVN7</t>
  </si>
  <si>
    <t>AVNS1M30620FCPGP#U5CAVN7</t>
  </si>
  <si>
    <t>AVNS1R5F564MFDDFB#11AVN7</t>
  </si>
  <si>
    <t>AVNS140014847-MM103J1FAVN7</t>
  </si>
  <si>
    <t>AVNS15962-85131013AAVN7</t>
  </si>
  <si>
    <t>AVNS1HE187021-PC28F00AP30EFAAVN7</t>
  </si>
  <si>
    <t>AVNS1MT28EW256ABA1LPC-0SITAVN7</t>
  </si>
  <si>
    <t>AVNS1INFJANTX2N6770/011130-1/C/GEAVN7</t>
  </si>
  <si>
    <t>AVNS110046032001/REV.FAVN7</t>
  </si>
  <si>
    <t>AVNS1R5F56218BDFP#V0AVN7</t>
  </si>
  <si>
    <t>AVNS1AT91SAM7S256D-AUAVN7</t>
  </si>
  <si>
    <t>AVNS1XC95144XL-10TQG144CAVN7</t>
  </si>
  <si>
    <t>AVNS1VISM32159B11TUL5/TRAVN7</t>
  </si>
  <si>
    <t>AVNS140034251-W25Q128JVSIMAVN7</t>
  </si>
  <si>
    <t>AVNS1R5F51138ADLJ#2AAVN7</t>
  </si>
  <si>
    <t>AVNS1MPC5554MZP132AVN7</t>
  </si>
  <si>
    <t>AVNS1SET UP CHARGEAVN7</t>
  </si>
  <si>
    <t>AVNS1MICMT46V32M16CY-5B IT:J/70B865895-1001/0AVN7</t>
  </si>
  <si>
    <t>AVNS1MICMT25QU02GCBB8E12-0SIT/3132802G001/AVN7</t>
  </si>
  <si>
    <t>AVNS1ASFC4G31MA-51BINAVN7</t>
  </si>
  <si>
    <t>AVNS1MC705P6ACDWEAVN7</t>
  </si>
  <si>
    <t>AVNS112053-6310-A1/REV.AAVN7</t>
  </si>
  <si>
    <t>AVNS1SDINBDG4-8G-XI1AVN7</t>
  </si>
  <si>
    <t>TE S1995-010040-63-RTE 6</t>
  </si>
  <si>
    <t>AVNS1AT89S52-24PUAVN7</t>
  </si>
  <si>
    <t>AVNS1CA08R-CRET-0002/REV.5AVN7</t>
  </si>
  <si>
    <t>AVNS110513-0811-A100/REV.CAVN7</t>
  </si>
  <si>
    <t>AVNS1MMBT2907ALT1GAVN7</t>
  </si>
  <si>
    <t>AVNS1MICMTFC64GBCAQTC-AAT/153375-001/FLEXAVN7</t>
  </si>
  <si>
    <t>AVNS1CTS752241102GPTR7/H5905-2254927/TR/B/AVN7</t>
  </si>
  <si>
    <t>AVNS1CH12500H3C380TEZ-GM-ASSYAVN8</t>
  </si>
  <si>
    <t>AVN8</t>
  </si>
  <si>
    <t>AVNS1NXPMCIMX31CJMN4D/9880P4/BAEAVN7</t>
  </si>
  <si>
    <t>AVNS1VPTJANTXV2N6661/SOLDERABILITY/BAEAVN7</t>
  </si>
  <si>
    <t>AVNS140014847-MC908QY4ACDWEAVN7</t>
  </si>
  <si>
    <t>AVNS11248323-3/PLREV.C/DWGREV.DAVN7</t>
  </si>
  <si>
    <t>AVNS1MX29GL128FUT2I-11GAVN7</t>
  </si>
  <si>
    <t>AVNS112055-1171-A1/REV.BAVN7</t>
  </si>
  <si>
    <t>AVNS15962-86716012AAVN7</t>
  </si>
  <si>
    <t>AVNS112286-6060-A1/REV.-AVN7</t>
  </si>
  <si>
    <t>AVNS1MJD45H11GAVN7</t>
  </si>
  <si>
    <t>AVNS177-609-0100995-01/REV.0AVN7</t>
  </si>
  <si>
    <t>AVNS177-609-03003QD-00/REV.1AVN7</t>
  </si>
  <si>
    <t>AVNS177-609-03003QF-00/REV.1AVN7</t>
  </si>
  <si>
    <t>AVNS110570-3573-A006/REV.FAVN7</t>
  </si>
  <si>
    <t>AVNS1ADVALXD800EEXJ2VF    C3/REBALL//HNYAVN7</t>
  </si>
  <si>
    <t>AVNS1FDS3992AVN7</t>
  </si>
  <si>
    <t>AVNS1W25Q256JVFIQAVN7</t>
  </si>
  <si>
    <t>AVNS140063830-DSPIC33EV256GM004T-E/MLV03AVN7</t>
  </si>
  <si>
    <t>AVNS1W25Q16JLSNIGAVN7</t>
  </si>
  <si>
    <t>AVNS110394-9015-01/REV.HAVN7</t>
  </si>
  <si>
    <t>AVNS1CC-0000-791/REV.AAVN7</t>
  </si>
  <si>
    <t>AVNS1MX25L12835FMI-10GAVN7</t>
  </si>
  <si>
    <t>AVNS140006836- DSP56F807VF80AVN7</t>
  </si>
  <si>
    <t>AVNS1EQCO30T5.2AVN7</t>
  </si>
  <si>
    <t>AVNS177-609-0100991-00/REV.0AVN7</t>
  </si>
  <si>
    <t>AVNS177-609-0100992-00/REV.0AVN7</t>
  </si>
  <si>
    <t>AVNS177-609-0100993-00/REV.0AVN7</t>
  </si>
  <si>
    <t>AVNS1MOC207MAVN7</t>
  </si>
  <si>
    <t>PO1013610196</t>
  </si>
  <si>
    <t>SO91162310196</t>
  </si>
  <si>
    <t>AVNS1X19052301/REV.AAVN7</t>
  </si>
  <si>
    <t>PO2100349322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</si>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</sst>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9323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35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30</v>
      </c>
      <c r="P1" s="4" t="s">
        <v>31</v>
      </c>
      <c r="Q1" s="4" t="s">
        <v>32</v>
      </c>
      <c r="R1" s="3" t="s">
        <v>33</v>
      </c>
      <c r="S1" s="4" t="s">
        <v>37</v>
      </c>
      <c r="T1" s="5" t="s">
        <v>36</v>
      </c>
      <c r="U1" s="6" t="s">
        <v>11</v>
      </c>
      <c r="V1" s="7" t="s">
        <v>12</v>
      </c>
      <c r="W1" s="5" t="s">
        <v>53</v>
      </c>
      <c r="X1" s="1" t="s">
        <v>13</v>
      </c>
      <c r="Y1" s="1" t="s">
        <v>41</v>
      </c>
      <c r="Z1" s="1" t="s">
        <v>14</v>
      </c>
      <c r="AA1" s="1" t="s">
        <v>42</v>
      </c>
      <c r="AB1" s="8" t="s">
        <v>34</v>
      </c>
      <c r="AC1" s="5" t="s">
        <v>43</v>
      </c>
      <c r="AD1" s="5" t="s">
        <v>54</v>
      </c>
      <c r="AE1" s="5" t="s">
        <v>55</v>
      </c>
    </row>
    <row r="2" spans="1:31" x14ac:dyDescent="0.3">
      <c r="A2">
        <v>246</v>
      </c>
      <c r="B2">
        <v>4386558</v>
      </c>
      <c r="C2" t="s">
        <v>56</v>
      </c>
      <c r="D2">
        <v>1588891</v>
      </c>
      <c r="E2" t="s">
        <v>61</v>
      </c>
      <c r="F2" t="s">
        <v>18</v>
      </c>
      <c r="G2" t="s">
        <v>1941</v>
      </c>
      <c r="H2" t="s">
        <v>1942</v>
      </c>
      <c r="I2" s="9" t="s">
        <v>3253</v>
      </c>
      <c r="J2" s="9">
        <v>51158594669</v>
      </c>
      <c r="K2" s="14" t="s">
        <v>3203</v>
      </c>
      <c r="L2" s="13" t="s">
        <v>3583</v>
      </c>
      <c r="M2" s="14">
        <v>13225</v>
      </c>
      <c r="N2" s="14">
        <v>9.8710000000000006E-2</v>
      </c>
      <c r="O2" s="10">
        <f t="shared" ref="O2:O65" si="0">M2*N2</f>
        <v>1305.43975</v>
      </c>
      <c r="P2" s="11">
        <v>0</v>
      </c>
      <c r="Q2" s="11">
        <v>0</v>
      </c>
      <c r="R2" s="10">
        <f>IF(COUNTIF($J$2:J2,J2)=1,SUMIFS($O:$O,$J:$J,J2)+SUMIFS($P:$P,$J:$J,J2)+SUMIFS($Q:$Q,$J:$J,J2),"")</f>
        <v>1305.43975</v>
      </c>
      <c r="S2" s="10">
        <v>1305.44</v>
      </c>
      <c r="T2" s="11" t="str">
        <f>IFERROR(INDEX(AD:AD,MATCH(J2,J:J,0)),"")</f>
        <v>Check</v>
      </c>
      <c r="U2" s="12">
        <v>45791</v>
      </c>
      <c r="V2" s="10">
        <v>764.54</v>
      </c>
      <c r="W2" s="10" t="str">
        <f t="shared" ref="W2:W65" si="1">IF(OR(S2="",V2=""),"N/A",IF(S2&lt;&gt;V2,"Short Paid","Not Paid"))</f>
        <v>Short Paid</v>
      </c>
      <c r="X2" t="s">
        <v>438</v>
      </c>
      <c r="Y2" t="s">
        <v>28</v>
      </c>
      <c r="Z2">
        <v>100243</v>
      </c>
      <c r="AA2" t="s">
        <v>446</v>
      </c>
      <c r="AB2" t="s">
        <v>523</v>
      </c>
      <c r="AC2" s="9">
        <f t="shared" ref="AC2:AC65" si="2">COUNTIF(J:J,J2)</f>
        <v>1</v>
      </c>
      <c r="AD2" s="9" t="str">
        <f t="shared" ref="AD2:AD65" si="3">IF(AND(R2="",S2=""),"N/A",IF(R2=S2,"Ok","Check"))</f>
        <v>Check</v>
      </c>
      <c r="AE2" s="11">
        <f t="shared" ref="AE2:AE32" si="4">R2-S2</f>
        <v>-2.500000000509317E-4</v>
      </c>
    </row>
    <row r="3" spans="1:31" x14ac:dyDescent="0.3">
      <c r="A3">
        <v>240</v>
      </c>
      <c r="B3">
        <v>4384348</v>
      </c>
      <c r="C3" t="s">
        <v>239</v>
      </c>
      <c r="D3">
        <v>1043711</v>
      </c>
      <c r="E3" t="s">
        <v>539</v>
      </c>
      <c r="F3" t="s">
        <v>18</v>
      </c>
      <c r="G3" t="s">
        <v>1943</v>
      </c>
      <c r="H3" t="s">
        <v>1944</v>
      </c>
      <c r="I3" s="9" t="s">
        <v>3254</v>
      </c>
      <c r="J3" s="9">
        <v>50117776339</v>
      </c>
      <c r="K3" s="14" t="s">
        <v>3194</v>
      </c>
      <c r="L3" s="13" t="s">
        <v>3255</v>
      </c>
      <c r="M3" s="14">
        <v>784</v>
      </c>
      <c r="N3" s="14">
        <v>16.18</v>
      </c>
      <c r="O3" s="10">
        <f t="shared" si="0"/>
        <v>12685.119999999999</v>
      </c>
      <c r="P3" s="11">
        <v>634.26</v>
      </c>
      <c r="Q3" s="11">
        <v>0</v>
      </c>
      <c r="R3" s="10">
        <f>IF(COUNTIF($J$2:J3,J3)=1,SUMIFS($O:$O,$J:$J,J3)+SUMIFS($P:$P,$J:$J,J3)+SUMIFS($Q:$Q,$J:$J,J3),"")</f>
        <v>13319.38</v>
      </c>
      <c r="S3" s="10">
        <v>13319.38</v>
      </c>
      <c r="T3" s="11" t="str">
        <f t="shared" ref="T3:T66" si="5">IFERROR(INDEX(AD:AD,MATCH(J3,J:J,0)),"")</f>
        <v>Ok</v>
      </c>
      <c r="U3" s="12">
        <v>45854</v>
      </c>
      <c r="V3" s="10">
        <v>2741.26</v>
      </c>
      <c r="W3" s="10" t="str">
        <f t="shared" si="1"/>
        <v>Short Paid</v>
      </c>
      <c r="X3" t="s">
        <v>476</v>
      </c>
      <c r="Y3" t="s">
        <v>28</v>
      </c>
      <c r="Z3">
        <v>100245</v>
      </c>
      <c r="AA3" t="s">
        <v>507</v>
      </c>
      <c r="AB3" t="s">
        <v>523</v>
      </c>
      <c r="AC3" s="9">
        <f t="shared" si="2"/>
        <v>1</v>
      </c>
      <c r="AD3" s="9" t="str">
        <f t="shared" si="3"/>
        <v>Ok</v>
      </c>
      <c r="AE3" s="11">
        <f t="shared" si="4"/>
        <v>0</v>
      </c>
    </row>
    <row r="4" spans="1:31" x14ac:dyDescent="0.3">
      <c r="A4">
        <v>240</v>
      </c>
      <c r="B4">
        <v>4383098</v>
      </c>
      <c r="C4" t="s">
        <v>160</v>
      </c>
      <c r="D4">
        <v>1963277</v>
      </c>
      <c r="E4" t="s">
        <v>250</v>
      </c>
      <c r="F4" t="s">
        <v>18</v>
      </c>
      <c r="G4" t="s">
        <v>1945</v>
      </c>
      <c r="H4" t="s">
        <v>1946</v>
      </c>
      <c r="I4" s="9" t="s">
        <v>3476</v>
      </c>
      <c r="J4" s="9">
        <v>51161089675</v>
      </c>
      <c r="K4" s="14" t="s">
        <v>3168</v>
      </c>
      <c r="L4" s="13" t="s">
        <v>3646</v>
      </c>
      <c r="M4" s="14">
        <v>17500</v>
      </c>
      <c r="N4" s="14">
        <v>0.11824999999999999</v>
      </c>
      <c r="O4" s="10">
        <f t="shared" si="0"/>
        <v>2069.375</v>
      </c>
      <c r="P4" s="11">
        <v>0</v>
      </c>
      <c r="Q4" s="11">
        <v>0</v>
      </c>
      <c r="R4" s="10">
        <f>IF(COUNTIF($J$2:J4,J4)=1,SUMIFS($O:$O,$J:$J,J4)+SUMIFS($P:$P,$J:$J,J4)+SUMIFS($Q:$Q,$J:$J,J4),"")</f>
        <v>2069.375</v>
      </c>
      <c r="S4" s="10">
        <v>2069.38</v>
      </c>
      <c r="T4" s="11" t="str">
        <f t="shared" si="5"/>
        <v>Check</v>
      </c>
      <c r="U4" s="12">
        <v>45848</v>
      </c>
      <c r="V4" s="10">
        <v>144.38</v>
      </c>
      <c r="W4" s="10" t="str">
        <f t="shared" si="1"/>
        <v>Short Paid</v>
      </c>
      <c r="X4" t="s">
        <v>474</v>
      </c>
      <c r="Y4" t="s">
        <v>28</v>
      </c>
      <c r="Z4">
        <v>100129</v>
      </c>
      <c r="AA4" t="s">
        <v>495</v>
      </c>
      <c r="AB4" t="s">
        <v>523</v>
      </c>
      <c r="AC4" s="9">
        <f t="shared" si="2"/>
        <v>1</v>
      </c>
      <c r="AD4" s="9" t="str">
        <f t="shared" si="3"/>
        <v>Check</v>
      </c>
      <c r="AE4" s="11">
        <f t="shared" si="4"/>
        <v>-5.0000000001091394E-3</v>
      </c>
    </row>
    <row r="5" spans="1:31" x14ac:dyDescent="0.3">
      <c r="A5">
        <v>240</v>
      </c>
      <c r="B5">
        <v>4385108</v>
      </c>
      <c r="C5" t="s">
        <v>56</v>
      </c>
      <c r="D5">
        <v>1588891</v>
      </c>
      <c r="E5" t="s">
        <v>61</v>
      </c>
      <c r="F5" t="s">
        <v>18</v>
      </c>
      <c r="G5" t="s">
        <v>1947</v>
      </c>
      <c r="H5" t="s">
        <v>1948</v>
      </c>
      <c r="I5" s="9" t="s">
        <v>3263</v>
      </c>
      <c r="J5" s="9">
        <v>51160437193</v>
      </c>
      <c r="K5" s="14" t="s">
        <v>3246</v>
      </c>
      <c r="L5" s="13" t="s">
        <v>3245</v>
      </c>
      <c r="M5" s="14">
        <v>8000</v>
      </c>
      <c r="N5" s="14">
        <v>0.3135</v>
      </c>
      <c r="O5" s="10">
        <f t="shared" si="0"/>
        <v>2508</v>
      </c>
      <c r="P5" s="11">
        <v>0</v>
      </c>
      <c r="Q5" s="11">
        <v>0</v>
      </c>
      <c r="R5" s="10">
        <f>IF(COUNTIF($J$2:J5,J5)=1,SUMIFS($O:$O,$J:$J,J5)+SUMIFS($P:$P,$J:$J,J5)+SUMIFS($Q:$Q,$J:$J,J5),"")</f>
        <v>2508</v>
      </c>
      <c r="S5" s="10">
        <v>2508</v>
      </c>
      <c r="T5" s="11" t="str">
        <f t="shared" si="5"/>
        <v>Ok</v>
      </c>
      <c r="U5" s="12">
        <v>45775</v>
      </c>
      <c r="V5" s="10">
        <v>612</v>
      </c>
      <c r="W5" s="10" t="str">
        <f t="shared" si="1"/>
        <v>Short Paid</v>
      </c>
      <c r="X5" t="s">
        <v>438</v>
      </c>
      <c r="Y5" t="s">
        <v>28</v>
      </c>
      <c r="Z5">
        <v>100163</v>
      </c>
      <c r="AA5" t="s">
        <v>443</v>
      </c>
      <c r="AB5" t="s">
        <v>523</v>
      </c>
      <c r="AC5" s="9">
        <f t="shared" si="2"/>
        <v>1</v>
      </c>
      <c r="AD5" s="9" t="str">
        <f t="shared" si="3"/>
        <v>Ok</v>
      </c>
      <c r="AE5" s="11">
        <f t="shared" si="4"/>
        <v>0</v>
      </c>
    </row>
    <row r="6" spans="1:31" x14ac:dyDescent="0.3">
      <c r="A6">
        <v>240</v>
      </c>
      <c r="B6">
        <v>4385308</v>
      </c>
      <c r="C6" t="s">
        <v>56</v>
      </c>
      <c r="D6">
        <v>1588891</v>
      </c>
      <c r="E6" t="s">
        <v>61</v>
      </c>
      <c r="F6" t="s">
        <v>18</v>
      </c>
      <c r="G6" t="s">
        <v>1949</v>
      </c>
      <c r="H6" t="s">
        <v>1950</v>
      </c>
      <c r="I6" s="9" t="s">
        <v>3309</v>
      </c>
      <c r="J6" s="9">
        <v>51159547222</v>
      </c>
      <c r="K6" s="14" t="s">
        <v>3379</v>
      </c>
      <c r="L6" s="13" t="s">
        <v>3461</v>
      </c>
      <c r="M6" s="14">
        <v>70000</v>
      </c>
      <c r="N6" s="14">
        <v>2.7E-2</v>
      </c>
      <c r="O6" s="10">
        <f t="shared" si="0"/>
        <v>1890</v>
      </c>
      <c r="P6" s="11">
        <v>0</v>
      </c>
      <c r="Q6" s="11">
        <v>0</v>
      </c>
      <c r="R6" s="10">
        <f>IF(COUNTIF($J$2:J6,J6)=1,SUMIFS($O:$O,$J:$J,J6)+SUMIFS($P:$P,$J:$J,J6)+SUMIFS($Q:$Q,$J:$J,J6),"")</f>
        <v>1890</v>
      </c>
      <c r="S6" s="10">
        <v>1890</v>
      </c>
      <c r="T6" s="11" t="str">
        <f t="shared" si="5"/>
        <v>Ok</v>
      </c>
      <c r="U6" s="12">
        <v>45797</v>
      </c>
      <c r="V6" s="10">
        <v>1306.9000000000001</v>
      </c>
      <c r="W6" s="10" t="str">
        <f t="shared" si="1"/>
        <v>Short Paid</v>
      </c>
      <c r="X6" t="s">
        <v>438</v>
      </c>
      <c r="Y6" t="s">
        <v>28</v>
      </c>
      <c r="Z6">
        <v>100193</v>
      </c>
      <c r="AA6" t="s">
        <v>442</v>
      </c>
      <c r="AB6" t="s">
        <v>523</v>
      </c>
      <c r="AC6" s="9">
        <f t="shared" si="2"/>
        <v>1</v>
      </c>
      <c r="AD6" s="9" t="str">
        <f t="shared" si="3"/>
        <v>Ok</v>
      </c>
      <c r="AE6" s="11">
        <f t="shared" si="4"/>
        <v>0</v>
      </c>
    </row>
    <row r="7" spans="1:31" x14ac:dyDescent="0.3">
      <c r="A7">
        <v>239</v>
      </c>
      <c r="B7">
        <v>4386208</v>
      </c>
      <c r="C7" t="s">
        <v>56</v>
      </c>
      <c r="D7">
        <v>1588891</v>
      </c>
      <c r="E7" t="s">
        <v>61</v>
      </c>
      <c r="F7" t="s">
        <v>18</v>
      </c>
      <c r="G7" t="s">
        <v>1951</v>
      </c>
      <c r="H7" t="s">
        <v>1952</v>
      </c>
      <c r="I7" s="9" t="s">
        <v>3331</v>
      </c>
      <c r="J7" s="9">
        <v>51159235490</v>
      </c>
      <c r="K7" s="14" t="s">
        <v>3177</v>
      </c>
      <c r="L7" s="13" t="s">
        <v>3470</v>
      </c>
      <c r="M7" s="14">
        <v>32000</v>
      </c>
      <c r="N7" s="14">
        <v>1.273E-2</v>
      </c>
      <c r="O7" s="10">
        <f t="shared" si="0"/>
        <v>407.36</v>
      </c>
      <c r="P7" s="11">
        <v>0</v>
      </c>
      <c r="Q7" s="11">
        <v>0</v>
      </c>
      <c r="R7" s="10">
        <f>IF(COUNTIF($J$2:J7,J7)=1,SUMIFS($O:$O,$J:$J,J7)+SUMIFS($P:$P,$J:$J,J7)+SUMIFS($Q:$Q,$J:$J,J7),"")</f>
        <v>407.36</v>
      </c>
      <c r="S7" s="10">
        <v>407.36</v>
      </c>
      <c r="T7" s="11" t="str">
        <f t="shared" si="5"/>
        <v>Ok</v>
      </c>
      <c r="U7" s="12">
        <v>45791</v>
      </c>
      <c r="V7" s="10">
        <v>298.56</v>
      </c>
      <c r="W7" s="10" t="str">
        <f t="shared" si="1"/>
        <v>Short Paid</v>
      </c>
      <c r="X7" t="s">
        <v>438</v>
      </c>
      <c r="Y7" t="s">
        <v>28</v>
      </c>
      <c r="Z7">
        <v>100233</v>
      </c>
      <c r="AA7" t="s">
        <v>448</v>
      </c>
      <c r="AB7" t="s">
        <v>523</v>
      </c>
      <c r="AC7" s="9">
        <f t="shared" si="2"/>
        <v>1</v>
      </c>
      <c r="AD7" s="9" t="str">
        <f t="shared" si="3"/>
        <v>Ok</v>
      </c>
      <c r="AE7" s="11">
        <f t="shared" si="4"/>
        <v>0</v>
      </c>
    </row>
    <row r="8" spans="1:31" x14ac:dyDescent="0.3">
      <c r="A8">
        <v>239</v>
      </c>
      <c r="B8">
        <v>4386088</v>
      </c>
      <c r="C8" t="s">
        <v>56</v>
      </c>
      <c r="D8">
        <v>1588891</v>
      </c>
      <c r="E8" t="s">
        <v>61</v>
      </c>
      <c r="F8" t="s">
        <v>18</v>
      </c>
      <c r="G8" t="s">
        <v>1953</v>
      </c>
      <c r="H8" t="s">
        <v>1954</v>
      </c>
      <c r="I8" s="9" t="s">
        <v>3249</v>
      </c>
      <c r="J8" s="9">
        <v>50117767378</v>
      </c>
      <c r="K8" s="14" t="s">
        <v>3246</v>
      </c>
      <c r="L8" s="13" t="s">
        <v>3245</v>
      </c>
      <c r="M8" s="14">
        <v>8000</v>
      </c>
      <c r="N8" s="14">
        <v>0.3135</v>
      </c>
      <c r="O8" s="10">
        <f t="shared" si="0"/>
        <v>2508</v>
      </c>
      <c r="P8" s="11">
        <v>0</v>
      </c>
      <c r="Q8" s="11">
        <v>0</v>
      </c>
      <c r="R8" s="10">
        <f>IF(COUNTIF($J$2:J8,J8)=1,SUMIFS($O:$O,$J:$J,J8)+SUMIFS($P:$P,$J:$J,J8)+SUMIFS($Q:$Q,$J:$J,J8),"")</f>
        <v>2508</v>
      </c>
      <c r="S8" s="10">
        <v>5016</v>
      </c>
      <c r="T8" s="11" t="str">
        <f t="shared" si="5"/>
        <v>Check</v>
      </c>
      <c r="U8" s="12">
        <v>45786</v>
      </c>
      <c r="V8" s="10">
        <v>1224</v>
      </c>
      <c r="W8" s="10" t="str">
        <f t="shared" si="1"/>
        <v>Short Paid</v>
      </c>
      <c r="X8" t="s">
        <v>438</v>
      </c>
      <c r="Y8" t="s">
        <v>28</v>
      </c>
      <c r="Z8">
        <v>100273</v>
      </c>
      <c r="AA8" t="s">
        <v>444</v>
      </c>
      <c r="AB8" t="s">
        <v>523</v>
      </c>
      <c r="AC8" s="9">
        <f t="shared" si="2"/>
        <v>1</v>
      </c>
      <c r="AD8" s="9" t="str">
        <f t="shared" si="3"/>
        <v>Check</v>
      </c>
      <c r="AE8" s="11">
        <f t="shared" si="4"/>
        <v>-2508</v>
      </c>
    </row>
    <row r="9" spans="1:31" x14ac:dyDescent="0.3">
      <c r="A9">
        <v>239</v>
      </c>
      <c r="B9">
        <v>4387408</v>
      </c>
      <c r="C9" t="s">
        <v>56</v>
      </c>
      <c r="D9">
        <v>1588891</v>
      </c>
      <c r="E9" t="s">
        <v>61</v>
      </c>
      <c r="F9" t="s">
        <v>18</v>
      </c>
      <c r="G9" t="s">
        <v>1955</v>
      </c>
      <c r="H9" t="s">
        <v>1956</v>
      </c>
      <c r="I9" s="9" t="s">
        <v>3253</v>
      </c>
      <c r="J9" s="9">
        <v>50117768007</v>
      </c>
      <c r="K9" s="14" t="s">
        <v>3246</v>
      </c>
      <c r="L9" s="13" t="s">
        <v>3245</v>
      </c>
      <c r="M9" s="14">
        <v>8000</v>
      </c>
      <c r="N9" s="14">
        <v>0.3135</v>
      </c>
      <c r="O9" s="10">
        <f t="shared" si="0"/>
        <v>2508</v>
      </c>
      <c r="P9" s="11">
        <v>0</v>
      </c>
      <c r="Q9" s="11">
        <v>0</v>
      </c>
      <c r="R9" s="10">
        <f>IF(COUNTIF($J$2:J9,J9)=1,SUMIFS($O:$O,$J:$J,J9)+SUMIFS($P:$P,$J:$J,J9)+SUMIFS($Q:$Q,$J:$J,J9),"")</f>
        <v>2508</v>
      </c>
      <c r="S9" s="10">
        <v>2508</v>
      </c>
      <c r="T9" s="11" t="str">
        <f t="shared" si="5"/>
        <v>Ok</v>
      </c>
      <c r="U9" s="12">
        <v>45786</v>
      </c>
      <c r="V9" s="10">
        <v>612</v>
      </c>
      <c r="W9" s="10" t="str">
        <f t="shared" si="1"/>
        <v>Short Paid</v>
      </c>
      <c r="X9" t="s">
        <v>438</v>
      </c>
      <c r="Y9" t="s">
        <v>28</v>
      </c>
      <c r="Z9">
        <v>100283</v>
      </c>
      <c r="AA9" t="s">
        <v>439</v>
      </c>
      <c r="AB9" t="s">
        <v>523</v>
      </c>
      <c r="AC9" s="9">
        <f t="shared" si="2"/>
        <v>1</v>
      </c>
      <c r="AD9" s="9" t="str">
        <f t="shared" si="3"/>
        <v>Ok</v>
      </c>
      <c r="AE9" s="11">
        <f t="shared" si="4"/>
        <v>0</v>
      </c>
    </row>
    <row r="10" spans="1:31" x14ac:dyDescent="0.3">
      <c r="A10">
        <v>239</v>
      </c>
      <c r="B10">
        <v>4387418</v>
      </c>
      <c r="C10" t="s">
        <v>56</v>
      </c>
      <c r="D10">
        <v>1588891</v>
      </c>
      <c r="E10" t="s">
        <v>61</v>
      </c>
      <c r="F10" t="s">
        <v>18</v>
      </c>
      <c r="G10" t="s">
        <v>1957</v>
      </c>
      <c r="H10" t="s">
        <v>1958</v>
      </c>
      <c r="I10" s="9" t="s">
        <v>3169</v>
      </c>
      <c r="J10" s="9">
        <v>50117768006</v>
      </c>
      <c r="K10" s="14" t="s">
        <v>3246</v>
      </c>
      <c r="L10" s="13" t="s">
        <v>3245</v>
      </c>
      <c r="M10" s="14">
        <v>8000</v>
      </c>
      <c r="N10" s="14">
        <v>0.3135</v>
      </c>
      <c r="O10" s="10">
        <f t="shared" si="0"/>
        <v>2508</v>
      </c>
      <c r="P10" s="11">
        <v>0</v>
      </c>
      <c r="Q10" s="11">
        <v>0</v>
      </c>
      <c r="R10" s="10">
        <f>IF(COUNTIF($J$2:J10,J10)=1,SUMIFS($O:$O,$J:$J,J10)+SUMIFS($P:$P,$J:$J,J10)+SUMIFS($Q:$Q,$J:$J,J10),"")</f>
        <v>2508</v>
      </c>
      <c r="S10" s="10">
        <v>2508</v>
      </c>
      <c r="T10" s="11" t="str">
        <f t="shared" si="5"/>
        <v>Ok</v>
      </c>
      <c r="U10" s="12">
        <v>45786</v>
      </c>
      <c r="V10" s="10">
        <v>612</v>
      </c>
      <c r="W10" s="10" t="str">
        <f t="shared" si="1"/>
        <v>Short Paid</v>
      </c>
      <c r="X10" t="s">
        <v>438</v>
      </c>
      <c r="Y10" t="s">
        <v>28</v>
      </c>
      <c r="Z10">
        <v>100113</v>
      </c>
      <c r="AA10" t="s">
        <v>449</v>
      </c>
      <c r="AB10" t="s">
        <v>523</v>
      </c>
      <c r="AC10" s="9">
        <f t="shared" si="2"/>
        <v>1</v>
      </c>
      <c r="AD10" s="9" t="str">
        <f t="shared" si="3"/>
        <v>Ok</v>
      </c>
      <c r="AE10" s="11">
        <f t="shared" si="4"/>
        <v>0</v>
      </c>
    </row>
    <row r="11" spans="1:31" x14ac:dyDescent="0.3">
      <c r="A11">
        <v>239</v>
      </c>
      <c r="B11">
        <v>4387398</v>
      </c>
      <c r="C11" t="s">
        <v>220</v>
      </c>
      <c r="D11">
        <v>1118223</v>
      </c>
      <c r="E11" t="s">
        <v>640</v>
      </c>
      <c r="F11" t="s">
        <v>18</v>
      </c>
      <c r="G11" t="s">
        <v>1959</v>
      </c>
      <c r="H11" t="s">
        <v>1960</v>
      </c>
      <c r="I11" s="9" t="s">
        <v>3250</v>
      </c>
      <c r="J11" s="9">
        <v>50117768005</v>
      </c>
      <c r="K11" s="14" t="s">
        <v>3252</v>
      </c>
      <c r="L11" s="13" t="s">
        <v>3251</v>
      </c>
      <c r="M11" s="14">
        <v>17500</v>
      </c>
      <c r="N11" s="14">
        <v>0.35539999999999999</v>
      </c>
      <c r="O11" s="10">
        <f t="shared" si="0"/>
        <v>6219.5</v>
      </c>
      <c r="P11" s="11">
        <v>0</v>
      </c>
      <c r="Q11" s="11">
        <v>1125.73</v>
      </c>
      <c r="R11" s="10">
        <f>IF(COUNTIF($J$2:J11,J11)=1,SUMIFS($O:$O,$J:$J,J11)+SUMIFS($P:$P,$J:$J,J11)+SUMIFS($Q:$Q,$J:$J,J11),"")</f>
        <v>7345.23</v>
      </c>
      <c r="S11" s="10">
        <v>7345.23</v>
      </c>
      <c r="T11" s="11" t="str">
        <f t="shared" si="5"/>
        <v>Ok</v>
      </c>
      <c r="U11" s="12">
        <v>45915</v>
      </c>
      <c r="V11" s="10">
        <v>7345.23</v>
      </c>
      <c r="W11" s="10" t="str">
        <f t="shared" si="1"/>
        <v>Not Paid</v>
      </c>
      <c r="X11" t="s">
        <v>470</v>
      </c>
      <c r="Y11" t="s">
        <v>28</v>
      </c>
      <c r="Z11">
        <v>100128</v>
      </c>
      <c r="AA11" t="s">
        <v>508</v>
      </c>
      <c r="AB11" t="s">
        <v>523</v>
      </c>
      <c r="AC11" s="9">
        <f t="shared" si="2"/>
        <v>1</v>
      </c>
      <c r="AD11" s="9" t="str">
        <f t="shared" si="3"/>
        <v>Ok</v>
      </c>
      <c r="AE11" s="11">
        <f t="shared" si="4"/>
        <v>0</v>
      </c>
    </row>
    <row r="12" spans="1:31" x14ac:dyDescent="0.3">
      <c r="A12">
        <v>235</v>
      </c>
      <c r="B12">
        <v>4388108</v>
      </c>
      <c r="C12" t="s">
        <v>217</v>
      </c>
      <c r="D12">
        <v>1276402</v>
      </c>
      <c r="E12" t="s">
        <v>540</v>
      </c>
      <c r="F12" t="s">
        <v>20</v>
      </c>
      <c r="G12" t="s">
        <v>1961</v>
      </c>
      <c r="H12" t="s">
        <v>1962</v>
      </c>
      <c r="I12" s="9" t="s">
        <v>3419</v>
      </c>
      <c r="J12" s="9">
        <v>51160949882</v>
      </c>
      <c r="K12" s="14" t="s">
        <v>3165</v>
      </c>
      <c r="L12" s="13" t="s">
        <v>3248</v>
      </c>
      <c r="M12" s="14">
        <v>1</v>
      </c>
      <c r="N12" s="14">
        <v>454.24250000000001</v>
      </c>
      <c r="O12" s="10">
        <f t="shared" si="0"/>
        <v>454.24250000000001</v>
      </c>
      <c r="P12" s="11">
        <v>0</v>
      </c>
      <c r="Q12" s="11">
        <v>0</v>
      </c>
      <c r="R12" s="10">
        <f>IF(COUNTIF($J$2:J12,J12)=1,SUMIFS($O:$O,$J:$J,J12)+SUMIFS($P:$P,$J:$J,J12)+SUMIFS($Q:$Q,$J:$J,J12),"")</f>
        <v>454.24250000000001</v>
      </c>
      <c r="S12" s="10">
        <v>454.24</v>
      </c>
      <c r="T12" s="11" t="str">
        <f t="shared" si="5"/>
        <v>Check</v>
      </c>
      <c r="U12" s="12">
        <v>45762</v>
      </c>
      <c r="V12" s="10">
        <v>454.24</v>
      </c>
      <c r="W12" s="10" t="str">
        <f t="shared" si="1"/>
        <v>Not Paid</v>
      </c>
      <c r="X12" t="s">
        <v>478</v>
      </c>
      <c r="Y12" t="s">
        <v>28</v>
      </c>
      <c r="Z12">
        <v>100192</v>
      </c>
      <c r="AA12" t="s">
        <v>3106</v>
      </c>
      <c r="AB12" t="s">
        <v>521</v>
      </c>
      <c r="AC12" s="9">
        <f t="shared" si="2"/>
        <v>1</v>
      </c>
      <c r="AD12" s="9" t="str">
        <f t="shared" si="3"/>
        <v>Check</v>
      </c>
      <c r="AE12" s="11">
        <f t="shared" si="4"/>
        <v>2.4999999999977263E-3</v>
      </c>
    </row>
    <row r="13" spans="1:31" x14ac:dyDescent="0.3">
      <c r="A13">
        <v>235</v>
      </c>
      <c r="B13">
        <v>4388548</v>
      </c>
      <c r="C13" t="s">
        <v>217</v>
      </c>
      <c r="D13">
        <v>1276402</v>
      </c>
      <c r="E13" t="s">
        <v>540</v>
      </c>
      <c r="F13" t="s">
        <v>20</v>
      </c>
      <c r="G13" t="s">
        <v>1963</v>
      </c>
      <c r="H13" t="s">
        <v>1964</v>
      </c>
      <c r="I13" s="9" t="s">
        <v>3256</v>
      </c>
      <c r="J13" s="9">
        <v>50117796861</v>
      </c>
      <c r="K13" s="14" t="s">
        <v>3165</v>
      </c>
      <c r="L13" s="13" t="s">
        <v>3248</v>
      </c>
      <c r="M13" s="14">
        <v>1</v>
      </c>
      <c r="N13" s="14">
        <v>218.5874</v>
      </c>
      <c r="O13" s="10">
        <f t="shared" si="0"/>
        <v>218.5874</v>
      </c>
      <c r="P13" s="11">
        <v>0</v>
      </c>
      <c r="Q13" s="11">
        <v>0</v>
      </c>
      <c r="R13" s="10">
        <f>IF(COUNTIF($J$2:J13,J13)=1,SUMIFS($O:$O,$J:$J,J13)+SUMIFS($P:$P,$J:$J,J13)+SUMIFS($Q:$Q,$J:$J,J13),"")</f>
        <v>218.5874</v>
      </c>
      <c r="S13" s="10">
        <v>218.59</v>
      </c>
      <c r="T13" s="11" t="str">
        <f t="shared" si="5"/>
        <v>Check</v>
      </c>
      <c r="U13" s="12">
        <v>45769</v>
      </c>
      <c r="V13" s="10">
        <v>218.59</v>
      </c>
      <c r="W13" s="10" t="str">
        <f t="shared" si="1"/>
        <v>Not Paid</v>
      </c>
      <c r="X13" t="s">
        <v>478</v>
      </c>
      <c r="Y13" t="s">
        <v>28</v>
      </c>
      <c r="Z13">
        <v>100202</v>
      </c>
      <c r="AA13" t="s">
        <v>3107</v>
      </c>
      <c r="AB13" t="s">
        <v>521</v>
      </c>
      <c r="AC13" s="9">
        <f t="shared" si="2"/>
        <v>1</v>
      </c>
      <c r="AD13" s="9" t="str">
        <f t="shared" si="3"/>
        <v>Check</v>
      </c>
      <c r="AE13" s="11">
        <f t="shared" si="4"/>
        <v>-2.6000000000010459E-3</v>
      </c>
    </row>
    <row r="14" spans="1:31" x14ac:dyDescent="0.3">
      <c r="A14">
        <v>235</v>
      </c>
      <c r="B14">
        <v>4387938</v>
      </c>
      <c r="C14" t="s">
        <v>217</v>
      </c>
      <c r="D14">
        <v>1276402</v>
      </c>
      <c r="E14" t="s">
        <v>540</v>
      </c>
      <c r="F14" t="s">
        <v>20</v>
      </c>
      <c r="G14" t="s">
        <v>1965</v>
      </c>
      <c r="H14" t="s">
        <v>1966</v>
      </c>
      <c r="I14" s="9" t="s">
        <v>3230</v>
      </c>
      <c r="J14" s="9">
        <v>51159009710</v>
      </c>
      <c r="K14" s="14" t="s">
        <v>3165</v>
      </c>
      <c r="L14" s="13" t="s">
        <v>3248</v>
      </c>
      <c r="M14" s="14">
        <v>1</v>
      </c>
      <c r="N14" s="14">
        <v>129.27600000000001</v>
      </c>
      <c r="O14" s="10">
        <f t="shared" si="0"/>
        <v>129.27600000000001</v>
      </c>
      <c r="P14" s="11">
        <v>0</v>
      </c>
      <c r="Q14" s="11">
        <v>0</v>
      </c>
      <c r="R14" s="10">
        <f>IF(COUNTIF($J$2:J14,J14)=1,SUMIFS($O:$O,$J:$J,J14)+SUMIFS($P:$P,$J:$J,J14)+SUMIFS($Q:$Q,$J:$J,J14),"")</f>
        <v>129.27600000000001</v>
      </c>
      <c r="S14" s="10">
        <v>129.28</v>
      </c>
      <c r="T14" s="11" t="str">
        <f t="shared" si="5"/>
        <v>Check</v>
      </c>
      <c r="U14" s="12">
        <v>45783</v>
      </c>
      <c r="V14" s="10">
        <v>129.28</v>
      </c>
      <c r="W14" s="10" t="str">
        <f t="shared" si="1"/>
        <v>Not Paid</v>
      </c>
      <c r="X14" t="s">
        <v>478</v>
      </c>
      <c r="Y14" t="s">
        <v>28</v>
      </c>
      <c r="Z14">
        <v>100232</v>
      </c>
      <c r="AA14" t="s">
        <v>3108</v>
      </c>
      <c r="AB14" t="s">
        <v>521</v>
      </c>
      <c r="AC14" s="9">
        <f t="shared" si="2"/>
        <v>1</v>
      </c>
      <c r="AD14" s="9" t="str">
        <f t="shared" si="3"/>
        <v>Check</v>
      </c>
      <c r="AE14" s="11">
        <f t="shared" si="4"/>
        <v>-3.9999999999906777E-3</v>
      </c>
    </row>
    <row r="15" spans="1:31" x14ac:dyDescent="0.3">
      <c r="A15">
        <v>235</v>
      </c>
      <c r="B15">
        <v>4387928</v>
      </c>
      <c r="C15" t="s">
        <v>217</v>
      </c>
      <c r="D15">
        <v>1276402</v>
      </c>
      <c r="E15" t="s">
        <v>540</v>
      </c>
      <c r="F15" t="s">
        <v>20</v>
      </c>
      <c r="G15" t="s">
        <v>1967</v>
      </c>
      <c r="H15" t="s">
        <v>1968</v>
      </c>
      <c r="I15" s="9" t="s">
        <v>3412</v>
      </c>
      <c r="J15" s="9">
        <v>51158994579</v>
      </c>
      <c r="K15" s="14" t="s">
        <v>3165</v>
      </c>
      <c r="L15" s="13" t="s">
        <v>3248</v>
      </c>
      <c r="M15" s="14">
        <v>1</v>
      </c>
      <c r="N15" s="14">
        <v>26141.402699999999</v>
      </c>
      <c r="O15" s="10">
        <f t="shared" si="0"/>
        <v>26141.402699999999</v>
      </c>
      <c r="P15" s="11">
        <v>0</v>
      </c>
      <c r="Q15" s="11">
        <v>0</v>
      </c>
      <c r="R15" s="10">
        <f>IF(COUNTIF($J$2:J15,J15)=1,SUMIFS($O:$O,$J:$J,J15)+SUMIFS($P:$P,$J:$J,J15)+SUMIFS($Q:$Q,$J:$J,J15),"")</f>
        <v>26141.402699999999</v>
      </c>
      <c r="S15" s="10">
        <v>26141.4</v>
      </c>
      <c r="T15" s="11" t="str">
        <f t="shared" si="5"/>
        <v>Check</v>
      </c>
      <c r="U15" s="12">
        <v>45811</v>
      </c>
      <c r="V15" s="10">
        <v>26141.4</v>
      </c>
      <c r="W15" s="10" t="str">
        <f t="shared" si="1"/>
        <v>Not Paid</v>
      </c>
      <c r="X15" t="s">
        <v>478</v>
      </c>
      <c r="Y15" t="s">
        <v>28</v>
      </c>
      <c r="Z15">
        <v>100242</v>
      </c>
      <c r="AA15" t="s">
        <v>3096</v>
      </c>
      <c r="AB15" t="s">
        <v>521</v>
      </c>
      <c r="AC15" s="9">
        <f t="shared" si="2"/>
        <v>1</v>
      </c>
      <c r="AD15" s="9" t="str">
        <f t="shared" si="3"/>
        <v>Check</v>
      </c>
      <c r="AE15" s="11">
        <f t="shared" si="4"/>
        <v>2.6999999972758815E-3</v>
      </c>
    </row>
    <row r="16" spans="1:31" x14ac:dyDescent="0.3">
      <c r="A16">
        <v>235</v>
      </c>
      <c r="B16">
        <v>4388488</v>
      </c>
      <c r="C16" t="s">
        <v>217</v>
      </c>
      <c r="D16">
        <v>1276402</v>
      </c>
      <c r="E16" t="s">
        <v>540</v>
      </c>
      <c r="F16" t="s">
        <v>20</v>
      </c>
      <c r="G16" t="s">
        <v>1969</v>
      </c>
      <c r="H16" t="s">
        <v>1970</v>
      </c>
      <c r="I16" s="9" t="s">
        <v>3247</v>
      </c>
      <c r="J16" s="9">
        <v>50117757018</v>
      </c>
      <c r="K16" s="14" t="s">
        <v>3165</v>
      </c>
      <c r="L16" s="13" t="s">
        <v>3248</v>
      </c>
      <c r="M16" s="14">
        <v>1</v>
      </c>
      <c r="N16" s="14">
        <v>150.38310000000001</v>
      </c>
      <c r="O16" s="10">
        <f t="shared" si="0"/>
        <v>150.38310000000001</v>
      </c>
      <c r="P16" s="11">
        <v>0</v>
      </c>
      <c r="Q16" s="11">
        <v>0</v>
      </c>
      <c r="R16" s="10">
        <f>IF(COUNTIF($J$2:J16,J16)=1,SUMIFS($O:$O,$J:$J,J16)+SUMIFS($P:$P,$J:$J,J16)+SUMIFS($Q:$Q,$J:$J,J16),"")</f>
        <v>150.38310000000001</v>
      </c>
      <c r="S16" s="10">
        <v>150.38</v>
      </c>
      <c r="T16" s="11" t="str">
        <f t="shared" si="5"/>
        <v>Check</v>
      </c>
      <c r="U16" s="12">
        <v>45818</v>
      </c>
      <c r="V16" s="10">
        <v>150.38</v>
      </c>
      <c r="W16" s="10" t="str">
        <f t="shared" si="1"/>
        <v>Not Paid</v>
      </c>
      <c r="X16" t="s">
        <v>478</v>
      </c>
      <c r="Y16" t="s">
        <v>28</v>
      </c>
      <c r="Z16">
        <v>100272</v>
      </c>
      <c r="AA16" t="s">
        <v>3084</v>
      </c>
      <c r="AB16" t="s">
        <v>521</v>
      </c>
      <c r="AC16" s="9">
        <f t="shared" si="2"/>
        <v>1</v>
      </c>
      <c r="AD16" s="9" t="str">
        <f t="shared" si="3"/>
        <v>Check</v>
      </c>
      <c r="AE16" s="11">
        <f t="shared" si="4"/>
        <v>3.1000000000176442E-3</v>
      </c>
    </row>
    <row r="17" spans="1:31" x14ac:dyDescent="0.3">
      <c r="A17">
        <v>228</v>
      </c>
      <c r="B17">
        <v>4388118</v>
      </c>
      <c r="C17" t="s">
        <v>217</v>
      </c>
      <c r="D17">
        <v>1276402</v>
      </c>
      <c r="E17" t="s">
        <v>540</v>
      </c>
      <c r="F17" t="s">
        <v>20</v>
      </c>
      <c r="G17" t="s">
        <v>1975</v>
      </c>
      <c r="H17" t="s">
        <v>1976</v>
      </c>
      <c r="I17" s="9" t="s">
        <v>3277</v>
      </c>
      <c r="J17" s="9">
        <v>51161020823</v>
      </c>
      <c r="K17" s="14" t="s">
        <v>3165</v>
      </c>
      <c r="L17" s="13" t="s">
        <v>3248</v>
      </c>
      <c r="M17" s="14">
        <v>1</v>
      </c>
      <c r="N17" s="14">
        <v>142.5</v>
      </c>
      <c r="O17" s="10">
        <f t="shared" si="0"/>
        <v>142.5</v>
      </c>
      <c r="P17" s="11">
        <v>0</v>
      </c>
      <c r="Q17" s="11">
        <v>0</v>
      </c>
      <c r="R17" s="10">
        <f>IF(COUNTIF($J$2:J17,J17)=1,SUMIFS($O:$O,$J:$J,J17)+SUMIFS($P:$P,$J:$J,J17)+SUMIFS($Q:$Q,$J:$J,J17),"")</f>
        <v>142.5</v>
      </c>
      <c r="S17" s="10">
        <v>142.5</v>
      </c>
      <c r="T17" s="11" t="str">
        <f t="shared" si="5"/>
        <v>Ok</v>
      </c>
      <c r="U17" s="12">
        <v>45749</v>
      </c>
      <c r="V17" s="10">
        <v>142.5</v>
      </c>
      <c r="W17" s="10" t="str">
        <f t="shared" si="1"/>
        <v>Not Paid</v>
      </c>
      <c r="X17" t="s">
        <v>478</v>
      </c>
      <c r="Y17" t="s">
        <v>28</v>
      </c>
      <c r="Z17">
        <v>100162</v>
      </c>
      <c r="AA17" t="s">
        <v>3083</v>
      </c>
      <c r="AB17" t="s">
        <v>521</v>
      </c>
      <c r="AC17" s="9">
        <f t="shared" si="2"/>
        <v>1</v>
      </c>
      <c r="AD17" s="9" t="str">
        <f t="shared" si="3"/>
        <v>Ok</v>
      </c>
      <c r="AE17" s="11">
        <f t="shared" si="4"/>
        <v>0</v>
      </c>
    </row>
    <row r="18" spans="1:31" x14ac:dyDescent="0.3">
      <c r="A18">
        <v>227</v>
      </c>
      <c r="B18">
        <v>4388468</v>
      </c>
      <c r="C18" t="s">
        <v>56</v>
      </c>
      <c r="D18">
        <v>1588891</v>
      </c>
      <c r="E18" t="s">
        <v>61</v>
      </c>
      <c r="F18" t="s">
        <v>18</v>
      </c>
      <c r="G18" t="s">
        <v>1983</v>
      </c>
      <c r="H18" t="s">
        <v>1984</v>
      </c>
      <c r="I18" s="9" t="s">
        <v>3227</v>
      </c>
      <c r="J18" s="9">
        <v>50117757013</v>
      </c>
      <c r="K18" s="14" t="s">
        <v>3246</v>
      </c>
      <c r="L18" s="13" t="s">
        <v>3245</v>
      </c>
      <c r="M18" s="14">
        <v>32000</v>
      </c>
      <c r="N18" s="14">
        <v>0.3135</v>
      </c>
      <c r="O18" s="10">
        <f t="shared" si="0"/>
        <v>10032</v>
      </c>
      <c r="P18" s="11">
        <v>0</v>
      </c>
      <c r="Q18" s="11">
        <v>0</v>
      </c>
      <c r="R18" s="10">
        <f>IF(COUNTIF($J$2:J18,J18)=1,SUMIFS($O:$O,$J:$J,J18)+SUMIFS($P:$P,$J:$J,J18)+SUMIFS($Q:$Q,$J:$J,J18),"")</f>
        <v>10032</v>
      </c>
      <c r="S18" s="10">
        <v>10032</v>
      </c>
      <c r="T18" s="11" t="str">
        <f t="shared" si="5"/>
        <v>Ok</v>
      </c>
      <c r="U18" s="12">
        <v>45798</v>
      </c>
      <c r="V18" s="10">
        <v>2448</v>
      </c>
      <c r="W18" s="10" t="str">
        <f t="shared" si="1"/>
        <v>Short Paid</v>
      </c>
      <c r="X18" t="s">
        <v>438</v>
      </c>
      <c r="Y18" t="s">
        <v>28</v>
      </c>
      <c r="Z18">
        <v>100163</v>
      </c>
      <c r="AA18" t="s">
        <v>443</v>
      </c>
      <c r="AB18" t="s">
        <v>523</v>
      </c>
      <c r="AC18" s="9">
        <f t="shared" si="2"/>
        <v>1</v>
      </c>
      <c r="AD18" s="9" t="str">
        <f t="shared" si="3"/>
        <v>Ok</v>
      </c>
      <c r="AE18" s="11">
        <f t="shared" si="4"/>
        <v>0</v>
      </c>
    </row>
    <row r="19" spans="1:31" x14ac:dyDescent="0.3">
      <c r="A19">
        <v>226</v>
      </c>
      <c r="B19">
        <v>4388728</v>
      </c>
      <c r="C19" t="s">
        <v>239</v>
      </c>
      <c r="D19">
        <v>1073332</v>
      </c>
      <c r="E19" t="s">
        <v>632</v>
      </c>
      <c r="F19" t="s">
        <v>20</v>
      </c>
      <c r="G19" t="s">
        <v>1985</v>
      </c>
      <c r="H19" t="s">
        <v>1986</v>
      </c>
      <c r="I19" s="9" t="s">
        <v>3397</v>
      </c>
      <c r="J19" s="9">
        <v>51162398422</v>
      </c>
      <c r="K19" s="14" t="s">
        <v>3370</v>
      </c>
      <c r="L19" s="13" t="s">
        <v>3689</v>
      </c>
      <c r="M19" s="14">
        <v>9000</v>
      </c>
      <c r="N19" s="14">
        <v>1.566E-2</v>
      </c>
      <c r="O19" s="10">
        <f t="shared" si="0"/>
        <v>140.94</v>
      </c>
      <c r="P19" s="11">
        <v>0</v>
      </c>
      <c r="Q19" s="11">
        <v>0</v>
      </c>
      <c r="R19" s="10">
        <f>IF(COUNTIF($J$2:J19,J19)=1,SUMIFS($O:$O,$J:$J,J19)+SUMIFS($P:$P,$J:$J,J19)+SUMIFS($Q:$Q,$J:$J,J19),"")</f>
        <v>140.94</v>
      </c>
      <c r="S19" s="10">
        <v>140.94</v>
      </c>
      <c r="T19" s="11" t="str">
        <f t="shared" si="5"/>
        <v>Ok</v>
      </c>
      <c r="U19" s="12">
        <v>45848</v>
      </c>
      <c r="V19" s="10">
        <v>140.94</v>
      </c>
      <c r="W19" s="10" t="str">
        <f t="shared" si="1"/>
        <v>Not Paid</v>
      </c>
      <c r="X19" t="s">
        <v>476</v>
      </c>
      <c r="Y19" t="s">
        <v>28</v>
      </c>
      <c r="Z19">
        <v>100195</v>
      </c>
      <c r="AA19" t="s">
        <v>3070</v>
      </c>
      <c r="AB19" t="s">
        <v>521</v>
      </c>
      <c r="AC19" s="9">
        <f t="shared" si="2"/>
        <v>1</v>
      </c>
      <c r="AD19" s="9" t="str">
        <f t="shared" si="3"/>
        <v>Ok</v>
      </c>
      <c r="AE19" s="11">
        <f t="shared" si="4"/>
        <v>0</v>
      </c>
    </row>
    <row r="20" spans="1:31" x14ac:dyDescent="0.3">
      <c r="A20">
        <v>226</v>
      </c>
      <c r="B20">
        <v>4388948</v>
      </c>
      <c r="C20" t="s">
        <v>239</v>
      </c>
      <c r="D20">
        <v>1073332</v>
      </c>
      <c r="E20" t="s">
        <v>632</v>
      </c>
      <c r="F20" t="s">
        <v>20</v>
      </c>
      <c r="G20" t="s">
        <v>1987</v>
      </c>
      <c r="H20" t="s">
        <v>1988</v>
      </c>
      <c r="I20" s="9" t="s">
        <v>3312</v>
      </c>
      <c r="J20" s="9">
        <v>51162026221</v>
      </c>
      <c r="K20" s="14" t="s">
        <v>3370</v>
      </c>
      <c r="L20" s="13" t="s">
        <v>3689</v>
      </c>
      <c r="M20" s="14">
        <v>9000</v>
      </c>
      <c r="N20" s="14">
        <v>2.0119999999999999E-2</v>
      </c>
      <c r="O20" s="10">
        <f t="shared" si="0"/>
        <v>181.07999999999998</v>
      </c>
      <c r="P20" s="11">
        <v>14.03</v>
      </c>
      <c r="Q20" s="11">
        <v>0</v>
      </c>
      <c r="R20" s="10">
        <f>IF(COUNTIF($J$2:J20,J20)=1,SUMIFS($O:$O,$J:$J,J20)+SUMIFS($P:$P,$J:$J,J20)+SUMIFS($Q:$Q,$J:$J,J20),"")</f>
        <v>195.10999999999999</v>
      </c>
      <c r="S20" s="10">
        <v>195.11</v>
      </c>
      <c r="T20" s="11" t="str">
        <f t="shared" si="5"/>
        <v>Ok</v>
      </c>
      <c r="U20" s="12">
        <v>45854</v>
      </c>
      <c r="V20" s="10">
        <v>195.11</v>
      </c>
      <c r="W20" s="10" t="str">
        <f t="shared" si="1"/>
        <v>Not Paid</v>
      </c>
      <c r="X20" t="s">
        <v>476</v>
      </c>
      <c r="Y20" t="s">
        <v>28</v>
      </c>
      <c r="Z20">
        <v>100205</v>
      </c>
      <c r="AA20" t="s">
        <v>3075</v>
      </c>
      <c r="AB20" t="s">
        <v>521</v>
      </c>
      <c r="AC20" s="9">
        <f t="shared" si="2"/>
        <v>1</v>
      </c>
      <c r="AD20" s="9" t="str">
        <f t="shared" si="3"/>
        <v>Ok</v>
      </c>
      <c r="AE20" s="11">
        <f t="shared" si="4"/>
        <v>0</v>
      </c>
    </row>
    <row r="21" spans="1:31" x14ac:dyDescent="0.3">
      <c r="A21">
        <v>226</v>
      </c>
      <c r="B21">
        <v>4389248</v>
      </c>
      <c r="C21" t="s">
        <v>239</v>
      </c>
      <c r="D21">
        <v>1176121</v>
      </c>
      <c r="E21" t="s">
        <v>642</v>
      </c>
      <c r="F21" t="s">
        <v>51</v>
      </c>
      <c r="G21" t="s">
        <v>1989</v>
      </c>
      <c r="H21" t="s">
        <v>1990</v>
      </c>
      <c r="I21" s="9" t="s">
        <v>3257</v>
      </c>
      <c r="J21" s="9">
        <v>50117797230</v>
      </c>
      <c r="K21" s="14" t="s">
        <v>3259</v>
      </c>
      <c r="L21" s="13" t="s">
        <v>3258</v>
      </c>
      <c r="M21" s="14">
        <v>1</v>
      </c>
      <c r="N21" s="14">
        <v>143.38</v>
      </c>
      <c r="O21" s="10">
        <f t="shared" si="0"/>
        <v>143.38</v>
      </c>
      <c r="P21" s="11">
        <v>0</v>
      </c>
      <c r="Q21" s="11">
        <v>13.62</v>
      </c>
      <c r="R21" s="10">
        <f>IF(COUNTIF($J$2:J21,J21)=1,SUMIFS($O:$O,$J:$J,J21)+SUMIFS($P:$P,$J:$J,J21)+SUMIFS($Q:$Q,$J:$J,J21),"")</f>
        <v>157</v>
      </c>
      <c r="S21" s="10">
        <v>157</v>
      </c>
      <c r="T21" s="11" t="str">
        <f t="shared" si="5"/>
        <v>Ok</v>
      </c>
      <c r="U21" s="12">
        <v>45812</v>
      </c>
      <c r="V21" s="10">
        <v>157</v>
      </c>
      <c r="W21" s="10" t="str">
        <f t="shared" si="1"/>
        <v>Not Paid</v>
      </c>
      <c r="X21" t="s">
        <v>453</v>
      </c>
      <c r="Y21" t="s">
        <v>436</v>
      </c>
      <c r="Z21">
        <v>100174</v>
      </c>
      <c r="AA21" t="s">
        <v>511</v>
      </c>
      <c r="AB21" t="s">
        <v>3043</v>
      </c>
      <c r="AC21" s="9">
        <f t="shared" si="2"/>
        <v>1</v>
      </c>
      <c r="AD21" s="9" t="str">
        <f t="shared" si="3"/>
        <v>Ok</v>
      </c>
      <c r="AE21" s="11">
        <f t="shared" si="4"/>
        <v>0</v>
      </c>
    </row>
    <row r="22" spans="1:31" x14ac:dyDescent="0.3">
      <c r="A22">
        <v>226</v>
      </c>
      <c r="B22">
        <v>4389678</v>
      </c>
      <c r="C22" t="s">
        <v>217</v>
      </c>
      <c r="D22">
        <v>1349213</v>
      </c>
      <c r="E22" t="s">
        <v>637</v>
      </c>
      <c r="F22" t="s">
        <v>18</v>
      </c>
      <c r="G22" t="s">
        <v>1991</v>
      </c>
      <c r="H22" t="s">
        <v>1992</v>
      </c>
      <c r="I22" s="9" t="s">
        <v>3260</v>
      </c>
      <c r="J22" s="9">
        <v>50117797239</v>
      </c>
      <c r="K22" s="14" t="s">
        <v>3262</v>
      </c>
      <c r="L22" s="13" t="s">
        <v>3261</v>
      </c>
      <c r="M22" s="14">
        <v>1000</v>
      </c>
      <c r="N22" s="14">
        <v>1.82</v>
      </c>
      <c r="O22" s="10">
        <f t="shared" si="0"/>
        <v>1820</v>
      </c>
      <c r="P22" s="11">
        <v>0</v>
      </c>
      <c r="Q22" s="11">
        <v>0</v>
      </c>
      <c r="R22" s="10">
        <f>IF(COUNTIF($J$2:J22,J22)=1,SUMIFS($O:$O,$J:$J,J22)+SUMIFS($P:$P,$J:$J,J22)+SUMIFS($Q:$Q,$J:$J,J22),"")</f>
        <v>1820</v>
      </c>
      <c r="S22" s="10">
        <v>7280</v>
      </c>
      <c r="T22" s="11" t="str">
        <f t="shared" si="5"/>
        <v>Check</v>
      </c>
      <c r="U22" s="12">
        <v>45922</v>
      </c>
      <c r="V22" s="10">
        <v>120</v>
      </c>
      <c r="W22" s="10" t="str">
        <f t="shared" si="1"/>
        <v>Short Paid</v>
      </c>
      <c r="X22" t="s">
        <v>438</v>
      </c>
      <c r="Y22" t="s">
        <v>28</v>
      </c>
      <c r="Z22">
        <v>100243</v>
      </c>
      <c r="AA22" t="s">
        <v>446</v>
      </c>
      <c r="AB22" t="s">
        <v>523</v>
      </c>
      <c r="AC22" s="9">
        <f t="shared" si="2"/>
        <v>1</v>
      </c>
      <c r="AD22" s="9" t="str">
        <f t="shared" si="3"/>
        <v>Check</v>
      </c>
      <c r="AE22" s="11">
        <f t="shared" si="4"/>
        <v>-5460</v>
      </c>
    </row>
    <row r="23" spans="1:31" x14ac:dyDescent="0.3">
      <c r="A23">
        <v>226</v>
      </c>
      <c r="B23">
        <v>4395716</v>
      </c>
      <c r="C23" t="s">
        <v>220</v>
      </c>
      <c r="D23">
        <v>1200360</v>
      </c>
      <c r="E23" t="s">
        <v>543</v>
      </c>
      <c r="F23" t="s">
        <v>24</v>
      </c>
      <c r="G23" t="s">
        <v>1993</v>
      </c>
      <c r="H23" t="s">
        <v>1994</v>
      </c>
      <c r="I23" s="9" t="s">
        <v>3535</v>
      </c>
      <c r="J23" s="9">
        <v>51160154034</v>
      </c>
      <c r="K23" s="14" t="s">
        <v>3431</v>
      </c>
      <c r="L23" s="13" t="s">
        <v>3602</v>
      </c>
      <c r="M23" s="14">
        <v>80</v>
      </c>
      <c r="N23" s="14">
        <v>23.691130000000001</v>
      </c>
      <c r="O23" s="10">
        <f t="shared" si="0"/>
        <v>1895.2904000000001</v>
      </c>
      <c r="P23" s="11">
        <v>0</v>
      </c>
      <c r="Q23" s="11">
        <v>180.05</v>
      </c>
      <c r="R23" s="10">
        <f>IF(COUNTIF($J$2:J23,J23)=1,SUMIFS($O:$O,$J:$J,J23)+SUMIFS($P:$P,$J:$J,J23)+SUMIFS($Q:$Q,$J:$J,J23),"")</f>
        <v>2075.3404</v>
      </c>
      <c r="S23" s="10">
        <v>2075.34</v>
      </c>
      <c r="T23" s="11" t="str">
        <f t="shared" si="5"/>
        <v>Check</v>
      </c>
      <c r="U23" s="12">
        <v>45861</v>
      </c>
      <c r="V23" s="10">
        <v>389.6</v>
      </c>
      <c r="W23" s="10" t="str">
        <f t="shared" si="1"/>
        <v>Short Paid</v>
      </c>
      <c r="X23" t="s">
        <v>435</v>
      </c>
      <c r="Y23" t="s">
        <v>40</v>
      </c>
      <c r="Z23">
        <v>100181</v>
      </c>
      <c r="AA23" t="s">
        <v>517</v>
      </c>
      <c r="AB23" t="s">
        <v>522</v>
      </c>
      <c r="AC23" s="9">
        <f t="shared" si="2"/>
        <v>1</v>
      </c>
      <c r="AD23" s="9" t="str">
        <f t="shared" si="3"/>
        <v>Check</v>
      </c>
      <c r="AE23" s="11">
        <f t="shared" si="4"/>
        <v>3.9999999989959178E-4</v>
      </c>
    </row>
    <row r="24" spans="1:31" x14ac:dyDescent="0.3">
      <c r="A24">
        <v>226</v>
      </c>
      <c r="B24">
        <v>4395796</v>
      </c>
      <c r="C24" t="s">
        <v>220</v>
      </c>
      <c r="D24">
        <v>1200360</v>
      </c>
      <c r="E24" t="s">
        <v>543</v>
      </c>
      <c r="F24" t="s">
        <v>24</v>
      </c>
      <c r="G24" t="s">
        <v>1995</v>
      </c>
      <c r="H24" t="s">
        <v>1996</v>
      </c>
      <c r="I24" s="9" t="s">
        <v>3169</v>
      </c>
      <c r="J24" s="9">
        <v>51160979923</v>
      </c>
      <c r="K24" s="14" t="s">
        <v>3431</v>
      </c>
      <c r="L24" s="13" t="s">
        <v>3602</v>
      </c>
      <c r="M24" s="14">
        <v>120</v>
      </c>
      <c r="N24" s="14">
        <v>23.691079999999999</v>
      </c>
      <c r="O24" s="10">
        <f t="shared" si="0"/>
        <v>2842.9295999999999</v>
      </c>
      <c r="P24" s="11">
        <v>0</v>
      </c>
      <c r="Q24" s="11">
        <v>270.08</v>
      </c>
      <c r="R24" s="10">
        <f>IF(COUNTIF($J$2:J24,J24)=1,SUMIFS($O:$O,$J:$J,J24)+SUMIFS($P:$P,$J:$J,J24)+SUMIFS($Q:$Q,$J:$J,J24),"")</f>
        <v>3113.0095999999999</v>
      </c>
      <c r="S24" s="10">
        <v>3113.01</v>
      </c>
      <c r="T24" s="11" t="str">
        <f t="shared" si="5"/>
        <v>Check</v>
      </c>
      <c r="U24" s="12">
        <v>45876</v>
      </c>
      <c r="V24" s="10">
        <v>364</v>
      </c>
      <c r="W24" s="10" t="str">
        <f t="shared" si="1"/>
        <v>Short Paid</v>
      </c>
      <c r="X24" t="s">
        <v>435</v>
      </c>
      <c r="Y24" t="s">
        <v>40</v>
      </c>
      <c r="Z24">
        <v>100221</v>
      </c>
      <c r="AA24" t="s">
        <v>518</v>
      </c>
      <c r="AB24" t="s">
        <v>522</v>
      </c>
      <c r="AC24" s="9">
        <f t="shared" si="2"/>
        <v>1</v>
      </c>
      <c r="AD24" s="9" t="str">
        <f t="shared" si="3"/>
        <v>Check</v>
      </c>
      <c r="AE24" s="11">
        <f t="shared" si="4"/>
        <v>-4.0000000035433914E-4</v>
      </c>
    </row>
    <row r="25" spans="1:31" x14ac:dyDescent="0.3">
      <c r="A25">
        <v>225</v>
      </c>
      <c r="B25">
        <v>4389638</v>
      </c>
      <c r="C25" t="s">
        <v>160</v>
      </c>
      <c r="D25">
        <v>1262308</v>
      </c>
      <c r="E25" t="s">
        <v>611</v>
      </c>
      <c r="F25" t="s">
        <v>20</v>
      </c>
      <c r="G25" t="s">
        <v>1997</v>
      </c>
      <c r="H25" t="s">
        <v>1998</v>
      </c>
      <c r="I25" s="9" t="s">
        <v>3543</v>
      </c>
      <c r="J25" s="9">
        <v>51159630958</v>
      </c>
      <c r="K25" s="14" t="s">
        <v>3295</v>
      </c>
      <c r="L25" s="13" t="s">
        <v>3601</v>
      </c>
      <c r="M25" s="14">
        <v>4000</v>
      </c>
      <c r="N25" s="14">
        <v>0.23799999999999999</v>
      </c>
      <c r="O25" s="10">
        <f t="shared" si="0"/>
        <v>952</v>
      </c>
      <c r="P25" s="11">
        <v>0</v>
      </c>
      <c r="Q25" s="11">
        <v>90.44</v>
      </c>
      <c r="R25" s="10">
        <f>IF(COUNTIF($J$2:J25,J25)=1,SUMIFS($O:$O,$J:$J,J25)+SUMIFS($P:$P,$J:$J,J25)+SUMIFS($Q:$Q,$J:$J,J25),"")</f>
        <v>1042.44</v>
      </c>
      <c r="S25" s="10">
        <v>1042.44</v>
      </c>
      <c r="T25" s="11" t="str">
        <f t="shared" si="5"/>
        <v>Ok</v>
      </c>
      <c r="U25" s="12">
        <v>45867</v>
      </c>
      <c r="V25" s="10">
        <v>90.44</v>
      </c>
      <c r="W25" s="10" t="str">
        <f t="shared" si="1"/>
        <v>Short Paid</v>
      </c>
      <c r="X25" t="s">
        <v>453</v>
      </c>
      <c r="Y25" t="s">
        <v>28</v>
      </c>
      <c r="Z25">
        <v>100274</v>
      </c>
      <c r="AA25" t="s">
        <v>454</v>
      </c>
      <c r="AB25" t="s">
        <v>521</v>
      </c>
      <c r="AC25" s="9">
        <f t="shared" si="2"/>
        <v>1</v>
      </c>
      <c r="AD25" s="9" t="str">
        <f t="shared" si="3"/>
        <v>Ok</v>
      </c>
      <c r="AE25" s="11">
        <f t="shared" si="4"/>
        <v>0</v>
      </c>
    </row>
    <row r="26" spans="1:31" x14ac:dyDescent="0.3">
      <c r="A26">
        <v>225</v>
      </c>
      <c r="B26">
        <v>4390548</v>
      </c>
      <c r="C26" t="s">
        <v>160</v>
      </c>
      <c r="D26">
        <v>1391333</v>
      </c>
      <c r="E26" t="s">
        <v>636</v>
      </c>
      <c r="F26" t="s">
        <v>23</v>
      </c>
      <c r="G26" t="s">
        <v>1999</v>
      </c>
      <c r="H26" t="s">
        <v>2000</v>
      </c>
      <c r="I26" s="9" t="s">
        <v>3192</v>
      </c>
      <c r="J26" s="9">
        <v>51161143785</v>
      </c>
      <c r="K26" s="14" t="s">
        <v>3550</v>
      </c>
      <c r="L26" s="13" t="s">
        <v>3648</v>
      </c>
      <c r="M26" s="14">
        <v>8</v>
      </c>
      <c r="N26" s="14">
        <v>373.25</v>
      </c>
      <c r="O26" s="10">
        <f t="shared" si="0"/>
        <v>2986</v>
      </c>
      <c r="P26" s="11">
        <v>0</v>
      </c>
      <c r="Q26" s="11">
        <v>0</v>
      </c>
      <c r="R26" s="10">
        <f>IF(COUNTIF($J$2:J26,J26)=1,SUMIFS($O:$O,$J:$J,J26)+SUMIFS($P:$P,$J:$J,J26)+SUMIFS($Q:$Q,$J:$J,J26),"")</f>
        <v>2986</v>
      </c>
      <c r="S26" s="10">
        <v>2986</v>
      </c>
      <c r="T26" s="11" t="str">
        <f t="shared" si="5"/>
        <v>Ok</v>
      </c>
      <c r="U26" s="12">
        <v>45860</v>
      </c>
      <c r="V26" s="10">
        <v>2538.1</v>
      </c>
      <c r="W26" s="10" t="str">
        <f t="shared" si="1"/>
        <v>Short Paid</v>
      </c>
      <c r="X26" t="s">
        <v>450</v>
      </c>
      <c r="Y26" t="s">
        <v>436</v>
      </c>
      <c r="Z26">
        <v>100177</v>
      </c>
      <c r="AA26" t="s">
        <v>3110</v>
      </c>
      <c r="AB26" t="s">
        <v>520</v>
      </c>
      <c r="AC26" s="9">
        <f t="shared" si="2"/>
        <v>1</v>
      </c>
      <c r="AD26" s="9" t="str">
        <f t="shared" si="3"/>
        <v>Ok</v>
      </c>
      <c r="AE26" s="11">
        <f t="shared" si="4"/>
        <v>0</v>
      </c>
    </row>
    <row r="27" spans="1:31" x14ac:dyDescent="0.3">
      <c r="A27">
        <v>225</v>
      </c>
      <c r="B27">
        <v>4387677</v>
      </c>
      <c r="C27" t="s">
        <v>56</v>
      </c>
      <c r="D27">
        <v>1588891</v>
      </c>
      <c r="E27" t="s">
        <v>61</v>
      </c>
      <c r="F27" t="s">
        <v>18</v>
      </c>
      <c r="G27" t="s">
        <v>2001</v>
      </c>
      <c r="H27" t="s">
        <v>2002</v>
      </c>
      <c r="I27" s="9" t="s">
        <v>3453</v>
      </c>
      <c r="J27" s="9">
        <v>51163325232</v>
      </c>
      <c r="K27" s="14" t="s">
        <v>3216</v>
      </c>
      <c r="L27" s="13" t="s">
        <v>3215</v>
      </c>
      <c r="M27" s="14">
        <v>100000</v>
      </c>
      <c r="N27" s="14">
        <v>1.8700000000000001E-2</v>
      </c>
      <c r="O27" s="10">
        <f t="shared" si="0"/>
        <v>1870.0000000000002</v>
      </c>
      <c r="P27" s="11">
        <v>0</v>
      </c>
      <c r="Q27" s="11">
        <v>0</v>
      </c>
      <c r="R27" s="10">
        <f>IF(COUNTIF($J$2:J27,J27)=1,SUMIFS($O:$O,$J:$J,J27)+SUMIFS($P:$P,$J:$J,J27)+SUMIFS($Q:$Q,$J:$J,J27),"")</f>
        <v>1870.0000000000002</v>
      </c>
      <c r="S27" s="10">
        <v>1870</v>
      </c>
      <c r="T27" s="11" t="str">
        <f t="shared" si="5"/>
        <v>Ok</v>
      </c>
      <c r="U27" s="12">
        <v>45817</v>
      </c>
      <c r="V27" s="10">
        <v>376</v>
      </c>
      <c r="W27" s="10" t="str">
        <f t="shared" si="1"/>
        <v>Short Paid</v>
      </c>
      <c r="X27" t="s">
        <v>438</v>
      </c>
      <c r="Y27" t="s">
        <v>28</v>
      </c>
      <c r="Z27">
        <v>100193</v>
      </c>
      <c r="AA27" t="s">
        <v>442</v>
      </c>
      <c r="AB27" t="s">
        <v>523</v>
      </c>
      <c r="AC27" s="9">
        <f t="shared" si="2"/>
        <v>1</v>
      </c>
      <c r="AD27" s="9" t="str">
        <f t="shared" si="3"/>
        <v>Ok</v>
      </c>
      <c r="AE27" s="11">
        <f t="shared" si="4"/>
        <v>0</v>
      </c>
    </row>
    <row r="28" spans="1:31" x14ac:dyDescent="0.3">
      <c r="A28">
        <v>224</v>
      </c>
      <c r="B28">
        <v>4391967</v>
      </c>
      <c r="C28" t="s">
        <v>160</v>
      </c>
      <c r="D28">
        <v>1391333</v>
      </c>
      <c r="E28" t="s">
        <v>636</v>
      </c>
      <c r="F28" t="s">
        <v>18</v>
      </c>
      <c r="G28" t="s">
        <v>2003</v>
      </c>
      <c r="H28" t="s">
        <v>2004</v>
      </c>
      <c r="I28" s="9" t="s">
        <v>3277</v>
      </c>
      <c r="J28" s="9">
        <v>51159924130</v>
      </c>
      <c r="K28" s="14" t="s">
        <v>3229</v>
      </c>
      <c r="L28" s="13" t="s">
        <v>3607</v>
      </c>
      <c r="M28" s="14">
        <v>500</v>
      </c>
      <c r="N28" s="14">
        <v>4.7601599999999999</v>
      </c>
      <c r="O28" s="10">
        <f t="shared" si="0"/>
        <v>2380.08</v>
      </c>
      <c r="P28" s="11">
        <v>0</v>
      </c>
      <c r="Q28" s="11">
        <v>0</v>
      </c>
      <c r="R28" s="10">
        <f>IF(COUNTIF($J$2:J28,J28)=1,SUMIFS($O:$O,$J:$J,J28)+SUMIFS($P:$P,$J:$J,J28)+SUMIFS($Q:$Q,$J:$J,J28),"")</f>
        <v>2380.08</v>
      </c>
      <c r="S28" s="10">
        <v>2380.08</v>
      </c>
      <c r="T28" s="11" t="str">
        <f t="shared" si="5"/>
        <v>Ok</v>
      </c>
      <c r="U28" s="12">
        <v>45859</v>
      </c>
      <c r="V28" s="10">
        <v>5</v>
      </c>
      <c r="W28" s="10" t="str">
        <f t="shared" si="1"/>
        <v>Short Paid</v>
      </c>
      <c r="X28" t="s">
        <v>450</v>
      </c>
      <c r="Y28" t="s">
        <v>28</v>
      </c>
      <c r="Z28">
        <v>100237</v>
      </c>
      <c r="AA28" t="s">
        <v>3094</v>
      </c>
      <c r="AB28" t="s">
        <v>523</v>
      </c>
      <c r="AC28" s="9">
        <f t="shared" si="2"/>
        <v>1</v>
      </c>
      <c r="AD28" s="9" t="str">
        <f t="shared" si="3"/>
        <v>Ok</v>
      </c>
      <c r="AE28" s="11">
        <f t="shared" si="4"/>
        <v>0</v>
      </c>
    </row>
    <row r="29" spans="1:31" x14ac:dyDescent="0.3">
      <c r="A29">
        <v>224</v>
      </c>
      <c r="B29">
        <v>4392867</v>
      </c>
      <c r="C29" t="s">
        <v>160</v>
      </c>
      <c r="D29">
        <v>1443616</v>
      </c>
      <c r="E29" t="s">
        <v>285</v>
      </c>
      <c r="F29" t="s">
        <v>18</v>
      </c>
      <c r="G29" t="s">
        <v>2005</v>
      </c>
      <c r="H29" t="s">
        <v>2006</v>
      </c>
      <c r="I29" s="9" t="s">
        <v>3232</v>
      </c>
      <c r="J29" s="9">
        <v>55113373969</v>
      </c>
      <c r="K29" s="14">
        <v>36586</v>
      </c>
      <c r="L29" s="13" t="s">
        <v>3796</v>
      </c>
      <c r="M29" s="14">
        <v>7000</v>
      </c>
      <c r="N29" s="14">
        <v>34.340000000000003</v>
      </c>
      <c r="O29" s="10">
        <f t="shared" si="0"/>
        <v>240380.00000000003</v>
      </c>
      <c r="P29" s="11">
        <v>0</v>
      </c>
      <c r="Q29" s="11">
        <v>0</v>
      </c>
      <c r="R29" s="10">
        <f>IF(COUNTIF($J$2:J29,J29)=1,SUMIFS($O:$O,$J:$J,J29)+SUMIFS($P:$P,$J:$J,J29)+SUMIFS($Q:$Q,$J:$J,J29),"")</f>
        <v>240380.00000000003</v>
      </c>
      <c r="S29" s="10">
        <v>240380</v>
      </c>
      <c r="T29" s="11" t="str">
        <f t="shared" si="5"/>
        <v>Ok</v>
      </c>
      <c r="U29" s="12">
        <v>45945</v>
      </c>
      <c r="V29" s="10">
        <v>23800</v>
      </c>
      <c r="W29" s="10" t="str">
        <f t="shared" si="1"/>
        <v>Short Paid</v>
      </c>
      <c r="X29" t="s">
        <v>435</v>
      </c>
      <c r="Y29" t="s">
        <v>28</v>
      </c>
      <c r="Z29">
        <v>100241</v>
      </c>
      <c r="AA29" t="s">
        <v>3063</v>
      </c>
      <c r="AB29" t="s">
        <v>523</v>
      </c>
      <c r="AC29" s="9">
        <f t="shared" si="2"/>
        <v>1</v>
      </c>
      <c r="AD29" s="9" t="str">
        <f t="shared" si="3"/>
        <v>Ok</v>
      </c>
      <c r="AE29" s="11">
        <f t="shared" si="4"/>
        <v>0</v>
      </c>
    </row>
    <row r="30" spans="1:31" x14ac:dyDescent="0.3">
      <c r="A30">
        <v>224</v>
      </c>
      <c r="B30">
        <v>4392877</v>
      </c>
      <c r="C30" t="s">
        <v>167</v>
      </c>
      <c r="D30">
        <v>1212379</v>
      </c>
      <c r="E30" t="s">
        <v>535</v>
      </c>
      <c r="F30" t="s">
        <v>25</v>
      </c>
      <c r="G30" t="s">
        <v>2007</v>
      </c>
      <c r="H30" t="s">
        <v>2008</v>
      </c>
      <c r="I30" s="9" t="s">
        <v>3498</v>
      </c>
      <c r="J30" s="9">
        <v>55113373967</v>
      </c>
      <c r="K30" s="14" t="s">
        <v>3165</v>
      </c>
      <c r="L30" s="13" t="s">
        <v>3795</v>
      </c>
      <c r="M30" s="14">
        <v>1</v>
      </c>
      <c r="N30" s="14">
        <v>1238.19</v>
      </c>
      <c r="O30" s="10">
        <f t="shared" si="0"/>
        <v>1238.19</v>
      </c>
      <c r="P30" s="11">
        <v>102.15</v>
      </c>
      <c r="Q30" s="11">
        <v>0</v>
      </c>
      <c r="R30" s="10">
        <f>IF(COUNTIF($J$2:J30,J30)=1,SUMIFS($O:$O,$J:$J,J30)+SUMIFS($P:$P,$J:$J,J30)+SUMIFS($Q:$Q,$J:$J,J30),"")</f>
        <v>1340.3400000000001</v>
      </c>
      <c r="S30" s="10">
        <v>1340.34</v>
      </c>
      <c r="T30" s="11" t="str">
        <f t="shared" si="5"/>
        <v>Ok</v>
      </c>
      <c r="U30" s="12">
        <v>45957</v>
      </c>
      <c r="V30" s="10">
        <v>1340.34</v>
      </c>
      <c r="W30" s="10" t="str">
        <f t="shared" si="1"/>
        <v>Not Paid</v>
      </c>
      <c r="X30" t="s">
        <v>455</v>
      </c>
      <c r="Y30" t="s">
        <v>28</v>
      </c>
      <c r="Z30">
        <v>100280</v>
      </c>
      <c r="AA30" t="s">
        <v>465</v>
      </c>
      <c r="AB30" t="s">
        <v>525</v>
      </c>
      <c r="AC30" s="9">
        <f t="shared" si="2"/>
        <v>1</v>
      </c>
      <c r="AD30" s="9" t="str">
        <f t="shared" si="3"/>
        <v>Ok</v>
      </c>
      <c r="AE30" s="11">
        <f t="shared" si="4"/>
        <v>0</v>
      </c>
    </row>
    <row r="31" spans="1:31" x14ac:dyDescent="0.3">
      <c r="A31">
        <v>223</v>
      </c>
      <c r="B31">
        <v>4394487</v>
      </c>
      <c r="C31" t="s">
        <v>160</v>
      </c>
      <c r="D31">
        <v>1963277</v>
      </c>
      <c r="E31" t="s">
        <v>250</v>
      </c>
      <c r="F31" t="s">
        <v>18</v>
      </c>
      <c r="G31" t="s">
        <v>2009</v>
      </c>
      <c r="H31" t="s">
        <v>2010</v>
      </c>
      <c r="I31" s="9" t="s">
        <v>3421</v>
      </c>
      <c r="J31" s="9">
        <v>51158994705</v>
      </c>
      <c r="K31" s="14" t="s">
        <v>3259</v>
      </c>
      <c r="L31" s="13" t="s">
        <v>3594</v>
      </c>
      <c r="M31" s="14">
        <v>1000</v>
      </c>
      <c r="N31" s="14">
        <v>3.0385000000000004</v>
      </c>
      <c r="O31" s="10">
        <f t="shared" si="0"/>
        <v>3038.5000000000005</v>
      </c>
      <c r="P31" s="11">
        <v>0</v>
      </c>
      <c r="Q31" s="11">
        <v>0</v>
      </c>
      <c r="R31" s="10">
        <f>IF(COUNTIF($J$2:J31,J31)=1,SUMIFS($O:$O,$J:$J,J31)+SUMIFS($P:$P,$J:$J,J31)+SUMIFS($Q:$Q,$J:$J,J31),"")</f>
        <v>3038.5000000000005</v>
      </c>
      <c r="S31" s="10">
        <v>3038.5</v>
      </c>
      <c r="T31" s="11" t="str">
        <f t="shared" si="5"/>
        <v>Ok</v>
      </c>
      <c r="U31" s="12">
        <v>45869</v>
      </c>
      <c r="V31" s="10">
        <v>228.5</v>
      </c>
      <c r="W31" s="10" t="str">
        <f t="shared" si="1"/>
        <v>Short Paid</v>
      </c>
      <c r="X31" t="s">
        <v>474</v>
      </c>
      <c r="Y31" t="s">
        <v>28</v>
      </c>
      <c r="Z31">
        <v>100129</v>
      </c>
      <c r="AA31" t="s">
        <v>495</v>
      </c>
      <c r="AB31" t="s">
        <v>523</v>
      </c>
      <c r="AC31" s="9">
        <f t="shared" si="2"/>
        <v>1</v>
      </c>
      <c r="AD31" s="9" t="str">
        <f t="shared" si="3"/>
        <v>Ok</v>
      </c>
      <c r="AE31" s="11">
        <f t="shared" si="4"/>
        <v>0</v>
      </c>
    </row>
    <row r="32" spans="1:31" x14ac:dyDescent="0.3">
      <c r="A32">
        <v>220</v>
      </c>
      <c r="B32">
        <v>4394227</v>
      </c>
      <c r="C32" t="s">
        <v>217</v>
      </c>
      <c r="D32">
        <v>1140119</v>
      </c>
      <c r="E32" t="s">
        <v>630</v>
      </c>
      <c r="F32" t="s">
        <v>18</v>
      </c>
      <c r="G32" t="s">
        <v>2011</v>
      </c>
      <c r="H32" t="s">
        <v>2012</v>
      </c>
      <c r="I32" s="9" t="s">
        <v>3263</v>
      </c>
      <c r="J32" s="9">
        <v>50117801003</v>
      </c>
      <c r="K32" s="14" t="s">
        <v>3252</v>
      </c>
      <c r="L32" s="13" t="s">
        <v>3264</v>
      </c>
      <c r="M32" s="14">
        <v>40000</v>
      </c>
      <c r="N32" s="14">
        <v>7.3299999999999997E-3</v>
      </c>
      <c r="O32" s="10">
        <f t="shared" si="0"/>
        <v>293.2</v>
      </c>
      <c r="P32" s="11">
        <v>43.1</v>
      </c>
      <c r="Q32" s="11">
        <v>38.299999999999997</v>
      </c>
      <c r="R32" s="10">
        <f>IF(COUNTIF($J$2:J32,J32)=1,SUMIFS($O:$O,$J:$J,J32)+SUMIFS($P:$P,$J:$J,J32)+SUMIFS($Q:$Q,$J:$J,J32),"")</f>
        <v>374.6</v>
      </c>
      <c r="S32" s="10">
        <v>374.6</v>
      </c>
      <c r="T32" s="11" t="str">
        <f t="shared" si="5"/>
        <v>Ok</v>
      </c>
      <c r="U32" s="12">
        <v>45896</v>
      </c>
      <c r="V32" s="10">
        <v>122.84</v>
      </c>
      <c r="W32" s="10" t="str">
        <f t="shared" si="1"/>
        <v>Short Paid</v>
      </c>
      <c r="X32" t="s">
        <v>468</v>
      </c>
      <c r="Y32" t="s">
        <v>28</v>
      </c>
      <c r="Z32">
        <v>100166</v>
      </c>
      <c r="AA32" t="s">
        <v>3069</v>
      </c>
      <c r="AB32" t="s">
        <v>523</v>
      </c>
      <c r="AC32" s="9">
        <f t="shared" si="2"/>
        <v>1</v>
      </c>
      <c r="AD32" s="9" t="str">
        <f t="shared" si="3"/>
        <v>Ok</v>
      </c>
      <c r="AE32" s="11">
        <f t="shared" si="4"/>
        <v>0</v>
      </c>
    </row>
    <row r="33" spans="1:31" x14ac:dyDescent="0.3">
      <c r="A33">
        <v>219</v>
      </c>
      <c r="B33">
        <v>4395147</v>
      </c>
      <c r="C33" t="s">
        <v>160</v>
      </c>
      <c r="D33">
        <v>1223769</v>
      </c>
      <c r="E33" t="s">
        <v>643</v>
      </c>
      <c r="F33" t="s">
        <v>47</v>
      </c>
      <c r="G33" t="s">
        <v>2013</v>
      </c>
      <c r="H33" t="s">
        <v>2014</v>
      </c>
      <c r="I33" s="9" t="s">
        <v>3224</v>
      </c>
      <c r="J33" s="9">
        <v>50117801221</v>
      </c>
      <c r="K33" s="14" t="s">
        <v>3266</v>
      </c>
      <c r="L33" s="13" t="s">
        <v>3265</v>
      </c>
      <c r="M33" s="14">
        <v>4400</v>
      </c>
      <c r="N33" s="14">
        <v>0.33900000000000002</v>
      </c>
      <c r="O33" s="10">
        <f t="shared" si="0"/>
        <v>1491.6000000000001</v>
      </c>
      <c r="P33" s="11">
        <v>0</v>
      </c>
      <c r="Q33" s="11">
        <v>780.1</v>
      </c>
      <c r="R33" s="10">
        <f>IF(COUNTIF($J$2:J33,J33)=1,SUMIFS($O:$O,$J:$J,J33)+SUMIFS($P:$P,$J:$J,J33)+SUMIFS($Q:$Q,$J:$J,J33),"")</f>
        <v>2271.7000000000003</v>
      </c>
      <c r="S33" s="10">
        <v>2271.6999999999998</v>
      </c>
      <c r="T33" s="11" t="str">
        <f t="shared" si="5"/>
        <v>Ok</v>
      </c>
      <c r="U33" s="12">
        <v>45870</v>
      </c>
      <c r="V33" s="10">
        <v>780.1</v>
      </c>
      <c r="W33" s="10" t="str">
        <f t="shared" si="1"/>
        <v>Short Paid</v>
      </c>
      <c r="X33" t="s">
        <v>470</v>
      </c>
      <c r="Y33" t="s">
        <v>28</v>
      </c>
      <c r="Z33">
        <v>100208</v>
      </c>
      <c r="AA33" t="s">
        <v>3098</v>
      </c>
      <c r="AB33" t="s">
        <v>3039</v>
      </c>
      <c r="AC33" s="9">
        <f t="shared" si="2"/>
        <v>1</v>
      </c>
      <c r="AD33" s="9" t="str">
        <f t="shared" si="3"/>
        <v>Ok</v>
      </c>
      <c r="AE33" s="11">
        <f t="shared" ref="AE33:AE59" si="6">R33-S33</f>
        <v>0</v>
      </c>
    </row>
    <row r="34" spans="1:31" x14ac:dyDescent="0.3">
      <c r="A34">
        <v>219</v>
      </c>
      <c r="B34">
        <v>4394817</v>
      </c>
      <c r="C34" t="s">
        <v>160</v>
      </c>
      <c r="D34">
        <v>1223769</v>
      </c>
      <c r="E34" t="s">
        <v>643</v>
      </c>
      <c r="F34" t="s">
        <v>18</v>
      </c>
      <c r="G34" t="s">
        <v>2015</v>
      </c>
      <c r="H34" t="s">
        <v>2016</v>
      </c>
      <c r="I34" s="9" t="s">
        <v>3315</v>
      </c>
      <c r="J34" s="9">
        <v>51162052840</v>
      </c>
      <c r="K34" s="14" t="s">
        <v>3338</v>
      </c>
      <c r="L34" s="13" t="s">
        <v>3690</v>
      </c>
      <c r="M34" s="14">
        <v>10</v>
      </c>
      <c r="N34" s="14">
        <v>200.98</v>
      </c>
      <c r="O34" s="10">
        <f t="shared" si="0"/>
        <v>2009.8</v>
      </c>
      <c r="P34" s="11">
        <v>0</v>
      </c>
      <c r="Q34" s="11">
        <v>0</v>
      </c>
      <c r="R34" s="10">
        <f>IF(COUNTIF($J$2:J34,J34)=1,SUMIFS($O:$O,$J:$J,J34)+SUMIFS($P:$P,$J:$J,J34)+SUMIFS($Q:$Q,$J:$J,J34),"")</f>
        <v>2009.8</v>
      </c>
      <c r="S34" s="10">
        <v>2009.8</v>
      </c>
      <c r="T34" s="11" t="str">
        <f t="shared" si="5"/>
        <v>Ok</v>
      </c>
      <c r="U34" s="12">
        <v>45909</v>
      </c>
      <c r="V34" s="10">
        <v>544.52</v>
      </c>
      <c r="W34" s="10" t="str">
        <f t="shared" si="1"/>
        <v>Short Paid</v>
      </c>
      <c r="X34" t="s">
        <v>470</v>
      </c>
      <c r="Y34" t="s">
        <v>28</v>
      </c>
      <c r="Z34">
        <v>100238</v>
      </c>
      <c r="AA34" t="s">
        <v>3078</v>
      </c>
      <c r="AB34" t="s">
        <v>523</v>
      </c>
      <c r="AC34" s="9">
        <f t="shared" si="2"/>
        <v>1</v>
      </c>
      <c r="AD34" s="9" t="str">
        <f t="shared" si="3"/>
        <v>Ok</v>
      </c>
      <c r="AE34" s="11">
        <f t="shared" si="6"/>
        <v>0</v>
      </c>
    </row>
    <row r="35" spans="1:31" x14ac:dyDescent="0.3">
      <c r="A35">
        <v>219</v>
      </c>
      <c r="B35">
        <v>4395926</v>
      </c>
      <c r="C35" t="s">
        <v>240</v>
      </c>
      <c r="D35">
        <v>1220166</v>
      </c>
      <c r="E35" t="s">
        <v>644</v>
      </c>
      <c r="F35" t="s">
        <v>20</v>
      </c>
      <c r="G35" t="s">
        <v>2017</v>
      </c>
      <c r="H35" t="s">
        <v>2018</v>
      </c>
      <c r="I35" s="9" t="s">
        <v>3326</v>
      </c>
      <c r="J35" s="9">
        <v>51160305749</v>
      </c>
      <c r="K35" s="14" t="s">
        <v>3203</v>
      </c>
      <c r="L35" s="13" t="s">
        <v>3619</v>
      </c>
      <c r="M35" s="14">
        <v>507</v>
      </c>
      <c r="N35" s="14">
        <v>0.43</v>
      </c>
      <c r="O35" s="10">
        <f t="shared" si="0"/>
        <v>218.01</v>
      </c>
      <c r="P35" s="11">
        <v>0</v>
      </c>
      <c r="Q35" s="11">
        <v>0</v>
      </c>
      <c r="R35" s="10">
        <f>IF(COUNTIF($J$2:J35,J35)=1,SUMIFS($O:$O,$J:$J,J35)+SUMIFS($P:$P,$J:$J,J35)+SUMIFS($Q:$Q,$J:$J,J35),"")</f>
        <v>218.01</v>
      </c>
      <c r="S35" s="10">
        <v>218.01</v>
      </c>
      <c r="T35" s="11" t="str">
        <f t="shared" si="5"/>
        <v>Ok</v>
      </c>
      <c r="U35" s="12">
        <v>45616</v>
      </c>
      <c r="V35" s="10">
        <v>218.01</v>
      </c>
      <c r="W35" s="10" t="str">
        <f t="shared" si="1"/>
        <v>Not Paid</v>
      </c>
      <c r="X35" t="s">
        <v>474</v>
      </c>
      <c r="Y35" t="s">
        <v>28</v>
      </c>
      <c r="Z35">
        <v>100249</v>
      </c>
      <c r="AA35" t="s">
        <v>484</v>
      </c>
      <c r="AB35" t="s">
        <v>521</v>
      </c>
      <c r="AC35" s="9">
        <f t="shared" si="2"/>
        <v>1</v>
      </c>
      <c r="AD35" s="9" t="str">
        <f t="shared" si="3"/>
        <v>Ok</v>
      </c>
      <c r="AE35" s="11">
        <f t="shared" si="6"/>
        <v>0</v>
      </c>
    </row>
    <row r="36" spans="1:31" x14ac:dyDescent="0.3">
      <c r="A36">
        <v>219</v>
      </c>
      <c r="B36">
        <v>4395956</v>
      </c>
      <c r="C36" t="s">
        <v>220</v>
      </c>
      <c r="D36">
        <v>1200360</v>
      </c>
      <c r="E36" t="s">
        <v>543</v>
      </c>
      <c r="F36" t="s">
        <v>24</v>
      </c>
      <c r="G36" t="s">
        <v>2019</v>
      </c>
      <c r="H36" t="s">
        <v>2020</v>
      </c>
      <c r="I36" s="9" t="s">
        <v>3419</v>
      </c>
      <c r="J36" s="9">
        <v>51162318525</v>
      </c>
      <c r="K36" s="14" t="s">
        <v>3705</v>
      </c>
      <c r="L36" s="13" t="s">
        <v>3704</v>
      </c>
      <c r="M36" s="14">
        <v>20</v>
      </c>
      <c r="N36" s="14">
        <v>68</v>
      </c>
      <c r="O36" s="10">
        <f t="shared" si="0"/>
        <v>1360</v>
      </c>
      <c r="P36" s="11">
        <v>0</v>
      </c>
      <c r="Q36" s="11">
        <v>0</v>
      </c>
      <c r="R36" s="10">
        <f>IF(COUNTIF($J$2:J36,J36)=1,SUMIFS($O:$O,$J:$J,J36)+SUMIFS($P:$P,$J:$J,J36)+SUMIFS($Q:$Q,$J:$J,J36),"")</f>
        <v>1360</v>
      </c>
      <c r="S36" s="10">
        <v>1360</v>
      </c>
      <c r="T36" s="11" t="str">
        <f t="shared" si="5"/>
        <v>Ok</v>
      </c>
      <c r="U36" s="12">
        <v>45917</v>
      </c>
      <c r="V36" s="10">
        <v>194.8</v>
      </c>
      <c r="W36" s="10" t="str">
        <f t="shared" si="1"/>
        <v>Short Paid</v>
      </c>
      <c r="X36" t="s">
        <v>435</v>
      </c>
      <c r="Y36" t="s">
        <v>40</v>
      </c>
      <c r="Z36">
        <v>100141</v>
      </c>
      <c r="AA36" t="s">
        <v>440</v>
      </c>
      <c r="AB36" t="s">
        <v>522</v>
      </c>
      <c r="AC36" s="9">
        <f t="shared" si="2"/>
        <v>1</v>
      </c>
      <c r="AD36" s="9" t="str">
        <f t="shared" si="3"/>
        <v>Ok</v>
      </c>
      <c r="AE36" s="11">
        <f t="shared" si="6"/>
        <v>0</v>
      </c>
    </row>
    <row r="37" spans="1:31" x14ac:dyDescent="0.3">
      <c r="A37">
        <v>218</v>
      </c>
      <c r="B37">
        <v>4395936</v>
      </c>
      <c r="C37" t="s">
        <v>239</v>
      </c>
      <c r="D37">
        <v>1199471</v>
      </c>
      <c r="E37" t="s">
        <v>604</v>
      </c>
      <c r="F37" t="s">
        <v>23</v>
      </c>
      <c r="G37" t="s">
        <v>2021</v>
      </c>
      <c r="H37" t="s">
        <v>2022</v>
      </c>
      <c r="I37" s="9" t="s">
        <v>3359</v>
      </c>
      <c r="J37" s="9">
        <v>51160328112</v>
      </c>
      <c r="K37" s="14" t="s">
        <v>3201</v>
      </c>
      <c r="L37" s="13" t="s">
        <v>3621</v>
      </c>
      <c r="M37" s="14">
        <v>615</v>
      </c>
      <c r="N37" s="14">
        <v>17.489999999999998</v>
      </c>
      <c r="O37" s="10">
        <f t="shared" si="0"/>
        <v>10756.349999999999</v>
      </c>
      <c r="P37" s="11">
        <v>0</v>
      </c>
      <c r="Q37" s="11">
        <v>0</v>
      </c>
      <c r="R37" s="10">
        <f>IF(COUNTIF($J$2:J37,J37)=1,SUMIFS($O:$O,$J:$J,J37)+SUMIFS($P:$P,$J:$J,J37)+SUMIFS($Q:$Q,$J:$J,J37),"")</f>
        <v>10756.349999999999</v>
      </c>
      <c r="S37" s="10">
        <v>10756.35</v>
      </c>
      <c r="T37" s="11" t="str">
        <f t="shared" si="5"/>
        <v>Ok</v>
      </c>
      <c r="U37" s="12">
        <v>45852</v>
      </c>
      <c r="V37" s="10">
        <v>1224.3</v>
      </c>
      <c r="W37" s="10" t="str">
        <f t="shared" si="1"/>
        <v>Short Paid</v>
      </c>
      <c r="X37" t="s">
        <v>478</v>
      </c>
      <c r="Y37" t="s">
        <v>436</v>
      </c>
      <c r="Z37">
        <v>100132</v>
      </c>
      <c r="AA37" t="s">
        <v>3053</v>
      </c>
      <c r="AB37" t="s">
        <v>520</v>
      </c>
      <c r="AC37" s="9">
        <f t="shared" si="2"/>
        <v>1</v>
      </c>
      <c r="AD37" s="9" t="str">
        <f t="shared" si="3"/>
        <v>Ok</v>
      </c>
      <c r="AE37" s="11">
        <f t="shared" si="6"/>
        <v>0</v>
      </c>
    </row>
    <row r="38" spans="1:31" x14ac:dyDescent="0.3">
      <c r="A38">
        <v>217</v>
      </c>
      <c r="B38">
        <v>4396106</v>
      </c>
      <c r="C38" t="s">
        <v>56</v>
      </c>
      <c r="D38">
        <v>1588891</v>
      </c>
      <c r="E38" t="s">
        <v>61</v>
      </c>
      <c r="F38" t="s">
        <v>18</v>
      </c>
      <c r="G38" t="s">
        <v>2023</v>
      </c>
      <c r="H38" t="s">
        <v>2024</v>
      </c>
      <c r="I38" s="9" t="s">
        <v>3388</v>
      </c>
      <c r="J38" s="9">
        <v>51161418031</v>
      </c>
      <c r="K38" s="14" t="s">
        <v>3379</v>
      </c>
      <c r="L38" s="13" t="s">
        <v>3461</v>
      </c>
      <c r="M38" s="14">
        <v>30000</v>
      </c>
      <c r="N38" s="14">
        <v>2.7E-2</v>
      </c>
      <c r="O38" s="10">
        <f t="shared" si="0"/>
        <v>810</v>
      </c>
      <c r="P38" s="11">
        <v>0</v>
      </c>
      <c r="Q38" s="11">
        <v>0</v>
      </c>
      <c r="R38" s="10">
        <f>IF(COUNTIF($J$2:J38,J38)=1,SUMIFS($O:$O,$J:$J,J38)+SUMIFS($P:$P,$J:$J,J38)+SUMIFS($Q:$Q,$J:$J,J38),"")</f>
        <v>810</v>
      </c>
      <c r="S38" s="10">
        <v>810</v>
      </c>
      <c r="T38" s="11" t="str">
        <f t="shared" si="5"/>
        <v>Ok</v>
      </c>
      <c r="U38" s="12">
        <v>45817</v>
      </c>
      <c r="V38" s="10">
        <v>560.1</v>
      </c>
      <c r="W38" s="10" t="str">
        <f t="shared" si="1"/>
        <v>Short Paid</v>
      </c>
      <c r="X38" t="s">
        <v>438</v>
      </c>
      <c r="Y38" t="s">
        <v>28</v>
      </c>
      <c r="Z38">
        <v>100203</v>
      </c>
      <c r="AA38" t="s">
        <v>441</v>
      </c>
      <c r="AB38" t="s">
        <v>523</v>
      </c>
      <c r="AC38" s="9">
        <f t="shared" si="2"/>
        <v>1</v>
      </c>
      <c r="AD38" s="9" t="str">
        <f t="shared" si="3"/>
        <v>Ok</v>
      </c>
      <c r="AE38" s="11">
        <f t="shared" si="6"/>
        <v>0</v>
      </c>
    </row>
    <row r="39" spans="1:31" x14ac:dyDescent="0.3">
      <c r="A39">
        <v>217</v>
      </c>
      <c r="B39">
        <v>4396096</v>
      </c>
      <c r="C39" t="s">
        <v>56</v>
      </c>
      <c r="D39">
        <v>1588891</v>
      </c>
      <c r="E39" t="s">
        <v>61</v>
      </c>
      <c r="F39" t="s">
        <v>18</v>
      </c>
      <c r="G39" t="s">
        <v>2025</v>
      </c>
      <c r="H39" t="s">
        <v>2026</v>
      </c>
      <c r="I39" s="9" t="s">
        <v>3296</v>
      </c>
      <c r="J39" s="9">
        <v>51160626030</v>
      </c>
      <c r="K39" s="14" t="s">
        <v>3379</v>
      </c>
      <c r="L39" s="13" t="s">
        <v>3461</v>
      </c>
      <c r="M39" s="14">
        <v>30000</v>
      </c>
      <c r="N39" s="14">
        <v>2.7E-2</v>
      </c>
      <c r="O39" s="10">
        <f t="shared" si="0"/>
        <v>810</v>
      </c>
      <c r="P39" s="11">
        <v>0</v>
      </c>
      <c r="Q39" s="11">
        <v>0</v>
      </c>
      <c r="R39" s="10">
        <f>IF(COUNTIF($J$2:J39,J39)=1,SUMIFS($O:$O,$J:$J,J39)+SUMIFS($P:$P,$J:$J,J39)+SUMIFS($Q:$Q,$J:$J,J39),"")</f>
        <v>810</v>
      </c>
      <c r="S39" s="10">
        <v>810</v>
      </c>
      <c r="T39" s="11" t="str">
        <f t="shared" si="5"/>
        <v>Ok</v>
      </c>
      <c r="U39" s="12">
        <v>45817</v>
      </c>
      <c r="V39" s="10">
        <v>560.1</v>
      </c>
      <c r="W39" s="10" t="str">
        <f t="shared" si="1"/>
        <v>Short Paid</v>
      </c>
      <c r="X39" t="s">
        <v>438</v>
      </c>
      <c r="Y39" t="s">
        <v>28</v>
      </c>
      <c r="Z39">
        <v>100233</v>
      </c>
      <c r="AA39" t="s">
        <v>448</v>
      </c>
      <c r="AB39" t="s">
        <v>523</v>
      </c>
      <c r="AC39" s="9">
        <f t="shared" si="2"/>
        <v>1</v>
      </c>
      <c r="AD39" s="9" t="str">
        <f t="shared" si="3"/>
        <v>Ok</v>
      </c>
      <c r="AE39" s="11">
        <f t="shared" si="6"/>
        <v>0</v>
      </c>
    </row>
    <row r="40" spans="1:31" x14ac:dyDescent="0.3">
      <c r="A40">
        <v>216</v>
      </c>
      <c r="B40">
        <v>4396626</v>
      </c>
      <c r="C40" t="s">
        <v>56</v>
      </c>
      <c r="D40">
        <v>1588891</v>
      </c>
      <c r="E40" t="s">
        <v>61</v>
      </c>
      <c r="F40" t="s">
        <v>18</v>
      </c>
      <c r="G40" t="s">
        <v>2027</v>
      </c>
      <c r="H40" t="s">
        <v>2028</v>
      </c>
      <c r="I40" s="9" t="s">
        <v>3221</v>
      </c>
      <c r="J40" s="9">
        <v>51159277767</v>
      </c>
      <c r="K40" s="14" t="s">
        <v>3194</v>
      </c>
      <c r="L40" s="13" t="s">
        <v>3597</v>
      </c>
      <c r="M40" s="14">
        <v>4000</v>
      </c>
      <c r="N40" s="14">
        <v>0.40760000000000002</v>
      </c>
      <c r="O40" s="10">
        <f t="shared" si="0"/>
        <v>1630.4</v>
      </c>
      <c r="P40" s="11">
        <v>0</v>
      </c>
      <c r="Q40" s="11">
        <v>0</v>
      </c>
      <c r="R40" s="10">
        <f>IF(COUNTIF($J$2:J40,J40)=1,SUMIFS($O:$O,$J:$J,J40)+SUMIFS($P:$P,$J:$J,J40)+SUMIFS($Q:$Q,$J:$J,J40),"")</f>
        <v>1630.4</v>
      </c>
      <c r="S40" s="10">
        <v>1630.4</v>
      </c>
      <c r="T40" s="11" t="str">
        <f t="shared" si="5"/>
        <v>Ok</v>
      </c>
      <c r="U40" s="12">
        <v>45806</v>
      </c>
      <c r="V40" s="10">
        <v>690.4</v>
      </c>
      <c r="W40" s="10" t="str">
        <f t="shared" si="1"/>
        <v>Short Paid</v>
      </c>
      <c r="X40" t="s">
        <v>438</v>
      </c>
      <c r="Y40" t="s">
        <v>28</v>
      </c>
      <c r="Z40">
        <v>100283</v>
      </c>
      <c r="AA40" t="s">
        <v>439</v>
      </c>
      <c r="AB40" t="s">
        <v>523</v>
      </c>
      <c r="AC40" s="9">
        <f t="shared" si="2"/>
        <v>1</v>
      </c>
      <c r="AD40" s="9" t="str">
        <f t="shared" si="3"/>
        <v>Ok</v>
      </c>
      <c r="AE40" s="11">
        <f t="shared" si="6"/>
        <v>0</v>
      </c>
    </row>
    <row r="41" spans="1:31" x14ac:dyDescent="0.3">
      <c r="A41">
        <v>212</v>
      </c>
      <c r="B41">
        <v>4395566</v>
      </c>
      <c r="C41" t="s">
        <v>167</v>
      </c>
      <c r="D41">
        <v>1186140</v>
      </c>
      <c r="E41" t="s">
        <v>645</v>
      </c>
      <c r="F41" t="s">
        <v>20</v>
      </c>
      <c r="G41" t="s">
        <v>2029</v>
      </c>
      <c r="H41" t="s">
        <v>2030</v>
      </c>
      <c r="I41" s="9" t="s">
        <v>3423</v>
      </c>
      <c r="J41" s="9">
        <v>51162102474</v>
      </c>
      <c r="K41" s="14" t="s">
        <v>3165</v>
      </c>
      <c r="L41" s="13" t="s">
        <v>3691</v>
      </c>
      <c r="M41" s="14">
        <v>10</v>
      </c>
      <c r="N41" s="14">
        <v>2268.75</v>
      </c>
      <c r="O41" s="10">
        <f t="shared" si="0"/>
        <v>22687.5</v>
      </c>
      <c r="P41" s="11">
        <v>0</v>
      </c>
      <c r="Q41" s="11">
        <v>0</v>
      </c>
      <c r="R41" s="10">
        <f>IF(COUNTIF($J$2:J41,J41)=1,SUMIFS($O:$O,$J:$J,J41)+SUMIFS($P:$P,$J:$J,J41)+SUMIFS($Q:$Q,$J:$J,J41),"")</f>
        <v>22687.5</v>
      </c>
      <c r="S41" s="10">
        <v>22687.5</v>
      </c>
      <c r="T41" s="11" t="str">
        <f t="shared" si="5"/>
        <v>Ok</v>
      </c>
      <c r="U41" s="12">
        <v>45649</v>
      </c>
      <c r="V41" s="10">
        <v>22687.5</v>
      </c>
      <c r="W41" s="10" t="str">
        <f t="shared" si="1"/>
        <v>Not Paid</v>
      </c>
      <c r="X41" t="s">
        <v>438</v>
      </c>
      <c r="Y41" t="s">
        <v>28</v>
      </c>
      <c r="Z41">
        <v>100153</v>
      </c>
      <c r="AA41" t="s">
        <v>445</v>
      </c>
      <c r="AB41" t="s">
        <v>521</v>
      </c>
      <c r="AC41" s="9">
        <f t="shared" si="2"/>
        <v>1</v>
      </c>
      <c r="AD41" s="9" t="str">
        <f t="shared" si="3"/>
        <v>Ok</v>
      </c>
      <c r="AE41" s="11">
        <f t="shared" si="6"/>
        <v>0</v>
      </c>
    </row>
    <row r="42" spans="1:31" x14ac:dyDescent="0.3">
      <c r="A42">
        <v>211</v>
      </c>
      <c r="B42">
        <v>4398986</v>
      </c>
      <c r="C42" t="s">
        <v>160</v>
      </c>
      <c r="D42">
        <v>1443616</v>
      </c>
      <c r="E42" t="s">
        <v>285</v>
      </c>
      <c r="F42" t="s">
        <v>20</v>
      </c>
      <c r="G42" t="s">
        <v>2031</v>
      </c>
      <c r="H42" t="s">
        <v>2032</v>
      </c>
      <c r="I42" s="9" t="s">
        <v>3206</v>
      </c>
      <c r="J42" s="9">
        <v>51160320651</v>
      </c>
      <c r="K42" s="14">
        <v>36586</v>
      </c>
      <c r="L42" s="13" t="s">
        <v>3620</v>
      </c>
      <c r="M42" s="14">
        <v>1</v>
      </c>
      <c r="N42" s="14">
        <v>25000</v>
      </c>
      <c r="O42" s="10">
        <f t="shared" si="0"/>
        <v>25000</v>
      </c>
      <c r="P42" s="11">
        <v>0</v>
      </c>
      <c r="Q42" s="11">
        <v>0</v>
      </c>
      <c r="R42" s="10">
        <f>IF(COUNTIF($J$2:J42,J42)=1,SUMIFS($O:$O,$J:$J,J42)+SUMIFS($P:$P,$J:$J,J42)+SUMIFS($Q:$Q,$J:$J,J42),"")</f>
        <v>25000</v>
      </c>
      <c r="S42" s="10">
        <v>25000</v>
      </c>
      <c r="T42" s="11" t="str">
        <f t="shared" si="5"/>
        <v>Ok</v>
      </c>
      <c r="U42" s="12">
        <v>45916</v>
      </c>
      <c r="V42" s="10">
        <v>25000</v>
      </c>
      <c r="W42" s="10" t="str">
        <f t="shared" si="1"/>
        <v>Not Paid</v>
      </c>
      <c r="X42" t="s">
        <v>435</v>
      </c>
      <c r="Y42" t="s">
        <v>28</v>
      </c>
      <c r="Z42">
        <v>100271</v>
      </c>
      <c r="AA42" t="s">
        <v>3067</v>
      </c>
      <c r="AB42" t="s">
        <v>521</v>
      </c>
      <c r="AC42" s="9">
        <f t="shared" si="2"/>
        <v>1</v>
      </c>
      <c r="AD42" s="9" t="str">
        <f t="shared" si="3"/>
        <v>Ok</v>
      </c>
      <c r="AE42" s="11">
        <f t="shared" si="6"/>
        <v>0</v>
      </c>
    </row>
    <row r="43" spans="1:31" x14ac:dyDescent="0.3">
      <c r="A43">
        <v>210</v>
      </c>
      <c r="B43">
        <v>4399726</v>
      </c>
      <c r="C43" t="s">
        <v>240</v>
      </c>
      <c r="D43">
        <v>1295013</v>
      </c>
      <c r="E43" t="s">
        <v>639</v>
      </c>
      <c r="F43" t="s">
        <v>50</v>
      </c>
      <c r="G43" t="s">
        <v>2033</v>
      </c>
      <c r="H43" t="s">
        <v>2034</v>
      </c>
      <c r="I43" s="9" t="s">
        <v>3260</v>
      </c>
      <c r="J43" s="9">
        <v>51160566257</v>
      </c>
      <c r="K43" s="14" t="s">
        <v>3628</v>
      </c>
      <c r="L43" s="13" t="s">
        <v>3627</v>
      </c>
      <c r="M43" s="14">
        <v>300</v>
      </c>
      <c r="N43" s="14">
        <v>10.89</v>
      </c>
      <c r="O43" s="10">
        <f t="shared" si="0"/>
        <v>3267</v>
      </c>
      <c r="P43" s="11">
        <v>0</v>
      </c>
      <c r="Q43" s="11">
        <v>0</v>
      </c>
      <c r="R43" s="10">
        <f>IF(COUNTIF($J$2:J43,J43)=1,SUMIFS($O:$O,$J:$J,J43)+SUMIFS($P:$P,$J:$J,J43)+SUMIFS($Q:$Q,$J:$J,J43),"")</f>
        <v>3267</v>
      </c>
      <c r="S43" s="10">
        <v>3507.36</v>
      </c>
      <c r="T43" s="11" t="str">
        <f t="shared" si="5"/>
        <v>Check</v>
      </c>
      <c r="U43" s="12">
        <v>45929</v>
      </c>
      <c r="V43" s="10">
        <v>3507.36</v>
      </c>
      <c r="W43" s="10" t="str">
        <f t="shared" si="1"/>
        <v>Not Paid</v>
      </c>
      <c r="X43" t="s">
        <v>455</v>
      </c>
      <c r="Y43" t="s">
        <v>436</v>
      </c>
      <c r="Z43">
        <v>100130</v>
      </c>
      <c r="AA43" t="s">
        <v>3044</v>
      </c>
      <c r="AB43" t="s">
        <v>3042</v>
      </c>
      <c r="AC43" s="9">
        <f t="shared" si="2"/>
        <v>1</v>
      </c>
      <c r="AD43" s="9" t="str">
        <f t="shared" si="3"/>
        <v>Check</v>
      </c>
      <c r="AE43" s="11">
        <f t="shared" si="6"/>
        <v>-240.36000000000013</v>
      </c>
    </row>
    <row r="44" spans="1:31" x14ac:dyDescent="0.3">
      <c r="A44">
        <v>205</v>
      </c>
      <c r="B44">
        <v>4397116</v>
      </c>
      <c r="C44" t="s">
        <v>239</v>
      </c>
      <c r="D44">
        <v>1043711</v>
      </c>
      <c r="E44" t="s">
        <v>539</v>
      </c>
      <c r="F44" t="s">
        <v>18</v>
      </c>
      <c r="G44" t="s">
        <v>2039</v>
      </c>
      <c r="H44" t="s">
        <v>2040</v>
      </c>
      <c r="I44" s="9" t="s">
        <v>3192</v>
      </c>
      <c r="J44" s="9">
        <v>51162008080</v>
      </c>
      <c r="K44" s="14" t="s">
        <v>3180</v>
      </c>
      <c r="L44" s="13" t="s">
        <v>3463</v>
      </c>
      <c r="M44" s="14">
        <v>30000</v>
      </c>
      <c r="N44" s="14">
        <v>7.3999999999999996E-2</v>
      </c>
      <c r="O44" s="10">
        <f t="shared" si="0"/>
        <v>2220</v>
      </c>
      <c r="P44" s="11">
        <v>111</v>
      </c>
      <c r="Q44" s="11">
        <v>0</v>
      </c>
      <c r="R44" s="10">
        <f>IF(COUNTIF($J$2:J44,J44)=1,SUMIFS($O:$O,$J:$J,J44)+SUMIFS($P:$P,$J:$J,J44)+SUMIFS($Q:$Q,$J:$J,J44),"")</f>
        <v>2331</v>
      </c>
      <c r="S44" s="10">
        <v>2331</v>
      </c>
      <c r="T44" s="11" t="str">
        <f t="shared" si="5"/>
        <v>Ok</v>
      </c>
      <c r="U44" s="12">
        <v>45898</v>
      </c>
      <c r="V44" s="10">
        <v>696.15</v>
      </c>
      <c r="W44" s="10" t="str">
        <f t="shared" si="1"/>
        <v>Short Paid</v>
      </c>
      <c r="X44" t="s">
        <v>476</v>
      </c>
      <c r="Y44" t="s">
        <v>28</v>
      </c>
      <c r="Z44">
        <v>100235</v>
      </c>
      <c r="AA44" t="s">
        <v>509</v>
      </c>
      <c r="AB44" t="s">
        <v>523</v>
      </c>
      <c r="AC44" s="9">
        <f t="shared" si="2"/>
        <v>1</v>
      </c>
      <c r="AD44" s="9" t="str">
        <f t="shared" si="3"/>
        <v>Ok</v>
      </c>
      <c r="AE44" s="11">
        <f t="shared" si="6"/>
        <v>0</v>
      </c>
    </row>
    <row r="45" spans="1:31" x14ac:dyDescent="0.3">
      <c r="A45">
        <v>205</v>
      </c>
      <c r="B45">
        <v>4400326</v>
      </c>
      <c r="C45" t="s">
        <v>239</v>
      </c>
      <c r="D45">
        <v>1043711</v>
      </c>
      <c r="E45" t="s">
        <v>539</v>
      </c>
      <c r="F45" t="s">
        <v>18</v>
      </c>
      <c r="G45" t="s">
        <v>2041</v>
      </c>
      <c r="H45" t="s">
        <v>2042</v>
      </c>
      <c r="I45" s="9" t="s">
        <v>3462</v>
      </c>
      <c r="J45" s="9">
        <v>51146826479</v>
      </c>
      <c r="K45" s="14" t="s">
        <v>3180</v>
      </c>
      <c r="L45" s="13" t="s">
        <v>3463</v>
      </c>
      <c r="M45" s="14">
        <v>30000</v>
      </c>
      <c r="N45" s="14">
        <v>7.3999999999999996E-2</v>
      </c>
      <c r="O45" s="10">
        <f t="shared" si="0"/>
        <v>2220</v>
      </c>
      <c r="P45" s="11">
        <v>111</v>
      </c>
      <c r="Q45" s="11">
        <v>0</v>
      </c>
      <c r="R45" s="10">
        <f>IF(COUNTIF($J$2:J45,J45)=1,SUMIFS($O:$O,$J:$J,J45)+SUMIFS($P:$P,$J:$J,J45)+SUMIFS($Q:$Q,$J:$J,J45),"")</f>
        <v>2331</v>
      </c>
      <c r="S45" s="10">
        <v>2331</v>
      </c>
      <c r="T45" s="11" t="str">
        <f t="shared" si="5"/>
        <v>Ok</v>
      </c>
      <c r="U45" s="12">
        <v>45897</v>
      </c>
      <c r="V45" s="10">
        <v>696.15</v>
      </c>
      <c r="W45" s="10" t="str">
        <f t="shared" si="1"/>
        <v>Short Paid</v>
      </c>
      <c r="X45" t="s">
        <v>476</v>
      </c>
      <c r="Y45" t="s">
        <v>28</v>
      </c>
      <c r="Z45">
        <v>100245</v>
      </c>
      <c r="AA45" t="s">
        <v>507</v>
      </c>
      <c r="AB45" t="s">
        <v>523</v>
      </c>
      <c r="AC45" s="9">
        <f t="shared" si="2"/>
        <v>1</v>
      </c>
      <c r="AD45" s="9" t="str">
        <f t="shared" si="3"/>
        <v>Ok</v>
      </c>
      <c r="AE45" s="11">
        <f t="shared" si="6"/>
        <v>0</v>
      </c>
    </row>
    <row r="46" spans="1:31" x14ac:dyDescent="0.3">
      <c r="A46">
        <v>205</v>
      </c>
      <c r="B46">
        <v>4397106</v>
      </c>
      <c r="C46" t="s">
        <v>160</v>
      </c>
      <c r="D46">
        <v>1963277</v>
      </c>
      <c r="E46" t="s">
        <v>250</v>
      </c>
      <c r="F46" t="s">
        <v>18</v>
      </c>
      <c r="G46" t="s">
        <v>2043</v>
      </c>
      <c r="H46" t="s">
        <v>2044</v>
      </c>
      <c r="I46" s="9" t="s">
        <v>3367</v>
      </c>
      <c r="J46" s="9">
        <v>51162008078</v>
      </c>
      <c r="K46" s="14" t="s">
        <v>3168</v>
      </c>
      <c r="L46" s="13" t="s">
        <v>3646</v>
      </c>
      <c r="M46" s="14">
        <v>15000</v>
      </c>
      <c r="N46" s="14">
        <v>0.11824999999999999</v>
      </c>
      <c r="O46" s="10">
        <f t="shared" si="0"/>
        <v>1773.75</v>
      </c>
      <c r="P46" s="11">
        <v>0</v>
      </c>
      <c r="Q46" s="11">
        <v>0</v>
      </c>
      <c r="R46" s="10">
        <f>IF(COUNTIF($J$2:J46,J46)=1,SUMIFS($O:$O,$J:$J,J46)+SUMIFS($P:$P,$J:$J,J46)+SUMIFS($Q:$Q,$J:$J,J46),"")</f>
        <v>1773.75</v>
      </c>
      <c r="S46" s="10">
        <v>1773.75</v>
      </c>
      <c r="T46" s="11" t="str">
        <f t="shared" si="5"/>
        <v>Ok</v>
      </c>
      <c r="U46" s="12">
        <v>45884</v>
      </c>
      <c r="V46" s="10">
        <v>123.75</v>
      </c>
      <c r="W46" s="10" t="str">
        <f t="shared" si="1"/>
        <v>Short Paid</v>
      </c>
      <c r="X46" t="s">
        <v>474</v>
      </c>
      <c r="Y46" t="s">
        <v>28</v>
      </c>
      <c r="Z46">
        <v>100279</v>
      </c>
      <c r="AA46" t="s">
        <v>485</v>
      </c>
      <c r="AB46" t="s">
        <v>523</v>
      </c>
      <c r="AC46" s="9">
        <f t="shared" si="2"/>
        <v>1</v>
      </c>
      <c r="AD46" s="9" t="str">
        <f t="shared" si="3"/>
        <v>Ok</v>
      </c>
      <c r="AE46" s="11">
        <f t="shared" si="6"/>
        <v>0</v>
      </c>
    </row>
    <row r="47" spans="1:31" x14ac:dyDescent="0.3">
      <c r="A47">
        <v>204</v>
      </c>
      <c r="B47">
        <v>4401246</v>
      </c>
      <c r="C47" t="s">
        <v>160</v>
      </c>
      <c r="D47">
        <v>1963277</v>
      </c>
      <c r="E47" t="s">
        <v>250</v>
      </c>
      <c r="F47" t="s">
        <v>18</v>
      </c>
      <c r="G47" t="s">
        <v>2045</v>
      </c>
      <c r="H47" t="s">
        <v>2046</v>
      </c>
      <c r="I47" s="9" t="s">
        <v>3254</v>
      </c>
      <c r="J47" s="9">
        <v>51159534024</v>
      </c>
      <c r="K47" s="14" t="s">
        <v>3171</v>
      </c>
      <c r="L47" s="13" t="s">
        <v>3600</v>
      </c>
      <c r="M47" s="14">
        <v>1000</v>
      </c>
      <c r="N47" s="14">
        <v>90.84</v>
      </c>
      <c r="O47" s="10">
        <f t="shared" si="0"/>
        <v>90840</v>
      </c>
      <c r="P47" s="11">
        <v>0</v>
      </c>
      <c r="Q47" s="11">
        <v>0</v>
      </c>
      <c r="R47" s="10">
        <f>IF(COUNTIF($J$2:J47,J47)=1,SUMIFS($O:$O,$J:$J,J47)+SUMIFS($P:$P,$J:$J,J47)+SUMIFS($Q:$Q,$J:$J,J47),"")</f>
        <v>90840</v>
      </c>
      <c r="S47" s="10">
        <v>90840</v>
      </c>
      <c r="T47" s="11" t="str">
        <f t="shared" si="5"/>
        <v>Ok</v>
      </c>
      <c r="U47" s="12">
        <v>45884</v>
      </c>
      <c r="V47" s="10">
        <v>4360</v>
      </c>
      <c r="W47" s="10" t="str">
        <f t="shared" si="1"/>
        <v>Short Paid</v>
      </c>
      <c r="X47" t="s">
        <v>474</v>
      </c>
      <c r="Y47" t="s">
        <v>28</v>
      </c>
      <c r="Z47">
        <v>100159</v>
      </c>
      <c r="AA47" t="s">
        <v>488</v>
      </c>
      <c r="AB47" t="s">
        <v>523</v>
      </c>
      <c r="AC47" s="9">
        <f t="shared" si="2"/>
        <v>1</v>
      </c>
      <c r="AD47" s="9" t="str">
        <f t="shared" si="3"/>
        <v>Ok</v>
      </c>
      <c r="AE47" s="11">
        <f t="shared" si="6"/>
        <v>0</v>
      </c>
    </row>
    <row r="48" spans="1:31" x14ac:dyDescent="0.3">
      <c r="A48">
        <v>199</v>
      </c>
      <c r="B48">
        <v>4399256</v>
      </c>
      <c r="C48" t="s">
        <v>160</v>
      </c>
      <c r="D48">
        <v>1383202</v>
      </c>
      <c r="E48" t="s">
        <v>541</v>
      </c>
      <c r="F48" t="s">
        <v>20</v>
      </c>
      <c r="G48" t="s">
        <v>2047</v>
      </c>
      <c r="H48" t="s">
        <v>2048</v>
      </c>
      <c r="I48" s="9" t="s">
        <v>3381</v>
      </c>
      <c r="J48" s="9">
        <v>51161426639</v>
      </c>
      <c r="K48" s="14" t="s">
        <v>3295</v>
      </c>
      <c r="L48" s="13" t="s">
        <v>3658</v>
      </c>
      <c r="M48" s="14">
        <v>19</v>
      </c>
      <c r="N48" s="14">
        <v>389.63</v>
      </c>
      <c r="O48" s="10">
        <f t="shared" si="0"/>
        <v>7402.97</v>
      </c>
      <c r="P48" s="11">
        <v>0</v>
      </c>
      <c r="Q48" s="11">
        <v>0</v>
      </c>
      <c r="R48" s="10">
        <f>IF(COUNTIF($J$2:J48,J48)=1,SUMIFS($O:$O,$J:$J,J48)+SUMIFS($P:$P,$J:$J,J48)+SUMIFS($Q:$Q,$J:$J,J48),"")</f>
        <v>7402.97</v>
      </c>
      <c r="S48" s="10">
        <v>7402.97</v>
      </c>
      <c r="T48" s="11" t="str">
        <f t="shared" si="5"/>
        <v>Ok</v>
      </c>
      <c r="U48" s="12">
        <v>45968</v>
      </c>
      <c r="V48" s="10">
        <v>7402.97</v>
      </c>
      <c r="W48" s="10" t="str">
        <f t="shared" si="1"/>
        <v>Not Paid</v>
      </c>
      <c r="X48" t="s">
        <v>474</v>
      </c>
      <c r="Y48" t="s">
        <v>28</v>
      </c>
      <c r="Z48">
        <v>100249</v>
      </c>
      <c r="AA48" t="s">
        <v>484</v>
      </c>
      <c r="AB48" t="s">
        <v>521</v>
      </c>
      <c r="AC48" s="9">
        <f t="shared" si="2"/>
        <v>1</v>
      </c>
      <c r="AD48" s="9" t="str">
        <f t="shared" si="3"/>
        <v>Ok</v>
      </c>
      <c r="AE48" s="11">
        <f t="shared" si="6"/>
        <v>0</v>
      </c>
    </row>
    <row r="49" spans="1:31" x14ac:dyDescent="0.3">
      <c r="A49">
        <v>199</v>
      </c>
      <c r="B49">
        <v>4400576</v>
      </c>
      <c r="C49" t="s">
        <v>56</v>
      </c>
      <c r="D49">
        <v>1588891</v>
      </c>
      <c r="E49" t="s">
        <v>61</v>
      </c>
      <c r="F49" t="s">
        <v>18</v>
      </c>
      <c r="G49" t="s">
        <v>2049</v>
      </c>
      <c r="H49" t="s">
        <v>2050</v>
      </c>
      <c r="I49" s="9" t="s">
        <v>3230</v>
      </c>
      <c r="J49" s="9">
        <v>51159173428</v>
      </c>
      <c r="K49" s="14" t="s">
        <v>3168</v>
      </c>
      <c r="L49" s="13" t="s">
        <v>3520</v>
      </c>
      <c r="M49" s="14">
        <v>3000</v>
      </c>
      <c r="N49" s="14">
        <v>0.14630000000000001</v>
      </c>
      <c r="O49" s="10">
        <f t="shared" si="0"/>
        <v>438.90000000000003</v>
      </c>
      <c r="P49" s="11">
        <v>0</v>
      </c>
      <c r="Q49" s="11">
        <v>0</v>
      </c>
      <c r="R49" s="10">
        <f>IF(COUNTIF($J$2:J49,J49)=1,SUMIFS($O:$O,$J:$J,J49)+SUMIFS($P:$P,$J:$J,J49)+SUMIFS($Q:$Q,$J:$J,J49),"")</f>
        <v>438.90000000000003</v>
      </c>
      <c r="S49" s="10">
        <v>438.9</v>
      </c>
      <c r="T49" s="11" t="str">
        <f t="shared" si="5"/>
        <v>Ok</v>
      </c>
      <c r="U49" s="12">
        <v>45822</v>
      </c>
      <c r="V49" s="10">
        <v>226.8</v>
      </c>
      <c r="W49" s="10" t="str">
        <f t="shared" si="1"/>
        <v>Short Paid</v>
      </c>
      <c r="X49" t="s">
        <v>438</v>
      </c>
      <c r="Y49" t="s">
        <v>28</v>
      </c>
      <c r="Z49">
        <v>100273</v>
      </c>
      <c r="AA49" t="s">
        <v>444</v>
      </c>
      <c r="AB49" t="s">
        <v>523</v>
      </c>
      <c r="AC49" s="9">
        <f t="shared" si="2"/>
        <v>1</v>
      </c>
      <c r="AD49" s="9" t="str">
        <f t="shared" si="3"/>
        <v>Ok</v>
      </c>
      <c r="AE49" s="11">
        <f t="shared" si="6"/>
        <v>0</v>
      </c>
    </row>
    <row r="50" spans="1:31" x14ac:dyDescent="0.3">
      <c r="A50">
        <v>199</v>
      </c>
      <c r="B50">
        <v>4398856</v>
      </c>
      <c r="C50" t="s">
        <v>56</v>
      </c>
      <c r="D50">
        <v>1588891</v>
      </c>
      <c r="E50" t="s">
        <v>61</v>
      </c>
      <c r="F50" t="s">
        <v>18</v>
      </c>
      <c r="G50" t="s">
        <v>2051</v>
      </c>
      <c r="H50" t="s">
        <v>2052</v>
      </c>
      <c r="I50" s="9" t="s">
        <v>3496</v>
      </c>
      <c r="J50" s="9">
        <v>51159381947</v>
      </c>
      <c r="K50" s="14" t="s">
        <v>3216</v>
      </c>
      <c r="L50" s="13" t="s">
        <v>3215</v>
      </c>
      <c r="M50" s="14">
        <v>100000</v>
      </c>
      <c r="N50" s="14">
        <v>1.8700000000000001E-2</v>
      </c>
      <c r="O50" s="10">
        <f t="shared" si="0"/>
        <v>1870.0000000000002</v>
      </c>
      <c r="P50" s="11">
        <v>0</v>
      </c>
      <c r="Q50" s="11">
        <v>0</v>
      </c>
      <c r="R50" s="10">
        <f>IF(COUNTIF($J$2:J50,J50)=1,SUMIFS($O:$O,$J:$J,J50)+SUMIFS($P:$P,$J:$J,J50)+SUMIFS($Q:$Q,$J:$J,J50),"")</f>
        <v>1870.0000000000002</v>
      </c>
      <c r="S50" s="10">
        <v>1870</v>
      </c>
      <c r="T50" s="11" t="str">
        <f t="shared" si="5"/>
        <v>Ok</v>
      </c>
      <c r="U50" s="12">
        <v>45835</v>
      </c>
      <c r="V50" s="10">
        <v>376</v>
      </c>
      <c r="W50" s="10" t="str">
        <f t="shared" si="1"/>
        <v>Short Paid</v>
      </c>
      <c r="X50" t="s">
        <v>438</v>
      </c>
      <c r="Y50" t="s">
        <v>28</v>
      </c>
      <c r="Z50">
        <v>100283</v>
      </c>
      <c r="AA50" t="s">
        <v>439</v>
      </c>
      <c r="AB50" t="s">
        <v>523</v>
      </c>
      <c r="AC50" s="9">
        <f t="shared" si="2"/>
        <v>1</v>
      </c>
      <c r="AD50" s="9" t="str">
        <f t="shared" si="3"/>
        <v>Ok</v>
      </c>
      <c r="AE50" s="11">
        <f t="shared" si="6"/>
        <v>0</v>
      </c>
    </row>
    <row r="51" spans="1:31" x14ac:dyDescent="0.3">
      <c r="A51">
        <v>199</v>
      </c>
      <c r="B51">
        <v>4398846</v>
      </c>
      <c r="C51" t="s">
        <v>56</v>
      </c>
      <c r="D51">
        <v>1588891</v>
      </c>
      <c r="E51" t="s">
        <v>61</v>
      </c>
      <c r="F51" t="s">
        <v>18</v>
      </c>
      <c r="G51" t="s">
        <v>2053</v>
      </c>
      <c r="H51" t="s">
        <v>2054</v>
      </c>
      <c r="I51" s="9" t="s">
        <v>3596</v>
      </c>
      <c r="J51" s="9">
        <v>51159277756</v>
      </c>
      <c r="K51" s="14" t="s">
        <v>3379</v>
      </c>
      <c r="L51" s="13" t="s">
        <v>3461</v>
      </c>
      <c r="M51" s="14">
        <v>30000</v>
      </c>
      <c r="N51" s="14">
        <v>2.7E-2</v>
      </c>
      <c r="O51" s="10">
        <f t="shared" si="0"/>
        <v>810</v>
      </c>
      <c r="P51" s="11">
        <v>0</v>
      </c>
      <c r="Q51" s="11">
        <v>0</v>
      </c>
      <c r="R51" s="10">
        <f>IF(COUNTIF($J$2:J51,J51)=1,SUMIFS($O:$O,$J:$J,J51)+SUMIFS($P:$P,$J:$J,J51)+SUMIFS($Q:$Q,$J:$J,J51),"")</f>
        <v>810</v>
      </c>
      <c r="S51" s="10">
        <v>810</v>
      </c>
      <c r="T51" s="11" t="str">
        <f t="shared" si="5"/>
        <v>Ok</v>
      </c>
      <c r="U51" s="12">
        <v>45838</v>
      </c>
      <c r="V51" s="10">
        <v>560.1</v>
      </c>
      <c r="W51" s="10" t="str">
        <f t="shared" si="1"/>
        <v>Short Paid</v>
      </c>
      <c r="X51" t="s">
        <v>438</v>
      </c>
      <c r="Y51" t="s">
        <v>28</v>
      </c>
      <c r="Z51">
        <v>100113</v>
      </c>
      <c r="AA51" t="s">
        <v>449</v>
      </c>
      <c r="AB51" t="s">
        <v>523</v>
      </c>
      <c r="AC51" s="9">
        <f t="shared" si="2"/>
        <v>1</v>
      </c>
      <c r="AD51" s="9" t="str">
        <f t="shared" si="3"/>
        <v>Ok</v>
      </c>
      <c r="AE51" s="11">
        <f t="shared" si="6"/>
        <v>0</v>
      </c>
    </row>
    <row r="52" spans="1:31" x14ac:dyDescent="0.3">
      <c r="A52">
        <v>199</v>
      </c>
      <c r="B52">
        <v>4401525</v>
      </c>
      <c r="C52" t="s">
        <v>56</v>
      </c>
      <c r="D52">
        <v>1588891</v>
      </c>
      <c r="E52" t="s">
        <v>61</v>
      </c>
      <c r="F52" t="s">
        <v>18</v>
      </c>
      <c r="G52" t="s">
        <v>2055</v>
      </c>
      <c r="H52" t="s">
        <v>2056</v>
      </c>
      <c r="I52" s="9" t="s">
        <v>3300</v>
      </c>
      <c r="J52" s="9">
        <v>51160662885</v>
      </c>
      <c r="K52" s="14" t="s">
        <v>3246</v>
      </c>
      <c r="L52" s="13" t="s">
        <v>3245</v>
      </c>
      <c r="M52" s="14">
        <v>29000</v>
      </c>
      <c r="N52" s="14">
        <v>0.3135</v>
      </c>
      <c r="O52" s="10">
        <f t="shared" si="0"/>
        <v>9091.5</v>
      </c>
      <c r="P52" s="11">
        <v>0</v>
      </c>
      <c r="Q52" s="11">
        <v>0</v>
      </c>
      <c r="R52" s="10">
        <f>IF(COUNTIF($J$2:J52,J52)=1,SUMIFS($O:$O,$J:$J,J52)+SUMIFS($P:$P,$J:$J,J52)+SUMIFS($Q:$Q,$J:$J,J52),"")</f>
        <v>9091.5</v>
      </c>
      <c r="S52" s="10">
        <v>9091.5</v>
      </c>
      <c r="T52" s="11" t="str">
        <f t="shared" si="5"/>
        <v>Ok</v>
      </c>
      <c r="U52" s="12">
        <v>45820</v>
      </c>
      <c r="V52" s="10">
        <v>2218.5</v>
      </c>
      <c r="W52" s="10" t="str">
        <f t="shared" si="1"/>
        <v>Short Paid</v>
      </c>
      <c r="X52" t="s">
        <v>438</v>
      </c>
      <c r="Y52" t="s">
        <v>28</v>
      </c>
      <c r="Z52">
        <v>100123</v>
      </c>
      <c r="AA52" t="s">
        <v>447</v>
      </c>
      <c r="AB52" t="s">
        <v>523</v>
      </c>
      <c r="AC52" s="9">
        <f t="shared" si="2"/>
        <v>1</v>
      </c>
      <c r="AD52" s="9" t="str">
        <f t="shared" si="3"/>
        <v>Ok</v>
      </c>
      <c r="AE52" s="11">
        <f t="shared" si="6"/>
        <v>0</v>
      </c>
    </row>
    <row r="53" spans="1:31" x14ac:dyDescent="0.3">
      <c r="A53">
        <v>199</v>
      </c>
      <c r="B53">
        <v>4402575</v>
      </c>
      <c r="C53" t="s">
        <v>56</v>
      </c>
      <c r="D53">
        <v>1588891</v>
      </c>
      <c r="E53" t="s">
        <v>61</v>
      </c>
      <c r="F53" t="s">
        <v>18</v>
      </c>
      <c r="G53" t="s">
        <v>2057</v>
      </c>
      <c r="H53" t="s">
        <v>2058</v>
      </c>
      <c r="I53" s="9" t="s">
        <v>3402</v>
      </c>
      <c r="J53" s="9">
        <v>51161626823</v>
      </c>
      <c r="K53" s="14" t="s">
        <v>3177</v>
      </c>
      <c r="L53" s="13" t="s">
        <v>3667</v>
      </c>
      <c r="M53" s="14">
        <v>16000</v>
      </c>
      <c r="N53" s="14">
        <v>4.2819999999999997E-2</v>
      </c>
      <c r="O53" s="10">
        <f t="shared" si="0"/>
        <v>685.12</v>
      </c>
      <c r="P53" s="11">
        <v>0</v>
      </c>
      <c r="Q53" s="11">
        <v>0</v>
      </c>
      <c r="R53" s="10">
        <f>IF(COUNTIF($J$2:J53,J53)=1,SUMIFS($O:$O,$J:$J,J53)+SUMIFS($P:$P,$J:$J,J53)+SUMIFS($Q:$Q,$J:$J,J53),"")</f>
        <v>685.12</v>
      </c>
      <c r="S53" s="10">
        <v>685.12</v>
      </c>
      <c r="T53" s="11" t="str">
        <f t="shared" si="5"/>
        <v>Ok</v>
      </c>
      <c r="U53" s="12">
        <v>45828</v>
      </c>
      <c r="V53" s="10">
        <v>429.12</v>
      </c>
      <c r="W53" s="10" t="str">
        <f t="shared" si="1"/>
        <v>Short Paid</v>
      </c>
      <c r="X53" t="s">
        <v>438</v>
      </c>
      <c r="Y53" t="s">
        <v>28</v>
      </c>
      <c r="Z53">
        <v>100163</v>
      </c>
      <c r="AA53" t="s">
        <v>443</v>
      </c>
      <c r="AB53" t="s">
        <v>523</v>
      </c>
      <c r="AC53" s="9">
        <f t="shared" si="2"/>
        <v>1</v>
      </c>
      <c r="AD53" s="9" t="str">
        <f t="shared" si="3"/>
        <v>Ok</v>
      </c>
      <c r="AE53" s="11">
        <f t="shared" si="6"/>
        <v>0</v>
      </c>
    </row>
    <row r="54" spans="1:31" x14ac:dyDescent="0.3">
      <c r="A54">
        <v>197</v>
      </c>
      <c r="B54">
        <v>4403085</v>
      </c>
      <c r="C54" t="s">
        <v>56</v>
      </c>
      <c r="D54">
        <v>1588891</v>
      </c>
      <c r="E54" t="s">
        <v>61</v>
      </c>
      <c r="F54" t="s">
        <v>20</v>
      </c>
      <c r="G54" t="s">
        <v>2059</v>
      </c>
      <c r="H54" t="s">
        <v>2060</v>
      </c>
      <c r="I54" s="9" t="s">
        <v>3163</v>
      </c>
      <c r="J54" s="9">
        <v>51162861068</v>
      </c>
      <c r="K54" s="14" t="s">
        <v>3488</v>
      </c>
      <c r="L54" s="13" t="s">
        <v>3721</v>
      </c>
      <c r="M54" s="14">
        <v>16560</v>
      </c>
      <c r="N54" s="14">
        <v>0.48799999999999999</v>
      </c>
      <c r="O54" s="10">
        <f t="shared" si="0"/>
        <v>8081.28</v>
      </c>
      <c r="P54" s="11">
        <v>0</v>
      </c>
      <c r="Q54" s="11">
        <v>0</v>
      </c>
      <c r="R54" s="10">
        <f>IF(COUNTIF($J$2:J54,J54)=1,SUMIFS($O:$O,$J:$J,J54)+SUMIFS($P:$P,$J:$J,J54)+SUMIFS($Q:$Q,$J:$J,J54),"")</f>
        <v>8081.28</v>
      </c>
      <c r="S54" s="10">
        <v>8081.28</v>
      </c>
      <c r="T54" s="11" t="str">
        <f t="shared" si="5"/>
        <v>Ok</v>
      </c>
      <c r="U54" s="12">
        <v>45833</v>
      </c>
      <c r="V54" s="10">
        <v>527.04</v>
      </c>
      <c r="W54" s="10" t="str">
        <f t="shared" si="1"/>
        <v>Short Paid</v>
      </c>
      <c r="X54" t="s">
        <v>438</v>
      </c>
      <c r="Y54" t="s">
        <v>28</v>
      </c>
      <c r="Z54">
        <v>100273</v>
      </c>
      <c r="AA54" t="s">
        <v>444</v>
      </c>
      <c r="AB54" t="s">
        <v>521</v>
      </c>
      <c r="AC54" s="9">
        <f t="shared" si="2"/>
        <v>1</v>
      </c>
      <c r="AD54" s="9" t="str">
        <f t="shared" si="3"/>
        <v>Ok</v>
      </c>
      <c r="AE54" s="11">
        <f t="shared" si="6"/>
        <v>0</v>
      </c>
    </row>
    <row r="55" spans="1:31" x14ac:dyDescent="0.3">
      <c r="A55">
        <v>196</v>
      </c>
      <c r="B55">
        <v>4399905</v>
      </c>
      <c r="C55" t="s">
        <v>220</v>
      </c>
      <c r="D55">
        <v>1200360</v>
      </c>
      <c r="E55" t="s">
        <v>543</v>
      </c>
      <c r="F55" t="s">
        <v>24</v>
      </c>
      <c r="G55" t="s">
        <v>2061</v>
      </c>
      <c r="H55" t="s">
        <v>2062</v>
      </c>
      <c r="I55" s="9" t="s">
        <v>3202</v>
      </c>
      <c r="J55" s="9">
        <v>51159703866</v>
      </c>
      <c r="K55" s="14" t="s">
        <v>3431</v>
      </c>
      <c r="L55" s="13" t="s">
        <v>3602</v>
      </c>
      <c r="M55" s="14">
        <v>140</v>
      </c>
      <c r="N55" s="14">
        <v>23.69107</v>
      </c>
      <c r="O55" s="10">
        <f t="shared" si="0"/>
        <v>3316.7498000000001</v>
      </c>
      <c r="P55" s="11">
        <v>0</v>
      </c>
      <c r="Q55" s="11">
        <v>315.10000000000002</v>
      </c>
      <c r="R55" s="10">
        <f>IF(COUNTIF($J$2:J55,J55)=1,SUMIFS($O:$O,$J:$J,J55)+SUMIFS($P:$P,$J:$J,J55)+SUMIFS($Q:$Q,$J:$J,J55),"")</f>
        <v>3631.8498</v>
      </c>
      <c r="S55" s="10">
        <v>3631.85</v>
      </c>
      <c r="T55" s="11" t="str">
        <f t="shared" si="5"/>
        <v>Check</v>
      </c>
      <c r="U55" s="12">
        <v>45875</v>
      </c>
      <c r="V55" s="10">
        <v>364</v>
      </c>
      <c r="W55" s="10" t="str">
        <f t="shared" si="1"/>
        <v>Short Paid</v>
      </c>
      <c r="X55" t="s">
        <v>435</v>
      </c>
      <c r="Y55" t="s">
        <v>40</v>
      </c>
      <c r="Z55">
        <v>100261</v>
      </c>
      <c r="AA55" t="s">
        <v>3052</v>
      </c>
      <c r="AB55" t="s">
        <v>522</v>
      </c>
      <c r="AC55" s="9">
        <f t="shared" si="2"/>
        <v>1</v>
      </c>
      <c r="AD55" s="9" t="str">
        <f t="shared" si="3"/>
        <v>Check</v>
      </c>
      <c r="AE55" s="11">
        <f t="shared" si="6"/>
        <v>-1.9999999994979589E-4</v>
      </c>
    </row>
    <row r="56" spans="1:31" x14ac:dyDescent="0.3">
      <c r="A56">
        <v>196</v>
      </c>
      <c r="B56">
        <v>4404585</v>
      </c>
      <c r="C56" t="s">
        <v>220</v>
      </c>
      <c r="D56">
        <v>1200360</v>
      </c>
      <c r="E56" t="s">
        <v>543</v>
      </c>
      <c r="F56" t="s">
        <v>24</v>
      </c>
      <c r="G56" t="s">
        <v>2063</v>
      </c>
      <c r="H56" t="s">
        <v>2064</v>
      </c>
      <c r="I56" s="9" t="s">
        <v>3247</v>
      </c>
      <c r="J56" s="9">
        <v>51160913864</v>
      </c>
      <c r="K56" s="14" t="s">
        <v>3431</v>
      </c>
      <c r="L56" s="13" t="s">
        <v>3602</v>
      </c>
      <c r="M56" s="14">
        <v>380</v>
      </c>
      <c r="N56" s="14">
        <v>23.691109999999998</v>
      </c>
      <c r="O56" s="10">
        <f t="shared" si="0"/>
        <v>9002.621799999999</v>
      </c>
      <c r="P56" s="11">
        <v>0</v>
      </c>
      <c r="Q56" s="11">
        <v>855.25</v>
      </c>
      <c r="R56" s="10">
        <f>IF(COUNTIF($J$2:J56,J56)=1,SUMIFS($O:$O,$J:$J,J56)+SUMIFS($P:$P,$J:$J,J56)+SUMIFS($Q:$Q,$J:$J,J56),"")</f>
        <v>9857.871799999999</v>
      </c>
      <c r="S56" s="10">
        <v>9857.8700000000008</v>
      </c>
      <c r="T56" s="11" t="str">
        <f t="shared" si="5"/>
        <v>Check</v>
      </c>
      <c r="U56" s="12">
        <v>45883</v>
      </c>
      <c r="V56" s="10">
        <v>728</v>
      </c>
      <c r="W56" s="10" t="str">
        <f t="shared" si="1"/>
        <v>Short Paid</v>
      </c>
      <c r="X56" t="s">
        <v>435</v>
      </c>
      <c r="Y56" t="s">
        <v>40</v>
      </c>
      <c r="Z56">
        <v>100141</v>
      </c>
      <c r="AA56" t="s">
        <v>440</v>
      </c>
      <c r="AB56" t="s">
        <v>522</v>
      </c>
      <c r="AC56" s="9">
        <f t="shared" si="2"/>
        <v>1</v>
      </c>
      <c r="AD56" s="9" t="str">
        <f t="shared" si="3"/>
        <v>Check</v>
      </c>
      <c r="AE56" s="11">
        <f t="shared" si="6"/>
        <v>1.799999998183921E-3</v>
      </c>
    </row>
    <row r="57" spans="1:31" x14ac:dyDescent="0.3">
      <c r="A57">
        <v>193</v>
      </c>
      <c r="B57">
        <v>4403465</v>
      </c>
      <c r="C57" t="s">
        <v>160</v>
      </c>
      <c r="D57">
        <v>1422097</v>
      </c>
      <c r="E57" t="s">
        <v>388</v>
      </c>
      <c r="F57" t="s">
        <v>19</v>
      </c>
      <c r="G57" t="s">
        <v>2065</v>
      </c>
      <c r="H57" t="s">
        <v>2066</v>
      </c>
      <c r="I57" s="9" t="s">
        <v>3236</v>
      </c>
      <c r="J57" s="9">
        <v>55113451177</v>
      </c>
      <c r="K57" s="14" t="s">
        <v>3798</v>
      </c>
      <c r="L57" s="13" t="s">
        <v>3797</v>
      </c>
      <c r="M57" s="14">
        <v>3</v>
      </c>
      <c r="N57" s="14">
        <v>454.44</v>
      </c>
      <c r="O57" s="10">
        <f t="shared" si="0"/>
        <v>1363.32</v>
      </c>
      <c r="P57" s="11">
        <v>0</v>
      </c>
      <c r="Q57" s="11">
        <v>324.47000000000003</v>
      </c>
      <c r="R57" s="10">
        <f>IF(COUNTIF($J$2:J57,J57)=1,SUMIFS($O:$O,$J:$J,J57)+SUMIFS($P:$P,$J:$J,J57)+SUMIFS($Q:$Q,$J:$J,J57),"")</f>
        <v>1687.79</v>
      </c>
      <c r="S57" s="10">
        <v>1687.79</v>
      </c>
      <c r="T57" s="11" t="str">
        <f t="shared" si="5"/>
        <v>Ok</v>
      </c>
      <c r="U57" s="12">
        <v>45908</v>
      </c>
      <c r="V57" s="10">
        <v>324.47000000000003</v>
      </c>
      <c r="W57" s="10" t="str">
        <f t="shared" si="1"/>
        <v>Short Paid</v>
      </c>
      <c r="X57" t="s">
        <v>453</v>
      </c>
      <c r="Y57" t="s">
        <v>28</v>
      </c>
      <c r="Z57">
        <v>100284</v>
      </c>
      <c r="AA57" t="s">
        <v>3062</v>
      </c>
      <c r="AB57" t="s">
        <v>524</v>
      </c>
      <c r="AC57" s="9">
        <f t="shared" si="2"/>
        <v>1</v>
      </c>
      <c r="AD57" s="9" t="str">
        <f t="shared" si="3"/>
        <v>Ok</v>
      </c>
      <c r="AE57" s="11">
        <f t="shared" si="6"/>
        <v>0</v>
      </c>
    </row>
    <row r="58" spans="1:31" x14ac:dyDescent="0.3">
      <c r="A58">
        <v>192</v>
      </c>
      <c r="B58">
        <v>4399295</v>
      </c>
      <c r="C58" t="s">
        <v>94</v>
      </c>
      <c r="D58">
        <v>1006248</v>
      </c>
      <c r="E58" t="s">
        <v>129</v>
      </c>
      <c r="F58" t="s">
        <v>19</v>
      </c>
      <c r="G58" t="s">
        <v>2067</v>
      </c>
      <c r="H58" t="s">
        <v>2068</v>
      </c>
      <c r="I58" s="9" t="s">
        <v>3316</v>
      </c>
      <c r="J58" s="9">
        <v>51161196614</v>
      </c>
      <c r="K58" s="14">
        <v>46082</v>
      </c>
      <c r="L58" s="13" t="s">
        <v>3652</v>
      </c>
      <c r="M58" s="14">
        <v>180</v>
      </c>
      <c r="N58" s="14">
        <v>42.48</v>
      </c>
      <c r="O58" s="10">
        <f t="shared" si="0"/>
        <v>7646.4</v>
      </c>
      <c r="P58" s="11">
        <v>0</v>
      </c>
      <c r="Q58" s="11">
        <v>0</v>
      </c>
      <c r="R58" s="10">
        <f>IF(COUNTIF($J$2:J58,J58)=1,SUMIFS($O:$O,$J:$J,J58)+SUMIFS($P:$P,$J:$J,J58)+SUMIFS($Q:$Q,$J:$J,J58),"")</f>
        <v>7646.4</v>
      </c>
      <c r="S58" s="10">
        <v>7646.4</v>
      </c>
      <c r="T58" s="11" t="str">
        <f t="shared" si="5"/>
        <v>Ok</v>
      </c>
      <c r="U58" s="12">
        <v>45932</v>
      </c>
      <c r="V58" s="10">
        <v>7646.4</v>
      </c>
      <c r="W58" s="10" t="str">
        <f t="shared" si="1"/>
        <v>Not Paid</v>
      </c>
      <c r="X58" t="s">
        <v>438</v>
      </c>
      <c r="Y58" t="s">
        <v>28</v>
      </c>
      <c r="Z58">
        <v>100153</v>
      </c>
      <c r="AA58" t="s">
        <v>445</v>
      </c>
      <c r="AB58" t="s">
        <v>524</v>
      </c>
      <c r="AC58" s="9">
        <f t="shared" si="2"/>
        <v>1</v>
      </c>
      <c r="AD58" s="9" t="str">
        <f t="shared" si="3"/>
        <v>Ok</v>
      </c>
      <c r="AE58" s="11">
        <f t="shared" si="6"/>
        <v>0</v>
      </c>
    </row>
    <row r="59" spans="1:31" x14ac:dyDescent="0.3">
      <c r="A59">
        <v>191</v>
      </c>
      <c r="B59">
        <v>4403555</v>
      </c>
      <c r="C59" t="s">
        <v>160</v>
      </c>
      <c r="D59">
        <v>1830445</v>
      </c>
      <c r="E59" t="s">
        <v>95</v>
      </c>
      <c r="F59" t="s">
        <v>19</v>
      </c>
      <c r="G59" t="s">
        <v>2071</v>
      </c>
      <c r="H59" t="s">
        <v>2072</v>
      </c>
      <c r="I59" s="9" t="s">
        <v>3402</v>
      </c>
      <c r="J59" s="9">
        <v>51161657123</v>
      </c>
      <c r="K59" s="14" t="s">
        <v>3209</v>
      </c>
      <c r="L59" s="13" t="s">
        <v>3672</v>
      </c>
      <c r="M59" s="14">
        <v>1000</v>
      </c>
      <c r="N59" s="14">
        <v>0.44500000000000001</v>
      </c>
      <c r="O59" s="10">
        <f t="shared" si="0"/>
        <v>445</v>
      </c>
      <c r="P59" s="11">
        <v>0</v>
      </c>
      <c r="Q59" s="11">
        <v>0</v>
      </c>
      <c r="R59" s="10">
        <f>IF(COUNTIF($J$2:J59,J59)=1,SUMIFS($O:$O,$J:$J,J59)+SUMIFS($P:$P,$J:$J,J59)+SUMIFS($Q:$Q,$J:$J,J59),"")</f>
        <v>445</v>
      </c>
      <c r="S59" s="10">
        <v>445</v>
      </c>
      <c r="T59" s="11" t="str">
        <f t="shared" si="5"/>
        <v>Ok</v>
      </c>
      <c r="U59" s="12">
        <v>45888</v>
      </c>
      <c r="V59" s="10">
        <v>400.5</v>
      </c>
      <c r="W59" s="10" t="str">
        <f t="shared" si="1"/>
        <v>Short Paid</v>
      </c>
      <c r="X59" t="s">
        <v>450</v>
      </c>
      <c r="Y59" t="s">
        <v>28</v>
      </c>
      <c r="Z59">
        <v>100167</v>
      </c>
      <c r="AA59" t="s">
        <v>499</v>
      </c>
      <c r="AB59" t="s">
        <v>524</v>
      </c>
      <c r="AC59" s="9">
        <f t="shared" si="2"/>
        <v>1</v>
      </c>
      <c r="AD59" s="9" t="str">
        <f t="shared" si="3"/>
        <v>Ok</v>
      </c>
      <c r="AE59" s="11">
        <f t="shared" si="6"/>
        <v>0</v>
      </c>
    </row>
    <row r="60" spans="1:31" x14ac:dyDescent="0.3">
      <c r="A60">
        <v>191</v>
      </c>
      <c r="B60">
        <v>4399285</v>
      </c>
      <c r="C60" t="s">
        <v>160</v>
      </c>
      <c r="D60">
        <v>1180001</v>
      </c>
      <c r="E60" t="s">
        <v>646</v>
      </c>
      <c r="F60" t="s">
        <v>17</v>
      </c>
      <c r="G60" t="s">
        <v>2073</v>
      </c>
      <c r="H60" t="s">
        <v>2074</v>
      </c>
      <c r="I60" s="9" t="s">
        <v>3204</v>
      </c>
      <c r="J60" s="9">
        <v>51161650502</v>
      </c>
      <c r="K60" s="14" t="s">
        <v>3429</v>
      </c>
      <c r="L60" s="13" t="s">
        <v>3669</v>
      </c>
      <c r="M60" s="14">
        <v>500</v>
      </c>
      <c r="N60" s="14">
        <v>3.17</v>
      </c>
      <c r="O60" s="10">
        <f t="shared" si="0"/>
        <v>1585</v>
      </c>
      <c r="P60" s="11">
        <v>0</v>
      </c>
      <c r="Q60" s="11">
        <v>0</v>
      </c>
      <c r="R60" s="10">
        <f>IF(COUNTIF($J$2:J60,J60)=1,SUMIFS($O:$O,$J:$J,J60)+SUMIFS($P:$P,$J:$J,J60)+SUMIFS($Q:$Q,$J:$J,J60),"")</f>
        <v>1585</v>
      </c>
      <c r="S60" s="10">
        <v>1585</v>
      </c>
      <c r="T60" s="11" t="str">
        <f t="shared" si="5"/>
        <v>Ok</v>
      </c>
      <c r="U60" s="12">
        <v>45897</v>
      </c>
      <c r="V60" s="10">
        <v>1585</v>
      </c>
      <c r="W60" s="10" t="str">
        <f t="shared" si="1"/>
        <v>Not Paid</v>
      </c>
      <c r="X60" t="s">
        <v>453</v>
      </c>
      <c r="Y60" t="s">
        <v>436</v>
      </c>
      <c r="Z60">
        <v>100214</v>
      </c>
      <c r="AA60" t="s">
        <v>3111</v>
      </c>
      <c r="AB60" t="s">
        <v>528</v>
      </c>
      <c r="AC60" s="9">
        <f t="shared" si="2"/>
        <v>1</v>
      </c>
      <c r="AD60" s="9" t="str">
        <f t="shared" si="3"/>
        <v>Ok</v>
      </c>
      <c r="AE60" s="11">
        <f t="shared" ref="AE60:AE78" si="7">R60-S60</f>
        <v>0</v>
      </c>
    </row>
    <row r="61" spans="1:31" x14ac:dyDescent="0.3">
      <c r="A61">
        <v>191</v>
      </c>
      <c r="B61">
        <v>4404395</v>
      </c>
      <c r="C61" t="s">
        <v>167</v>
      </c>
      <c r="D61">
        <v>1435960</v>
      </c>
      <c r="E61" t="s">
        <v>531</v>
      </c>
      <c r="F61" t="s">
        <v>24</v>
      </c>
      <c r="G61" t="s">
        <v>2075</v>
      </c>
      <c r="H61" t="s">
        <v>2076</v>
      </c>
      <c r="I61" s="9" t="s">
        <v>3331</v>
      </c>
      <c r="J61" s="9">
        <v>51159381979</v>
      </c>
      <c r="K61" s="14" t="s">
        <v>3599</v>
      </c>
      <c r="L61" s="13" t="s">
        <v>3598</v>
      </c>
      <c r="M61" s="14">
        <v>265</v>
      </c>
      <c r="N61" s="14">
        <v>6.48</v>
      </c>
      <c r="O61" s="10">
        <f t="shared" si="0"/>
        <v>1717.2</v>
      </c>
      <c r="P61" s="11">
        <v>0</v>
      </c>
      <c r="Q61" s="11">
        <v>0</v>
      </c>
      <c r="R61" s="10">
        <f>IF(COUNTIF($J$2:J61,J61)=1,SUMIFS($O:$O,$J:$J,J61)+SUMIFS($P:$P,$J:$J,J61)+SUMIFS($Q:$Q,$J:$J,J61),"")</f>
        <v>1717.2</v>
      </c>
      <c r="S61" s="10">
        <v>1717.2</v>
      </c>
      <c r="T61" s="11" t="str">
        <f t="shared" si="5"/>
        <v>Ok</v>
      </c>
      <c r="U61" s="12">
        <v>45981</v>
      </c>
      <c r="V61" s="10">
        <v>771.12</v>
      </c>
      <c r="W61" s="10" t="str">
        <f t="shared" si="1"/>
        <v>Short Paid</v>
      </c>
      <c r="X61" t="s">
        <v>455</v>
      </c>
      <c r="Y61" t="s">
        <v>40</v>
      </c>
      <c r="Z61">
        <v>100220</v>
      </c>
      <c r="AA61" t="s">
        <v>3051</v>
      </c>
      <c r="AB61" t="s">
        <v>522</v>
      </c>
      <c r="AC61" s="9">
        <f t="shared" si="2"/>
        <v>1</v>
      </c>
      <c r="AD61" s="9" t="str">
        <f t="shared" si="3"/>
        <v>Ok</v>
      </c>
      <c r="AE61" s="11">
        <f t="shared" si="7"/>
        <v>0</v>
      </c>
    </row>
    <row r="62" spans="1:31" x14ac:dyDescent="0.3">
      <c r="A62">
        <v>191</v>
      </c>
      <c r="B62">
        <v>4405355</v>
      </c>
      <c r="C62" t="s">
        <v>239</v>
      </c>
      <c r="D62">
        <v>1098309</v>
      </c>
      <c r="E62" t="s">
        <v>544</v>
      </c>
      <c r="F62" t="s">
        <v>20</v>
      </c>
      <c r="G62" t="s">
        <v>2077</v>
      </c>
      <c r="H62" t="s">
        <v>2078</v>
      </c>
      <c r="I62" s="9" t="s">
        <v>3234</v>
      </c>
      <c r="J62" s="9">
        <v>51164120091</v>
      </c>
      <c r="K62" s="14" t="s">
        <v>3772</v>
      </c>
      <c r="L62" s="13" t="s">
        <v>3771</v>
      </c>
      <c r="M62" s="14">
        <v>4067</v>
      </c>
      <c r="N62" s="14">
        <v>1.4827999999999999</v>
      </c>
      <c r="O62" s="10">
        <f t="shared" si="0"/>
        <v>6030.5475999999999</v>
      </c>
      <c r="P62" s="11">
        <v>0</v>
      </c>
      <c r="Q62" s="11">
        <v>0</v>
      </c>
      <c r="R62" s="10">
        <f>IF(COUNTIF($J$2:J62,J62)=1,SUMIFS($O:$O,$J:$J,J62)+SUMIFS($P:$P,$J:$J,J62)+SUMIFS($Q:$Q,$J:$J,J62),"")</f>
        <v>6030.5475999999999</v>
      </c>
      <c r="S62" s="10">
        <v>6030.55</v>
      </c>
      <c r="T62" s="11" t="str">
        <f t="shared" si="5"/>
        <v>Check</v>
      </c>
      <c r="U62" s="12">
        <v>45937</v>
      </c>
      <c r="V62" s="10">
        <v>6030.55</v>
      </c>
      <c r="W62" s="10" t="str">
        <f t="shared" si="1"/>
        <v>Not Paid</v>
      </c>
      <c r="X62" t="s">
        <v>476</v>
      </c>
      <c r="Y62" t="s">
        <v>28</v>
      </c>
      <c r="Z62">
        <v>100205</v>
      </c>
      <c r="AA62" t="s">
        <v>3075</v>
      </c>
      <c r="AB62" t="s">
        <v>521</v>
      </c>
      <c r="AC62" s="9">
        <f t="shared" si="2"/>
        <v>1</v>
      </c>
      <c r="AD62" s="9" t="str">
        <f t="shared" si="3"/>
        <v>Check</v>
      </c>
      <c r="AE62" s="11">
        <f t="shared" si="7"/>
        <v>-2.4000000003070454E-3</v>
      </c>
    </row>
    <row r="63" spans="1:31" x14ac:dyDescent="0.3">
      <c r="A63">
        <v>188</v>
      </c>
      <c r="B63">
        <v>4407114</v>
      </c>
      <c r="C63" t="s">
        <v>94</v>
      </c>
      <c r="D63">
        <v>1157913</v>
      </c>
      <c r="E63" t="s">
        <v>546</v>
      </c>
      <c r="F63" t="s">
        <v>24</v>
      </c>
      <c r="G63" t="s">
        <v>2079</v>
      </c>
      <c r="H63" t="s">
        <v>2080</v>
      </c>
      <c r="I63" s="9" t="s">
        <v>3419</v>
      </c>
      <c r="J63" s="9">
        <v>51161419130</v>
      </c>
      <c r="K63" s="14" t="s">
        <v>3165</v>
      </c>
      <c r="L63" s="13" t="s">
        <v>3657</v>
      </c>
      <c r="M63" s="14">
        <v>1</v>
      </c>
      <c r="N63" s="14">
        <v>5379.9889999999996</v>
      </c>
      <c r="O63" s="10">
        <f t="shared" si="0"/>
        <v>5379.9889999999996</v>
      </c>
      <c r="P63" s="11">
        <v>0</v>
      </c>
      <c r="Q63" s="11">
        <v>0</v>
      </c>
      <c r="R63" s="10">
        <f>IF(COUNTIF($J$2:J63,J63)=1,SUMIFS($O:$O,$J:$J,J63)+SUMIFS($P:$P,$J:$J,J63)+SUMIFS($Q:$Q,$J:$J,J63),"")</f>
        <v>5379.9889999999996</v>
      </c>
      <c r="S63" s="10">
        <v>5379.99</v>
      </c>
      <c r="T63" s="11" t="str">
        <f t="shared" si="5"/>
        <v>Check</v>
      </c>
      <c r="U63" s="12">
        <v>45994</v>
      </c>
      <c r="V63" s="10">
        <v>487.83</v>
      </c>
      <c r="W63" s="10" t="str">
        <f t="shared" si="1"/>
        <v>Short Paid</v>
      </c>
      <c r="X63" t="s">
        <v>450</v>
      </c>
      <c r="Y63" t="s">
        <v>40</v>
      </c>
      <c r="Z63">
        <v>100187</v>
      </c>
      <c r="AA63" t="s">
        <v>3113</v>
      </c>
      <c r="AB63" t="s">
        <v>522</v>
      </c>
      <c r="AC63" s="9">
        <f t="shared" si="2"/>
        <v>1</v>
      </c>
      <c r="AD63" s="9" t="str">
        <f t="shared" si="3"/>
        <v>Check</v>
      </c>
      <c r="AE63" s="11">
        <f t="shared" si="7"/>
        <v>-1.0000000002037268E-3</v>
      </c>
    </row>
    <row r="64" spans="1:31" x14ac:dyDescent="0.3">
      <c r="A64">
        <v>185</v>
      </c>
      <c r="B64">
        <v>4405135</v>
      </c>
      <c r="C64" t="s">
        <v>239</v>
      </c>
      <c r="D64">
        <v>1040128</v>
      </c>
      <c r="E64" t="s">
        <v>647</v>
      </c>
      <c r="F64" t="s">
        <v>20</v>
      </c>
      <c r="G64" t="s">
        <v>2081</v>
      </c>
      <c r="H64" t="s">
        <v>2082</v>
      </c>
      <c r="I64" s="9" t="s">
        <v>3331</v>
      </c>
      <c r="J64" s="9">
        <v>51163143737</v>
      </c>
      <c r="K64" s="14" t="s">
        <v>3488</v>
      </c>
      <c r="L64" s="13" t="s">
        <v>3730</v>
      </c>
      <c r="M64" s="14">
        <v>20000</v>
      </c>
      <c r="N64" s="14">
        <v>7.0000000000000007E-2</v>
      </c>
      <c r="O64" s="10">
        <f t="shared" si="0"/>
        <v>1400.0000000000002</v>
      </c>
      <c r="P64" s="11">
        <v>0</v>
      </c>
      <c r="Q64" s="11">
        <v>106.4</v>
      </c>
      <c r="R64" s="10">
        <f>IF(COUNTIF($J$2:J64,J64)=1,SUMIFS($O:$O,$J:$J,J64)+SUMIFS($P:$P,$J:$J,J64)+SUMIFS($Q:$Q,$J:$J,J64),"")</f>
        <v>1506.4000000000003</v>
      </c>
      <c r="S64" s="10">
        <v>1506.4</v>
      </c>
      <c r="T64" s="11" t="str">
        <f t="shared" si="5"/>
        <v>Ok</v>
      </c>
      <c r="U64" s="12">
        <v>45896</v>
      </c>
      <c r="V64" s="10">
        <v>1506.4</v>
      </c>
      <c r="W64" s="10" t="str">
        <f t="shared" si="1"/>
        <v>Not Paid</v>
      </c>
      <c r="X64" t="s">
        <v>476</v>
      </c>
      <c r="Y64" t="s">
        <v>28</v>
      </c>
      <c r="Z64">
        <v>100285</v>
      </c>
      <c r="AA64" t="s">
        <v>501</v>
      </c>
      <c r="AB64" t="s">
        <v>521</v>
      </c>
      <c r="AC64" s="9">
        <f t="shared" si="2"/>
        <v>1</v>
      </c>
      <c r="AD64" s="9" t="str">
        <f t="shared" si="3"/>
        <v>Ok</v>
      </c>
      <c r="AE64" s="11">
        <f t="shared" si="7"/>
        <v>0</v>
      </c>
    </row>
    <row r="65" spans="1:31" x14ac:dyDescent="0.3">
      <c r="A65">
        <v>185</v>
      </c>
      <c r="B65">
        <v>4405235</v>
      </c>
      <c r="C65" t="s">
        <v>56</v>
      </c>
      <c r="D65">
        <v>1588891</v>
      </c>
      <c r="E65" t="s">
        <v>61</v>
      </c>
      <c r="F65" t="s">
        <v>18</v>
      </c>
      <c r="G65" t="s">
        <v>2083</v>
      </c>
      <c r="H65" t="s">
        <v>2084</v>
      </c>
      <c r="I65" s="9" t="s">
        <v>3425</v>
      </c>
      <c r="J65" s="9">
        <v>51163208405</v>
      </c>
      <c r="K65" s="14" t="s">
        <v>3246</v>
      </c>
      <c r="L65" s="13" t="s">
        <v>3245</v>
      </c>
      <c r="M65" s="14">
        <v>7000</v>
      </c>
      <c r="N65" s="14">
        <v>0.3135</v>
      </c>
      <c r="O65" s="10">
        <f t="shared" si="0"/>
        <v>2194.5</v>
      </c>
      <c r="P65" s="11">
        <v>0</v>
      </c>
      <c r="Q65" s="11">
        <v>0</v>
      </c>
      <c r="R65" s="10">
        <f>IF(COUNTIF($J$2:J65,J65)=1,SUMIFS($O:$O,$J:$J,J65)+SUMIFS($P:$P,$J:$J,J65)+SUMIFS($Q:$Q,$J:$J,J65),"")</f>
        <v>2194.5</v>
      </c>
      <c r="S65" s="10">
        <v>2194.5</v>
      </c>
      <c r="T65" s="11" t="str">
        <f t="shared" si="5"/>
        <v>Ok</v>
      </c>
      <c r="U65" s="12">
        <v>45836</v>
      </c>
      <c r="V65" s="10">
        <v>535.5</v>
      </c>
      <c r="W65" s="10" t="str">
        <f t="shared" si="1"/>
        <v>Short Paid</v>
      </c>
      <c r="X65" t="s">
        <v>438</v>
      </c>
      <c r="Y65" t="s">
        <v>28</v>
      </c>
      <c r="Z65">
        <v>100123</v>
      </c>
      <c r="AA65" t="s">
        <v>447</v>
      </c>
      <c r="AB65" t="s">
        <v>523</v>
      </c>
      <c r="AC65" s="9">
        <f t="shared" si="2"/>
        <v>1</v>
      </c>
      <c r="AD65" s="9" t="str">
        <f t="shared" si="3"/>
        <v>Ok</v>
      </c>
      <c r="AE65" s="11">
        <f t="shared" si="7"/>
        <v>0</v>
      </c>
    </row>
    <row r="66" spans="1:31" x14ac:dyDescent="0.3">
      <c r="A66">
        <v>185</v>
      </c>
      <c r="B66">
        <v>4405705</v>
      </c>
      <c r="C66" t="s">
        <v>56</v>
      </c>
      <c r="D66">
        <v>1588891</v>
      </c>
      <c r="E66" t="s">
        <v>61</v>
      </c>
      <c r="F66" t="s">
        <v>18</v>
      </c>
      <c r="G66" t="s">
        <v>2085</v>
      </c>
      <c r="H66" t="s">
        <v>2086</v>
      </c>
      <c r="I66" s="9" t="s">
        <v>3449</v>
      </c>
      <c r="J66" s="9">
        <v>51161942444</v>
      </c>
      <c r="K66" s="14" t="s">
        <v>3246</v>
      </c>
      <c r="L66" s="13" t="s">
        <v>3687</v>
      </c>
      <c r="M66" s="14">
        <v>5000</v>
      </c>
      <c r="N66" s="14">
        <v>0.34499999999999997</v>
      </c>
      <c r="O66" s="10">
        <f t="shared" ref="O66:O129" si="8">M66*N66</f>
        <v>1724.9999999999998</v>
      </c>
      <c r="P66" s="11">
        <v>0</v>
      </c>
      <c r="Q66" s="11">
        <v>0</v>
      </c>
      <c r="R66" s="10">
        <f>IF(COUNTIF($J$2:J66,J66)=1,SUMIFS($O:$O,$J:$J,J66)+SUMIFS($P:$P,$J:$J,J66)+SUMIFS($Q:$Q,$J:$J,J66),"")</f>
        <v>1724.9999999999998</v>
      </c>
      <c r="S66" s="10">
        <v>1725</v>
      </c>
      <c r="T66" s="11" t="str">
        <f t="shared" si="5"/>
        <v>Ok</v>
      </c>
      <c r="U66" s="12">
        <v>45869</v>
      </c>
      <c r="V66" s="10">
        <v>723.5</v>
      </c>
      <c r="W66" s="10" t="str">
        <f t="shared" ref="W66:W129" si="9">IF(OR(S66="",V66=""),"N/A",IF(S66&lt;&gt;V66,"Short Paid","Not Paid"))</f>
        <v>Short Paid</v>
      </c>
      <c r="X66" t="s">
        <v>438</v>
      </c>
      <c r="Y66" t="s">
        <v>28</v>
      </c>
      <c r="Z66">
        <v>100153</v>
      </c>
      <c r="AA66" t="s">
        <v>445</v>
      </c>
      <c r="AB66" t="s">
        <v>523</v>
      </c>
      <c r="AC66" s="9">
        <f t="shared" ref="AC66:AC129" si="10">COUNTIF(J:J,J66)</f>
        <v>1</v>
      </c>
      <c r="AD66" s="9" t="str">
        <f t="shared" ref="AD66:AD129" si="11">IF(AND(R66="",S66=""),"N/A",IF(R66=S66,"Ok","Check"))</f>
        <v>Ok</v>
      </c>
      <c r="AE66" s="11">
        <f t="shared" si="7"/>
        <v>0</v>
      </c>
    </row>
    <row r="67" spans="1:31" x14ac:dyDescent="0.3">
      <c r="A67">
        <v>184</v>
      </c>
      <c r="B67">
        <v>4405635</v>
      </c>
      <c r="C67" t="s">
        <v>239</v>
      </c>
      <c r="D67">
        <v>1040128</v>
      </c>
      <c r="E67" t="s">
        <v>647</v>
      </c>
      <c r="F67" t="s">
        <v>20</v>
      </c>
      <c r="G67" t="s">
        <v>2087</v>
      </c>
      <c r="H67" t="s">
        <v>2088</v>
      </c>
      <c r="I67" s="9" t="s">
        <v>3208</v>
      </c>
      <c r="J67" s="9">
        <v>50117860450</v>
      </c>
      <c r="K67" s="14" t="s">
        <v>3168</v>
      </c>
      <c r="L67" s="13" t="s">
        <v>3272</v>
      </c>
      <c r="M67" s="14">
        <v>7500</v>
      </c>
      <c r="N67" s="14">
        <v>0.4511</v>
      </c>
      <c r="O67" s="10">
        <f t="shared" si="8"/>
        <v>3383.25</v>
      </c>
      <c r="P67" s="11">
        <v>0</v>
      </c>
      <c r="Q67" s="11">
        <v>0</v>
      </c>
      <c r="R67" s="10">
        <f>IF(COUNTIF($J$2:J67,J67)=1,SUMIFS($O:$O,$J:$J,J67)+SUMIFS($P:$P,$J:$J,J67)+SUMIFS($Q:$Q,$J:$J,J67),"")</f>
        <v>3383.25</v>
      </c>
      <c r="S67" s="10">
        <v>3383.25</v>
      </c>
      <c r="T67" s="11" t="str">
        <f t="shared" ref="T67:T130" si="12">IFERROR(INDEX(AD:AD,MATCH(J67,J:J,0)),"")</f>
        <v>Ok</v>
      </c>
      <c r="U67" s="12">
        <v>45891</v>
      </c>
      <c r="V67" s="10">
        <v>2255.5</v>
      </c>
      <c r="W67" s="10" t="str">
        <f t="shared" si="9"/>
        <v>Short Paid</v>
      </c>
      <c r="X67" t="s">
        <v>476</v>
      </c>
      <c r="Y67" t="s">
        <v>28</v>
      </c>
      <c r="Z67">
        <v>100235</v>
      </c>
      <c r="AA67" t="s">
        <v>509</v>
      </c>
      <c r="AB67" t="s">
        <v>521</v>
      </c>
      <c r="AC67" s="9">
        <f t="shared" si="10"/>
        <v>1</v>
      </c>
      <c r="AD67" s="9" t="str">
        <f t="shared" si="11"/>
        <v>Ok</v>
      </c>
      <c r="AE67" s="11">
        <f t="shared" si="7"/>
        <v>0</v>
      </c>
    </row>
    <row r="68" spans="1:31" x14ac:dyDescent="0.3">
      <c r="A68">
        <v>184</v>
      </c>
      <c r="B68">
        <v>4404694</v>
      </c>
      <c r="C68" t="s">
        <v>167</v>
      </c>
      <c r="D68">
        <v>1240968</v>
      </c>
      <c r="E68" t="s">
        <v>545</v>
      </c>
      <c r="F68" t="s">
        <v>20</v>
      </c>
      <c r="G68" t="s">
        <v>2089</v>
      </c>
      <c r="H68" t="s">
        <v>2090</v>
      </c>
      <c r="I68" s="9" t="s">
        <v>3185</v>
      </c>
      <c r="J68" s="9">
        <v>51160979798</v>
      </c>
      <c r="K68" s="14" t="s">
        <v>3638</v>
      </c>
      <c r="L68" s="13" t="s">
        <v>3637</v>
      </c>
      <c r="M68" s="14">
        <v>1</v>
      </c>
      <c r="N68" s="14">
        <v>1184.7</v>
      </c>
      <c r="O68" s="10">
        <f t="shared" si="8"/>
        <v>1184.7</v>
      </c>
      <c r="P68" s="11">
        <v>0</v>
      </c>
      <c r="Q68" s="11">
        <v>0</v>
      </c>
      <c r="R68" s="10">
        <f>IF(COUNTIF($J$2:J68,J68)=1,SUMIFS($O:$O,$J:$J,J68)+SUMIFS($P:$P,$J:$J,J68)+SUMIFS($Q:$Q,$J:$J,J68),"")</f>
        <v>1184.7</v>
      </c>
      <c r="S68" s="10">
        <v>1184.7</v>
      </c>
      <c r="T68" s="11" t="str">
        <f t="shared" si="12"/>
        <v>Ok</v>
      </c>
      <c r="U68" s="12">
        <v>45464</v>
      </c>
      <c r="V68" s="10">
        <v>1184.7</v>
      </c>
      <c r="W68" s="10" t="str">
        <f t="shared" si="9"/>
        <v>Not Paid</v>
      </c>
      <c r="X68" t="s">
        <v>455</v>
      </c>
      <c r="Y68" t="s">
        <v>28</v>
      </c>
      <c r="Z68">
        <v>100270</v>
      </c>
      <c r="AA68" t="s">
        <v>464</v>
      </c>
      <c r="AB68" t="s">
        <v>521</v>
      </c>
      <c r="AC68" s="9">
        <f t="shared" si="10"/>
        <v>1</v>
      </c>
      <c r="AD68" s="9" t="str">
        <f t="shared" si="11"/>
        <v>Ok</v>
      </c>
      <c r="AE68" s="11">
        <f t="shared" si="7"/>
        <v>0</v>
      </c>
    </row>
    <row r="69" spans="1:31" x14ac:dyDescent="0.3">
      <c r="A69">
        <v>183</v>
      </c>
      <c r="B69">
        <v>4407124</v>
      </c>
      <c r="C69" t="s">
        <v>239</v>
      </c>
      <c r="D69">
        <v>1035325</v>
      </c>
      <c r="E69" t="s">
        <v>556</v>
      </c>
      <c r="F69" t="s">
        <v>20</v>
      </c>
      <c r="G69" t="s">
        <v>2091</v>
      </c>
      <c r="H69" t="s">
        <v>2092</v>
      </c>
      <c r="I69" s="9" t="s">
        <v>3505</v>
      </c>
      <c r="J69" s="9">
        <v>51161453018</v>
      </c>
      <c r="K69" s="14" t="s">
        <v>3661</v>
      </c>
      <c r="L69" s="13" t="s">
        <v>3660</v>
      </c>
      <c r="M69" s="14">
        <v>26</v>
      </c>
      <c r="N69" s="14">
        <v>92.68</v>
      </c>
      <c r="O69" s="10">
        <f t="shared" si="8"/>
        <v>2409.6800000000003</v>
      </c>
      <c r="P69" s="11">
        <v>0</v>
      </c>
      <c r="Q69" s="11">
        <v>228.92</v>
      </c>
      <c r="R69" s="10">
        <f>IF(COUNTIF($J$2:J69,J69)=1,SUMIFS($O:$O,$J:$J,J69)+SUMIFS($P:$P,$J:$J,J69)+SUMIFS($Q:$Q,$J:$J,J69),"")</f>
        <v>2638.6000000000004</v>
      </c>
      <c r="S69" s="10">
        <v>2638.6</v>
      </c>
      <c r="T69" s="11" t="str">
        <f t="shared" si="12"/>
        <v>Ok</v>
      </c>
      <c r="U69" s="12">
        <v>45870</v>
      </c>
      <c r="V69" s="10">
        <v>2638.6</v>
      </c>
      <c r="W69" s="10" t="str">
        <f t="shared" si="9"/>
        <v>Not Paid</v>
      </c>
      <c r="X69" t="s">
        <v>476</v>
      </c>
      <c r="Y69" t="s">
        <v>28</v>
      </c>
      <c r="Z69">
        <v>100275</v>
      </c>
      <c r="AA69" t="s">
        <v>492</v>
      </c>
      <c r="AB69" t="s">
        <v>521</v>
      </c>
      <c r="AC69" s="9">
        <f t="shared" si="10"/>
        <v>1</v>
      </c>
      <c r="AD69" s="9" t="str">
        <f t="shared" si="11"/>
        <v>Ok</v>
      </c>
      <c r="AE69" s="11">
        <f t="shared" si="7"/>
        <v>0</v>
      </c>
    </row>
    <row r="70" spans="1:31" x14ac:dyDescent="0.3">
      <c r="A70">
        <v>183</v>
      </c>
      <c r="B70">
        <v>4407414</v>
      </c>
      <c r="C70" t="s">
        <v>239</v>
      </c>
      <c r="D70">
        <v>1035325</v>
      </c>
      <c r="E70" t="s">
        <v>556</v>
      </c>
      <c r="F70" t="s">
        <v>20</v>
      </c>
      <c r="G70" t="s">
        <v>2093</v>
      </c>
      <c r="H70" t="s">
        <v>2094</v>
      </c>
      <c r="I70" s="9" t="s">
        <v>3256</v>
      </c>
      <c r="J70" s="9">
        <v>51163452727</v>
      </c>
      <c r="K70" s="14" t="s">
        <v>3661</v>
      </c>
      <c r="L70" s="13" t="s">
        <v>3660</v>
      </c>
      <c r="M70" s="14">
        <v>2</v>
      </c>
      <c r="N70" s="14">
        <v>92.68</v>
      </c>
      <c r="O70" s="10">
        <f t="shared" si="8"/>
        <v>185.36</v>
      </c>
      <c r="P70" s="11">
        <v>0</v>
      </c>
      <c r="Q70" s="11">
        <v>17.61</v>
      </c>
      <c r="R70" s="10">
        <f>IF(COUNTIF($J$2:J70,J70)=1,SUMIFS($O:$O,$J:$J,J70)+SUMIFS($P:$P,$J:$J,J70)+SUMIFS($Q:$Q,$J:$J,J70),"")</f>
        <v>202.97000000000003</v>
      </c>
      <c r="S70" s="10">
        <v>202.97</v>
      </c>
      <c r="T70" s="11" t="str">
        <f t="shared" si="12"/>
        <v>Ok</v>
      </c>
      <c r="U70" s="12">
        <v>45876</v>
      </c>
      <c r="V70" s="10">
        <v>202.97</v>
      </c>
      <c r="W70" s="10" t="str">
        <f t="shared" si="9"/>
        <v>Not Paid</v>
      </c>
      <c r="X70" t="s">
        <v>476</v>
      </c>
      <c r="Y70" t="s">
        <v>28</v>
      </c>
      <c r="Z70">
        <v>100285</v>
      </c>
      <c r="AA70" t="s">
        <v>501</v>
      </c>
      <c r="AB70" t="s">
        <v>521</v>
      </c>
      <c r="AC70" s="9">
        <f t="shared" si="10"/>
        <v>1</v>
      </c>
      <c r="AD70" s="9" t="str">
        <f t="shared" si="11"/>
        <v>Ok</v>
      </c>
      <c r="AE70" s="11">
        <f t="shared" si="7"/>
        <v>0</v>
      </c>
    </row>
    <row r="71" spans="1:31" x14ac:dyDescent="0.3">
      <c r="A71">
        <v>183</v>
      </c>
      <c r="B71">
        <v>4406974</v>
      </c>
      <c r="C71" t="s">
        <v>239</v>
      </c>
      <c r="D71">
        <v>1035325</v>
      </c>
      <c r="E71" t="s">
        <v>556</v>
      </c>
      <c r="F71" t="s">
        <v>20</v>
      </c>
      <c r="G71" t="s">
        <v>2095</v>
      </c>
      <c r="H71" t="s">
        <v>2096</v>
      </c>
      <c r="I71" s="9" t="s">
        <v>3267</v>
      </c>
      <c r="J71" s="9">
        <v>50117848086</v>
      </c>
      <c r="K71" s="14" t="s">
        <v>3269</v>
      </c>
      <c r="L71" s="13" t="s">
        <v>3268</v>
      </c>
      <c r="M71" s="14">
        <v>10</v>
      </c>
      <c r="N71" s="14">
        <v>215</v>
      </c>
      <c r="O71" s="10">
        <f t="shared" si="8"/>
        <v>2150</v>
      </c>
      <c r="P71" s="11">
        <v>0</v>
      </c>
      <c r="Q71" s="11">
        <v>612.75</v>
      </c>
      <c r="R71" s="10">
        <f>IF(COUNTIF($J$2:J71,J71)=1,SUMIFS($O:$O,$J:$J,J71)+SUMIFS($P:$P,$J:$J,J71)+SUMIFS($Q:$Q,$J:$J,J71),"")</f>
        <v>2762.75</v>
      </c>
      <c r="S71" s="10">
        <v>2762.75</v>
      </c>
      <c r="T71" s="11" t="str">
        <f t="shared" si="12"/>
        <v>Ok</v>
      </c>
      <c r="U71" s="12">
        <v>45917</v>
      </c>
      <c r="V71" s="10">
        <v>2762.75</v>
      </c>
      <c r="W71" s="10" t="str">
        <f t="shared" si="9"/>
        <v>Not Paid</v>
      </c>
      <c r="X71" t="s">
        <v>476</v>
      </c>
      <c r="Y71" t="s">
        <v>28</v>
      </c>
      <c r="Z71">
        <v>100115</v>
      </c>
      <c r="AA71" t="s">
        <v>504</v>
      </c>
      <c r="AB71" t="s">
        <v>521</v>
      </c>
      <c r="AC71" s="9">
        <f t="shared" si="10"/>
        <v>1</v>
      </c>
      <c r="AD71" s="9" t="str">
        <f t="shared" si="11"/>
        <v>Ok</v>
      </c>
      <c r="AE71" s="11">
        <f t="shared" si="7"/>
        <v>0</v>
      </c>
    </row>
    <row r="72" spans="1:31" x14ac:dyDescent="0.3">
      <c r="A72">
        <v>183</v>
      </c>
      <c r="B72">
        <v>4407354</v>
      </c>
      <c r="C72" t="s">
        <v>239</v>
      </c>
      <c r="D72">
        <v>1035325</v>
      </c>
      <c r="E72" t="s">
        <v>556</v>
      </c>
      <c r="F72" t="s">
        <v>20</v>
      </c>
      <c r="G72" t="s">
        <v>2097</v>
      </c>
      <c r="H72" t="s">
        <v>2098</v>
      </c>
      <c r="I72" s="9" t="s">
        <v>3253</v>
      </c>
      <c r="J72" s="9">
        <v>51162517929</v>
      </c>
      <c r="K72" s="14" t="s">
        <v>3661</v>
      </c>
      <c r="L72" s="13" t="s">
        <v>3660</v>
      </c>
      <c r="M72" s="14">
        <v>2</v>
      </c>
      <c r="N72" s="14">
        <v>92.68</v>
      </c>
      <c r="O72" s="10">
        <f t="shared" si="8"/>
        <v>185.36</v>
      </c>
      <c r="P72" s="11">
        <v>0</v>
      </c>
      <c r="Q72" s="11">
        <v>17.61</v>
      </c>
      <c r="R72" s="10">
        <f>IF(COUNTIF($J$2:J72,J72)=1,SUMIFS($O:$O,$J:$J,J72)+SUMIFS($P:$P,$J:$J,J72)+SUMIFS($Q:$Q,$J:$J,J72),"")</f>
        <v>202.97000000000003</v>
      </c>
      <c r="S72" s="10">
        <v>202.97</v>
      </c>
      <c r="T72" s="11" t="str">
        <f t="shared" si="12"/>
        <v>Ok</v>
      </c>
      <c r="U72" s="12">
        <v>45917</v>
      </c>
      <c r="V72" s="10">
        <v>202.97</v>
      </c>
      <c r="W72" s="10" t="str">
        <f t="shared" si="9"/>
        <v>Not Paid</v>
      </c>
      <c r="X72" t="s">
        <v>476</v>
      </c>
      <c r="Y72" t="s">
        <v>28</v>
      </c>
      <c r="Z72">
        <v>100245</v>
      </c>
      <c r="AA72" t="s">
        <v>507</v>
      </c>
      <c r="AB72" t="s">
        <v>521</v>
      </c>
      <c r="AC72" s="9">
        <f t="shared" si="10"/>
        <v>1</v>
      </c>
      <c r="AD72" s="9" t="str">
        <f t="shared" si="11"/>
        <v>Ok</v>
      </c>
      <c r="AE72" s="11">
        <f t="shared" si="7"/>
        <v>0</v>
      </c>
    </row>
    <row r="73" spans="1:31" x14ac:dyDescent="0.3">
      <c r="A73">
        <v>183</v>
      </c>
      <c r="B73">
        <v>4406964</v>
      </c>
      <c r="C73" t="s">
        <v>239</v>
      </c>
      <c r="D73">
        <v>1035325</v>
      </c>
      <c r="E73" t="s">
        <v>556</v>
      </c>
      <c r="F73" t="s">
        <v>20</v>
      </c>
      <c r="G73" t="s">
        <v>2099</v>
      </c>
      <c r="H73" t="s">
        <v>2100</v>
      </c>
      <c r="I73" s="9" t="s">
        <v>3218</v>
      </c>
      <c r="J73" s="9">
        <v>50117848185</v>
      </c>
      <c r="K73" s="14" t="s">
        <v>3271</v>
      </c>
      <c r="L73" s="13" t="s">
        <v>3270</v>
      </c>
      <c r="M73" s="14">
        <v>176</v>
      </c>
      <c r="N73" s="14">
        <v>59.830000000000005</v>
      </c>
      <c r="O73" s="10">
        <f t="shared" si="8"/>
        <v>10530.080000000002</v>
      </c>
      <c r="P73" s="11">
        <v>0</v>
      </c>
      <c r="Q73" s="11">
        <v>5507.22</v>
      </c>
      <c r="R73" s="10">
        <f>IF(COUNTIF($J$2:J73,J73)=1,SUMIFS($O:$O,$J:$J,J73)+SUMIFS($P:$P,$J:$J,J73)+SUMIFS($Q:$Q,$J:$J,J73),"")</f>
        <v>16037.300000000003</v>
      </c>
      <c r="S73" s="10">
        <v>16037.3</v>
      </c>
      <c r="T73" s="11" t="str">
        <f t="shared" si="12"/>
        <v>Ok</v>
      </c>
      <c r="U73" s="12">
        <v>45924</v>
      </c>
      <c r="V73" s="10">
        <v>16037.3</v>
      </c>
      <c r="W73" s="10" t="str">
        <f t="shared" si="9"/>
        <v>Not Paid</v>
      </c>
      <c r="X73" t="s">
        <v>476</v>
      </c>
      <c r="Y73" t="s">
        <v>28</v>
      </c>
      <c r="Z73">
        <v>100125</v>
      </c>
      <c r="AA73" t="s">
        <v>477</v>
      </c>
      <c r="AB73" t="s">
        <v>521</v>
      </c>
      <c r="AC73" s="9">
        <f t="shared" si="10"/>
        <v>1</v>
      </c>
      <c r="AD73" s="9" t="str">
        <f t="shared" si="11"/>
        <v>Ok</v>
      </c>
      <c r="AE73" s="11">
        <f t="shared" si="7"/>
        <v>0</v>
      </c>
    </row>
    <row r="74" spans="1:31" x14ac:dyDescent="0.3">
      <c r="A74">
        <v>182</v>
      </c>
      <c r="B74">
        <v>4407104</v>
      </c>
      <c r="C74" t="s">
        <v>239</v>
      </c>
      <c r="D74">
        <v>1017836</v>
      </c>
      <c r="E74" t="s">
        <v>282</v>
      </c>
      <c r="F74" t="s">
        <v>20</v>
      </c>
      <c r="G74" t="s">
        <v>2101</v>
      </c>
      <c r="H74" t="s">
        <v>2102</v>
      </c>
      <c r="I74" s="9" t="s">
        <v>3329</v>
      </c>
      <c r="J74" s="9">
        <v>51161419112</v>
      </c>
      <c r="K74" s="14" t="s">
        <v>3165</v>
      </c>
      <c r="L74" s="13" t="s">
        <v>3290</v>
      </c>
      <c r="M74" s="14">
        <v>1</v>
      </c>
      <c r="N74" s="14">
        <v>118.44</v>
      </c>
      <c r="O74" s="10">
        <f t="shared" si="8"/>
        <v>118.44</v>
      </c>
      <c r="P74" s="11">
        <v>0</v>
      </c>
      <c r="Q74" s="11">
        <v>0</v>
      </c>
      <c r="R74" s="10">
        <f>IF(COUNTIF($J$2:J74,J74)=1,SUMIFS($O:$O,$J:$J,J74)+SUMIFS($P:$P,$J:$J,J74)+SUMIFS($Q:$Q,$J:$J,J74),"")</f>
        <v>118.44</v>
      </c>
      <c r="S74" s="10">
        <v>118.44</v>
      </c>
      <c r="T74" s="11" t="str">
        <f t="shared" si="12"/>
        <v>Ok</v>
      </c>
      <c r="U74" s="12">
        <v>45937</v>
      </c>
      <c r="V74" s="10">
        <v>118.44</v>
      </c>
      <c r="W74" s="10" t="str">
        <f t="shared" si="9"/>
        <v>Not Paid</v>
      </c>
      <c r="X74" t="s">
        <v>476</v>
      </c>
      <c r="Y74" t="s">
        <v>28</v>
      </c>
      <c r="Z74">
        <v>100195</v>
      </c>
      <c r="AA74" t="s">
        <v>3070</v>
      </c>
      <c r="AB74" t="s">
        <v>521</v>
      </c>
      <c r="AC74" s="9">
        <f t="shared" si="10"/>
        <v>1</v>
      </c>
      <c r="AD74" s="9" t="str">
        <f t="shared" si="11"/>
        <v>Ok</v>
      </c>
      <c r="AE74" s="11">
        <f t="shared" si="7"/>
        <v>0</v>
      </c>
    </row>
    <row r="75" spans="1:31" x14ac:dyDescent="0.3">
      <c r="A75">
        <v>177</v>
      </c>
      <c r="B75">
        <v>4407234</v>
      </c>
      <c r="C75" t="s">
        <v>60</v>
      </c>
      <c r="D75">
        <v>1143963</v>
      </c>
      <c r="E75" t="s">
        <v>648</v>
      </c>
      <c r="F75" t="s">
        <v>21</v>
      </c>
      <c r="G75" t="s">
        <v>2103</v>
      </c>
      <c r="H75" t="s">
        <v>2104</v>
      </c>
      <c r="I75" s="9" t="s">
        <v>3326</v>
      </c>
      <c r="J75" s="9">
        <v>51162969955</v>
      </c>
      <c r="K75" s="14" t="s">
        <v>3500</v>
      </c>
      <c r="L75" s="13" t="s">
        <v>3725</v>
      </c>
      <c r="M75" s="14">
        <v>90</v>
      </c>
      <c r="N75" s="14">
        <v>307.83999999999997</v>
      </c>
      <c r="O75" s="10">
        <f t="shared" si="8"/>
        <v>27705.599999999999</v>
      </c>
      <c r="P75" s="11">
        <v>0</v>
      </c>
      <c r="Q75" s="11">
        <v>0</v>
      </c>
      <c r="R75" s="10">
        <f>IF(COUNTIF($J$2:J75,J75)=1,SUMIFS($O:$O,$J:$J,J75)+SUMIFS($P:$P,$J:$J,J75)+SUMIFS($Q:$Q,$J:$J,J75),"")</f>
        <v>27705.599999999999</v>
      </c>
      <c r="S75" s="10">
        <v>32323.200000000001</v>
      </c>
      <c r="T75" s="11" t="str">
        <f t="shared" si="12"/>
        <v>Check</v>
      </c>
      <c r="U75" s="12">
        <v>45973</v>
      </c>
      <c r="V75" s="10">
        <v>969.7</v>
      </c>
      <c r="W75" s="10" t="str">
        <f t="shared" si="9"/>
        <v>Short Paid</v>
      </c>
      <c r="X75" t="s">
        <v>474</v>
      </c>
      <c r="Y75" t="s">
        <v>40</v>
      </c>
      <c r="Z75">
        <v>100149</v>
      </c>
      <c r="AA75" t="s">
        <v>3115</v>
      </c>
      <c r="AB75" t="s">
        <v>3036</v>
      </c>
      <c r="AC75" s="9">
        <f t="shared" si="10"/>
        <v>1</v>
      </c>
      <c r="AD75" s="9" t="str">
        <f t="shared" si="11"/>
        <v>Check</v>
      </c>
      <c r="AE75" s="11">
        <f t="shared" si="7"/>
        <v>-4617.6000000000022</v>
      </c>
    </row>
    <row r="76" spans="1:31" x14ac:dyDescent="0.3">
      <c r="A76">
        <v>177</v>
      </c>
      <c r="B76">
        <v>4407184</v>
      </c>
      <c r="C76" t="s">
        <v>239</v>
      </c>
      <c r="D76">
        <v>1028314</v>
      </c>
      <c r="E76" t="s">
        <v>552</v>
      </c>
      <c r="F76" t="s">
        <v>18</v>
      </c>
      <c r="G76" t="s">
        <v>2105</v>
      </c>
      <c r="H76" t="s">
        <v>2106</v>
      </c>
      <c r="I76" s="9" t="s">
        <v>3287</v>
      </c>
      <c r="J76" s="9">
        <v>51162310004</v>
      </c>
      <c r="K76" s="14" t="s">
        <v>3201</v>
      </c>
      <c r="L76" s="13" t="s">
        <v>3703</v>
      </c>
      <c r="M76" s="14">
        <v>4000</v>
      </c>
      <c r="N76" s="14">
        <v>7.0000000000000007E-2</v>
      </c>
      <c r="O76" s="10">
        <f t="shared" si="8"/>
        <v>280</v>
      </c>
      <c r="P76" s="11">
        <v>0</v>
      </c>
      <c r="Q76" s="11">
        <v>0</v>
      </c>
      <c r="R76" s="10">
        <f>IF(COUNTIF($J$2:J76,J76)=1,SUMIFS($O:$O,$J:$J,J76)+SUMIFS($P:$P,$J:$J,J76)+SUMIFS($Q:$Q,$J:$J,J76),"")</f>
        <v>280</v>
      </c>
      <c r="S76" s="10">
        <v>280</v>
      </c>
      <c r="T76" s="11" t="str">
        <f t="shared" si="12"/>
        <v>Ok</v>
      </c>
      <c r="U76" s="12">
        <v>45903</v>
      </c>
      <c r="V76" s="10">
        <v>124</v>
      </c>
      <c r="W76" s="10" t="str">
        <f t="shared" si="9"/>
        <v>Short Paid</v>
      </c>
      <c r="X76" t="s">
        <v>476</v>
      </c>
      <c r="Y76" t="s">
        <v>28</v>
      </c>
      <c r="Z76">
        <v>100155</v>
      </c>
      <c r="AA76" t="s">
        <v>3072</v>
      </c>
      <c r="AB76" t="s">
        <v>523</v>
      </c>
      <c r="AC76" s="9">
        <f t="shared" si="10"/>
        <v>1</v>
      </c>
      <c r="AD76" s="9" t="str">
        <f t="shared" si="11"/>
        <v>Ok</v>
      </c>
      <c r="AE76" s="11">
        <f t="shared" si="7"/>
        <v>0</v>
      </c>
    </row>
    <row r="77" spans="1:31" x14ac:dyDescent="0.3">
      <c r="A77">
        <v>176</v>
      </c>
      <c r="B77">
        <v>4406654</v>
      </c>
      <c r="C77" t="s">
        <v>160</v>
      </c>
      <c r="D77">
        <v>1443616</v>
      </c>
      <c r="E77" t="s">
        <v>285</v>
      </c>
      <c r="F77" t="s">
        <v>20</v>
      </c>
      <c r="G77" t="s">
        <v>2109</v>
      </c>
      <c r="H77" t="s">
        <v>2110</v>
      </c>
      <c r="I77" s="9" t="s">
        <v>3333</v>
      </c>
      <c r="J77" s="9">
        <v>51162447353</v>
      </c>
      <c r="K77" s="14" t="s">
        <v>3168</v>
      </c>
      <c r="L77" s="13" t="s">
        <v>3608</v>
      </c>
      <c r="M77" s="14">
        <v>6000</v>
      </c>
      <c r="N77" s="14">
        <v>0.64949999999999997</v>
      </c>
      <c r="O77" s="10">
        <f t="shared" si="8"/>
        <v>3897</v>
      </c>
      <c r="P77" s="11">
        <v>0</v>
      </c>
      <c r="Q77" s="11">
        <v>0</v>
      </c>
      <c r="R77" s="10">
        <f>IF(COUNTIF($J$2:J77,J77)=1,SUMIFS($O:$O,$J:$J,J77)+SUMIFS($P:$P,$J:$J,J77)+SUMIFS($Q:$Q,$J:$J,J77),"")</f>
        <v>3897</v>
      </c>
      <c r="S77" s="10">
        <v>3897</v>
      </c>
      <c r="T77" s="11" t="str">
        <f t="shared" si="12"/>
        <v>Ok</v>
      </c>
      <c r="U77" s="12">
        <v>45965</v>
      </c>
      <c r="V77" s="10">
        <v>3897</v>
      </c>
      <c r="W77" s="10" t="str">
        <f t="shared" si="9"/>
        <v>Not Paid</v>
      </c>
      <c r="X77" t="s">
        <v>435</v>
      </c>
      <c r="Y77" t="s">
        <v>28</v>
      </c>
      <c r="Z77">
        <v>100111</v>
      </c>
      <c r="AA77" t="s">
        <v>3045</v>
      </c>
      <c r="AB77" t="s">
        <v>521</v>
      </c>
      <c r="AC77" s="9">
        <f t="shared" si="10"/>
        <v>1</v>
      </c>
      <c r="AD77" s="9" t="str">
        <f t="shared" si="11"/>
        <v>Ok</v>
      </c>
      <c r="AE77" s="11">
        <f t="shared" si="7"/>
        <v>0</v>
      </c>
    </row>
    <row r="78" spans="1:31" x14ac:dyDescent="0.3">
      <c r="A78">
        <v>176</v>
      </c>
      <c r="B78">
        <v>4407374</v>
      </c>
      <c r="C78" t="s">
        <v>160</v>
      </c>
      <c r="D78">
        <v>1531094</v>
      </c>
      <c r="E78" t="s">
        <v>567</v>
      </c>
      <c r="F78" t="s">
        <v>24</v>
      </c>
      <c r="G78" t="s">
        <v>2111</v>
      </c>
      <c r="H78" t="s">
        <v>2112</v>
      </c>
      <c r="I78" s="9" t="s">
        <v>3414</v>
      </c>
      <c r="J78" s="9">
        <v>51162689372</v>
      </c>
      <c r="K78" s="14" t="s">
        <v>3229</v>
      </c>
      <c r="L78" s="13" t="s">
        <v>3712</v>
      </c>
      <c r="M78" s="14">
        <v>65500</v>
      </c>
      <c r="N78" s="14">
        <v>0.20280999999999999</v>
      </c>
      <c r="O78" s="10">
        <f t="shared" si="8"/>
        <v>13284.054999999998</v>
      </c>
      <c r="P78" s="11">
        <v>0</v>
      </c>
      <c r="Q78" s="11">
        <v>0</v>
      </c>
      <c r="R78" s="10">
        <f>IF(COUNTIF($J$2:J78,J78)=1,SUMIFS($O:$O,$J:$J,J78)+SUMIFS($P:$P,$J:$J,J78)+SUMIFS($Q:$Q,$J:$J,J78),"")</f>
        <v>13284.054999999998</v>
      </c>
      <c r="S78" s="10">
        <v>13284.06</v>
      </c>
      <c r="T78" s="11" t="str">
        <f t="shared" si="12"/>
        <v>Check</v>
      </c>
      <c r="U78" s="12">
        <v>45976</v>
      </c>
      <c r="V78" s="10">
        <v>265.68</v>
      </c>
      <c r="W78" s="10" t="str">
        <f t="shared" si="9"/>
        <v>Short Paid</v>
      </c>
      <c r="X78" t="s">
        <v>478</v>
      </c>
      <c r="Y78" t="s">
        <v>40</v>
      </c>
      <c r="Z78">
        <v>100102</v>
      </c>
      <c r="AA78" t="s">
        <v>3116</v>
      </c>
      <c r="AB78" t="s">
        <v>522</v>
      </c>
      <c r="AC78" s="9">
        <f t="shared" si="10"/>
        <v>1</v>
      </c>
      <c r="AD78" s="9" t="str">
        <f t="shared" si="11"/>
        <v>Check</v>
      </c>
      <c r="AE78" s="11">
        <f t="shared" si="7"/>
        <v>-5.0000000010186341E-3</v>
      </c>
    </row>
    <row r="79" spans="1:31" x14ac:dyDescent="0.3">
      <c r="A79">
        <v>174</v>
      </c>
      <c r="B79">
        <v>4413954</v>
      </c>
      <c r="C79" t="s">
        <v>56</v>
      </c>
      <c r="D79">
        <v>1588891</v>
      </c>
      <c r="E79" t="s">
        <v>61</v>
      </c>
      <c r="F79" t="s">
        <v>18</v>
      </c>
      <c r="G79" t="s">
        <v>2113</v>
      </c>
      <c r="H79" t="s">
        <v>2114</v>
      </c>
      <c r="I79" s="9" t="s">
        <v>3234</v>
      </c>
      <c r="J79" s="9">
        <v>51162969724</v>
      </c>
      <c r="K79" s="14" t="s">
        <v>3207</v>
      </c>
      <c r="L79" s="13" t="s">
        <v>3724</v>
      </c>
      <c r="M79" s="14">
        <v>6000</v>
      </c>
      <c r="N79" s="14">
        <v>0.23</v>
      </c>
      <c r="O79" s="10">
        <f t="shared" si="8"/>
        <v>1380</v>
      </c>
      <c r="P79" s="11">
        <v>0</v>
      </c>
      <c r="Q79" s="11">
        <v>0</v>
      </c>
      <c r="R79" s="10">
        <f>IF(COUNTIF($J$2:J79,J79)=1,SUMIFS($O:$O,$J:$J,J79)+SUMIFS($P:$P,$J:$J,J79)+SUMIFS($Q:$Q,$J:$J,J79),"")</f>
        <v>1380</v>
      </c>
      <c r="S79" s="10">
        <v>1380</v>
      </c>
      <c r="T79" s="11" t="str">
        <f t="shared" si="12"/>
        <v>Ok</v>
      </c>
      <c r="U79" s="12">
        <v>45853</v>
      </c>
      <c r="V79" s="10">
        <v>1257</v>
      </c>
      <c r="W79" s="10" t="str">
        <f t="shared" si="9"/>
        <v>Short Paid</v>
      </c>
      <c r="X79" t="s">
        <v>438</v>
      </c>
      <c r="Y79" t="s">
        <v>28</v>
      </c>
      <c r="Z79">
        <v>100153</v>
      </c>
      <c r="AA79" t="s">
        <v>445</v>
      </c>
      <c r="AB79" t="s">
        <v>523</v>
      </c>
      <c r="AC79" s="9">
        <f t="shared" si="10"/>
        <v>1</v>
      </c>
      <c r="AD79" s="9" t="str">
        <f t="shared" si="11"/>
        <v>Ok</v>
      </c>
      <c r="AE79" s="11">
        <f t="shared" ref="AE79:AE106" si="13">R79-S79</f>
        <v>0</v>
      </c>
    </row>
    <row r="80" spans="1:31" x14ac:dyDescent="0.3">
      <c r="A80">
        <v>172</v>
      </c>
      <c r="B80">
        <v>4412684</v>
      </c>
      <c r="C80" t="s">
        <v>160</v>
      </c>
      <c r="D80">
        <v>1443616</v>
      </c>
      <c r="E80" t="s">
        <v>285</v>
      </c>
      <c r="F80" t="s">
        <v>20</v>
      </c>
      <c r="G80" t="s">
        <v>2115</v>
      </c>
      <c r="H80" t="s">
        <v>2116</v>
      </c>
      <c r="I80" s="9" t="s">
        <v>3455</v>
      </c>
      <c r="J80" s="9">
        <v>51160296922</v>
      </c>
      <c r="K80" s="14" t="s">
        <v>3168</v>
      </c>
      <c r="L80" s="13" t="s">
        <v>3605</v>
      </c>
      <c r="M80" s="14">
        <v>4000</v>
      </c>
      <c r="N80" s="14">
        <v>0.78800000000000003</v>
      </c>
      <c r="O80" s="10">
        <f t="shared" si="8"/>
        <v>3152</v>
      </c>
      <c r="P80" s="11">
        <v>0</v>
      </c>
      <c r="Q80" s="11">
        <v>0</v>
      </c>
      <c r="R80" s="10">
        <f>IF(COUNTIF($J$2:J80,J80)=1,SUMIFS($O:$O,$J:$J,J80)+SUMIFS($P:$P,$J:$J,J80)+SUMIFS($Q:$Q,$J:$J,J80),"")</f>
        <v>3152</v>
      </c>
      <c r="S80" s="10">
        <v>3152</v>
      </c>
      <c r="T80" s="11" t="str">
        <f t="shared" si="12"/>
        <v>Ok</v>
      </c>
      <c r="U80" s="12">
        <v>45967</v>
      </c>
      <c r="V80" s="10">
        <v>3152</v>
      </c>
      <c r="W80" s="10" t="str">
        <f t="shared" si="9"/>
        <v>Not Paid</v>
      </c>
      <c r="X80" t="s">
        <v>435</v>
      </c>
      <c r="Y80" t="s">
        <v>28</v>
      </c>
      <c r="Z80">
        <v>100121</v>
      </c>
      <c r="AA80" t="s">
        <v>3056</v>
      </c>
      <c r="AB80" t="s">
        <v>521</v>
      </c>
      <c r="AC80" s="9">
        <f t="shared" si="10"/>
        <v>1</v>
      </c>
      <c r="AD80" s="9" t="str">
        <f t="shared" si="11"/>
        <v>Ok</v>
      </c>
      <c r="AE80" s="11">
        <f t="shared" si="13"/>
        <v>0</v>
      </c>
    </row>
    <row r="81" spans="1:31" x14ac:dyDescent="0.3">
      <c r="A81">
        <v>171</v>
      </c>
      <c r="B81">
        <v>4413864</v>
      </c>
      <c r="C81" t="s">
        <v>160</v>
      </c>
      <c r="D81">
        <v>1443616</v>
      </c>
      <c r="E81" t="s">
        <v>285</v>
      </c>
      <c r="F81" t="s">
        <v>19</v>
      </c>
      <c r="G81" t="s">
        <v>2117</v>
      </c>
      <c r="H81" t="s">
        <v>2118</v>
      </c>
      <c r="I81" s="9" t="s">
        <v>3468</v>
      </c>
      <c r="J81" s="9">
        <v>51162969701</v>
      </c>
      <c r="K81" s="14" t="s">
        <v>3289</v>
      </c>
      <c r="L81" s="13" t="s">
        <v>3723</v>
      </c>
      <c r="M81" s="14">
        <v>200</v>
      </c>
      <c r="N81" s="14">
        <v>51.17</v>
      </c>
      <c r="O81" s="10">
        <f t="shared" si="8"/>
        <v>10234</v>
      </c>
      <c r="P81" s="11">
        <v>0</v>
      </c>
      <c r="Q81" s="11">
        <v>0</v>
      </c>
      <c r="R81" s="10">
        <f>IF(COUNTIF($J$2:J81,J81)=1,SUMIFS($O:$O,$J:$J,J81)+SUMIFS($P:$P,$J:$J,J81)+SUMIFS($Q:$Q,$J:$J,J81),"")</f>
        <v>10234</v>
      </c>
      <c r="S81" s="10">
        <v>10234</v>
      </c>
      <c r="T81" s="11" t="str">
        <f t="shared" si="12"/>
        <v>Ok</v>
      </c>
      <c r="U81" s="12">
        <v>45974</v>
      </c>
      <c r="V81" s="10">
        <v>10234</v>
      </c>
      <c r="W81" s="10" t="str">
        <f t="shared" si="9"/>
        <v>Not Paid</v>
      </c>
      <c r="X81" t="s">
        <v>435</v>
      </c>
      <c r="Y81" t="s">
        <v>28</v>
      </c>
      <c r="Z81">
        <v>100151</v>
      </c>
      <c r="AA81" t="s">
        <v>3057</v>
      </c>
      <c r="AB81" t="s">
        <v>524</v>
      </c>
      <c r="AC81" s="9">
        <f t="shared" si="10"/>
        <v>1</v>
      </c>
      <c r="AD81" s="9" t="str">
        <f t="shared" si="11"/>
        <v>Ok</v>
      </c>
      <c r="AE81" s="11">
        <f t="shared" si="13"/>
        <v>0</v>
      </c>
    </row>
    <row r="82" spans="1:31" x14ac:dyDescent="0.3">
      <c r="A82">
        <v>171</v>
      </c>
      <c r="B82">
        <v>4413964</v>
      </c>
      <c r="C82" t="s">
        <v>160</v>
      </c>
      <c r="D82">
        <v>1443616</v>
      </c>
      <c r="E82" t="s">
        <v>285</v>
      </c>
      <c r="F82" t="s">
        <v>20</v>
      </c>
      <c r="G82" t="s">
        <v>2119</v>
      </c>
      <c r="H82" t="s">
        <v>2120</v>
      </c>
      <c r="I82" s="9" t="s">
        <v>3250</v>
      </c>
      <c r="J82" s="9">
        <v>51162969750</v>
      </c>
      <c r="K82" s="14" t="s">
        <v>3168</v>
      </c>
      <c r="L82" s="13" t="s">
        <v>3608</v>
      </c>
      <c r="M82" s="14">
        <v>9000</v>
      </c>
      <c r="N82" s="14">
        <v>0.64949999999999997</v>
      </c>
      <c r="O82" s="10">
        <f t="shared" si="8"/>
        <v>5845.5</v>
      </c>
      <c r="P82" s="11">
        <v>0</v>
      </c>
      <c r="Q82" s="11">
        <v>0</v>
      </c>
      <c r="R82" s="10">
        <f>IF(COUNTIF($J$2:J82,J82)=1,SUMIFS($O:$O,$J:$J,J82)+SUMIFS($P:$P,$J:$J,J82)+SUMIFS($Q:$Q,$J:$J,J82),"")</f>
        <v>5845.5</v>
      </c>
      <c r="S82" s="10">
        <v>5845.5</v>
      </c>
      <c r="T82" s="11" t="str">
        <f t="shared" si="12"/>
        <v>Ok</v>
      </c>
      <c r="U82" s="12">
        <v>45975</v>
      </c>
      <c r="V82" s="10">
        <v>5845.5</v>
      </c>
      <c r="W82" s="10" t="str">
        <f t="shared" si="9"/>
        <v>Not Paid</v>
      </c>
      <c r="X82" t="s">
        <v>435</v>
      </c>
      <c r="Y82" t="s">
        <v>28</v>
      </c>
      <c r="Z82">
        <v>100161</v>
      </c>
      <c r="AA82" t="s">
        <v>3066</v>
      </c>
      <c r="AB82" t="s">
        <v>521</v>
      </c>
      <c r="AC82" s="9">
        <f t="shared" si="10"/>
        <v>1</v>
      </c>
      <c r="AD82" s="9" t="str">
        <f t="shared" si="11"/>
        <v>Ok</v>
      </c>
      <c r="AE82" s="11">
        <f t="shared" si="13"/>
        <v>0</v>
      </c>
    </row>
    <row r="83" spans="1:31" x14ac:dyDescent="0.3">
      <c r="A83">
        <v>171</v>
      </c>
      <c r="B83">
        <v>4413944</v>
      </c>
      <c r="C83" t="s">
        <v>160</v>
      </c>
      <c r="D83">
        <v>1443616</v>
      </c>
      <c r="E83" t="s">
        <v>285</v>
      </c>
      <c r="F83" t="s">
        <v>20</v>
      </c>
      <c r="G83" t="s">
        <v>2121</v>
      </c>
      <c r="H83" t="s">
        <v>2122</v>
      </c>
      <c r="I83" s="9" t="s">
        <v>3283</v>
      </c>
      <c r="J83" s="9">
        <v>50117924979</v>
      </c>
      <c r="K83" s="14" t="s">
        <v>3168</v>
      </c>
      <c r="L83" s="13" t="s">
        <v>3284</v>
      </c>
      <c r="M83" s="14">
        <v>70000</v>
      </c>
      <c r="N83" s="14">
        <v>9.6699999999999998E-3</v>
      </c>
      <c r="O83" s="10">
        <f t="shared" si="8"/>
        <v>676.9</v>
      </c>
      <c r="P83" s="11">
        <v>0</v>
      </c>
      <c r="Q83" s="11">
        <v>0</v>
      </c>
      <c r="R83" s="10">
        <f>IF(COUNTIF($J$2:J83,J83)=1,SUMIFS($O:$O,$J:$J,J83)+SUMIFS($P:$P,$J:$J,J83)+SUMIFS($Q:$Q,$J:$J,J83),"")</f>
        <v>676.9</v>
      </c>
      <c r="S83" s="10">
        <v>676.9</v>
      </c>
      <c r="T83" s="11" t="str">
        <f t="shared" si="12"/>
        <v>Ok</v>
      </c>
      <c r="U83" s="12">
        <v>45978</v>
      </c>
      <c r="V83" s="10">
        <v>676.9</v>
      </c>
      <c r="W83" s="10" t="str">
        <f t="shared" si="9"/>
        <v>Not Paid</v>
      </c>
      <c r="X83" t="s">
        <v>435</v>
      </c>
      <c r="Y83" t="s">
        <v>28</v>
      </c>
      <c r="Z83">
        <v>100191</v>
      </c>
      <c r="AA83" t="s">
        <v>497</v>
      </c>
      <c r="AB83" t="s">
        <v>521</v>
      </c>
      <c r="AC83" s="9">
        <f t="shared" si="10"/>
        <v>1</v>
      </c>
      <c r="AD83" s="9" t="str">
        <f t="shared" si="11"/>
        <v>Ok</v>
      </c>
      <c r="AE83" s="11">
        <f t="shared" si="13"/>
        <v>0</v>
      </c>
    </row>
    <row r="84" spans="1:31" x14ac:dyDescent="0.3">
      <c r="A84">
        <v>171</v>
      </c>
      <c r="B84">
        <v>4413924</v>
      </c>
      <c r="C84" t="s">
        <v>160</v>
      </c>
      <c r="D84">
        <v>1443616</v>
      </c>
      <c r="E84" t="s">
        <v>285</v>
      </c>
      <c r="F84" t="s">
        <v>20</v>
      </c>
      <c r="G84" t="s">
        <v>2123</v>
      </c>
      <c r="H84" t="s">
        <v>2124</v>
      </c>
      <c r="I84" s="9" t="s">
        <v>3206</v>
      </c>
      <c r="J84" s="9">
        <v>50117924978</v>
      </c>
      <c r="K84" s="14" t="s">
        <v>3168</v>
      </c>
      <c r="L84" s="13" t="s">
        <v>3282</v>
      </c>
      <c r="M84" s="14">
        <v>12000</v>
      </c>
      <c r="N84" s="14">
        <v>4.5809999999999997E-2</v>
      </c>
      <c r="O84" s="10">
        <f t="shared" si="8"/>
        <v>549.71999999999991</v>
      </c>
      <c r="P84" s="11">
        <v>0</v>
      </c>
      <c r="Q84" s="11">
        <v>0</v>
      </c>
      <c r="R84" s="10">
        <f>IF(COUNTIF($J$2:J84,J84)=1,SUMIFS($O:$O,$J:$J,J84)+SUMIFS($P:$P,$J:$J,J84)+SUMIFS($Q:$Q,$J:$J,J84),"")</f>
        <v>549.71999999999991</v>
      </c>
      <c r="S84" s="10">
        <v>549.72</v>
      </c>
      <c r="T84" s="11" t="str">
        <f t="shared" si="12"/>
        <v>Ok</v>
      </c>
      <c r="U84" s="12">
        <v>45980</v>
      </c>
      <c r="V84" s="10">
        <v>549.72</v>
      </c>
      <c r="W84" s="10" t="str">
        <f t="shared" si="9"/>
        <v>Not Paid</v>
      </c>
      <c r="X84" t="s">
        <v>435</v>
      </c>
      <c r="Y84" t="s">
        <v>28</v>
      </c>
      <c r="Z84">
        <v>100201</v>
      </c>
      <c r="AA84" t="s">
        <v>3064</v>
      </c>
      <c r="AB84" t="s">
        <v>521</v>
      </c>
      <c r="AC84" s="9">
        <f t="shared" si="10"/>
        <v>1</v>
      </c>
      <c r="AD84" s="9" t="str">
        <f t="shared" si="11"/>
        <v>Ok</v>
      </c>
      <c r="AE84" s="11">
        <f t="shared" si="13"/>
        <v>0</v>
      </c>
    </row>
    <row r="85" spans="1:31" x14ac:dyDescent="0.3">
      <c r="A85">
        <v>171</v>
      </c>
      <c r="B85">
        <v>4412414</v>
      </c>
      <c r="C85" t="s">
        <v>160</v>
      </c>
      <c r="D85">
        <v>1443616</v>
      </c>
      <c r="E85" t="s">
        <v>285</v>
      </c>
      <c r="F85" t="s">
        <v>20</v>
      </c>
      <c r="G85" t="s">
        <v>2125</v>
      </c>
      <c r="H85" t="s">
        <v>2126</v>
      </c>
      <c r="I85" s="9" t="s">
        <v>3416</v>
      </c>
      <c r="J85" s="9">
        <v>51162188217</v>
      </c>
      <c r="K85" s="14" t="s">
        <v>3168</v>
      </c>
      <c r="L85" s="13" t="s">
        <v>3282</v>
      </c>
      <c r="M85" s="14">
        <v>6000</v>
      </c>
      <c r="N85" s="14">
        <v>4.5809999999999997E-2</v>
      </c>
      <c r="O85" s="10">
        <f t="shared" si="8"/>
        <v>274.85999999999996</v>
      </c>
      <c r="P85" s="11">
        <v>0</v>
      </c>
      <c r="Q85" s="11">
        <v>0</v>
      </c>
      <c r="R85" s="10">
        <f>IF(COUNTIF($J$2:J85,J85)=1,SUMIFS($O:$O,$J:$J,J85)+SUMIFS($P:$P,$J:$J,J85)+SUMIFS($Q:$Q,$J:$J,J85),"")</f>
        <v>274.85999999999996</v>
      </c>
      <c r="S85" s="10">
        <v>274.86</v>
      </c>
      <c r="T85" s="11" t="str">
        <f t="shared" si="12"/>
        <v>Ok</v>
      </c>
      <c r="U85" s="12">
        <v>45980</v>
      </c>
      <c r="V85" s="10">
        <v>274.86</v>
      </c>
      <c r="W85" s="10" t="str">
        <f t="shared" si="9"/>
        <v>Not Paid</v>
      </c>
      <c r="X85" t="s">
        <v>435</v>
      </c>
      <c r="Y85" t="s">
        <v>28</v>
      </c>
      <c r="Z85">
        <v>100231</v>
      </c>
      <c r="AA85" t="s">
        <v>3065</v>
      </c>
      <c r="AB85" t="s">
        <v>521</v>
      </c>
      <c r="AC85" s="9">
        <f t="shared" si="10"/>
        <v>1</v>
      </c>
      <c r="AD85" s="9" t="str">
        <f t="shared" si="11"/>
        <v>Ok</v>
      </c>
      <c r="AE85" s="11">
        <f t="shared" si="13"/>
        <v>0</v>
      </c>
    </row>
    <row r="86" spans="1:31" x14ac:dyDescent="0.3">
      <c r="A86">
        <v>171</v>
      </c>
      <c r="B86">
        <v>4413373</v>
      </c>
      <c r="C86" t="s">
        <v>160</v>
      </c>
      <c r="D86">
        <v>1443616</v>
      </c>
      <c r="E86" t="s">
        <v>285</v>
      </c>
      <c r="F86" t="s">
        <v>20</v>
      </c>
      <c r="G86" t="s">
        <v>2127</v>
      </c>
      <c r="H86" t="s">
        <v>2128</v>
      </c>
      <c r="I86" s="9" t="s">
        <v>3198</v>
      </c>
      <c r="J86" s="9">
        <v>51161569796</v>
      </c>
      <c r="K86" s="14" t="s">
        <v>3168</v>
      </c>
      <c r="L86" s="13" t="s">
        <v>3636</v>
      </c>
      <c r="M86" s="14">
        <v>12000</v>
      </c>
      <c r="N86" s="14">
        <v>1.4E-2</v>
      </c>
      <c r="O86" s="10">
        <f t="shared" si="8"/>
        <v>168</v>
      </c>
      <c r="P86" s="11">
        <v>0</v>
      </c>
      <c r="Q86" s="11">
        <v>0</v>
      </c>
      <c r="R86" s="10">
        <f>IF(COUNTIF($J$2:J86,J86)=1,SUMIFS($O:$O,$J:$J,J86)+SUMIFS($P:$P,$J:$J,J86)+SUMIFS($Q:$Q,$J:$J,J86),"")</f>
        <v>168</v>
      </c>
      <c r="S86" s="10">
        <v>168</v>
      </c>
      <c r="T86" s="11" t="str">
        <f t="shared" si="12"/>
        <v>Ok</v>
      </c>
      <c r="U86" s="12">
        <v>45983</v>
      </c>
      <c r="V86" s="10">
        <v>168</v>
      </c>
      <c r="W86" s="10" t="str">
        <f t="shared" si="9"/>
        <v>Not Paid</v>
      </c>
      <c r="X86" t="s">
        <v>435</v>
      </c>
      <c r="Y86" t="s">
        <v>28</v>
      </c>
      <c r="Z86">
        <v>100241</v>
      </c>
      <c r="AA86" t="s">
        <v>3063</v>
      </c>
      <c r="AB86" t="s">
        <v>521</v>
      </c>
      <c r="AC86" s="9">
        <f t="shared" si="10"/>
        <v>1</v>
      </c>
      <c r="AD86" s="9" t="str">
        <f t="shared" si="11"/>
        <v>Ok</v>
      </c>
      <c r="AE86" s="11">
        <f t="shared" si="13"/>
        <v>0</v>
      </c>
    </row>
    <row r="87" spans="1:31" x14ac:dyDescent="0.3">
      <c r="A87">
        <v>171</v>
      </c>
      <c r="B87">
        <v>4413383</v>
      </c>
      <c r="C87" t="s">
        <v>160</v>
      </c>
      <c r="D87">
        <v>1443616</v>
      </c>
      <c r="E87" t="s">
        <v>285</v>
      </c>
      <c r="F87" t="s">
        <v>20</v>
      </c>
      <c r="G87" t="s">
        <v>2129</v>
      </c>
      <c r="H87" t="s">
        <v>2130</v>
      </c>
      <c r="I87" s="9" t="s">
        <v>3249</v>
      </c>
      <c r="J87" s="9">
        <v>51161569815</v>
      </c>
      <c r="K87" s="14" t="s">
        <v>3168</v>
      </c>
      <c r="L87" s="13" t="s">
        <v>3636</v>
      </c>
      <c r="M87" s="14">
        <v>3000</v>
      </c>
      <c r="N87" s="14">
        <v>1.4E-2</v>
      </c>
      <c r="O87" s="10">
        <f t="shared" si="8"/>
        <v>42</v>
      </c>
      <c r="P87" s="11">
        <v>0</v>
      </c>
      <c r="Q87" s="11">
        <v>0</v>
      </c>
      <c r="R87" s="10">
        <f>IF(COUNTIF($J$2:J87,J87)=1,SUMIFS($O:$O,$J:$J,J87)+SUMIFS($P:$P,$J:$J,J87)+SUMIFS($Q:$Q,$J:$J,J87),"")</f>
        <v>42</v>
      </c>
      <c r="S87" s="10">
        <v>42</v>
      </c>
      <c r="T87" s="11" t="str">
        <f t="shared" si="12"/>
        <v>Ok</v>
      </c>
      <c r="U87" s="12">
        <v>45987</v>
      </c>
      <c r="V87" s="10">
        <v>42</v>
      </c>
      <c r="W87" s="10" t="str">
        <f t="shared" si="9"/>
        <v>Not Paid</v>
      </c>
      <c r="X87" t="s">
        <v>435</v>
      </c>
      <c r="Y87" t="s">
        <v>28</v>
      </c>
      <c r="Z87">
        <v>100271</v>
      </c>
      <c r="AA87" t="s">
        <v>3067</v>
      </c>
      <c r="AB87" t="s">
        <v>521</v>
      </c>
      <c r="AC87" s="9">
        <f t="shared" si="10"/>
        <v>1</v>
      </c>
      <c r="AD87" s="9" t="str">
        <f t="shared" si="11"/>
        <v>Ok</v>
      </c>
      <c r="AE87" s="11">
        <f t="shared" si="13"/>
        <v>0</v>
      </c>
    </row>
    <row r="88" spans="1:31" x14ac:dyDescent="0.3">
      <c r="A88">
        <v>165</v>
      </c>
      <c r="B88">
        <v>4414663</v>
      </c>
      <c r="C88" t="s">
        <v>160</v>
      </c>
      <c r="D88">
        <v>1443616</v>
      </c>
      <c r="E88" t="s">
        <v>285</v>
      </c>
      <c r="F88" t="s">
        <v>20</v>
      </c>
      <c r="G88" t="s">
        <v>2131</v>
      </c>
      <c r="H88" t="s">
        <v>2132</v>
      </c>
      <c r="I88" s="9" t="s">
        <v>3359</v>
      </c>
      <c r="J88" s="9">
        <v>55113474632</v>
      </c>
      <c r="K88" s="14" t="s">
        <v>3168</v>
      </c>
      <c r="L88" s="13" t="s">
        <v>3608</v>
      </c>
      <c r="M88" s="14">
        <v>18000</v>
      </c>
      <c r="N88" s="14">
        <v>0.64949999999999997</v>
      </c>
      <c r="O88" s="10">
        <f t="shared" si="8"/>
        <v>11691</v>
      </c>
      <c r="P88" s="11">
        <v>0</v>
      </c>
      <c r="Q88" s="11">
        <v>0</v>
      </c>
      <c r="R88" s="10">
        <f>IF(COUNTIF($J$2:J88,J88)=1,SUMIFS($O:$O,$J:$J,J88)+SUMIFS($P:$P,$J:$J,J88)+SUMIFS($Q:$Q,$J:$J,J88),"")</f>
        <v>11691</v>
      </c>
      <c r="S88" s="10">
        <v>11691</v>
      </c>
      <c r="T88" s="11" t="str">
        <f t="shared" si="12"/>
        <v>Ok</v>
      </c>
      <c r="U88" s="12">
        <v>45993</v>
      </c>
      <c r="V88" s="10">
        <v>11691</v>
      </c>
      <c r="W88" s="10" t="str">
        <f t="shared" si="9"/>
        <v>Not Paid</v>
      </c>
      <c r="X88" t="s">
        <v>435</v>
      </c>
      <c r="Y88" t="s">
        <v>28</v>
      </c>
      <c r="Z88">
        <v>100281</v>
      </c>
      <c r="AA88" t="s">
        <v>3068</v>
      </c>
      <c r="AB88" t="s">
        <v>521</v>
      </c>
      <c r="AC88" s="9">
        <f t="shared" si="10"/>
        <v>1</v>
      </c>
      <c r="AD88" s="9" t="str">
        <f t="shared" si="11"/>
        <v>Ok</v>
      </c>
      <c r="AE88" s="11">
        <f t="shared" si="13"/>
        <v>0</v>
      </c>
    </row>
    <row r="89" spans="1:31" x14ac:dyDescent="0.3">
      <c r="A89">
        <v>165</v>
      </c>
      <c r="B89">
        <v>4415103</v>
      </c>
      <c r="C89" t="s">
        <v>160</v>
      </c>
      <c r="D89">
        <v>1443616</v>
      </c>
      <c r="E89" t="s">
        <v>285</v>
      </c>
      <c r="F89" t="s">
        <v>19</v>
      </c>
      <c r="G89" t="s">
        <v>2133</v>
      </c>
      <c r="H89" t="s">
        <v>2134</v>
      </c>
      <c r="I89" s="9" t="s">
        <v>3296</v>
      </c>
      <c r="J89" s="9">
        <v>55113474611</v>
      </c>
      <c r="K89" s="14" t="s">
        <v>3289</v>
      </c>
      <c r="L89" s="13" t="s">
        <v>3723</v>
      </c>
      <c r="M89" s="14">
        <v>271</v>
      </c>
      <c r="N89" s="14">
        <v>51.17</v>
      </c>
      <c r="O89" s="10">
        <f t="shared" si="8"/>
        <v>13867.07</v>
      </c>
      <c r="P89" s="11">
        <v>0</v>
      </c>
      <c r="Q89" s="11">
        <v>0</v>
      </c>
      <c r="R89" s="10">
        <f>IF(COUNTIF($J$2:J89,J89)=1,SUMIFS($O:$O,$J:$J,J89)+SUMIFS($P:$P,$J:$J,J89)+SUMIFS($Q:$Q,$J:$J,J89),"")</f>
        <v>13867.07</v>
      </c>
      <c r="S89" s="10">
        <v>13867.07</v>
      </c>
      <c r="T89" s="11" t="str">
        <f t="shared" si="12"/>
        <v>Ok</v>
      </c>
      <c r="U89" s="12">
        <v>46000</v>
      </c>
      <c r="V89" s="10">
        <v>13867.07</v>
      </c>
      <c r="W89" s="10" t="str">
        <f t="shared" si="9"/>
        <v>Not Paid</v>
      </c>
      <c r="X89" t="s">
        <v>435</v>
      </c>
      <c r="Y89" t="s">
        <v>28</v>
      </c>
      <c r="Z89">
        <v>100111</v>
      </c>
      <c r="AA89" t="s">
        <v>3045</v>
      </c>
      <c r="AB89" t="s">
        <v>524</v>
      </c>
      <c r="AC89" s="9">
        <f t="shared" si="10"/>
        <v>1</v>
      </c>
      <c r="AD89" s="9" t="str">
        <f t="shared" si="11"/>
        <v>Ok</v>
      </c>
      <c r="AE89" s="11">
        <f t="shared" si="13"/>
        <v>0</v>
      </c>
    </row>
    <row r="90" spans="1:31" x14ac:dyDescent="0.3">
      <c r="A90">
        <v>165</v>
      </c>
      <c r="B90">
        <v>4414653</v>
      </c>
      <c r="C90" t="s">
        <v>160</v>
      </c>
      <c r="D90">
        <v>1443616</v>
      </c>
      <c r="E90" t="s">
        <v>285</v>
      </c>
      <c r="F90" t="s">
        <v>20</v>
      </c>
      <c r="G90" t="s">
        <v>2135</v>
      </c>
      <c r="H90" t="s">
        <v>2136</v>
      </c>
      <c r="I90" s="9" t="s">
        <v>3300</v>
      </c>
      <c r="J90" s="9">
        <v>51159937570</v>
      </c>
      <c r="K90" s="14" t="s">
        <v>3168</v>
      </c>
      <c r="L90" s="13" t="s">
        <v>3608</v>
      </c>
      <c r="M90" s="14">
        <v>21000</v>
      </c>
      <c r="N90" s="14">
        <v>0.64949999999999997</v>
      </c>
      <c r="O90" s="10">
        <f t="shared" si="8"/>
        <v>13639.5</v>
      </c>
      <c r="P90" s="11">
        <v>0</v>
      </c>
      <c r="Q90" s="11">
        <v>0</v>
      </c>
      <c r="R90" s="10">
        <f>IF(COUNTIF($J$2:J90,J90)=1,SUMIFS($O:$O,$J:$J,J90)+SUMIFS($P:$P,$J:$J,J90)+SUMIFS($Q:$Q,$J:$J,J90),"")</f>
        <v>13639.5</v>
      </c>
      <c r="S90" s="10">
        <v>13639.5</v>
      </c>
      <c r="T90" s="11" t="str">
        <f t="shared" si="12"/>
        <v>Ok</v>
      </c>
      <c r="U90" s="12">
        <v>46003</v>
      </c>
      <c r="V90" s="10">
        <v>13639.5</v>
      </c>
      <c r="W90" s="10" t="str">
        <f t="shared" si="9"/>
        <v>Not Paid</v>
      </c>
      <c r="X90" t="s">
        <v>435</v>
      </c>
      <c r="Y90" t="s">
        <v>28</v>
      </c>
      <c r="Z90">
        <v>100121</v>
      </c>
      <c r="AA90" t="s">
        <v>3056</v>
      </c>
      <c r="AB90" t="s">
        <v>521</v>
      </c>
      <c r="AC90" s="9">
        <f t="shared" si="10"/>
        <v>1</v>
      </c>
      <c r="AD90" s="9" t="str">
        <f t="shared" si="11"/>
        <v>Ok</v>
      </c>
      <c r="AE90" s="11">
        <f t="shared" si="13"/>
        <v>0</v>
      </c>
    </row>
    <row r="91" spans="1:31" x14ac:dyDescent="0.3">
      <c r="A91">
        <v>163</v>
      </c>
      <c r="B91">
        <v>4413343</v>
      </c>
      <c r="C91" t="s">
        <v>160</v>
      </c>
      <c r="D91">
        <v>1142492</v>
      </c>
      <c r="E91" t="s">
        <v>548</v>
      </c>
      <c r="F91" t="s">
        <v>25</v>
      </c>
      <c r="G91" t="s">
        <v>2137</v>
      </c>
      <c r="H91" t="s">
        <v>2138</v>
      </c>
      <c r="I91" s="9" t="s">
        <v>3496</v>
      </c>
      <c r="J91" s="9">
        <v>51163219769</v>
      </c>
      <c r="K91" s="14" t="s">
        <v>3483</v>
      </c>
      <c r="L91" s="13" t="s">
        <v>3733</v>
      </c>
      <c r="M91" s="14">
        <v>15</v>
      </c>
      <c r="N91" s="14">
        <v>3755</v>
      </c>
      <c r="O91" s="10">
        <f t="shared" si="8"/>
        <v>56325</v>
      </c>
      <c r="P91" s="11">
        <v>0</v>
      </c>
      <c r="Q91" s="11">
        <v>0</v>
      </c>
      <c r="R91" s="10">
        <f>IF(COUNTIF($J$2:J91,J91)=1,SUMIFS($O:$O,$J:$J,J91)+SUMIFS($P:$P,$J:$J,J91)+SUMIFS($Q:$Q,$J:$J,J91),"")</f>
        <v>56325</v>
      </c>
      <c r="S91" s="10">
        <v>56325</v>
      </c>
      <c r="T91" s="11" t="str">
        <f t="shared" si="12"/>
        <v>Ok</v>
      </c>
      <c r="U91" s="12">
        <v>45953</v>
      </c>
      <c r="V91" s="10">
        <v>56325</v>
      </c>
      <c r="W91" s="10" t="str">
        <f t="shared" si="9"/>
        <v>Not Paid</v>
      </c>
      <c r="X91" t="s">
        <v>470</v>
      </c>
      <c r="Y91" t="s">
        <v>28</v>
      </c>
      <c r="Z91">
        <v>100248</v>
      </c>
      <c r="AA91" t="s">
        <v>3117</v>
      </c>
      <c r="AB91" t="s">
        <v>525</v>
      </c>
      <c r="AC91" s="9">
        <f t="shared" si="10"/>
        <v>1</v>
      </c>
      <c r="AD91" s="9" t="str">
        <f t="shared" si="11"/>
        <v>Ok</v>
      </c>
      <c r="AE91" s="11">
        <f t="shared" si="13"/>
        <v>0</v>
      </c>
    </row>
    <row r="92" spans="1:31" x14ac:dyDescent="0.3">
      <c r="A92">
        <v>158</v>
      </c>
      <c r="B92">
        <v>4413783</v>
      </c>
      <c r="C92" t="s">
        <v>160</v>
      </c>
      <c r="D92">
        <v>1470631</v>
      </c>
      <c r="E92" t="s">
        <v>214</v>
      </c>
      <c r="F92" t="s">
        <v>20</v>
      </c>
      <c r="G92" t="s">
        <v>2139</v>
      </c>
      <c r="H92" t="s">
        <v>2140</v>
      </c>
      <c r="I92" s="9" t="s">
        <v>3285</v>
      </c>
      <c r="J92" s="9">
        <v>51162561407</v>
      </c>
      <c r="K92" s="14" t="s">
        <v>3203</v>
      </c>
      <c r="L92" s="13" t="s">
        <v>3709</v>
      </c>
      <c r="M92" s="14">
        <v>61</v>
      </c>
      <c r="N92" s="14">
        <v>2.09</v>
      </c>
      <c r="O92" s="10">
        <f t="shared" si="8"/>
        <v>127.49</v>
      </c>
      <c r="P92" s="11">
        <v>0</v>
      </c>
      <c r="Q92" s="11">
        <v>54.82</v>
      </c>
      <c r="R92" s="10">
        <f>IF(COUNTIF($J$2:J92,J92)=1,SUMIFS($O:$O,$J:$J,J92)+SUMIFS($P:$P,$J:$J,J92)+SUMIFS($Q:$Q,$J:$J,J92),"")</f>
        <v>182.31</v>
      </c>
      <c r="S92" s="10">
        <v>182.31</v>
      </c>
      <c r="T92" s="11" t="str">
        <f t="shared" si="12"/>
        <v>Ok</v>
      </c>
      <c r="U92" s="12">
        <v>45743</v>
      </c>
      <c r="V92" s="10">
        <v>182.31</v>
      </c>
      <c r="W92" s="10" t="str">
        <f t="shared" si="9"/>
        <v>Not Paid</v>
      </c>
      <c r="X92" t="s">
        <v>450</v>
      </c>
      <c r="Y92" t="s">
        <v>28</v>
      </c>
      <c r="Z92">
        <v>100287</v>
      </c>
      <c r="AA92" t="s">
        <v>503</v>
      </c>
      <c r="AB92" t="s">
        <v>521</v>
      </c>
      <c r="AC92" s="9">
        <f t="shared" si="10"/>
        <v>1</v>
      </c>
      <c r="AD92" s="9" t="str">
        <f t="shared" si="11"/>
        <v>Ok</v>
      </c>
      <c r="AE92" s="11">
        <f t="shared" si="13"/>
        <v>0</v>
      </c>
    </row>
    <row r="93" spans="1:31" x14ac:dyDescent="0.3">
      <c r="A93">
        <v>158</v>
      </c>
      <c r="B93">
        <v>4414343</v>
      </c>
      <c r="C93" t="s">
        <v>220</v>
      </c>
      <c r="D93">
        <v>1125734</v>
      </c>
      <c r="E93" t="s">
        <v>532</v>
      </c>
      <c r="F93" t="s">
        <v>47</v>
      </c>
      <c r="G93" t="s">
        <v>2141</v>
      </c>
      <c r="H93" t="s">
        <v>2142</v>
      </c>
      <c r="I93" s="9" t="s">
        <v>3325</v>
      </c>
      <c r="J93" s="9">
        <v>51160940785</v>
      </c>
      <c r="K93" s="14" t="s">
        <v>3577</v>
      </c>
      <c r="L93" s="13" t="s">
        <v>3576</v>
      </c>
      <c r="M93" s="14">
        <v>500</v>
      </c>
      <c r="N93" s="14">
        <v>0.66</v>
      </c>
      <c r="O93" s="10">
        <f t="shared" si="8"/>
        <v>330</v>
      </c>
      <c r="P93" s="11">
        <v>0</v>
      </c>
      <c r="Q93" s="11">
        <v>62.7</v>
      </c>
      <c r="R93" s="10">
        <f>IF(COUNTIF($J$2:J93,J93)=1,SUMIFS($O:$O,$J:$J,J93)+SUMIFS($P:$P,$J:$J,J93)+SUMIFS($Q:$Q,$J:$J,J93),"")</f>
        <v>392.7</v>
      </c>
      <c r="S93" s="10">
        <v>392.7</v>
      </c>
      <c r="T93" s="11" t="str">
        <f t="shared" si="12"/>
        <v>Ok</v>
      </c>
      <c r="U93" s="12">
        <v>45849</v>
      </c>
      <c r="V93" s="10">
        <v>62.7</v>
      </c>
      <c r="W93" s="10" t="str">
        <f t="shared" si="9"/>
        <v>Short Paid</v>
      </c>
      <c r="X93" t="s">
        <v>470</v>
      </c>
      <c r="Y93" t="s">
        <v>28</v>
      </c>
      <c r="Z93">
        <v>100128</v>
      </c>
      <c r="AA93" t="s">
        <v>508</v>
      </c>
      <c r="AB93" t="s">
        <v>3039</v>
      </c>
      <c r="AC93" s="9">
        <f t="shared" si="10"/>
        <v>1</v>
      </c>
      <c r="AD93" s="9" t="str">
        <f t="shared" si="11"/>
        <v>Ok</v>
      </c>
      <c r="AE93" s="11">
        <f t="shared" si="13"/>
        <v>0</v>
      </c>
    </row>
    <row r="94" spans="1:31" x14ac:dyDescent="0.3">
      <c r="A94">
        <v>157</v>
      </c>
      <c r="B94">
        <v>4414333</v>
      </c>
      <c r="C94" t="s">
        <v>160</v>
      </c>
      <c r="D94">
        <v>1443616</v>
      </c>
      <c r="E94" t="s">
        <v>285</v>
      </c>
      <c r="F94" t="s">
        <v>20</v>
      </c>
      <c r="G94" t="s">
        <v>2143</v>
      </c>
      <c r="H94" t="s">
        <v>2144</v>
      </c>
      <c r="I94" s="9" t="s">
        <v>3390</v>
      </c>
      <c r="J94" s="9">
        <v>51160940744</v>
      </c>
      <c r="K94" s="14" t="s">
        <v>3168</v>
      </c>
      <c r="L94" s="13" t="s">
        <v>3636</v>
      </c>
      <c r="M94" s="14">
        <v>15000</v>
      </c>
      <c r="N94" s="14">
        <v>1.4E-2</v>
      </c>
      <c r="O94" s="10">
        <f t="shared" si="8"/>
        <v>210</v>
      </c>
      <c r="P94" s="11">
        <v>0</v>
      </c>
      <c r="Q94" s="11">
        <v>0</v>
      </c>
      <c r="R94" s="10">
        <f>IF(COUNTIF($J$2:J94,J94)=1,SUMIFS($O:$O,$J:$J,J94)+SUMIFS($P:$P,$J:$J,J94)+SUMIFS($Q:$Q,$J:$J,J94),"")</f>
        <v>210</v>
      </c>
      <c r="S94" s="10">
        <v>210</v>
      </c>
      <c r="T94" s="11" t="str">
        <f t="shared" si="12"/>
        <v>Ok</v>
      </c>
      <c r="U94" s="12">
        <v>46010</v>
      </c>
      <c r="V94" s="10">
        <v>210</v>
      </c>
      <c r="W94" s="10" t="str">
        <f t="shared" si="9"/>
        <v>Not Paid</v>
      </c>
      <c r="X94" t="s">
        <v>435</v>
      </c>
      <c r="Y94" t="s">
        <v>28</v>
      </c>
      <c r="Z94">
        <v>100151</v>
      </c>
      <c r="AA94" t="s">
        <v>3057</v>
      </c>
      <c r="AB94" t="s">
        <v>521</v>
      </c>
      <c r="AC94" s="9">
        <f t="shared" si="10"/>
        <v>1</v>
      </c>
      <c r="AD94" s="9" t="str">
        <f t="shared" si="11"/>
        <v>Ok</v>
      </c>
      <c r="AE94" s="11">
        <f t="shared" si="13"/>
        <v>0</v>
      </c>
    </row>
    <row r="95" spans="1:31" x14ac:dyDescent="0.3">
      <c r="A95">
        <v>157</v>
      </c>
      <c r="B95">
        <v>4414323</v>
      </c>
      <c r="C95" t="s">
        <v>160</v>
      </c>
      <c r="D95">
        <v>1443616</v>
      </c>
      <c r="E95" t="s">
        <v>285</v>
      </c>
      <c r="F95" t="s">
        <v>20</v>
      </c>
      <c r="G95" t="s">
        <v>2145</v>
      </c>
      <c r="H95" t="s">
        <v>2146</v>
      </c>
      <c r="I95" s="9" t="s">
        <v>3232</v>
      </c>
      <c r="J95" s="9">
        <v>51159903153</v>
      </c>
      <c r="K95" s="14" t="s">
        <v>3168</v>
      </c>
      <c r="L95" s="13" t="s">
        <v>3605</v>
      </c>
      <c r="M95" s="14">
        <v>4000</v>
      </c>
      <c r="N95" s="14">
        <v>0.78800000000000003</v>
      </c>
      <c r="O95" s="10">
        <f t="shared" si="8"/>
        <v>3152</v>
      </c>
      <c r="P95" s="11">
        <v>0</v>
      </c>
      <c r="Q95" s="11">
        <v>0</v>
      </c>
      <c r="R95" s="10">
        <f>IF(COUNTIF($J$2:J95,J95)=1,SUMIFS($O:$O,$J:$J,J95)+SUMIFS($P:$P,$J:$J,J95)+SUMIFS($Q:$Q,$J:$J,J95),"")</f>
        <v>3152</v>
      </c>
      <c r="S95" s="10">
        <v>3152</v>
      </c>
      <c r="T95" s="11" t="str">
        <f t="shared" si="12"/>
        <v>Ok</v>
      </c>
      <c r="U95" s="12">
        <v>46011</v>
      </c>
      <c r="V95" s="10">
        <v>3152</v>
      </c>
      <c r="W95" s="10" t="str">
        <f t="shared" si="9"/>
        <v>Not Paid</v>
      </c>
      <c r="X95" t="s">
        <v>435</v>
      </c>
      <c r="Y95" t="s">
        <v>28</v>
      </c>
      <c r="Z95">
        <v>100161</v>
      </c>
      <c r="AA95" t="s">
        <v>3066</v>
      </c>
      <c r="AB95" t="s">
        <v>521</v>
      </c>
      <c r="AC95" s="9">
        <f t="shared" si="10"/>
        <v>1</v>
      </c>
      <c r="AD95" s="9" t="str">
        <f t="shared" si="11"/>
        <v>Ok</v>
      </c>
      <c r="AE95" s="11">
        <f t="shared" si="13"/>
        <v>0</v>
      </c>
    </row>
    <row r="96" spans="1:31" x14ac:dyDescent="0.3">
      <c r="A96">
        <v>157</v>
      </c>
      <c r="B96">
        <v>4414923</v>
      </c>
      <c r="C96" t="s">
        <v>160</v>
      </c>
      <c r="D96">
        <v>1443616</v>
      </c>
      <c r="E96" t="s">
        <v>285</v>
      </c>
      <c r="F96" t="s">
        <v>20</v>
      </c>
      <c r="G96" t="s">
        <v>2147</v>
      </c>
      <c r="H96" t="s">
        <v>2148</v>
      </c>
      <c r="I96" s="9" t="s">
        <v>3419</v>
      </c>
      <c r="J96" s="9">
        <v>51162808912</v>
      </c>
      <c r="K96" s="14" t="s">
        <v>3168</v>
      </c>
      <c r="L96" s="13" t="s">
        <v>3282</v>
      </c>
      <c r="M96" s="14">
        <v>18000</v>
      </c>
      <c r="N96" s="14">
        <v>4.5809999999999997E-2</v>
      </c>
      <c r="O96" s="10">
        <f t="shared" si="8"/>
        <v>824.57999999999993</v>
      </c>
      <c r="P96" s="11">
        <v>0</v>
      </c>
      <c r="Q96" s="11">
        <v>0</v>
      </c>
      <c r="R96" s="10">
        <f>IF(COUNTIF($J$2:J96,J96)=1,SUMIFS($O:$O,$J:$J,J96)+SUMIFS($P:$P,$J:$J,J96)+SUMIFS($Q:$Q,$J:$J,J96),"")</f>
        <v>824.57999999999993</v>
      </c>
      <c r="S96" s="10">
        <v>824.58</v>
      </c>
      <c r="T96" s="11" t="str">
        <f t="shared" si="12"/>
        <v>Ok</v>
      </c>
      <c r="U96" s="12">
        <v>46014</v>
      </c>
      <c r="V96" s="10">
        <v>824.58</v>
      </c>
      <c r="W96" s="10" t="str">
        <f t="shared" si="9"/>
        <v>Not Paid</v>
      </c>
      <c r="X96" t="s">
        <v>435</v>
      </c>
      <c r="Y96" t="s">
        <v>28</v>
      </c>
      <c r="Z96">
        <v>100191</v>
      </c>
      <c r="AA96" t="s">
        <v>497</v>
      </c>
      <c r="AB96" t="s">
        <v>521</v>
      </c>
      <c r="AC96" s="9">
        <f t="shared" si="10"/>
        <v>1</v>
      </c>
      <c r="AD96" s="9" t="str">
        <f t="shared" si="11"/>
        <v>Ok</v>
      </c>
      <c r="AE96" s="11">
        <f t="shared" si="13"/>
        <v>0</v>
      </c>
    </row>
    <row r="97" spans="1:31" x14ac:dyDescent="0.3">
      <c r="A97">
        <v>157</v>
      </c>
      <c r="B97">
        <v>4414673</v>
      </c>
      <c r="C97" t="s">
        <v>160</v>
      </c>
      <c r="D97">
        <v>1443616</v>
      </c>
      <c r="E97" t="s">
        <v>285</v>
      </c>
      <c r="F97" t="s">
        <v>20</v>
      </c>
      <c r="G97" t="s">
        <v>2149</v>
      </c>
      <c r="H97" t="s">
        <v>2150</v>
      </c>
      <c r="I97" s="9" t="s">
        <v>3283</v>
      </c>
      <c r="J97" s="9">
        <v>51159903191</v>
      </c>
      <c r="K97" s="14" t="s">
        <v>3168</v>
      </c>
      <c r="L97" s="13" t="s">
        <v>3606</v>
      </c>
      <c r="M97" s="14">
        <v>6000</v>
      </c>
      <c r="N97" s="14">
        <v>0.12222</v>
      </c>
      <c r="O97" s="10">
        <f t="shared" si="8"/>
        <v>733.31999999999994</v>
      </c>
      <c r="P97" s="11">
        <v>0</v>
      </c>
      <c r="Q97" s="11">
        <v>0</v>
      </c>
      <c r="R97" s="10">
        <f>IF(COUNTIF($J$2:J97,J97)=1,SUMIFS($O:$O,$J:$J,J97)+SUMIFS($P:$P,$J:$J,J97)+SUMIFS($Q:$Q,$J:$J,J97),"")</f>
        <v>733.31999999999994</v>
      </c>
      <c r="S97" s="10">
        <v>733.32</v>
      </c>
      <c r="T97" s="11" t="str">
        <f t="shared" si="12"/>
        <v>Ok</v>
      </c>
      <c r="U97" s="12">
        <v>46015</v>
      </c>
      <c r="V97" s="10">
        <v>733.32</v>
      </c>
      <c r="W97" s="10" t="str">
        <f t="shared" si="9"/>
        <v>Not Paid</v>
      </c>
      <c r="X97" t="s">
        <v>435</v>
      </c>
      <c r="Y97" t="s">
        <v>28</v>
      </c>
      <c r="Z97">
        <v>100201</v>
      </c>
      <c r="AA97" t="s">
        <v>3064</v>
      </c>
      <c r="AB97" t="s">
        <v>521</v>
      </c>
      <c r="AC97" s="9">
        <f t="shared" si="10"/>
        <v>1</v>
      </c>
      <c r="AD97" s="9" t="str">
        <f t="shared" si="11"/>
        <v>Ok</v>
      </c>
      <c r="AE97" s="11">
        <f t="shared" si="13"/>
        <v>0</v>
      </c>
    </row>
    <row r="98" spans="1:31" x14ac:dyDescent="0.3">
      <c r="A98">
        <v>157</v>
      </c>
      <c r="B98">
        <v>4414503</v>
      </c>
      <c r="C98" t="s">
        <v>160</v>
      </c>
      <c r="D98">
        <v>1963277</v>
      </c>
      <c r="E98" t="s">
        <v>250</v>
      </c>
      <c r="F98" t="s">
        <v>18</v>
      </c>
      <c r="G98" t="s">
        <v>2151</v>
      </c>
      <c r="H98" t="s">
        <v>2152</v>
      </c>
      <c r="I98" s="9" t="s">
        <v>3528</v>
      </c>
      <c r="J98" s="9">
        <v>51160268220</v>
      </c>
      <c r="K98" s="14" t="s">
        <v>3618</v>
      </c>
      <c r="L98" s="13" t="s">
        <v>3617</v>
      </c>
      <c r="M98" s="14">
        <v>50</v>
      </c>
      <c r="N98" s="14">
        <v>185.24</v>
      </c>
      <c r="O98" s="10">
        <f t="shared" si="8"/>
        <v>9262</v>
      </c>
      <c r="P98" s="11">
        <v>0</v>
      </c>
      <c r="Q98" s="11">
        <v>0</v>
      </c>
      <c r="R98" s="10">
        <f>IF(COUNTIF($J$2:J98,J98)=1,SUMIFS($O:$O,$J:$J,J98)+SUMIFS($P:$P,$J:$J,J98)+SUMIFS($Q:$Q,$J:$J,J98),"")</f>
        <v>9262</v>
      </c>
      <c r="S98" s="10">
        <v>9262</v>
      </c>
      <c r="T98" s="11" t="str">
        <f t="shared" si="12"/>
        <v>Ok</v>
      </c>
      <c r="U98" s="12">
        <v>45931</v>
      </c>
      <c r="V98" s="10">
        <v>1692.5</v>
      </c>
      <c r="W98" s="10" t="str">
        <f t="shared" si="9"/>
        <v>Short Paid</v>
      </c>
      <c r="X98" t="s">
        <v>474</v>
      </c>
      <c r="Y98" t="s">
        <v>28</v>
      </c>
      <c r="Z98">
        <v>100239</v>
      </c>
      <c r="AA98" t="s">
        <v>482</v>
      </c>
      <c r="AB98" t="s">
        <v>523</v>
      </c>
      <c r="AC98" s="9">
        <f t="shared" si="10"/>
        <v>1</v>
      </c>
      <c r="AD98" s="9" t="str">
        <f t="shared" si="11"/>
        <v>Ok</v>
      </c>
      <c r="AE98" s="11">
        <f t="shared" si="13"/>
        <v>0</v>
      </c>
    </row>
    <row r="99" spans="1:31" x14ac:dyDescent="0.3">
      <c r="A99">
        <v>157</v>
      </c>
      <c r="B99">
        <v>4414393</v>
      </c>
      <c r="C99" t="s">
        <v>160</v>
      </c>
      <c r="D99">
        <v>1963277</v>
      </c>
      <c r="E99" t="s">
        <v>250</v>
      </c>
      <c r="F99" t="s">
        <v>18</v>
      </c>
      <c r="G99" t="s">
        <v>2153</v>
      </c>
      <c r="H99" t="s">
        <v>2154</v>
      </c>
      <c r="I99" s="9" t="s">
        <v>3221</v>
      </c>
      <c r="J99" s="9">
        <v>50117919839</v>
      </c>
      <c r="K99" s="14" t="s">
        <v>3281</v>
      </c>
      <c r="L99" s="13" t="s">
        <v>3280</v>
      </c>
      <c r="M99" s="14">
        <v>50</v>
      </c>
      <c r="N99" s="14">
        <v>318.16390000000001</v>
      </c>
      <c r="O99" s="10">
        <f t="shared" si="8"/>
        <v>15908.195</v>
      </c>
      <c r="P99" s="11">
        <v>0</v>
      </c>
      <c r="Q99" s="11">
        <v>0</v>
      </c>
      <c r="R99" s="10">
        <f>IF(COUNTIF($J$2:J99,J99)=1,SUMIFS($O:$O,$J:$J,J99)+SUMIFS($P:$P,$J:$J,J99)+SUMIFS($Q:$Q,$J:$J,J99),"")</f>
        <v>15908.195</v>
      </c>
      <c r="S99" s="10">
        <v>31816.400000000001</v>
      </c>
      <c r="T99" s="11" t="str">
        <f t="shared" si="12"/>
        <v>Check</v>
      </c>
      <c r="U99" s="12">
        <v>45931</v>
      </c>
      <c r="V99" s="10">
        <v>721.4</v>
      </c>
      <c r="W99" s="10" t="str">
        <f t="shared" si="9"/>
        <v>Short Paid</v>
      </c>
      <c r="X99" t="s">
        <v>474</v>
      </c>
      <c r="Y99" t="s">
        <v>28</v>
      </c>
      <c r="Z99">
        <v>100249</v>
      </c>
      <c r="AA99" t="s">
        <v>484</v>
      </c>
      <c r="AB99" t="s">
        <v>523</v>
      </c>
      <c r="AC99" s="9">
        <f t="shared" si="10"/>
        <v>1</v>
      </c>
      <c r="AD99" s="9" t="str">
        <f t="shared" si="11"/>
        <v>Check</v>
      </c>
      <c r="AE99" s="11">
        <f t="shared" si="13"/>
        <v>-15908.205000000002</v>
      </c>
    </row>
    <row r="100" spans="1:31" x14ac:dyDescent="0.3">
      <c r="A100">
        <v>157</v>
      </c>
      <c r="B100">
        <v>4413413</v>
      </c>
      <c r="C100" t="s">
        <v>38</v>
      </c>
      <c r="D100">
        <v>1531094</v>
      </c>
      <c r="E100" t="s">
        <v>567</v>
      </c>
      <c r="F100" t="s">
        <v>21</v>
      </c>
      <c r="G100" t="s">
        <v>2155</v>
      </c>
      <c r="H100" t="s">
        <v>2156</v>
      </c>
      <c r="I100" s="9" t="s">
        <v>3263</v>
      </c>
      <c r="J100" s="9">
        <v>51163192688</v>
      </c>
      <c r="K100" s="14" t="s">
        <v>3732</v>
      </c>
      <c r="L100" s="13" t="s">
        <v>3731</v>
      </c>
      <c r="M100" s="14">
        <v>576</v>
      </c>
      <c r="N100" s="14">
        <v>362.5</v>
      </c>
      <c r="O100" s="10">
        <f t="shared" si="8"/>
        <v>208800</v>
      </c>
      <c r="P100" s="11">
        <v>19000.8</v>
      </c>
      <c r="Q100" s="11">
        <v>0</v>
      </c>
      <c r="R100" s="10">
        <f>IF(COUNTIF($J$2:J100,J100)=1,SUMIFS($O:$O,$J:$J,J100)+SUMIFS($P:$P,$J:$J,J100)+SUMIFS($Q:$Q,$J:$J,J100),"")</f>
        <v>227800.8</v>
      </c>
      <c r="S100" s="10">
        <v>227800.8</v>
      </c>
      <c r="T100" s="11" t="str">
        <f t="shared" si="12"/>
        <v>Ok</v>
      </c>
      <c r="U100" s="12">
        <v>46027</v>
      </c>
      <c r="V100" s="10">
        <v>4176</v>
      </c>
      <c r="W100" s="10" t="str">
        <f t="shared" si="9"/>
        <v>Short Paid</v>
      </c>
      <c r="X100" t="s">
        <v>478</v>
      </c>
      <c r="Y100" t="s">
        <v>40</v>
      </c>
      <c r="Z100">
        <v>100142</v>
      </c>
      <c r="AA100" t="s">
        <v>3118</v>
      </c>
      <c r="AB100" t="s">
        <v>3036</v>
      </c>
      <c r="AC100" s="9">
        <f t="shared" si="10"/>
        <v>1</v>
      </c>
      <c r="AD100" s="9" t="str">
        <f t="shared" si="11"/>
        <v>Ok</v>
      </c>
      <c r="AE100" s="11">
        <f t="shared" si="13"/>
        <v>0</v>
      </c>
    </row>
    <row r="101" spans="1:31" x14ac:dyDescent="0.3">
      <c r="A101">
        <v>156</v>
      </c>
      <c r="B101">
        <v>4414583</v>
      </c>
      <c r="C101" t="s">
        <v>160</v>
      </c>
      <c r="D101">
        <v>1241713</v>
      </c>
      <c r="E101" t="s">
        <v>614</v>
      </c>
      <c r="F101" t="s">
        <v>20</v>
      </c>
      <c r="G101" t="s">
        <v>2157</v>
      </c>
      <c r="H101" t="s">
        <v>2158</v>
      </c>
      <c r="I101" s="9" t="s">
        <v>3296</v>
      </c>
      <c r="J101" s="9">
        <v>51160092337</v>
      </c>
      <c r="K101" s="14" t="s">
        <v>3209</v>
      </c>
      <c r="L101" s="13" t="s">
        <v>3616</v>
      </c>
      <c r="M101" s="14">
        <v>5000</v>
      </c>
      <c r="N101" s="14">
        <v>1.69</v>
      </c>
      <c r="O101" s="10">
        <f t="shared" si="8"/>
        <v>8450</v>
      </c>
      <c r="P101" s="11">
        <v>0</v>
      </c>
      <c r="Q101" s="11">
        <v>0</v>
      </c>
      <c r="R101" s="10">
        <f>IF(COUNTIF($J$2:J101,J101)=1,SUMIFS($O:$O,$J:$J,J101)+SUMIFS($P:$P,$J:$J,J101)+SUMIFS($Q:$Q,$J:$J,J101),"")</f>
        <v>8450</v>
      </c>
      <c r="S101" s="10">
        <v>8450</v>
      </c>
      <c r="T101" s="11" t="str">
        <f t="shared" si="12"/>
        <v>Ok</v>
      </c>
      <c r="U101" s="12">
        <v>45947</v>
      </c>
      <c r="V101" s="10">
        <v>4484.5</v>
      </c>
      <c r="W101" s="10" t="str">
        <f t="shared" si="9"/>
        <v>Short Paid</v>
      </c>
      <c r="X101" t="s">
        <v>455</v>
      </c>
      <c r="Y101" t="s">
        <v>28</v>
      </c>
      <c r="Z101">
        <v>100280</v>
      </c>
      <c r="AA101" t="s">
        <v>465</v>
      </c>
      <c r="AB101" t="s">
        <v>521</v>
      </c>
      <c r="AC101" s="9">
        <f t="shared" si="10"/>
        <v>1</v>
      </c>
      <c r="AD101" s="9" t="str">
        <f t="shared" si="11"/>
        <v>Ok</v>
      </c>
      <c r="AE101" s="11">
        <f t="shared" si="13"/>
        <v>0</v>
      </c>
    </row>
    <row r="102" spans="1:31" x14ac:dyDescent="0.3">
      <c r="A102">
        <v>156</v>
      </c>
      <c r="B102">
        <v>4416873</v>
      </c>
      <c r="C102" t="s">
        <v>38</v>
      </c>
      <c r="D102">
        <v>1092128</v>
      </c>
      <c r="E102" t="s">
        <v>549</v>
      </c>
      <c r="F102" t="s">
        <v>22</v>
      </c>
      <c r="G102" t="s">
        <v>2159</v>
      </c>
      <c r="H102" t="s">
        <v>2160</v>
      </c>
      <c r="I102" s="9" t="s">
        <v>3485</v>
      </c>
      <c r="J102" s="9">
        <v>51164008510</v>
      </c>
      <c r="K102" s="14" t="s">
        <v>3229</v>
      </c>
      <c r="L102" s="13" t="s">
        <v>3768</v>
      </c>
      <c r="M102" s="14">
        <v>2500</v>
      </c>
      <c r="N102" s="14">
        <v>1.141E-2</v>
      </c>
      <c r="O102" s="10">
        <f t="shared" si="8"/>
        <v>28.524999999999999</v>
      </c>
      <c r="P102" s="11">
        <v>0</v>
      </c>
      <c r="Q102" s="11">
        <v>2.71</v>
      </c>
      <c r="R102" s="10">
        <f>IF(COUNTIF($J$2:J102,J102)=1,SUMIFS($O:$O,$J:$J,J102)+SUMIFS($P:$P,$J:$J,J102)+SUMIFS($Q:$Q,$J:$J,J102),"")</f>
        <v>31.234999999999999</v>
      </c>
      <c r="S102" s="10">
        <v>31.24</v>
      </c>
      <c r="T102" s="11" t="str">
        <f t="shared" si="12"/>
        <v>Check</v>
      </c>
      <c r="U102" s="12">
        <v>45978</v>
      </c>
      <c r="V102" s="10">
        <v>31.24</v>
      </c>
      <c r="W102" s="10" t="str">
        <f t="shared" si="9"/>
        <v>Not Paid</v>
      </c>
      <c r="X102" t="s">
        <v>476</v>
      </c>
      <c r="Y102" t="s">
        <v>28</v>
      </c>
      <c r="Z102">
        <v>100235</v>
      </c>
      <c r="AA102" t="s">
        <v>509</v>
      </c>
      <c r="AB102" t="s">
        <v>3035</v>
      </c>
      <c r="AC102" s="9">
        <f t="shared" si="10"/>
        <v>1</v>
      </c>
      <c r="AD102" s="9" t="str">
        <f t="shared" si="11"/>
        <v>Check</v>
      </c>
      <c r="AE102" s="11">
        <f t="shared" si="13"/>
        <v>-4.9999999999990052E-3</v>
      </c>
    </row>
    <row r="103" spans="1:31" x14ac:dyDescent="0.3">
      <c r="A103">
        <v>155</v>
      </c>
      <c r="B103">
        <v>4414413</v>
      </c>
      <c r="C103" t="s">
        <v>160</v>
      </c>
      <c r="D103">
        <v>1470631</v>
      </c>
      <c r="E103" t="s">
        <v>214</v>
      </c>
      <c r="F103" t="s">
        <v>19</v>
      </c>
      <c r="G103" t="s">
        <v>2161</v>
      </c>
      <c r="H103" t="s">
        <v>2162</v>
      </c>
      <c r="I103" s="9" t="s">
        <v>3277</v>
      </c>
      <c r="J103" s="9">
        <v>50117919833</v>
      </c>
      <c r="K103" s="14" t="s">
        <v>3279</v>
      </c>
      <c r="L103" s="13" t="s">
        <v>3278</v>
      </c>
      <c r="M103" s="14">
        <v>141</v>
      </c>
      <c r="N103" s="14">
        <v>4.8</v>
      </c>
      <c r="O103" s="10">
        <f t="shared" si="8"/>
        <v>676.8</v>
      </c>
      <c r="P103" s="11">
        <v>0</v>
      </c>
      <c r="Q103" s="11">
        <v>289.67</v>
      </c>
      <c r="R103" s="10">
        <f>IF(COUNTIF($J$2:J103,J103)=1,SUMIFS($O:$O,$J:$J,J103)+SUMIFS($P:$P,$J:$J,J103)+SUMIFS($Q:$Q,$J:$J,J103),"")</f>
        <v>966.47</v>
      </c>
      <c r="S103" s="10">
        <v>966.47</v>
      </c>
      <c r="T103" s="11" t="str">
        <f t="shared" si="12"/>
        <v>Ok</v>
      </c>
      <c r="U103" s="12">
        <v>45797</v>
      </c>
      <c r="V103" s="10">
        <v>134.01</v>
      </c>
      <c r="W103" s="10" t="str">
        <f t="shared" si="9"/>
        <v>Short Paid</v>
      </c>
      <c r="X103" t="s">
        <v>450</v>
      </c>
      <c r="Y103" t="s">
        <v>28</v>
      </c>
      <c r="Z103">
        <v>100167</v>
      </c>
      <c r="AA103" t="s">
        <v>499</v>
      </c>
      <c r="AB103" t="s">
        <v>524</v>
      </c>
      <c r="AC103" s="9">
        <f t="shared" si="10"/>
        <v>1</v>
      </c>
      <c r="AD103" s="9" t="str">
        <f t="shared" si="11"/>
        <v>Ok</v>
      </c>
      <c r="AE103" s="11">
        <f t="shared" si="13"/>
        <v>0</v>
      </c>
    </row>
    <row r="104" spans="1:31" x14ac:dyDescent="0.3">
      <c r="A104">
        <v>154</v>
      </c>
      <c r="B104">
        <v>4416263</v>
      </c>
      <c r="C104" t="s">
        <v>240</v>
      </c>
      <c r="D104">
        <v>1104610</v>
      </c>
      <c r="E104" t="s">
        <v>649</v>
      </c>
      <c r="F104" t="s">
        <v>20</v>
      </c>
      <c r="G104" t="s">
        <v>2163</v>
      </c>
      <c r="H104" t="s">
        <v>2164</v>
      </c>
      <c r="I104" s="9" t="s">
        <v>3444</v>
      </c>
      <c r="J104" s="9">
        <v>51163471449</v>
      </c>
      <c r="K104" s="14" t="s">
        <v>3389</v>
      </c>
      <c r="L104" s="13" t="s">
        <v>3747</v>
      </c>
      <c r="M104" s="14">
        <v>21000</v>
      </c>
      <c r="N104" s="14">
        <v>2.18E-2</v>
      </c>
      <c r="O104" s="10">
        <f t="shared" si="8"/>
        <v>457.8</v>
      </c>
      <c r="P104" s="11">
        <v>0</v>
      </c>
      <c r="Q104" s="11">
        <v>0</v>
      </c>
      <c r="R104" s="10">
        <f>IF(COUNTIF($J$2:J104,J104)=1,SUMIFS($O:$O,$J:$J,J104)+SUMIFS($P:$P,$J:$J,J104)+SUMIFS($Q:$Q,$J:$J,J104),"")</f>
        <v>457.8</v>
      </c>
      <c r="S104" s="10">
        <v>457.8</v>
      </c>
      <c r="T104" s="11" t="str">
        <f t="shared" si="12"/>
        <v>Ok</v>
      </c>
      <c r="U104" s="12">
        <v>45815</v>
      </c>
      <c r="V104" s="10">
        <v>115</v>
      </c>
      <c r="W104" s="10" t="str">
        <f t="shared" si="9"/>
        <v>Short Paid</v>
      </c>
      <c r="X104" t="s">
        <v>453</v>
      </c>
      <c r="Y104" t="s">
        <v>28</v>
      </c>
      <c r="Z104">
        <v>100244</v>
      </c>
      <c r="AA104" t="s">
        <v>466</v>
      </c>
      <c r="AB104" t="s">
        <v>521</v>
      </c>
      <c r="AC104" s="9">
        <f t="shared" si="10"/>
        <v>1</v>
      </c>
      <c r="AD104" s="9" t="str">
        <f t="shared" si="11"/>
        <v>Ok</v>
      </c>
      <c r="AE104" s="11">
        <f t="shared" si="13"/>
        <v>0</v>
      </c>
    </row>
    <row r="105" spans="1:31" x14ac:dyDescent="0.3">
      <c r="A105">
        <v>154</v>
      </c>
      <c r="B105">
        <v>4418353</v>
      </c>
      <c r="C105" t="s">
        <v>217</v>
      </c>
      <c r="D105">
        <v>1104415</v>
      </c>
      <c r="E105" t="s">
        <v>538</v>
      </c>
      <c r="F105" t="s">
        <v>20</v>
      </c>
      <c r="G105" t="s">
        <v>2165</v>
      </c>
      <c r="H105" t="s">
        <v>2166</v>
      </c>
      <c r="I105" s="9" t="s">
        <v>3410</v>
      </c>
      <c r="J105" s="9">
        <v>51163334554</v>
      </c>
      <c r="K105" s="14" t="s">
        <v>3209</v>
      </c>
      <c r="L105" s="13" t="s">
        <v>3740</v>
      </c>
      <c r="M105" s="14">
        <v>100</v>
      </c>
      <c r="N105" s="14">
        <v>2.9040499999999998</v>
      </c>
      <c r="O105" s="10">
        <f t="shared" si="8"/>
        <v>290.40499999999997</v>
      </c>
      <c r="P105" s="11">
        <v>0</v>
      </c>
      <c r="Q105" s="11">
        <v>62.9</v>
      </c>
      <c r="R105" s="10">
        <f>IF(COUNTIF($J$2:J105,J105)=1,SUMIFS($O:$O,$J:$J,J105)+SUMIFS($P:$P,$J:$J,J105)+SUMIFS($Q:$Q,$J:$J,J105),"")</f>
        <v>353.30499999999995</v>
      </c>
      <c r="S105" s="10">
        <v>353.31</v>
      </c>
      <c r="T105" s="11" t="str">
        <f t="shared" si="12"/>
        <v>Check</v>
      </c>
      <c r="U105" s="12">
        <v>46015</v>
      </c>
      <c r="V105" s="10">
        <v>195.51</v>
      </c>
      <c r="W105" s="10" t="str">
        <f t="shared" si="9"/>
        <v>Short Paid</v>
      </c>
      <c r="X105" t="s">
        <v>476</v>
      </c>
      <c r="Y105" t="s">
        <v>28</v>
      </c>
      <c r="Z105">
        <v>100155</v>
      </c>
      <c r="AA105" t="s">
        <v>3072</v>
      </c>
      <c r="AB105" t="s">
        <v>521</v>
      </c>
      <c r="AC105" s="9">
        <f t="shared" si="10"/>
        <v>1</v>
      </c>
      <c r="AD105" s="9" t="str">
        <f t="shared" si="11"/>
        <v>Check</v>
      </c>
      <c r="AE105" s="11">
        <f t="shared" si="13"/>
        <v>-5.0000000000522959E-3</v>
      </c>
    </row>
    <row r="106" spans="1:31" x14ac:dyDescent="0.3">
      <c r="A106">
        <v>153</v>
      </c>
      <c r="B106">
        <v>4416053</v>
      </c>
      <c r="C106" t="s">
        <v>160</v>
      </c>
      <c r="D106">
        <v>1648570</v>
      </c>
      <c r="E106" t="s">
        <v>208</v>
      </c>
      <c r="F106" t="s">
        <v>18</v>
      </c>
      <c r="G106" t="s">
        <v>2167</v>
      </c>
      <c r="H106" t="s">
        <v>2168</v>
      </c>
      <c r="I106" s="9" t="s">
        <v>3273</v>
      </c>
      <c r="J106" s="9">
        <v>50117909557</v>
      </c>
      <c r="K106" s="14" t="s">
        <v>3226</v>
      </c>
      <c r="L106" s="13" t="s">
        <v>3274</v>
      </c>
      <c r="M106" s="14">
        <v>250</v>
      </c>
      <c r="N106" s="14">
        <v>36.92</v>
      </c>
      <c r="O106" s="10">
        <f t="shared" si="8"/>
        <v>9230</v>
      </c>
      <c r="P106" s="11">
        <v>0</v>
      </c>
      <c r="Q106" s="11">
        <v>0</v>
      </c>
      <c r="R106" s="10">
        <f>IF(COUNTIF($J$2:J106,J106)=1,SUMIFS($O:$O,$J:$J,J106)+SUMIFS($P:$P,$J:$J,J106)+SUMIFS($Q:$Q,$J:$J,J106),"")</f>
        <v>9230</v>
      </c>
      <c r="S106" s="10">
        <v>9230</v>
      </c>
      <c r="T106" s="11" t="str">
        <f t="shared" si="12"/>
        <v>Ok</v>
      </c>
      <c r="U106" s="12">
        <v>45926</v>
      </c>
      <c r="V106" s="10">
        <v>250</v>
      </c>
      <c r="W106" s="10" t="str">
        <f t="shared" si="9"/>
        <v>Short Paid</v>
      </c>
      <c r="X106" t="s">
        <v>453</v>
      </c>
      <c r="Y106" t="s">
        <v>28</v>
      </c>
      <c r="Z106">
        <v>100284</v>
      </c>
      <c r="AA106" t="s">
        <v>3062</v>
      </c>
      <c r="AB106" t="s">
        <v>523</v>
      </c>
      <c r="AC106" s="9">
        <f t="shared" si="10"/>
        <v>1</v>
      </c>
      <c r="AD106" s="9" t="str">
        <f t="shared" si="11"/>
        <v>Ok</v>
      </c>
      <c r="AE106" s="11">
        <f t="shared" si="13"/>
        <v>0</v>
      </c>
    </row>
    <row r="107" spans="1:31" x14ac:dyDescent="0.3">
      <c r="A107">
        <v>147</v>
      </c>
      <c r="B107">
        <v>4416983</v>
      </c>
      <c r="C107" t="s">
        <v>56</v>
      </c>
      <c r="D107">
        <v>1078017</v>
      </c>
      <c r="E107" t="s">
        <v>650</v>
      </c>
      <c r="F107" t="s">
        <v>49</v>
      </c>
      <c r="G107" t="s">
        <v>2169</v>
      </c>
      <c r="H107" t="s">
        <v>2170</v>
      </c>
      <c r="I107" s="9" t="s">
        <v>3227</v>
      </c>
      <c r="J107" s="9">
        <v>51161911907</v>
      </c>
      <c r="K107" s="14" t="s">
        <v>3201</v>
      </c>
      <c r="L107" s="13" t="s">
        <v>3686</v>
      </c>
      <c r="M107" s="14">
        <v>200</v>
      </c>
      <c r="N107" s="14">
        <v>1.53</v>
      </c>
      <c r="O107" s="10">
        <f t="shared" si="8"/>
        <v>306</v>
      </c>
      <c r="P107" s="11">
        <v>39.78</v>
      </c>
      <c r="Q107" s="11">
        <v>0</v>
      </c>
      <c r="R107" s="10">
        <f>IF(COUNTIF($J$2:J107,J107)=1,SUMIFS($O:$O,$J:$J,J107)+SUMIFS($P:$P,$J:$J,J107)+SUMIFS($Q:$Q,$J:$J,J107),"")</f>
        <v>345.78</v>
      </c>
      <c r="S107" s="10">
        <v>345.78</v>
      </c>
      <c r="T107" s="11" t="str">
        <f t="shared" si="12"/>
        <v>Ok</v>
      </c>
      <c r="U107" s="12">
        <v>45884</v>
      </c>
      <c r="V107" s="10">
        <v>39.78</v>
      </c>
      <c r="W107" s="10" t="str">
        <f t="shared" si="9"/>
        <v>Short Paid</v>
      </c>
      <c r="X107" t="s">
        <v>450</v>
      </c>
      <c r="Y107" t="s">
        <v>29</v>
      </c>
      <c r="Z107">
        <v>100297</v>
      </c>
      <c r="AA107" t="s">
        <v>3119</v>
      </c>
      <c r="AB107" t="s">
        <v>3041</v>
      </c>
      <c r="AC107" s="9">
        <f t="shared" si="10"/>
        <v>1</v>
      </c>
      <c r="AD107" s="9" t="str">
        <f t="shared" si="11"/>
        <v>Ok</v>
      </c>
      <c r="AE107" s="11">
        <f t="shared" ref="AE107:AE129" si="14">R107-S107</f>
        <v>0</v>
      </c>
    </row>
    <row r="108" spans="1:31" x14ac:dyDescent="0.3">
      <c r="A108">
        <v>147</v>
      </c>
      <c r="B108">
        <v>4416893</v>
      </c>
      <c r="C108" t="s">
        <v>56</v>
      </c>
      <c r="D108">
        <v>1078017</v>
      </c>
      <c r="E108" t="s">
        <v>650</v>
      </c>
      <c r="F108" t="s">
        <v>49</v>
      </c>
      <c r="G108" t="s">
        <v>2171</v>
      </c>
      <c r="H108" t="s">
        <v>2172</v>
      </c>
      <c r="I108" s="9" t="s">
        <v>3202</v>
      </c>
      <c r="J108" s="9">
        <v>51163720946</v>
      </c>
      <c r="K108" s="14" t="s">
        <v>3229</v>
      </c>
      <c r="L108" s="13" t="s">
        <v>3758</v>
      </c>
      <c r="M108" s="14">
        <v>200</v>
      </c>
      <c r="N108" s="14">
        <v>0.79</v>
      </c>
      <c r="O108" s="10">
        <f t="shared" si="8"/>
        <v>158</v>
      </c>
      <c r="P108" s="11">
        <v>20.54</v>
      </c>
      <c r="Q108" s="11">
        <v>0</v>
      </c>
      <c r="R108" s="10">
        <f>IF(COUNTIF($J$2:J108,J108)=1,SUMIFS($O:$O,$J:$J,J108)+SUMIFS($P:$P,$J:$J,J108)+SUMIFS($Q:$Q,$J:$J,J108),"")</f>
        <v>178.54</v>
      </c>
      <c r="S108" s="10">
        <v>178.54</v>
      </c>
      <c r="T108" s="11" t="str">
        <f t="shared" si="12"/>
        <v>Ok</v>
      </c>
      <c r="U108" s="12">
        <v>45887</v>
      </c>
      <c r="V108" s="10">
        <v>20.54</v>
      </c>
      <c r="W108" s="10" t="str">
        <f t="shared" si="9"/>
        <v>Short Paid</v>
      </c>
      <c r="X108" t="s">
        <v>450</v>
      </c>
      <c r="Y108" t="s">
        <v>29</v>
      </c>
      <c r="Z108">
        <v>100297</v>
      </c>
      <c r="AA108" t="s">
        <v>3119</v>
      </c>
      <c r="AB108" t="s">
        <v>3041</v>
      </c>
      <c r="AC108" s="9">
        <f t="shared" si="10"/>
        <v>1</v>
      </c>
      <c r="AD108" s="9" t="str">
        <f t="shared" si="11"/>
        <v>Ok</v>
      </c>
      <c r="AE108" s="11">
        <f t="shared" si="14"/>
        <v>0</v>
      </c>
    </row>
    <row r="109" spans="1:31" x14ac:dyDescent="0.3">
      <c r="A109">
        <v>147</v>
      </c>
      <c r="B109">
        <v>4415243</v>
      </c>
      <c r="C109" t="s">
        <v>56</v>
      </c>
      <c r="D109">
        <v>1078017</v>
      </c>
      <c r="E109" t="s">
        <v>650</v>
      </c>
      <c r="F109" t="s">
        <v>49</v>
      </c>
      <c r="G109" t="s">
        <v>2173</v>
      </c>
      <c r="H109" t="s">
        <v>2174</v>
      </c>
      <c r="I109" s="9" t="s">
        <v>3291</v>
      </c>
      <c r="J109" s="9">
        <v>51163720935</v>
      </c>
      <c r="K109" s="14" t="s">
        <v>3194</v>
      </c>
      <c r="L109" s="13" t="s">
        <v>3757</v>
      </c>
      <c r="M109" s="14">
        <v>1</v>
      </c>
      <c r="N109" s="14">
        <v>47.2</v>
      </c>
      <c r="O109" s="10">
        <f t="shared" si="8"/>
        <v>47.2</v>
      </c>
      <c r="P109" s="11">
        <v>6.14</v>
      </c>
      <c r="Q109" s="11">
        <v>0</v>
      </c>
      <c r="R109" s="10">
        <f>IF(COUNTIF($J$2:J109,J109)=1,SUMIFS($O:$O,$J:$J,J109)+SUMIFS($P:$P,$J:$J,J109)+SUMIFS($Q:$Q,$J:$J,J109),"")</f>
        <v>53.34</v>
      </c>
      <c r="S109" s="10">
        <v>53.34</v>
      </c>
      <c r="T109" s="11" t="str">
        <f t="shared" si="12"/>
        <v>Ok</v>
      </c>
      <c r="U109" s="12">
        <v>45887</v>
      </c>
      <c r="V109" s="10">
        <v>6.14</v>
      </c>
      <c r="W109" s="10" t="str">
        <f t="shared" si="9"/>
        <v>Short Paid</v>
      </c>
      <c r="X109" t="s">
        <v>450</v>
      </c>
      <c r="Y109" t="s">
        <v>29</v>
      </c>
      <c r="Z109">
        <v>100297</v>
      </c>
      <c r="AA109" t="s">
        <v>3119</v>
      </c>
      <c r="AB109" t="s">
        <v>3041</v>
      </c>
      <c r="AC109" s="9">
        <f t="shared" si="10"/>
        <v>1</v>
      </c>
      <c r="AD109" s="9" t="str">
        <f t="shared" si="11"/>
        <v>Ok</v>
      </c>
      <c r="AE109" s="11">
        <f t="shared" si="14"/>
        <v>0</v>
      </c>
    </row>
    <row r="110" spans="1:31" x14ac:dyDescent="0.3">
      <c r="A110">
        <v>147</v>
      </c>
      <c r="B110">
        <v>4417773</v>
      </c>
      <c r="C110" t="s">
        <v>56</v>
      </c>
      <c r="D110">
        <v>1078017</v>
      </c>
      <c r="E110" t="s">
        <v>650</v>
      </c>
      <c r="F110" t="s">
        <v>49</v>
      </c>
      <c r="G110" t="s">
        <v>2175</v>
      </c>
      <c r="H110" t="s">
        <v>2176</v>
      </c>
      <c r="I110" s="9" t="s">
        <v>3449</v>
      </c>
      <c r="J110" s="9">
        <v>51162854714</v>
      </c>
      <c r="K110" s="14" t="s">
        <v>3289</v>
      </c>
      <c r="L110" s="13" t="s">
        <v>3720</v>
      </c>
      <c r="M110" s="14">
        <v>10</v>
      </c>
      <c r="N110" s="14">
        <v>552.27</v>
      </c>
      <c r="O110" s="10">
        <f t="shared" si="8"/>
        <v>5522.7</v>
      </c>
      <c r="P110" s="11">
        <v>717.95</v>
      </c>
      <c r="Q110" s="11">
        <v>0</v>
      </c>
      <c r="R110" s="10">
        <f>IF(COUNTIF($J$2:J110,J110)=1,SUMIFS($O:$O,$J:$J,J110)+SUMIFS($P:$P,$J:$J,J110)+SUMIFS($Q:$Q,$J:$J,J110),"")</f>
        <v>6240.65</v>
      </c>
      <c r="S110" s="10">
        <v>6240.65</v>
      </c>
      <c r="T110" s="11" t="str">
        <f t="shared" si="12"/>
        <v>Ok</v>
      </c>
      <c r="U110" s="12">
        <v>45898</v>
      </c>
      <c r="V110" s="10">
        <v>717.95</v>
      </c>
      <c r="W110" s="10" t="str">
        <f t="shared" si="9"/>
        <v>Short Paid</v>
      </c>
      <c r="X110" t="s">
        <v>450</v>
      </c>
      <c r="Y110" t="s">
        <v>29</v>
      </c>
      <c r="Z110">
        <v>100297</v>
      </c>
      <c r="AA110" t="s">
        <v>3119</v>
      </c>
      <c r="AB110" t="s">
        <v>3041</v>
      </c>
      <c r="AC110" s="9">
        <f t="shared" si="10"/>
        <v>1</v>
      </c>
      <c r="AD110" s="9" t="str">
        <f t="shared" si="11"/>
        <v>Ok</v>
      </c>
      <c r="AE110" s="11">
        <f t="shared" si="14"/>
        <v>0</v>
      </c>
    </row>
    <row r="111" spans="1:31" x14ac:dyDescent="0.3">
      <c r="A111">
        <v>147</v>
      </c>
      <c r="B111">
        <v>4417513</v>
      </c>
      <c r="C111" t="s">
        <v>56</v>
      </c>
      <c r="D111">
        <v>1078017</v>
      </c>
      <c r="E111" t="s">
        <v>650</v>
      </c>
      <c r="F111" t="s">
        <v>49</v>
      </c>
      <c r="G111" t="s">
        <v>2177</v>
      </c>
      <c r="H111" t="s">
        <v>2178</v>
      </c>
      <c r="I111" s="9" t="s">
        <v>3411</v>
      </c>
      <c r="J111" s="9">
        <v>51162783643</v>
      </c>
      <c r="K111" s="14" t="s">
        <v>3209</v>
      </c>
      <c r="L111" s="13" t="s">
        <v>3714</v>
      </c>
      <c r="M111" s="14">
        <v>300</v>
      </c>
      <c r="N111" s="14">
        <v>15.43</v>
      </c>
      <c r="O111" s="10">
        <f t="shared" si="8"/>
        <v>4629</v>
      </c>
      <c r="P111" s="11">
        <v>601.77</v>
      </c>
      <c r="Q111" s="11">
        <v>0</v>
      </c>
      <c r="R111" s="10">
        <f>IF(COUNTIF($J$2:J111,J111)=1,SUMIFS($O:$O,$J:$J,J111)+SUMIFS($P:$P,$J:$J,J111)+SUMIFS($Q:$Q,$J:$J,J111),"")</f>
        <v>5230.7700000000004</v>
      </c>
      <c r="S111" s="10">
        <v>5230.7700000000004</v>
      </c>
      <c r="T111" s="11" t="str">
        <f t="shared" si="12"/>
        <v>Ok</v>
      </c>
      <c r="U111" s="12">
        <v>45905</v>
      </c>
      <c r="V111" s="10">
        <v>601.77</v>
      </c>
      <c r="W111" s="10" t="str">
        <f t="shared" si="9"/>
        <v>Short Paid</v>
      </c>
      <c r="X111" t="s">
        <v>450</v>
      </c>
      <c r="Y111" t="s">
        <v>29</v>
      </c>
      <c r="Z111">
        <v>100297</v>
      </c>
      <c r="AA111" t="s">
        <v>3119</v>
      </c>
      <c r="AB111" t="s">
        <v>3041</v>
      </c>
      <c r="AC111" s="9">
        <f t="shared" si="10"/>
        <v>1</v>
      </c>
      <c r="AD111" s="9" t="str">
        <f t="shared" si="11"/>
        <v>Ok</v>
      </c>
      <c r="AE111" s="11">
        <f t="shared" si="14"/>
        <v>0</v>
      </c>
    </row>
    <row r="112" spans="1:31" x14ac:dyDescent="0.3">
      <c r="A112">
        <v>147</v>
      </c>
      <c r="B112">
        <v>4417743</v>
      </c>
      <c r="C112" t="s">
        <v>56</v>
      </c>
      <c r="D112">
        <v>1078017</v>
      </c>
      <c r="E112" t="s">
        <v>650</v>
      </c>
      <c r="F112" t="s">
        <v>49</v>
      </c>
      <c r="G112" t="s">
        <v>2179</v>
      </c>
      <c r="H112" t="s">
        <v>2180</v>
      </c>
      <c r="I112" s="9" t="s">
        <v>3267</v>
      </c>
      <c r="J112" s="9">
        <v>51162854682</v>
      </c>
      <c r="K112" s="14" t="s">
        <v>3719</v>
      </c>
      <c r="L112" s="13" t="s">
        <v>3718</v>
      </c>
      <c r="M112" s="14">
        <v>400</v>
      </c>
      <c r="N112" s="14">
        <v>1.5329999999999999</v>
      </c>
      <c r="O112" s="10">
        <f t="shared" si="8"/>
        <v>613.19999999999993</v>
      </c>
      <c r="P112" s="11">
        <v>79.72</v>
      </c>
      <c r="Q112" s="11">
        <v>0</v>
      </c>
      <c r="R112" s="10">
        <f>IF(COUNTIF($J$2:J112,J112)=1,SUMIFS($O:$O,$J:$J,J112)+SUMIFS($P:$P,$J:$J,J112)+SUMIFS($Q:$Q,$J:$J,J112),"")</f>
        <v>692.92</v>
      </c>
      <c r="S112" s="10">
        <v>692.92</v>
      </c>
      <c r="T112" s="11" t="str">
        <f t="shared" si="12"/>
        <v>Ok</v>
      </c>
      <c r="U112" s="12">
        <v>45832</v>
      </c>
      <c r="V112" s="10">
        <v>79.72</v>
      </c>
      <c r="W112" s="10" t="str">
        <f t="shared" si="9"/>
        <v>Short Paid</v>
      </c>
      <c r="X112" t="s">
        <v>450</v>
      </c>
      <c r="Y112" t="s">
        <v>29</v>
      </c>
      <c r="Z112">
        <v>100297</v>
      </c>
      <c r="AA112" t="s">
        <v>3119</v>
      </c>
      <c r="AB112" t="s">
        <v>3041</v>
      </c>
      <c r="AC112" s="9">
        <f t="shared" si="10"/>
        <v>1</v>
      </c>
      <c r="AD112" s="9" t="str">
        <f t="shared" si="11"/>
        <v>Ok</v>
      </c>
      <c r="AE112" s="11">
        <f t="shared" si="14"/>
        <v>0</v>
      </c>
    </row>
    <row r="113" spans="1:31" x14ac:dyDescent="0.3">
      <c r="A113">
        <v>147</v>
      </c>
      <c r="B113">
        <v>4417723</v>
      </c>
      <c r="C113" t="s">
        <v>56</v>
      </c>
      <c r="D113">
        <v>1078017</v>
      </c>
      <c r="E113" t="s">
        <v>650</v>
      </c>
      <c r="F113" t="s">
        <v>49</v>
      </c>
      <c r="G113" t="s">
        <v>2181</v>
      </c>
      <c r="H113" t="s">
        <v>2182</v>
      </c>
      <c r="I113" s="9" t="s">
        <v>3387</v>
      </c>
      <c r="J113" s="9">
        <v>51162854661</v>
      </c>
      <c r="K113" s="14" t="s">
        <v>3177</v>
      </c>
      <c r="L113" s="13" t="s">
        <v>3716</v>
      </c>
      <c r="M113" s="14">
        <v>3</v>
      </c>
      <c r="N113" s="14">
        <v>50.29</v>
      </c>
      <c r="O113" s="10">
        <f t="shared" si="8"/>
        <v>150.87</v>
      </c>
      <c r="P113" s="11">
        <v>19.61</v>
      </c>
      <c r="Q113" s="11">
        <v>0</v>
      </c>
      <c r="R113" s="10">
        <f>IF(COUNTIF($J$2:J113,J113)=1,SUMIFS($O:$O,$J:$J,J113)+SUMIFS($P:$P,$J:$J,J113)+SUMIFS($Q:$Q,$J:$J,J113),"")</f>
        <v>170.48000000000002</v>
      </c>
      <c r="S113" s="10">
        <v>170.48</v>
      </c>
      <c r="T113" s="11" t="str">
        <f t="shared" si="12"/>
        <v>Ok</v>
      </c>
      <c r="U113" s="12">
        <v>45853</v>
      </c>
      <c r="V113" s="10">
        <v>19.61</v>
      </c>
      <c r="W113" s="10" t="str">
        <f t="shared" si="9"/>
        <v>Short Paid</v>
      </c>
      <c r="X113" t="s">
        <v>450</v>
      </c>
      <c r="Y113" t="s">
        <v>29</v>
      </c>
      <c r="Z113">
        <v>100297</v>
      </c>
      <c r="AA113" t="s">
        <v>3119</v>
      </c>
      <c r="AB113" t="s">
        <v>3041</v>
      </c>
      <c r="AC113" s="9">
        <f t="shared" si="10"/>
        <v>1</v>
      </c>
      <c r="AD113" s="9" t="str">
        <f t="shared" si="11"/>
        <v>Ok</v>
      </c>
      <c r="AE113" s="11">
        <f t="shared" si="14"/>
        <v>0</v>
      </c>
    </row>
    <row r="114" spans="1:31" x14ac:dyDescent="0.3">
      <c r="A114">
        <v>147</v>
      </c>
      <c r="B114">
        <v>4417753</v>
      </c>
      <c r="C114" t="s">
        <v>56</v>
      </c>
      <c r="D114">
        <v>1078017</v>
      </c>
      <c r="E114" t="s">
        <v>650</v>
      </c>
      <c r="F114" t="s">
        <v>49</v>
      </c>
      <c r="G114" t="s">
        <v>2183</v>
      </c>
      <c r="H114" t="s">
        <v>2184</v>
      </c>
      <c r="I114" s="9" t="s">
        <v>3221</v>
      </c>
      <c r="J114" s="9">
        <v>51162854690</v>
      </c>
      <c r="K114" s="14" t="s">
        <v>3177</v>
      </c>
      <c r="L114" s="13" t="s">
        <v>3716</v>
      </c>
      <c r="M114" s="14">
        <v>5</v>
      </c>
      <c r="N114" s="14">
        <v>50.29</v>
      </c>
      <c r="O114" s="10">
        <f t="shared" si="8"/>
        <v>251.45</v>
      </c>
      <c r="P114" s="11">
        <v>32.69</v>
      </c>
      <c r="Q114" s="11">
        <v>0</v>
      </c>
      <c r="R114" s="10">
        <f>IF(COUNTIF($J$2:J114,J114)=1,SUMIFS($O:$O,$J:$J,J114)+SUMIFS($P:$P,$J:$J,J114)+SUMIFS($Q:$Q,$J:$J,J114),"")</f>
        <v>284.14</v>
      </c>
      <c r="S114" s="10">
        <v>284.14</v>
      </c>
      <c r="T114" s="11" t="str">
        <f t="shared" si="12"/>
        <v>Ok</v>
      </c>
      <c r="U114" s="12">
        <v>45853</v>
      </c>
      <c r="V114" s="10">
        <v>32.69</v>
      </c>
      <c r="W114" s="10" t="str">
        <f t="shared" si="9"/>
        <v>Short Paid</v>
      </c>
      <c r="X114" t="s">
        <v>450</v>
      </c>
      <c r="Y114" t="s">
        <v>29</v>
      </c>
      <c r="Z114">
        <v>100297</v>
      </c>
      <c r="AA114" t="s">
        <v>3119</v>
      </c>
      <c r="AB114" t="s">
        <v>3041</v>
      </c>
      <c r="AC114" s="9">
        <f t="shared" si="10"/>
        <v>1</v>
      </c>
      <c r="AD114" s="9" t="str">
        <f t="shared" si="11"/>
        <v>Ok</v>
      </c>
      <c r="AE114" s="11">
        <f t="shared" si="14"/>
        <v>0</v>
      </c>
    </row>
    <row r="115" spans="1:31" x14ac:dyDescent="0.3">
      <c r="A115">
        <v>147</v>
      </c>
      <c r="B115">
        <v>4417763</v>
      </c>
      <c r="C115" t="s">
        <v>56</v>
      </c>
      <c r="D115">
        <v>1078017</v>
      </c>
      <c r="E115" t="s">
        <v>650</v>
      </c>
      <c r="F115" t="s">
        <v>49</v>
      </c>
      <c r="G115" t="s">
        <v>2185</v>
      </c>
      <c r="H115" t="s">
        <v>2186</v>
      </c>
      <c r="I115" s="9" t="s">
        <v>3393</v>
      </c>
      <c r="J115" s="9">
        <v>51162854709</v>
      </c>
      <c r="K115" s="14" t="s">
        <v>3177</v>
      </c>
      <c r="L115" s="13" t="s">
        <v>3716</v>
      </c>
      <c r="M115" s="14">
        <v>2</v>
      </c>
      <c r="N115" s="14">
        <v>50.29</v>
      </c>
      <c r="O115" s="10">
        <f t="shared" si="8"/>
        <v>100.58</v>
      </c>
      <c r="P115" s="11">
        <v>13.08</v>
      </c>
      <c r="Q115" s="11">
        <v>0</v>
      </c>
      <c r="R115" s="10">
        <f>IF(COUNTIF($J$2:J115,J115)=1,SUMIFS($O:$O,$J:$J,J115)+SUMIFS($P:$P,$J:$J,J115)+SUMIFS($Q:$Q,$J:$J,J115),"")</f>
        <v>113.66</v>
      </c>
      <c r="S115" s="10">
        <v>113.66</v>
      </c>
      <c r="T115" s="11" t="str">
        <f t="shared" si="12"/>
        <v>Ok</v>
      </c>
      <c r="U115" s="12">
        <v>45849</v>
      </c>
      <c r="V115" s="10">
        <v>13.08</v>
      </c>
      <c r="W115" s="10" t="str">
        <f t="shared" si="9"/>
        <v>Short Paid</v>
      </c>
      <c r="X115" t="s">
        <v>450</v>
      </c>
      <c r="Y115" t="s">
        <v>29</v>
      </c>
      <c r="Z115">
        <v>100297</v>
      </c>
      <c r="AA115" t="s">
        <v>3119</v>
      </c>
      <c r="AB115" t="s">
        <v>3041</v>
      </c>
      <c r="AC115" s="9">
        <f t="shared" si="10"/>
        <v>1</v>
      </c>
      <c r="AD115" s="9" t="str">
        <f t="shared" si="11"/>
        <v>Ok</v>
      </c>
      <c r="AE115" s="11">
        <f t="shared" si="14"/>
        <v>0</v>
      </c>
    </row>
    <row r="116" spans="1:31" x14ac:dyDescent="0.3">
      <c r="A116">
        <v>147</v>
      </c>
      <c r="B116">
        <v>4417733</v>
      </c>
      <c r="C116" t="s">
        <v>56</v>
      </c>
      <c r="D116">
        <v>1078017</v>
      </c>
      <c r="E116" t="s">
        <v>650</v>
      </c>
      <c r="F116" t="s">
        <v>49</v>
      </c>
      <c r="G116" t="s">
        <v>2187</v>
      </c>
      <c r="H116" t="s">
        <v>2188</v>
      </c>
      <c r="I116" s="9" t="s">
        <v>3273</v>
      </c>
      <c r="J116" s="9">
        <v>51162854678</v>
      </c>
      <c r="K116" s="14" t="s">
        <v>3229</v>
      </c>
      <c r="L116" s="13" t="s">
        <v>3717</v>
      </c>
      <c r="M116" s="14">
        <v>50</v>
      </c>
      <c r="N116" s="14">
        <v>1.9730000000000001</v>
      </c>
      <c r="O116" s="10">
        <f t="shared" si="8"/>
        <v>98.65</v>
      </c>
      <c r="P116" s="11">
        <v>12.82</v>
      </c>
      <c r="Q116" s="11">
        <v>0</v>
      </c>
      <c r="R116" s="10">
        <f>IF(COUNTIF($J$2:J116,J116)=1,SUMIFS($O:$O,$J:$J,J116)+SUMIFS($P:$P,$J:$J,J116)+SUMIFS($Q:$Q,$J:$J,J116),"")</f>
        <v>111.47</v>
      </c>
      <c r="S116" s="10">
        <v>111.47</v>
      </c>
      <c r="T116" s="11" t="str">
        <f t="shared" si="12"/>
        <v>Ok</v>
      </c>
      <c r="U116" s="12">
        <v>45870</v>
      </c>
      <c r="V116" s="10">
        <v>12.82</v>
      </c>
      <c r="W116" s="10" t="str">
        <f t="shared" si="9"/>
        <v>Short Paid</v>
      </c>
      <c r="X116" t="s">
        <v>450</v>
      </c>
      <c r="Y116" t="s">
        <v>29</v>
      </c>
      <c r="Z116">
        <v>100297</v>
      </c>
      <c r="AA116" t="s">
        <v>3119</v>
      </c>
      <c r="AB116" t="s">
        <v>3041</v>
      </c>
      <c r="AC116" s="9">
        <f t="shared" si="10"/>
        <v>1</v>
      </c>
      <c r="AD116" s="9" t="str">
        <f t="shared" si="11"/>
        <v>Ok</v>
      </c>
      <c r="AE116" s="11">
        <f t="shared" si="14"/>
        <v>0</v>
      </c>
    </row>
    <row r="117" spans="1:31" x14ac:dyDescent="0.3">
      <c r="A117">
        <v>147</v>
      </c>
      <c r="B117">
        <v>4418343</v>
      </c>
      <c r="C117" t="s">
        <v>56</v>
      </c>
      <c r="D117">
        <v>1078017</v>
      </c>
      <c r="E117" t="s">
        <v>650</v>
      </c>
      <c r="F117" t="s">
        <v>49</v>
      </c>
      <c r="G117" t="s">
        <v>2189</v>
      </c>
      <c r="H117" t="s">
        <v>2190</v>
      </c>
      <c r="I117" s="9" t="s">
        <v>3202</v>
      </c>
      <c r="J117" s="9">
        <v>51163334547</v>
      </c>
      <c r="K117" s="14" t="s">
        <v>3209</v>
      </c>
      <c r="L117" s="13" t="s">
        <v>3739</v>
      </c>
      <c r="M117" s="14">
        <v>5000</v>
      </c>
      <c r="N117" s="14">
        <v>2.1800000000000001E-3</v>
      </c>
      <c r="O117" s="10">
        <f t="shared" si="8"/>
        <v>10.9</v>
      </c>
      <c r="P117" s="11">
        <v>1.42</v>
      </c>
      <c r="Q117" s="11">
        <v>0</v>
      </c>
      <c r="R117" s="10">
        <f>IF(COUNTIF($J$2:J117,J117)=1,SUMIFS($O:$O,$J:$J,J117)+SUMIFS($P:$P,$J:$J,J117)+SUMIFS($Q:$Q,$J:$J,J117),"")</f>
        <v>12.32</v>
      </c>
      <c r="S117" s="10">
        <v>12.32</v>
      </c>
      <c r="T117" s="11" t="str">
        <f t="shared" si="12"/>
        <v>Ok</v>
      </c>
      <c r="U117" s="12">
        <v>45870</v>
      </c>
      <c r="V117" s="10">
        <v>1.42</v>
      </c>
      <c r="W117" s="10" t="str">
        <f t="shared" si="9"/>
        <v>Short Paid</v>
      </c>
      <c r="X117" t="s">
        <v>450</v>
      </c>
      <c r="Y117" t="s">
        <v>29</v>
      </c>
      <c r="Z117">
        <v>100297</v>
      </c>
      <c r="AA117" t="s">
        <v>3119</v>
      </c>
      <c r="AB117" t="s">
        <v>3041</v>
      </c>
      <c r="AC117" s="9">
        <f t="shared" si="10"/>
        <v>1</v>
      </c>
      <c r="AD117" s="9" t="str">
        <f t="shared" si="11"/>
        <v>Ok</v>
      </c>
      <c r="AE117" s="11">
        <f t="shared" si="14"/>
        <v>0</v>
      </c>
    </row>
    <row r="118" spans="1:31" x14ac:dyDescent="0.3">
      <c r="A118">
        <v>147</v>
      </c>
      <c r="B118">
        <v>4418113</v>
      </c>
      <c r="C118" t="s">
        <v>239</v>
      </c>
      <c r="D118">
        <v>1035325</v>
      </c>
      <c r="E118" t="s">
        <v>556</v>
      </c>
      <c r="F118" t="s">
        <v>20</v>
      </c>
      <c r="G118" t="s">
        <v>2191</v>
      </c>
      <c r="H118" t="s">
        <v>2192</v>
      </c>
      <c r="I118" s="9" t="s">
        <v>3361</v>
      </c>
      <c r="J118" s="9">
        <v>51163452246</v>
      </c>
      <c r="K118" s="14" t="s">
        <v>3661</v>
      </c>
      <c r="L118" s="13" t="s">
        <v>3660</v>
      </c>
      <c r="M118" s="14">
        <v>7</v>
      </c>
      <c r="N118" s="14">
        <v>92.68</v>
      </c>
      <c r="O118" s="10">
        <f t="shared" si="8"/>
        <v>648.76</v>
      </c>
      <c r="P118" s="11">
        <v>0</v>
      </c>
      <c r="Q118" s="11">
        <v>61.63</v>
      </c>
      <c r="R118" s="10">
        <f>IF(COUNTIF($J$2:J118,J118)=1,SUMIFS($O:$O,$J:$J,J118)+SUMIFS($P:$P,$J:$J,J118)+SUMIFS($Q:$Q,$J:$J,J118),"")</f>
        <v>710.39</v>
      </c>
      <c r="S118" s="10">
        <v>710.39</v>
      </c>
      <c r="T118" s="11" t="str">
        <f t="shared" si="12"/>
        <v>Ok</v>
      </c>
      <c r="U118" s="12">
        <v>45946</v>
      </c>
      <c r="V118" s="10">
        <v>710.39</v>
      </c>
      <c r="W118" s="10" t="str">
        <f t="shared" si="9"/>
        <v>Not Paid</v>
      </c>
      <c r="X118" t="s">
        <v>476</v>
      </c>
      <c r="Y118" t="s">
        <v>28</v>
      </c>
      <c r="Z118">
        <v>100115</v>
      </c>
      <c r="AA118" t="s">
        <v>504</v>
      </c>
      <c r="AB118" t="s">
        <v>521</v>
      </c>
      <c r="AC118" s="9">
        <f t="shared" si="10"/>
        <v>1</v>
      </c>
      <c r="AD118" s="9" t="str">
        <f t="shared" si="11"/>
        <v>Ok</v>
      </c>
      <c r="AE118" s="11">
        <f t="shared" si="14"/>
        <v>0</v>
      </c>
    </row>
    <row r="119" spans="1:31" x14ac:dyDescent="0.3">
      <c r="A119">
        <v>147</v>
      </c>
      <c r="B119">
        <v>4417933</v>
      </c>
      <c r="C119" t="s">
        <v>239</v>
      </c>
      <c r="D119">
        <v>1035325</v>
      </c>
      <c r="E119" t="s">
        <v>556</v>
      </c>
      <c r="F119" t="s">
        <v>20</v>
      </c>
      <c r="G119" t="s">
        <v>2193</v>
      </c>
      <c r="H119" t="s">
        <v>2194</v>
      </c>
      <c r="I119" s="9" t="s">
        <v>3432</v>
      </c>
      <c r="J119" s="9">
        <v>51160091175</v>
      </c>
      <c r="K119" s="14" t="s">
        <v>3266</v>
      </c>
      <c r="L119" s="13" t="s">
        <v>3614</v>
      </c>
      <c r="M119" s="14">
        <v>9</v>
      </c>
      <c r="N119" s="14">
        <v>92.68</v>
      </c>
      <c r="O119" s="10">
        <f t="shared" si="8"/>
        <v>834.12000000000012</v>
      </c>
      <c r="P119" s="11">
        <v>0</v>
      </c>
      <c r="Q119" s="11">
        <v>119.28</v>
      </c>
      <c r="R119" s="10">
        <f>IF(COUNTIF($J$2:J119,J119)=1,SUMIFS($O:$O,$J:$J,J119)+SUMIFS($P:$P,$J:$J,J119)+SUMIFS($Q:$Q,$J:$J,J119),"")</f>
        <v>953.40000000000009</v>
      </c>
      <c r="S119" s="10">
        <v>953.4</v>
      </c>
      <c r="T119" s="11" t="str">
        <f t="shared" si="12"/>
        <v>Ok</v>
      </c>
      <c r="U119" s="12">
        <v>45974</v>
      </c>
      <c r="V119" s="10">
        <v>953.4</v>
      </c>
      <c r="W119" s="10" t="str">
        <f t="shared" si="9"/>
        <v>Not Paid</v>
      </c>
      <c r="X119" t="s">
        <v>476</v>
      </c>
      <c r="Y119" t="s">
        <v>28</v>
      </c>
      <c r="Z119">
        <v>100125</v>
      </c>
      <c r="AA119" t="s">
        <v>477</v>
      </c>
      <c r="AB119" t="s">
        <v>521</v>
      </c>
      <c r="AC119" s="9">
        <f t="shared" si="10"/>
        <v>1</v>
      </c>
      <c r="AD119" s="9" t="str">
        <f t="shared" si="11"/>
        <v>Ok</v>
      </c>
      <c r="AE119" s="11">
        <f t="shared" si="14"/>
        <v>0</v>
      </c>
    </row>
    <row r="120" spans="1:31" x14ac:dyDescent="0.3">
      <c r="A120">
        <v>144</v>
      </c>
      <c r="B120">
        <v>4425942</v>
      </c>
      <c r="C120" t="s">
        <v>239</v>
      </c>
      <c r="D120">
        <v>1038870</v>
      </c>
      <c r="E120" t="s">
        <v>551</v>
      </c>
      <c r="F120" t="s">
        <v>20</v>
      </c>
      <c r="G120" t="s">
        <v>2195</v>
      </c>
      <c r="H120" t="s">
        <v>2196</v>
      </c>
      <c r="I120" s="9" t="s">
        <v>3181</v>
      </c>
      <c r="J120" s="9">
        <v>51163602627</v>
      </c>
      <c r="K120" s="14" t="s">
        <v>3755</v>
      </c>
      <c r="L120" s="13" t="s">
        <v>3754</v>
      </c>
      <c r="M120" s="14">
        <v>3640</v>
      </c>
      <c r="N120" s="14">
        <v>0.20213</v>
      </c>
      <c r="O120" s="10">
        <f t="shared" si="8"/>
        <v>735.75319999999999</v>
      </c>
      <c r="P120" s="11">
        <v>0</v>
      </c>
      <c r="Q120" s="11">
        <v>0</v>
      </c>
      <c r="R120" s="10">
        <f>IF(COUNTIF($J$2:J120,J120)=1,SUMIFS($O:$O,$J:$J,J120)+SUMIFS($P:$P,$J:$J,J120)+SUMIFS($Q:$Q,$J:$J,J120),"")</f>
        <v>735.75319999999999</v>
      </c>
      <c r="S120" s="10">
        <v>735.75</v>
      </c>
      <c r="T120" s="11" t="str">
        <f t="shared" si="12"/>
        <v>Check</v>
      </c>
      <c r="U120" s="12">
        <v>45908</v>
      </c>
      <c r="V120" s="10">
        <v>735.75</v>
      </c>
      <c r="W120" s="10" t="str">
        <f t="shared" si="9"/>
        <v>Not Paid</v>
      </c>
      <c r="X120" t="s">
        <v>476</v>
      </c>
      <c r="Y120" t="s">
        <v>28</v>
      </c>
      <c r="Z120">
        <v>100285</v>
      </c>
      <c r="AA120" t="s">
        <v>501</v>
      </c>
      <c r="AB120" t="s">
        <v>521</v>
      </c>
      <c r="AC120" s="9">
        <f t="shared" si="10"/>
        <v>1</v>
      </c>
      <c r="AD120" s="9" t="str">
        <f t="shared" si="11"/>
        <v>Check</v>
      </c>
      <c r="AE120" s="11">
        <f t="shared" si="14"/>
        <v>3.1999999999925421E-3</v>
      </c>
    </row>
    <row r="121" spans="1:31" x14ac:dyDescent="0.3">
      <c r="A121">
        <v>143</v>
      </c>
      <c r="B121">
        <v>4418013</v>
      </c>
      <c r="C121" t="s">
        <v>160</v>
      </c>
      <c r="D121">
        <v>1241713</v>
      </c>
      <c r="E121" t="s">
        <v>614</v>
      </c>
      <c r="F121" t="s">
        <v>21</v>
      </c>
      <c r="G121" t="s">
        <v>2197</v>
      </c>
      <c r="H121" t="s">
        <v>2198</v>
      </c>
      <c r="I121" s="9" t="s">
        <v>3419</v>
      </c>
      <c r="J121" s="9">
        <v>51163600133</v>
      </c>
      <c r="K121" s="14" t="s">
        <v>3168</v>
      </c>
      <c r="L121" s="13" t="s">
        <v>3753</v>
      </c>
      <c r="M121" s="14">
        <v>19380</v>
      </c>
      <c r="N121" s="14">
        <v>42.43</v>
      </c>
      <c r="O121" s="10">
        <f t="shared" si="8"/>
        <v>822293.4</v>
      </c>
      <c r="P121" s="11">
        <v>0</v>
      </c>
      <c r="Q121" s="11">
        <v>0</v>
      </c>
      <c r="R121" s="10">
        <f>IF(COUNTIF($J$2:J121,J121)=1,SUMIFS($O:$O,$J:$J,J121)+SUMIFS($P:$P,$J:$J,J121)+SUMIFS($Q:$Q,$J:$J,J121),"")</f>
        <v>822293.4</v>
      </c>
      <c r="S121" s="10">
        <v>822293.4</v>
      </c>
      <c r="T121" s="11" t="str">
        <f t="shared" si="12"/>
        <v>Ok</v>
      </c>
      <c r="U121" s="12">
        <v>46022</v>
      </c>
      <c r="V121" s="10">
        <v>8222.93</v>
      </c>
      <c r="W121" s="10" t="str">
        <f t="shared" si="9"/>
        <v>Short Paid</v>
      </c>
      <c r="X121" t="s">
        <v>455</v>
      </c>
      <c r="Y121" t="s">
        <v>40</v>
      </c>
      <c r="Z121">
        <v>100140</v>
      </c>
      <c r="AA121" t="s">
        <v>3050</v>
      </c>
      <c r="AB121" t="s">
        <v>3036</v>
      </c>
      <c r="AC121" s="9">
        <f t="shared" si="10"/>
        <v>1</v>
      </c>
      <c r="AD121" s="9" t="str">
        <f t="shared" si="11"/>
        <v>Ok</v>
      </c>
      <c r="AE121" s="11">
        <f t="shared" si="14"/>
        <v>0</v>
      </c>
    </row>
    <row r="122" spans="1:31" x14ac:dyDescent="0.3">
      <c r="A122">
        <v>143</v>
      </c>
      <c r="B122">
        <v>4417713</v>
      </c>
      <c r="C122" t="s">
        <v>94</v>
      </c>
      <c r="D122">
        <v>1060204</v>
      </c>
      <c r="E122" t="s">
        <v>651</v>
      </c>
      <c r="F122" t="s">
        <v>17</v>
      </c>
      <c r="G122" t="s">
        <v>2199</v>
      </c>
      <c r="H122" t="s">
        <v>2200</v>
      </c>
      <c r="I122" s="9" t="s">
        <v>3498</v>
      </c>
      <c r="J122" s="9">
        <v>51163452272</v>
      </c>
      <c r="K122" s="14" t="s">
        <v>3743</v>
      </c>
      <c r="L122" s="13" t="s">
        <v>3742</v>
      </c>
      <c r="M122" s="14">
        <v>16</v>
      </c>
      <c r="N122" s="14">
        <v>2965</v>
      </c>
      <c r="O122" s="10">
        <f t="shared" si="8"/>
        <v>47440</v>
      </c>
      <c r="P122" s="11">
        <v>4447.5</v>
      </c>
      <c r="Q122" s="11">
        <v>0</v>
      </c>
      <c r="R122" s="10">
        <f>IF(COUNTIF($J$2:J122,J122)=1,SUMIFS($O:$O,$J:$J,J122)+SUMIFS($P:$P,$J:$J,J122)+SUMIFS($Q:$Q,$J:$J,J122),"")</f>
        <v>51887.5</v>
      </c>
      <c r="S122" s="10">
        <v>51887.5</v>
      </c>
      <c r="T122" s="11" t="str">
        <f t="shared" si="12"/>
        <v>Ok</v>
      </c>
      <c r="U122" s="12">
        <v>45995</v>
      </c>
      <c r="V122" s="10">
        <v>35672.660000000003</v>
      </c>
      <c r="W122" s="10" t="str">
        <f t="shared" si="9"/>
        <v>Short Paid</v>
      </c>
      <c r="X122" t="s">
        <v>470</v>
      </c>
      <c r="Y122" t="s">
        <v>436</v>
      </c>
      <c r="Z122">
        <v>100218</v>
      </c>
      <c r="AA122" t="s">
        <v>3120</v>
      </c>
      <c r="AB122" t="s">
        <v>528</v>
      </c>
      <c r="AC122" s="9">
        <f t="shared" si="10"/>
        <v>1</v>
      </c>
      <c r="AD122" s="9" t="str">
        <f t="shared" si="11"/>
        <v>Ok</v>
      </c>
      <c r="AE122" s="11">
        <f t="shared" si="14"/>
        <v>0</v>
      </c>
    </row>
    <row r="123" spans="1:31" x14ac:dyDescent="0.3">
      <c r="A123">
        <v>143</v>
      </c>
      <c r="B123">
        <v>4418103</v>
      </c>
      <c r="C123" t="s">
        <v>94</v>
      </c>
      <c r="D123">
        <v>1060204</v>
      </c>
      <c r="E123" t="s">
        <v>651</v>
      </c>
      <c r="F123" t="s">
        <v>20</v>
      </c>
      <c r="G123" t="s">
        <v>2201</v>
      </c>
      <c r="H123" t="s">
        <v>2202</v>
      </c>
      <c r="I123" s="9" t="s">
        <v>3336</v>
      </c>
      <c r="J123" s="9">
        <v>51163600071</v>
      </c>
      <c r="K123" s="14" t="s">
        <v>3743</v>
      </c>
      <c r="L123" s="13" t="s">
        <v>3742</v>
      </c>
      <c r="M123" s="14">
        <v>16</v>
      </c>
      <c r="N123" s="14">
        <v>2965</v>
      </c>
      <c r="O123" s="10">
        <f t="shared" si="8"/>
        <v>47440</v>
      </c>
      <c r="P123" s="11">
        <v>4447.5</v>
      </c>
      <c r="Q123" s="11">
        <v>0</v>
      </c>
      <c r="R123" s="10">
        <f>IF(COUNTIF($J$2:J123,J123)=1,SUMIFS($O:$O,$J:$J,J123)+SUMIFS($P:$P,$J:$J,J123)+SUMIFS($Q:$Q,$J:$J,J123),"")</f>
        <v>51887.5</v>
      </c>
      <c r="S123" s="10">
        <v>51887.5</v>
      </c>
      <c r="T123" s="11" t="str">
        <f t="shared" si="12"/>
        <v>Ok</v>
      </c>
      <c r="U123" s="12">
        <v>45995</v>
      </c>
      <c r="V123" s="10">
        <v>51887.5</v>
      </c>
      <c r="W123" s="10" t="str">
        <f t="shared" si="9"/>
        <v>Not Paid</v>
      </c>
      <c r="X123" t="s">
        <v>470</v>
      </c>
      <c r="Y123" t="s">
        <v>28</v>
      </c>
      <c r="Z123">
        <v>100208</v>
      </c>
      <c r="AA123" t="s">
        <v>3098</v>
      </c>
      <c r="AB123" t="s">
        <v>521</v>
      </c>
      <c r="AC123" s="9">
        <f t="shared" si="10"/>
        <v>1</v>
      </c>
      <c r="AD123" s="9" t="str">
        <f t="shared" si="11"/>
        <v>Ok</v>
      </c>
      <c r="AE123" s="11">
        <f t="shared" si="14"/>
        <v>0</v>
      </c>
    </row>
    <row r="124" spans="1:31" x14ac:dyDescent="0.3">
      <c r="A124">
        <v>142</v>
      </c>
      <c r="B124">
        <v>4418063</v>
      </c>
      <c r="C124" t="s">
        <v>160</v>
      </c>
      <c r="D124">
        <v>1223769</v>
      </c>
      <c r="E124" t="s">
        <v>643</v>
      </c>
      <c r="F124" t="s">
        <v>47</v>
      </c>
      <c r="G124" t="s">
        <v>2203</v>
      </c>
      <c r="H124" t="s">
        <v>2204</v>
      </c>
      <c r="I124" s="9" t="s">
        <v>3188</v>
      </c>
      <c r="J124" s="9">
        <v>51163600060</v>
      </c>
      <c r="K124" s="14" t="s">
        <v>3276</v>
      </c>
      <c r="L124" s="13" t="s">
        <v>3751</v>
      </c>
      <c r="M124" s="14">
        <v>6</v>
      </c>
      <c r="N124" s="14">
        <v>104.72620000000001</v>
      </c>
      <c r="O124" s="10">
        <f t="shared" si="8"/>
        <v>628.35720000000003</v>
      </c>
      <c r="P124" s="11">
        <v>0</v>
      </c>
      <c r="Q124" s="11">
        <v>328.63</v>
      </c>
      <c r="R124" s="10">
        <f>IF(COUNTIF($J$2:J124,J124)=1,SUMIFS($O:$O,$J:$J,J124)+SUMIFS($P:$P,$J:$J,J124)+SUMIFS($Q:$Q,$J:$J,J124),"")</f>
        <v>956.98720000000003</v>
      </c>
      <c r="S124" s="10">
        <v>956.99</v>
      </c>
      <c r="T124" s="11" t="str">
        <f t="shared" si="12"/>
        <v>Check</v>
      </c>
      <c r="U124" s="12">
        <v>45975</v>
      </c>
      <c r="V124" s="10">
        <v>328.63</v>
      </c>
      <c r="W124" s="10" t="str">
        <f t="shared" si="9"/>
        <v>Short Paid</v>
      </c>
      <c r="X124" t="s">
        <v>470</v>
      </c>
      <c r="Y124" t="s">
        <v>28</v>
      </c>
      <c r="Z124">
        <v>100238</v>
      </c>
      <c r="AA124" t="s">
        <v>3078</v>
      </c>
      <c r="AB124" t="s">
        <v>3039</v>
      </c>
      <c r="AC124" s="9">
        <f t="shared" si="10"/>
        <v>1</v>
      </c>
      <c r="AD124" s="9" t="str">
        <f t="shared" si="11"/>
        <v>Check</v>
      </c>
      <c r="AE124" s="11">
        <f t="shared" si="14"/>
        <v>-2.7999999999792635E-3</v>
      </c>
    </row>
    <row r="125" spans="1:31" x14ac:dyDescent="0.3">
      <c r="A125">
        <v>142</v>
      </c>
      <c r="B125">
        <v>4417703</v>
      </c>
      <c r="C125" t="s">
        <v>160</v>
      </c>
      <c r="D125">
        <v>1223769</v>
      </c>
      <c r="E125" t="s">
        <v>643</v>
      </c>
      <c r="F125" t="s">
        <v>47</v>
      </c>
      <c r="G125" t="s">
        <v>2205</v>
      </c>
      <c r="H125" t="s">
        <v>2206</v>
      </c>
      <c r="I125" s="9" t="s">
        <v>3250</v>
      </c>
      <c r="J125" s="9">
        <v>51163600089</v>
      </c>
      <c r="K125" s="14" t="s">
        <v>3229</v>
      </c>
      <c r="L125" s="13" t="s">
        <v>3752</v>
      </c>
      <c r="M125" s="14">
        <v>4000</v>
      </c>
      <c r="N125" s="14">
        <v>5.3299999999999997E-3</v>
      </c>
      <c r="O125" s="10">
        <f t="shared" si="8"/>
        <v>21.32</v>
      </c>
      <c r="P125" s="11">
        <v>0</v>
      </c>
      <c r="Q125" s="11">
        <v>11.15</v>
      </c>
      <c r="R125" s="10">
        <f>IF(COUNTIF($J$2:J125,J125)=1,SUMIFS($O:$O,$J:$J,J125)+SUMIFS($P:$P,$J:$J,J125)+SUMIFS($Q:$Q,$J:$J,J125),"")</f>
        <v>32.47</v>
      </c>
      <c r="S125" s="10">
        <v>32.47</v>
      </c>
      <c r="T125" s="11" t="str">
        <f t="shared" si="12"/>
        <v>Ok</v>
      </c>
      <c r="U125" s="12">
        <v>45980</v>
      </c>
      <c r="V125" s="10">
        <v>11.15</v>
      </c>
      <c r="W125" s="10" t="str">
        <f t="shared" si="9"/>
        <v>Short Paid</v>
      </c>
      <c r="X125" t="s">
        <v>470</v>
      </c>
      <c r="Y125" t="s">
        <v>28</v>
      </c>
      <c r="Z125">
        <v>100248</v>
      </c>
      <c r="AA125" t="s">
        <v>3117</v>
      </c>
      <c r="AB125" t="s">
        <v>3039</v>
      </c>
      <c r="AC125" s="9">
        <f t="shared" si="10"/>
        <v>1</v>
      </c>
      <c r="AD125" s="9" t="str">
        <f t="shared" si="11"/>
        <v>Ok</v>
      </c>
      <c r="AE125" s="11">
        <f t="shared" si="14"/>
        <v>0</v>
      </c>
    </row>
    <row r="126" spans="1:31" x14ac:dyDescent="0.3">
      <c r="A126">
        <v>142</v>
      </c>
      <c r="B126">
        <v>4418053</v>
      </c>
      <c r="C126" t="s">
        <v>160</v>
      </c>
      <c r="D126">
        <v>1223769</v>
      </c>
      <c r="E126" t="s">
        <v>643</v>
      </c>
      <c r="F126" t="s">
        <v>47</v>
      </c>
      <c r="G126" t="s">
        <v>2207</v>
      </c>
      <c r="H126" t="s">
        <v>2208</v>
      </c>
      <c r="I126" s="9" t="s">
        <v>3333</v>
      </c>
      <c r="J126" s="9">
        <v>51163600158</v>
      </c>
      <c r="K126" s="14" t="s">
        <v>3229</v>
      </c>
      <c r="L126" s="13" t="s">
        <v>3752</v>
      </c>
      <c r="M126" s="14">
        <v>4000</v>
      </c>
      <c r="N126" s="14">
        <v>5.3299999999999997E-3</v>
      </c>
      <c r="O126" s="10">
        <f t="shared" si="8"/>
        <v>21.32</v>
      </c>
      <c r="P126" s="11">
        <v>0</v>
      </c>
      <c r="Q126" s="11">
        <v>11.15</v>
      </c>
      <c r="R126" s="10">
        <f>IF(COUNTIF($J$2:J126,J126)=1,SUMIFS($O:$O,$J:$J,J126)+SUMIFS($P:$P,$J:$J,J126)+SUMIFS($Q:$Q,$J:$J,J126),"")</f>
        <v>32.47</v>
      </c>
      <c r="S126" s="10">
        <v>32.47</v>
      </c>
      <c r="T126" s="11" t="str">
        <f t="shared" si="12"/>
        <v>Ok</v>
      </c>
      <c r="U126" s="12">
        <v>46021</v>
      </c>
      <c r="V126" s="10">
        <v>11.15</v>
      </c>
      <c r="W126" s="10" t="str">
        <f t="shared" si="9"/>
        <v>Short Paid</v>
      </c>
      <c r="X126" t="s">
        <v>470</v>
      </c>
      <c r="Y126" t="s">
        <v>28</v>
      </c>
      <c r="Z126">
        <v>100278</v>
      </c>
      <c r="AA126" t="s">
        <v>3114</v>
      </c>
      <c r="AB126" t="s">
        <v>3039</v>
      </c>
      <c r="AC126" s="9">
        <f t="shared" si="10"/>
        <v>1</v>
      </c>
      <c r="AD126" s="9" t="str">
        <f t="shared" si="11"/>
        <v>Ok</v>
      </c>
      <c r="AE126" s="11">
        <f t="shared" si="14"/>
        <v>0</v>
      </c>
    </row>
    <row r="127" spans="1:31" x14ac:dyDescent="0.3">
      <c r="A127">
        <v>142</v>
      </c>
      <c r="B127">
        <v>4418033</v>
      </c>
      <c r="C127" t="s">
        <v>160</v>
      </c>
      <c r="D127">
        <v>1830445</v>
      </c>
      <c r="E127" t="s">
        <v>95</v>
      </c>
      <c r="F127" t="s">
        <v>19</v>
      </c>
      <c r="G127" t="s">
        <v>2209</v>
      </c>
      <c r="H127" t="s">
        <v>2210</v>
      </c>
      <c r="I127" s="9" t="s">
        <v>3419</v>
      </c>
      <c r="J127" s="9">
        <v>51163452297</v>
      </c>
      <c r="K127" s="14" t="s">
        <v>3745</v>
      </c>
      <c r="L127" s="13" t="s">
        <v>3744</v>
      </c>
      <c r="M127" s="14">
        <v>247</v>
      </c>
      <c r="N127" s="14">
        <v>1099.4709</v>
      </c>
      <c r="O127" s="10">
        <f t="shared" si="8"/>
        <v>271569.31229999999</v>
      </c>
      <c r="P127" s="11">
        <v>0</v>
      </c>
      <c r="Q127" s="11">
        <v>0</v>
      </c>
      <c r="R127" s="10">
        <f>IF(COUNTIF($J$2:J127,J127)=1,SUMIFS($O:$O,$J:$J,J127)+SUMIFS($P:$P,$J:$J,J127)+SUMIFS($Q:$Q,$J:$J,J127),"")</f>
        <v>271569.31229999999</v>
      </c>
      <c r="S127" s="10">
        <v>271569.31</v>
      </c>
      <c r="T127" s="11" t="str">
        <f t="shared" si="12"/>
        <v>Check</v>
      </c>
      <c r="U127" s="12">
        <v>46006</v>
      </c>
      <c r="V127" s="10">
        <v>500</v>
      </c>
      <c r="W127" s="10" t="str">
        <f t="shared" si="9"/>
        <v>Short Paid</v>
      </c>
      <c r="X127" t="s">
        <v>450</v>
      </c>
      <c r="Y127" t="s">
        <v>28</v>
      </c>
      <c r="Z127">
        <v>100287</v>
      </c>
      <c r="AA127" t="s">
        <v>503</v>
      </c>
      <c r="AB127" t="s">
        <v>524</v>
      </c>
      <c r="AC127" s="9">
        <f t="shared" si="10"/>
        <v>1</v>
      </c>
      <c r="AD127" s="9" t="str">
        <f t="shared" si="11"/>
        <v>Check</v>
      </c>
      <c r="AE127" s="11">
        <f t="shared" si="14"/>
        <v>2.2999999928288162E-3</v>
      </c>
    </row>
    <row r="128" spans="1:31" x14ac:dyDescent="0.3">
      <c r="A128">
        <v>142</v>
      </c>
      <c r="B128">
        <v>4420723</v>
      </c>
      <c r="C128" t="s">
        <v>56</v>
      </c>
      <c r="D128">
        <v>1588891</v>
      </c>
      <c r="E128" t="s">
        <v>61</v>
      </c>
      <c r="F128" t="s">
        <v>18</v>
      </c>
      <c r="G128" t="s">
        <v>2211</v>
      </c>
      <c r="H128" t="s">
        <v>2212</v>
      </c>
      <c r="I128" s="9" t="s">
        <v>3355</v>
      </c>
      <c r="J128" s="9">
        <v>51159308535</v>
      </c>
      <c r="K128" s="14" t="s">
        <v>3318</v>
      </c>
      <c r="L128" s="13" t="s">
        <v>3317</v>
      </c>
      <c r="M128" s="14">
        <v>19000</v>
      </c>
      <c r="N128" s="14">
        <v>0.10847999999999999</v>
      </c>
      <c r="O128" s="10">
        <f t="shared" si="8"/>
        <v>2061.12</v>
      </c>
      <c r="P128" s="11">
        <v>0</v>
      </c>
      <c r="Q128" s="11">
        <v>0</v>
      </c>
      <c r="R128" s="10">
        <f>IF(COUNTIF($J$2:J128,J128)=1,SUMIFS($O:$O,$J:$J,J128)+SUMIFS($P:$P,$J:$J,J128)+SUMIFS($Q:$Q,$J:$J,J128),"")</f>
        <v>2061.12</v>
      </c>
      <c r="S128" s="10">
        <v>2061.12</v>
      </c>
      <c r="T128" s="11" t="str">
        <f t="shared" si="12"/>
        <v>Ok</v>
      </c>
      <c r="U128" s="12">
        <v>45891</v>
      </c>
      <c r="V128" s="10">
        <v>354.92</v>
      </c>
      <c r="W128" s="10" t="str">
        <f t="shared" si="9"/>
        <v>Short Paid</v>
      </c>
      <c r="X128" t="s">
        <v>438</v>
      </c>
      <c r="Y128" t="s">
        <v>28</v>
      </c>
      <c r="Z128">
        <v>100123</v>
      </c>
      <c r="AA128" t="s">
        <v>447</v>
      </c>
      <c r="AB128" t="s">
        <v>523</v>
      </c>
      <c r="AC128" s="9">
        <f t="shared" si="10"/>
        <v>1</v>
      </c>
      <c r="AD128" s="9" t="str">
        <f t="shared" si="11"/>
        <v>Ok</v>
      </c>
      <c r="AE128" s="11">
        <f t="shared" si="14"/>
        <v>0</v>
      </c>
    </row>
    <row r="129" spans="1:31" x14ac:dyDescent="0.3">
      <c r="A129">
        <v>142</v>
      </c>
      <c r="B129">
        <v>4419013</v>
      </c>
      <c r="C129" t="s">
        <v>167</v>
      </c>
      <c r="D129">
        <v>1212379</v>
      </c>
      <c r="E129" t="s">
        <v>535</v>
      </c>
      <c r="F129" t="s">
        <v>19</v>
      </c>
      <c r="G129" t="s">
        <v>2213</v>
      </c>
      <c r="H129" t="s">
        <v>2214</v>
      </c>
      <c r="I129" s="9" t="s">
        <v>3163</v>
      </c>
      <c r="J129" s="9">
        <v>53</v>
      </c>
      <c r="K129" s="14" t="s">
        <v>3165</v>
      </c>
      <c r="L129" s="13" t="s">
        <v>3164</v>
      </c>
      <c r="M129" s="14">
        <v>1</v>
      </c>
      <c r="N129" s="14">
        <v>708.08</v>
      </c>
      <c r="O129" s="10">
        <f t="shared" si="8"/>
        <v>708.08</v>
      </c>
      <c r="P129" s="11">
        <v>0</v>
      </c>
      <c r="Q129" s="11">
        <v>0</v>
      </c>
      <c r="R129" s="10">
        <f>IF(COUNTIF($J$2:J129,J129)=1,SUMIFS($O:$O,$J:$J,J129)+SUMIFS($P:$P,$J:$J,J129)+SUMIFS($Q:$Q,$J:$J,J129),"")</f>
        <v>708.08</v>
      </c>
      <c r="S129" s="10">
        <v>708.08</v>
      </c>
      <c r="T129" s="11" t="str">
        <f t="shared" si="12"/>
        <v>Ok</v>
      </c>
      <c r="U129" s="12">
        <v>45947</v>
      </c>
      <c r="V129" s="10">
        <v>708.08</v>
      </c>
      <c r="W129" s="10" t="str">
        <f t="shared" si="9"/>
        <v>Not Paid</v>
      </c>
      <c r="X129" t="s">
        <v>455</v>
      </c>
      <c r="Y129" t="s">
        <v>28</v>
      </c>
      <c r="Z129">
        <v>100160</v>
      </c>
      <c r="AA129" t="s">
        <v>457</v>
      </c>
      <c r="AB129" t="s">
        <v>524</v>
      </c>
      <c r="AC129" s="9">
        <f t="shared" si="10"/>
        <v>1</v>
      </c>
      <c r="AD129" s="9" t="str">
        <f t="shared" si="11"/>
        <v>Ok</v>
      </c>
      <c r="AE129" s="11">
        <f t="shared" si="14"/>
        <v>0</v>
      </c>
    </row>
    <row r="130" spans="1:31" x14ac:dyDescent="0.3">
      <c r="A130">
        <v>142</v>
      </c>
      <c r="B130">
        <v>4425862</v>
      </c>
      <c r="C130" t="s">
        <v>239</v>
      </c>
      <c r="D130">
        <v>1028314</v>
      </c>
      <c r="E130" t="s">
        <v>552</v>
      </c>
      <c r="F130" t="s">
        <v>18</v>
      </c>
      <c r="G130" t="s">
        <v>2215</v>
      </c>
      <c r="H130" t="s">
        <v>2216</v>
      </c>
      <c r="I130" s="9" t="s">
        <v>3424</v>
      </c>
      <c r="J130" s="9">
        <v>51164100281</v>
      </c>
      <c r="K130" s="14" t="s">
        <v>3266</v>
      </c>
      <c r="L130" s="13" t="s">
        <v>3770</v>
      </c>
      <c r="M130" s="14">
        <v>720</v>
      </c>
      <c r="N130" s="14">
        <v>0.91479999999999995</v>
      </c>
      <c r="O130" s="10">
        <f t="shared" ref="O130:O193" si="15">M130*N130</f>
        <v>658.65599999999995</v>
      </c>
      <c r="P130" s="11">
        <v>0</v>
      </c>
      <c r="Q130" s="11">
        <v>0</v>
      </c>
      <c r="R130" s="10">
        <f>IF(COUNTIF($J$2:J130,J130)=1,SUMIFS($O:$O,$J:$J,J130)+SUMIFS($P:$P,$J:$J,J130)+SUMIFS($Q:$Q,$J:$J,J130),"")</f>
        <v>658.65599999999995</v>
      </c>
      <c r="S130" s="10">
        <v>658.66</v>
      </c>
      <c r="T130" s="11" t="str">
        <f t="shared" si="12"/>
        <v>Check</v>
      </c>
      <c r="U130" s="12">
        <v>45833</v>
      </c>
      <c r="V130" s="10">
        <v>658.66</v>
      </c>
      <c r="W130" s="10" t="str">
        <f t="shared" ref="W130:W193" si="16">IF(OR(S130="",V130=""),"N/A",IF(S130&lt;&gt;V130,"Short Paid","Not Paid"))</f>
        <v>Not Paid</v>
      </c>
      <c r="X130" t="s">
        <v>476</v>
      </c>
      <c r="Y130" t="s">
        <v>28</v>
      </c>
      <c r="Z130">
        <v>100205</v>
      </c>
      <c r="AA130" t="s">
        <v>3075</v>
      </c>
      <c r="AB130" t="s">
        <v>523</v>
      </c>
      <c r="AC130" s="9">
        <f t="shared" ref="AC130:AC193" si="17">COUNTIF(J:J,J130)</f>
        <v>1</v>
      </c>
      <c r="AD130" s="9" t="str">
        <f t="shared" ref="AD130:AD193" si="18">IF(AND(R130="",S130=""),"N/A",IF(R130=S130,"Ok","Check"))</f>
        <v>Check</v>
      </c>
      <c r="AE130" s="11">
        <f t="shared" ref="AE130:AE153" si="19">R130-S130</f>
        <v>-4.0000000000190994E-3</v>
      </c>
    </row>
    <row r="131" spans="1:31" x14ac:dyDescent="0.3">
      <c r="A131">
        <v>141</v>
      </c>
      <c r="B131">
        <v>4419663</v>
      </c>
      <c r="C131" t="s">
        <v>160</v>
      </c>
      <c r="D131">
        <v>1648570</v>
      </c>
      <c r="E131" t="s">
        <v>208</v>
      </c>
      <c r="F131" t="s">
        <v>18</v>
      </c>
      <c r="G131" t="s">
        <v>2221</v>
      </c>
      <c r="H131" t="s">
        <v>2222</v>
      </c>
      <c r="I131" s="9" t="s">
        <v>3496</v>
      </c>
      <c r="J131" s="9">
        <v>55113529487</v>
      </c>
      <c r="K131" s="14" t="s">
        <v>3314</v>
      </c>
      <c r="L131" s="13" t="s">
        <v>3799</v>
      </c>
      <c r="M131" s="14">
        <v>6000</v>
      </c>
      <c r="N131" s="14">
        <v>0.65</v>
      </c>
      <c r="O131" s="10">
        <f t="shared" si="15"/>
        <v>3900</v>
      </c>
      <c r="P131" s="11">
        <v>0</v>
      </c>
      <c r="Q131" s="11">
        <v>0</v>
      </c>
      <c r="R131" s="10">
        <f>IF(COUNTIF($J$2:J131,J131)=1,SUMIFS($O:$O,$J:$J,J131)+SUMIFS($P:$P,$J:$J,J131)+SUMIFS($Q:$Q,$J:$J,J131),"")</f>
        <v>3900</v>
      </c>
      <c r="S131" s="10">
        <v>3900</v>
      </c>
      <c r="T131" s="11" t="str">
        <f t="shared" ref="T131:T194" si="20">IFERROR(INDEX(AD:AD,MATCH(J131,J:J,0)),"")</f>
        <v>Ok</v>
      </c>
      <c r="U131" s="12">
        <v>45945</v>
      </c>
      <c r="V131" s="10">
        <v>1800</v>
      </c>
      <c r="W131" s="10" t="str">
        <f t="shared" si="16"/>
        <v>Short Paid</v>
      </c>
      <c r="X131" t="s">
        <v>453</v>
      </c>
      <c r="Y131" t="s">
        <v>28</v>
      </c>
      <c r="Z131">
        <v>100284</v>
      </c>
      <c r="AA131" t="s">
        <v>3062</v>
      </c>
      <c r="AB131" t="s">
        <v>523</v>
      </c>
      <c r="AC131" s="9">
        <f t="shared" si="17"/>
        <v>1</v>
      </c>
      <c r="AD131" s="9" t="str">
        <f t="shared" si="18"/>
        <v>Ok</v>
      </c>
      <c r="AE131" s="11">
        <f t="shared" si="19"/>
        <v>0</v>
      </c>
    </row>
    <row r="132" spans="1:31" x14ac:dyDescent="0.3">
      <c r="A132">
        <v>141</v>
      </c>
      <c r="B132">
        <v>4419323</v>
      </c>
      <c r="C132" t="s">
        <v>160</v>
      </c>
      <c r="D132">
        <v>1139721</v>
      </c>
      <c r="E132" t="s">
        <v>547</v>
      </c>
      <c r="F132" t="s">
        <v>18</v>
      </c>
      <c r="G132" t="s">
        <v>2223</v>
      </c>
      <c r="H132" t="s">
        <v>2224</v>
      </c>
      <c r="I132" s="9" t="s">
        <v>3414</v>
      </c>
      <c r="J132" s="9">
        <v>55113529476</v>
      </c>
      <c r="K132" s="14" t="s">
        <v>3171</v>
      </c>
      <c r="L132" s="13" t="s">
        <v>3299</v>
      </c>
      <c r="M132" s="14">
        <v>95</v>
      </c>
      <c r="N132" s="14">
        <v>156.86000000000001</v>
      </c>
      <c r="O132" s="10">
        <f t="shared" si="15"/>
        <v>14901.7</v>
      </c>
      <c r="P132" s="11">
        <v>0</v>
      </c>
      <c r="Q132" s="11">
        <v>0</v>
      </c>
      <c r="R132" s="10">
        <f>IF(COUNTIF($J$2:J132,J132)=1,SUMIFS($O:$O,$J:$J,J132)+SUMIFS($P:$P,$J:$J,J132)+SUMIFS($Q:$Q,$J:$J,J132),"")</f>
        <v>14901.7</v>
      </c>
      <c r="S132" s="10">
        <v>14901.7</v>
      </c>
      <c r="T132" s="11" t="str">
        <f t="shared" si="20"/>
        <v>Ok</v>
      </c>
      <c r="U132" s="12">
        <v>45974</v>
      </c>
      <c r="V132" s="10">
        <v>323.33</v>
      </c>
      <c r="W132" s="10" t="str">
        <f t="shared" si="16"/>
        <v>Short Paid</v>
      </c>
      <c r="X132" t="s">
        <v>455</v>
      </c>
      <c r="Y132" t="s">
        <v>28</v>
      </c>
      <c r="Z132">
        <v>100110</v>
      </c>
      <c r="AA132" t="s">
        <v>512</v>
      </c>
      <c r="AB132" t="s">
        <v>523</v>
      </c>
      <c r="AC132" s="9">
        <f t="shared" si="17"/>
        <v>1</v>
      </c>
      <c r="AD132" s="9" t="str">
        <f t="shared" si="18"/>
        <v>Ok</v>
      </c>
      <c r="AE132" s="11">
        <f t="shared" si="19"/>
        <v>0</v>
      </c>
    </row>
    <row r="133" spans="1:31" x14ac:dyDescent="0.3">
      <c r="A133">
        <v>141</v>
      </c>
      <c r="B133">
        <v>4420213</v>
      </c>
      <c r="C133" t="s">
        <v>94</v>
      </c>
      <c r="D133">
        <v>1006248</v>
      </c>
      <c r="E133" t="s">
        <v>129</v>
      </c>
      <c r="F133" t="s">
        <v>20</v>
      </c>
      <c r="G133" t="s">
        <v>2225</v>
      </c>
      <c r="H133" t="s">
        <v>2226</v>
      </c>
      <c r="I133" s="9" t="s">
        <v>3419</v>
      </c>
      <c r="J133" s="9">
        <v>51163663502</v>
      </c>
      <c r="K133" s="14" t="s">
        <v>3165</v>
      </c>
      <c r="L133" s="13" t="s">
        <v>3698</v>
      </c>
      <c r="M133" s="14">
        <v>40</v>
      </c>
      <c r="N133" s="14">
        <v>110.16</v>
      </c>
      <c r="O133" s="10">
        <f t="shared" si="15"/>
        <v>4406.3999999999996</v>
      </c>
      <c r="P133" s="11">
        <v>0</v>
      </c>
      <c r="Q133" s="11">
        <v>0</v>
      </c>
      <c r="R133" s="10">
        <f>IF(COUNTIF($J$2:J133,J133)=1,SUMIFS($O:$O,$J:$J,J133)+SUMIFS($P:$P,$J:$J,J133)+SUMIFS($Q:$Q,$J:$J,J133),"")</f>
        <v>4406.3999999999996</v>
      </c>
      <c r="S133" s="10">
        <v>4406.3999999999996</v>
      </c>
      <c r="T133" s="11" t="str">
        <f t="shared" si="20"/>
        <v>Ok</v>
      </c>
      <c r="U133" s="12">
        <v>45954</v>
      </c>
      <c r="V133" s="10">
        <v>4406.3999999999996</v>
      </c>
      <c r="W133" s="10" t="str">
        <f t="shared" si="16"/>
        <v>Not Paid</v>
      </c>
      <c r="X133" t="s">
        <v>438</v>
      </c>
      <c r="Y133" t="s">
        <v>28</v>
      </c>
      <c r="Z133">
        <v>100193</v>
      </c>
      <c r="AA133" t="s">
        <v>442</v>
      </c>
      <c r="AB133" t="s">
        <v>521</v>
      </c>
      <c r="AC133" s="9">
        <f t="shared" si="17"/>
        <v>1</v>
      </c>
      <c r="AD133" s="9" t="str">
        <f t="shared" si="18"/>
        <v>Ok</v>
      </c>
      <c r="AE133" s="11">
        <f t="shared" si="19"/>
        <v>0</v>
      </c>
    </row>
    <row r="134" spans="1:31" x14ac:dyDescent="0.3">
      <c r="A134">
        <v>141</v>
      </c>
      <c r="B134">
        <v>4421653</v>
      </c>
      <c r="C134" t="s">
        <v>94</v>
      </c>
      <c r="D134">
        <v>1006248</v>
      </c>
      <c r="E134" t="s">
        <v>129</v>
      </c>
      <c r="F134" t="s">
        <v>20</v>
      </c>
      <c r="G134" t="s">
        <v>2227</v>
      </c>
      <c r="H134" t="s">
        <v>2228</v>
      </c>
      <c r="I134" s="9" t="s">
        <v>3254</v>
      </c>
      <c r="J134" s="9">
        <v>51164130501</v>
      </c>
      <c r="K134" s="14" t="s">
        <v>3165</v>
      </c>
      <c r="L134" s="13" t="s">
        <v>3698</v>
      </c>
      <c r="M134" s="14">
        <v>40</v>
      </c>
      <c r="N134" s="14">
        <v>110.16</v>
      </c>
      <c r="O134" s="10">
        <f t="shared" si="15"/>
        <v>4406.3999999999996</v>
      </c>
      <c r="P134" s="11">
        <v>0</v>
      </c>
      <c r="Q134" s="11">
        <v>0</v>
      </c>
      <c r="R134" s="10">
        <f>IF(COUNTIF($J$2:J134,J134)=1,SUMIFS($O:$O,$J:$J,J134)+SUMIFS($P:$P,$J:$J,J134)+SUMIFS($Q:$Q,$J:$J,J134),"")</f>
        <v>4406.3999999999996</v>
      </c>
      <c r="S134" s="10">
        <v>4406.3999999999996</v>
      </c>
      <c r="T134" s="11" t="str">
        <f t="shared" si="20"/>
        <v>Ok</v>
      </c>
      <c r="U134" s="12">
        <v>45954</v>
      </c>
      <c r="V134" s="10">
        <v>4406.3999999999996</v>
      </c>
      <c r="W134" s="10" t="str">
        <f t="shared" si="16"/>
        <v>Not Paid</v>
      </c>
      <c r="X134" t="s">
        <v>438</v>
      </c>
      <c r="Y134" t="s">
        <v>28</v>
      </c>
      <c r="Z134">
        <v>100203</v>
      </c>
      <c r="AA134" t="s">
        <v>441</v>
      </c>
      <c r="AB134" t="s">
        <v>521</v>
      </c>
      <c r="AC134" s="9">
        <f t="shared" si="17"/>
        <v>1</v>
      </c>
      <c r="AD134" s="9" t="str">
        <f t="shared" si="18"/>
        <v>Ok</v>
      </c>
      <c r="AE134" s="11">
        <f t="shared" si="19"/>
        <v>0</v>
      </c>
    </row>
    <row r="135" spans="1:31" x14ac:dyDescent="0.3">
      <c r="A135">
        <v>141</v>
      </c>
      <c r="B135">
        <v>4420703</v>
      </c>
      <c r="C135" t="s">
        <v>94</v>
      </c>
      <c r="D135">
        <v>1006248</v>
      </c>
      <c r="E135" t="s">
        <v>129</v>
      </c>
      <c r="F135" t="s">
        <v>20</v>
      </c>
      <c r="G135" t="s">
        <v>2229</v>
      </c>
      <c r="H135" t="s">
        <v>2230</v>
      </c>
      <c r="I135" s="9" t="s">
        <v>3329</v>
      </c>
      <c r="J135" s="9">
        <v>51162226030</v>
      </c>
      <c r="K135" s="14" t="s">
        <v>3165</v>
      </c>
      <c r="L135" s="13" t="s">
        <v>3698</v>
      </c>
      <c r="M135" s="14">
        <v>40</v>
      </c>
      <c r="N135" s="14">
        <v>110.16</v>
      </c>
      <c r="O135" s="10">
        <f t="shared" si="15"/>
        <v>4406.3999999999996</v>
      </c>
      <c r="P135" s="11">
        <v>0</v>
      </c>
      <c r="Q135" s="11">
        <v>0</v>
      </c>
      <c r="R135" s="10">
        <f>IF(COUNTIF($J$2:J135,J135)=1,SUMIFS($O:$O,$J:$J,J135)+SUMIFS($P:$P,$J:$J,J135)+SUMIFS($Q:$Q,$J:$J,J135),"")</f>
        <v>4406.3999999999996</v>
      </c>
      <c r="S135" s="10">
        <v>4406.3999999999996</v>
      </c>
      <c r="T135" s="11" t="str">
        <f t="shared" si="20"/>
        <v>Ok</v>
      </c>
      <c r="U135" s="12">
        <v>45954</v>
      </c>
      <c r="V135" s="10">
        <v>4406.3999999999996</v>
      </c>
      <c r="W135" s="10" t="str">
        <f t="shared" si="16"/>
        <v>Not Paid</v>
      </c>
      <c r="X135" t="s">
        <v>438</v>
      </c>
      <c r="Y135" t="s">
        <v>28</v>
      </c>
      <c r="Z135">
        <v>100233</v>
      </c>
      <c r="AA135" t="s">
        <v>448</v>
      </c>
      <c r="AB135" t="s">
        <v>521</v>
      </c>
      <c r="AC135" s="9">
        <f t="shared" si="17"/>
        <v>1</v>
      </c>
      <c r="AD135" s="9" t="str">
        <f t="shared" si="18"/>
        <v>Ok</v>
      </c>
      <c r="AE135" s="11">
        <f t="shared" si="19"/>
        <v>0</v>
      </c>
    </row>
    <row r="136" spans="1:31" x14ac:dyDescent="0.3">
      <c r="A136">
        <v>141</v>
      </c>
      <c r="B136">
        <v>4421633</v>
      </c>
      <c r="C136" t="s">
        <v>94</v>
      </c>
      <c r="D136">
        <v>1006248</v>
      </c>
      <c r="E136" t="s">
        <v>129</v>
      </c>
      <c r="F136" t="s">
        <v>20</v>
      </c>
      <c r="G136" t="s">
        <v>2231</v>
      </c>
      <c r="H136" t="s">
        <v>2232</v>
      </c>
      <c r="I136" s="9" t="s">
        <v>3419</v>
      </c>
      <c r="J136" s="9">
        <v>51163700159</v>
      </c>
      <c r="K136" s="14" t="s">
        <v>3165</v>
      </c>
      <c r="L136" s="13" t="s">
        <v>3698</v>
      </c>
      <c r="M136" s="14">
        <v>40</v>
      </c>
      <c r="N136" s="14">
        <v>110.16</v>
      </c>
      <c r="O136" s="10">
        <f t="shared" si="15"/>
        <v>4406.3999999999996</v>
      </c>
      <c r="P136" s="11">
        <v>0</v>
      </c>
      <c r="Q136" s="11">
        <v>0</v>
      </c>
      <c r="R136" s="10">
        <f>IF(COUNTIF($J$2:J136,J136)=1,SUMIFS($O:$O,$J:$J,J136)+SUMIFS($P:$P,$J:$J,J136)+SUMIFS($Q:$Q,$J:$J,J136),"")</f>
        <v>4406.3999999999996</v>
      </c>
      <c r="S136" s="10">
        <v>4406.3999999999996</v>
      </c>
      <c r="T136" s="11" t="str">
        <f t="shared" si="20"/>
        <v>Ok</v>
      </c>
      <c r="U136" s="12">
        <v>45954</v>
      </c>
      <c r="V136" s="10">
        <v>4406.3999999999996</v>
      </c>
      <c r="W136" s="10" t="str">
        <f t="shared" si="16"/>
        <v>Not Paid</v>
      </c>
      <c r="X136" t="s">
        <v>438</v>
      </c>
      <c r="Y136" t="s">
        <v>28</v>
      </c>
      <c r="Z136">
        <v>100243</v>
      </c>
      <c r="AA136" t="s">
        <v>446</v>
      </c>
      <c r="AB136" t="s">
        <v>521</v>
      </c>
      <c r="AC136" s="9">
        <f t="shared" si="17"/>
        <v>1</v>
      </c>
      <c r="AD136" s="9" t="str">
        <f t="shared" si="18"/>
        <v>Ok</v>
      </c>
      <c r="AE136" s="11">
        <f t="shared" si="19"/>
        <v>0</v>
      </c>
    </row>
    <row r="137" spans="1:31" x14ac:dyDescent="0.3">
      <c r="A137">
        <v>141</v>
      </c>
      <c r="B137">
        <v>4420243</v>
      </c>
      <c r="C137" t="s">
        <v>94</v>
      </c>
      <c r="D137">
        <v>1006248</v>
      </c>
      <c r="E137" t="s">
        <v>129</v>
      </c>
      <c r="F137" t="s">
        <v>20</v>
      </c>
      <c r="G137" t="s">
        <v>2233</v>
      </c>
      <c r="H137" t="s">
        <v>2234</v>
      </c>
      <c r="I137" s="9" t="s">
        <v>3535</v>
      </c>
      <c r="J137" s="9">
        <v>51164063788</v>
      </c>
      <c r="K137" s="14" t="s">
        <v>3165</v>
      </c>
      <c r="L137" s="13" t="s">
        <v>3698</v>
      </c>
      <c r="M137" s="14">
        <v>40</v>
      </c>
      <c r="N137" s="14">
        <v>110.16</v>
      </c>
      <c r="O137" s="10">
        <f t="shared" si="15"/>
        <v>4406.3999999999996</v>
      </c>
      <c r="P137" s="11">
        <v>0</v>
      </c>
      <c r="Q137" s="11">
        <v>0</v>
      </c>
      <c r="R137" s="10">
        <f>IF(COUNTIF($J$2:J137,J137)=1,SUMIFS($O:$O,$J:$J,J137)+SUMIFS($P:$P,$J:$J,J137)+SUMIFS($Q:$Q,$J:$J,J137),"")</f>
        <v>4406.3999999999996</v>
      </c>
      <c r="S137" s="10">
        <v>4406.3999999999996</v>
      </c>
      <c r="T137" s="11" t="str">
        <f t="shared" si="20"/>
        <v>Ok</v>
      </c>
      <c r="U137" s="12">
        <v>45954</v>
      </c>
      <c r="V137" s="10">
        <v>4406.3999999999996</v>
      </c>
      <c r="W137" s="10" t="str">
        <f t="shared" si="16"/>
        <v>Not Paid</v>
      </c>
      <c r="X137" t="s">
        <v>438</v>
      </c>
      <c r="Y137" t="s">
        <v>28</v>
      </c>
      <c r="Z137">
        <v>100273</v>
      </c>
      <c r="AA137" t="s">
        <v>444</v>
      </c>
      <c r="AB137" t="s">
        <v>521</v>
      </c>
      <c r="AC137" s="9">
        <f t="shared" si="17"/>
        <v>1</v>
      </c>
      <c r="AD137" s="9" t="str">
        <f t="shared" si="18"/>
        <v>Ok</v>
      </c>
      <c r="AE137" s="11">
        <f t="shared" si="19"/>
        <v>0</v>
      </c>
    </row>
    <row r="138" spans="1:31" x14ac:dyDescent="0.3">
      <c r="A138">
        <v>141</v>
      </c>
      <c r="B138">
        <v>4421543</v>
      </c>
      <c r="C138" t="s">
        <v>94</v>
      </c>
      <c r="D138">
        <v>1006248</v>
      </c>
      <c r="E138" t="s">
        <v>129</v>
      </c>
      <c r="F138" t="s">
        <v>19</v>
      </c>
      <c r="G138" t="s">
        <v>2235</v>
      </c>
      <c r="H138" t="s">
        <v>2236</v>
      </c>
      <c r="I138" s="9" t="s">
        <v>3355</v>
      </c>
      <c r="J138" s="9">
        <v>51163097377</v>
      </c>
      <c r="K138" s="14" t="s">
        <v>3165</v>
      </c>
      <c r="L138" s="13" t="s">
        <v>3698</v>
      </c>
      <c r="M138" s="14">
        <v>160</v>
      </c>
      <c r="N138" s="14">
        <v>110.16</v>
      </c>
      <c r="O138" s="10">
        <f t="shared" si="15"/>
        <v>17625.599999999999</v>
      </c>
      <c r="P138" s="11">
        <v>0</v>
      </c>
      <c r="Q138" s="11">
        <v>0</v>
      </c>
      <c r="R138" s="10">
        <f>IF(COUNTIF($J$2:J138,J138)=1,SUMIFS($O:$O,$J:$J,J138)+SUMIFS($P:$P,$J:$J,J138)+SUMIFS($Q:$Q,$J:$J,J138),"")</f>
        <v>17625.599999999999</v>
      </c>
      <c r="S138" s="10">
        <v>17625.599999999999</v>
      </c>
      <c r="T138" s="11" t="str">
        <f t="shared" si="20"/>
        <v>Ok</v>
      </c>
      <c r="U138" s="12">
        <v>45954</v>
      </c>
      <c r="V138" s="10">
        <v>17625.599999999999</v>
      </c>
      <c r="W138" s="10" t="str">
        <f t="shared" si="16"/>
        <v>Not Paid</v>
      </c>
      <c r="X138" t="s">
        <v>438</v>
      </c>
      <c r="Y138" t="s">
        <v>28</v>
      </c>
      <c r="Z138">
        <v>100283</v>
      </c>
      <c r="AA138" t="s">
        <v>439</v>
      </c>
      <c r="AB138" t="s">
        <v>524</v>
      </c>
      <c r="AC138" s="9">
        <f t="shared" si="17"/>
        <v>1</v>
      </c>
      <c r="AD138" s="9" t="str">
        <f t="shared" si="18"/>
        <v>Ok</v>
      </c>
      <c r="AE138" s="11">
        <f t="shared" si="19"/>
        <v>0</v>
      </c>
    </row>
    <row r="139" spans="1:31" x14ac:dyDescent="0.3">
      <c r="A139">
        <v>140</v>
      </c>
      <c r="B139">
        <v>4422263</v>
      </c>
      <c r="C139" t="s">
        <v>239</v>
      </c>
      <c r="D139">
        <v>1309220</v>
      </c>
      <c r="E139" t="s">
        <v>638</v>
      </c>
      <c r="F139" t="s">
        <v>24</v>
      </c>
      <c r="G139" t="s">
        <v>2237</v>
      </c>
      <c r="H139" t="s">
        <v>2238</v>
      </c>
      <c r="I139" s="9" t="s">
        <v>3303</v>
      </c>
      <c r="J139" s="9">
        <v>50118030455</v>
      </c>
      <c r="K139" s="14" t="s">
        <v>3168</v>
      </c>
      <c r="L139" s="13" t="s">
        <v>3304</v>
      </c>
      <c r="M139" s="14">
        <v>102000</v>
      </c>
      <c r="N139" s="14">
        <v>4.8000000000000001E-2</v>
      </c>
      <c r="O139" s="10">
        <f t="shared" si="15"/>
        <v>4896</v>
      </c>
      <c r="P139" s="11">
        <v>636.48</v>
      </c>
      <c r="Q139" s="11">
        <v>0</v>
      </c>
      <c r="R139" s="10">
        <f>IF(COUNTIF($J$2:J139,J139)=1,SUMIFS($O:$O,$J:$J,J139)+SUMIFS($P:$P,$J:$J,J139)+SUMIFS($Q:$Q,$J:$J,J139),"")</f>
        <v>5532.48</v>
      </c>
      <c r="S139" s="10">
        <v>5532.48</v>
      </c>
      <c r="T139" s="11" t="str">
        <f t="shared" si="20"/>
        <v>Ok</v>
      </c>
      <c r="U139" s="12">
        <v>45834</v>
      </c>
      <c r="V139" s="10">
        <v>426.46</v>
      </c>
      <c r="W139" s="10" t="str">
        <f t="shared" si="16"/>
        <v>Short Paid</v>
      </c>
      <c r="X139" t="s">
        <v>470</v>
      </c>
      <c r="Y139" t="s">
        <v>40</v>
      </c>
      <c r="Z139">
        <v>100108</v>
      </c>
      <c r="AA139" t="s">
        <v>472</v>
      </c>
      <c r="AB139" t="s">
        <v>522</v>
      </c>
      <c r="AC139" s="9">
        <f t="shared" si="17"/>
        <v>1</v>
      </c>
      <c r="AD139" s="9" t="str">
        <f t="shared" si="18"/>
        <v>Ok</v>
      </c>
      <c r="AE139" s="11">
        <f t="shared" si="19"/>
        <v>0</v>
      </c>
    </row>
    <row r="140" spans="1:31" x14ac:dyDescent="0.3">
      <c r="A140">
        <v>140</v>
      </c>
      <c r="B140">
        <v>4421793</v>
      </c>
      <c r="C140" t="s">
        <v>239</v>
      </c>
      <c r="D140">
        <v>1309220</v>
      </c>
      <c r="E140" t="s">
        <v>638</v>
      </c>
      <c r="F140" t="s">
        <v>49</v>
      </c>
      <c r="G140" t="s">
        <v>2239</v>
      </c>
      <c r="H140" t="s">
        <v>2240</v>
      </c>
      <c r="I140" s="9" t="s">
        <v>3505</v>
      </c>
      <c r="J140" s="9">
        <v>51162144374</v>
      </c>
      <c r="K140" s="14" t="s">
        <v>3168</v>
      </c>
      <c r="L140" s="13" t="s">
        <v>3633</v>
      </c>
      <c r="M140" s="14">
        <v>30000</v>
      </c>
      <c r="N140" s="14">
        <v>3.3500000000000002E-2</v>
      </c>
      <c r="O140" s="10">
        <f t="shared" si="15"/>
        <v>1005.0000000000001</v>
      </c>
      <c r="P140" s="11">
        <v>130.65</v>
      </c>
      <c r="Q140" s="11">
        <v>0</v>
      </c>
      <c r="R140" s="10">
        <f>IF(COUNTIF($J$2:J140,J140)=1,SUMIFS($O:$O,$J:$J,J140)+SUMIFS($P:$P,$J:$J,J140)+SUMIFS($Q:$Q,$J:$J,J140),"")</f>
        <v>1135.6500000000001</v>
      </c>
      <c r="S140" s="10">
        <v>1135.6500000000001</v>
      </c>
      <c r="T140" s="11" t="str">
        <f t="shared" si="20"/>
        <v>Ok</v>
      </c>
      <c r="U140" s="12">
        <v>45880</v>
      </c>
      <c r="V140" s="10">
        <v>130.65</v>
      </c>
      <c r="W140" s="10" t="str">
        <f t="shared" si="16"/>
        <v>Short Paid</v>
      </c>
      <c r="X140" t="s">
        <v>470</v>
      </c>
      <c r="Y140" t="s">
        <v>29</v>
      </c>
      <c r="Z140">
        <v>100298</v>
      </c>
      <c r="AA140" t="s">
        <v>3105</v>
      </c>
      <c r="AB140" t="s">
        <v>3041</v>
      </c>
      <c r="AC140" s="9">
        <f t="shared" si="17"/>
        <v>1</v>
      </c>
      <c r="AD140" s="9" t="str">
        <f t="shared" si="18"/>
        <v>Ok</v>
      </c>
      <c r="AE140" s="11">
        <f t="shared" si="19"/>
        <v>0</v>
      </c>
    </row>
    <row r="141" spans="1:31" x14ac:dyDescent="0.3">
      <c r="A141">
        <v>137</v>
      </c>
      <c r="B141">
        <v>4422372</v>
      </c>
      <c r="C141" t="s">
        <v>160</v>
      </c>
      <c r="D141">
        <v>1422097</v>
      </c>
      <c r="E141" t="s">
        <v>388</v>
      </c>
      <c r="F141" t="s">
        <v>19</v>
      </c>
      <c r="G141" t="s">
        <v>2241</v>
      </c>
      <c r="H141" t="s">
        <v>2242</v>
      </c>
      <c r="I141" s="9" t="s">
        <v>3291</v>
      </c>
      <c r="J141" s="9">
        <v>50117995492</v>
      </c>
      <c r="K141" s="14" t="s">
        <v>3177</v>
      </c>
      <c r="L141" s="13" t="s">
        <v>3292</v>
      </c>
      <c r="M141" s="14">
        <v>3000</v>
      </c>
      <c r="N141" s="14">
        <v>0.03</v>
      </c>
      <c r="O141" s="10">
        <f t="shared" si="15"/>
        <v>90</v>
      </c>
      <c r="P141" s="11">
        <v>0</v>
      </c>
      <c r="Q141" s="11">
        <v>8.5500000000000007</v>
      </c>
      <c r="R141" s="10">
        <f>IF(COUNTIF($J$2:J141,J141)=1,SUMIFS($O:$O,$J:$J,J141)+SUMIFS($P:$P,$J:$J,J141)+SUMIFS($Q:$Q,$J:$J,J141),"")</f>
        <v>98.55</v>
      </c>
      <c r="S141" s="10">
        <v>98.55</v>
      </c>
      <c r="T141" s="11" t="str">
        <f t="shared" si="20"/>
        <v>Ok</v>
      </c>
      <c r="U141" s="12">
        <v>45973</v>
      </c>
      <c r="V141" s="10">
        <v>8.5500000000000007</v>
      </c>
      <c r="W141" s="10" t="str">
        <f t="shared" si="16"/>
        <v>Short Paid</v>
      </c>
      <c r="X141" t="s">
        <v>453</v>
      </c>
      <c r="Y141" t="s">
        <v>28</v>
      </c>
      <c r="Z141">
        <v>100194</v>
      </c>
      <c r="AA141" t="s">
        <v>487</v>
      </c>
      <c r="AB141" t="s">
        <v>524</v>
      </c>
      <c r="AC141" s="9">
        <f t="shared" si="17"/>
        <v>1</v>
      </c>
      <c r="AD141" s="9" t="str">
        <f t="shared" si="18"/>
        <v>Ok</v>
      </c>
      <c r="AE141" s="11">
        <f t="shared" si="19"/>
        <v>0</v>
      </c>
    </row>
    <row r="142" spans="1:31" x14ac:dyDescent="0.3">
      <c r="A142">
        <v>137</v>
      </c>
      <c r="B142">
        <v>4423882</v>
      </c>
      <c r="C142" t="s">
        <v>239</v>
      </c>
      <c r="D142">
        <v>1038870</v>
      </c>
      <c r="E142" t="s">
        <v>551</v>
      </c>
      <c r="F142" t="s">
        <v>20</v>
      </c>
      <c r="G142" t="s">
        <v>2243</v>
      </c>
      <c r="H142" t="s">
        <v>2244</v>
      </c>
      <c r="I142" s="9" t="s">
        <v>3420</v>
      </c>
      <c r="J142" s="9">
        <v>51162618131</v>
      </c>
      <c r="K142" s="14" t="s">
        <v>3379</v>
      </c>
      <c r="L142" s="13" t="s">
        <v>3711</v>
      </c>
      <c r="M142" s="14">
        <v>22000</v>
      </c>
      <c r="N142" s="14">
        <v>5.8700000000000002E-2</v>
      </c>
      <c r="O142" s="10">
        <f t="shared" si="15"/>
        <v>1291.4000000000001</v>
      </c>
      <c r="P142" s="11">
        <v>0</v>
      </c>
      <c r="Q142" s="11">
        <v>245.36</v>
      </c>
      <c r="R142" s="10">
        <f>IF(COUNTIF($J$2:J142,J142)=1,SUMIFS($O:$O,$J:$J,J142)+SUMIFS($P:$P,$J:$J,J142)+SUMIFS($Q:$Q,$J:$J,J142),"")</f>
        <v>1536.7600000000002</v>
      </c>
      <c r="S142" s="10">
        <v>1536.76</v>
      </c>
      <c r="T142" s="11" t="str">
        <f t="shared" si="20"/>
        <v>Ok</v>
      </c>
      <c r="U142" s="12">
        <v>45852</v>
      </c>
      <c r="V142" s="10">
        <v>1536.76</v>
      </c>
      <c r="W142" s="10" t="str">
        <f t="shared" si="16"/>
        <v>Not Paid</v>
      </c>
      <c r="X142" t="s">
        <v>476</v>
      </c>
      <c r="Y142" t="s">
        <v>28</v>
      </c>
      <c r="Z142">
        <v>100205</v>
      </c>
      <c r="AA142" t="s">
        <v>3075</v>
      </c>
      <c r="AB142" t="s">
        <v>521</v>
      </c>
      <c r="AC142" s="9">
        <f t="shared" si="17"/>
        <v>1</v>
      </c>
      <c r="AD142" s="9" t="str">
        <f t="shared" si="18"/>
        <v>Ok</v>
      </c>
      <c r="AE142" s="11">
        <f t="shared" si="19"/>
        <v>0</v>
      </c>
    </row>
    <row r="143" spans="1:31" x14ac:dyDescent="0.3">
      <c r="A143">
        <v>137</v>
      </c>
      <c r="B143">
        <v>4423932</v>
      </c>
      <c r="C143" t="s">
        <v>239</v>
      </c>
      <c r="D143">
        <v>1038870</v>
      </c>
      <c r="E143" t="s">
        <v>551</v>
      </c>
      <c r="F143" t="s">
        <v>22</v>
      </c>
      <c r="G143" t="s">
        <v>2245</v>
      </c>
      <c r="H143" t="s">
        <v>2246</v>
      </c>
      <c r="I143" s="9" t="s">
        <v>3300</v>
      </c>
      <c r="J143" s="9">
        <v>50118011010</v>
      </c>
      <c r="K143" s="14" t="s">
        <v>3302</v>
      </c>
      <c r="L143" s="13" t="s">
        <v>3301</v>
      </c>
      <c r="M143" s="14">
        <v>6000</v>
      </c>
      <c r="N143" s="14">
        <v>0.255</v>
      </c>
      <c r="O143" s="10">
        <f t="shared" si="15"/>
        <v>1530</v>
      </c>
      <c r="P143" s="11">
        <v>0</v>
      </c>
      <c r="Q143" s="11">
        <v>0</v>
      </c>
      <c r="R143" s="10">
        <f>IF(COUNTIF($J$2:J143,J143)=1,SUMIFS($O:$O,$J:$J,J143)+SUMIFS($P:$P,$J:$J,J143)+SUMIFS($Q:$Q,$J:$J,J143),"")</f>
        <v>1530</v>
      </c>
      <c r="S143" s="10">
        <v>1530</v>
      </c>
      <c r="T143" s="11" t="str">
        <f t="shared" si="20"/>
        <v>Ok</v>
      </c>
      <c r="U143" s="12">
        <v>45848</v>
      </c>
      <c r="V143" s="10">
        <v>1530</v>
      </c>
      <c r="W143" s="10" t="str">
        <f t="shared" si="16"/>
        <v>Not Paid</v>
      </c>
      <c r="X143" t="s">
        <v>476</v>
      </c>
      <c r="Y143" t="s">
        <v>28</v>
      </c>
      <c r="Z143">
        <v>100235</v>
      </c>
      <c r="AA143" t="s">
        <v>509</v>
      </c>
      <c r="AB143" t="s">
        <v>3035</v>
      </c>
      <c r="AC143" s="9">
        <f t="shared" si="17"/>
        <v>1</v>
      </c>
      <c r="AD143" s="9" t="str">
        <f t="shared" si="18"/>
        <v>Ok</v>
      </c>
      <c r="AE143" s="11">
        <f t="shared" si="19"/>
        <v>0</v>
      </c>
    </row>
    <row r="144" spans="1:31" x14ac:dyDescent="0.3">
      <c r="A144">
        <v>137</v>
      </c>
      <c r="B144">
        <v>4424192</v>
      </c>
      <c r="C144" t="s">
        <v>239</v>
      </c>
      <c r="D144">
        <v>1038870</v>
      </c>
      <c r="E144" t="s">
        <v>551</v>
      </c>
      <c r="F144" t="s">
        <v>20</v>
      </c>
      <c r="G144" t="s">
        <v>2247</v>
      </c>
      <c r="H144" t="s">
        <v>2248</v>
      </c>
      <c r="I144" s="9" t="s">
        <v>3344</v>
      </c>
      <c r="J144" s="9">
        <v>51161455109</v>
      </c>
      <c r="K144" s="14" t="s">
        <v>3375</v>
      </c>
      <c r="L144" s="13" t="s">
        <v>3662</v>
      </c>
      <c r="M144" s="14">
        <v>2500</v>
      </c>
      <c r="N144" s="14">
        <v>0.23699999999999999</v>
      </c>
      <c r="O144" s="10">
        <f t="shared" si="15"/>
        <v>592.5</v>
      </c>
      <c r="P144" s="11">
        <v>0</v>
      </c>
      <c r="Q144" s="11">
        <v>0</v>
      </c>
      <c r="R144" s="10">
        <f>IF(COUNTIF($J$2:J144,J144)=1,SUMIFS($O:$O,$J:$J,J144)+SUMIFS($P:$P,$J:$J,J144)+SUMIFS($Q:$Q,$J:$J,J144),"")</f>
        <v>592.5</v>
      </c>
      <c r="S144" s="10">
        <v>592.5</v>
      </c>
      <c r="T144" s="11" t="str">
        <f t="shared" si="20"/>
        <v>Ok</v>
      </c>
      <c r="U144" s="12">
        <v>45848</v>
      </c>
      <c r="V144" s="10">
        <v>592.5</v>
      </c>
      <c r="W144" s="10" t="str">
        <f t="shared" si="16"/>
        <v>Not Paid</v>
      </c>
      <c r="X144" t="s">
        <v>476</v>
      </c>
      <c r="Y144" t="s">
        <v>28</v>
      </c>
      <c r="Z144">
        <v>100245</v>
      </c>
      <c r="AA144" t="s">
        <v>507</v>
      </c>
      <c r="AB144" t="s">
        <v>521</v>
      </c>
      <c r="AC144" s="9">
        <f t="shared" si="17"/>
        <v>1</v>
      </c>
      <c r="AD144" s="9" t="str">
        <f t="shared" si="18"/>
        <v>Ok</v>
      </c>
      <c r="AE144" s="11">
        <f t="shared" si="19"/>
        <v>0</v>
      </c>
    </row>
    <row r="145" spans="1:31" x14ac:dyDescent="0.3">
      <c r="A145">
        <v>137</v>
      </c>
      <c r="B145">
        <v>4425842</v>
      </c>
      <c r="C145" t="s">
        <v>239</v>
      </c>
      <c r="D145">
        <v>1038870</v>
      </c>
      <c r="E145" t="s">
        <v>551</v>
      </c>
      <c r="F145" t="s">
        <v>50</v>
      </c>
      <c r="G145" t="s">
        <v>2249</v>
      </c>
      <c r="H145" t="s">
        <v>2250</v>
      </c>
      <c r="I145" s="9" t="s">
        <v>3381</v>
      </c>
      <c r="J145" s="9">
        <v>51161624028</v>
      </c>
      <c r="K145" s="14" t="s">
        <v>3508</v>
      </c>
      <c r="L145" s="13" t="s">
        <v>3666</v>
      </c>
      <c r="M145" s="14">
        <v>1</v>
      </c>
      <c r="N145" s="14">
        <v>175</v>
      </c>
      <c r="O145" s="10">
        <f t="shared" si="15"/>
        <v>175</v>
      </c>
      <c r="P145" s="11">
        <v>0</v>
      </c>
      <c r="Q145" s="11">
        <v>0</v>
      </c>
      <c r="R145" s="10">
        <f>IF(COUNTIF($J$2:J145,J145)=1,SUMIFS($O:$O,$J:$J,J145)+SUMIFS($P:$P,$J:$J,J145)+SUMIFS($Q:$Q,$J:$J,J145),"")</f>
        <v>175</v>
      </c>
      <c r="S145" s="10">
        <v>175</v>
      </c>
      <c r="T145" s="11" t="str">
        <f t="shared" si="20"/>
        <v>Ok</v>
      </c>
      <c r="U145" s="12">
        <v>45909</v>
      </c>
      <c r="V145" s="10">
        <v>175</v>
      </c>
      <c r="W145" s="10" t="str">
        <f t="shared" si="16"/>
        <v>Not Paid</v>
      </c>
      <c r="X145" t="s">
        <v>476</v>
      </c>
      <c r="Y145" t="s">
        <v>436</v>
      </c>
      <c r="Z145">
        <v>100255</v>
      </c>
      <c r="AA145" t="s">
        <v>3121</v>
      </c>
      <c r="AB145" t="s">
        <v>3042</v>
      </c>
      <c r="AC145" s="9">
        <f t="shared" si="17"/>
        <v>1</v>
      </c>
      <c r="AD145" s="9" t="str">
        <f t="shared" si="18"/>
        <v>Ok</v>
      </c>
      <c r="AE145" s="11">
        <f t="shared" si="19"/>
        <v>0</v>
      </c>
    </row>
    <row r="146" spans="1:31" x14ac:dyDescent="0.3">
      <c r="A146">
        <v>136</v>
      </c>
      <c r="B146">
        <v>4425932</v>
      </c>
      <c r="C146" t="s">
        <v>160</v>
      </c>
      <c r="D146">
        <v>1241713</v>
      </c>
      <c r="E146" t="s">
        <v>614</v>
      </c>
      <c r="F146" t="s">
        <v>20</v>
      </c>
      <c r="G146" t="s">
        <v>2251</v>
      </c>
      <c r="H146" t="s">
        <v>2252</v>
      </c>
      <c r="I146" s="9" t="s">
        <v>3204</v>
      </c>
      <c r="J146" s="9">
        <v>51163792575</v>
      </c>
      <c r="K146" s="14" t="s">
        <v>3320</v>
      </c>
      <c r="L146" s="13" t="s">
        <v>3762</v>
      </c>
      <c r="M146" s="14">
        <v>1</v>
      </c>
      <c r="N146" s="14">
        <v>601.6</v>
      </c>
      <c r="O146" s="10">
        <f t="shared" si="15"/>
        <v>601.6</v>
      </c>
      <c r="P146" s="11">
        <v>0</v>
      </c>
      <c r="Q146" s="11">
        <v>0</v>
      </c>
      <c r="R146" s="10">
        <f>IF(COUNTIF($J$2:J146,J146)=1,SUMIFS($O:$O,$J:$J,J146)+SUMIFS($P:$P,$J:$J,J146)+SUMIFS($Q:$Q,$J:$J,J146),"")</f>
        <v>601.6</v>
      </c>
      <c r="S146" s="10">
        <v>601.6</v>
      </c>
      <c r="T146" s="11" t="str">
        <f t="shared" si="20"/>
        <v>Ok</v>
      </c>
      <c r="U146" s="12">
        <v>45943</v>
      </c>
      <c r="V146" s="10">
        <v>601.6</v>
      </c>
      <c r="W146" s="10" t="str">
        <f t="shared" si="16"/>
        <v>Not Paid</v>
      </c>
      <c r="X146" t="s">
        <v>455</v>
      </c>
      <c r="Y146" t="s">
        <v>28</v>
      </c>
      <c r="Z146">
        <v>100120</v>
      </c>
      <c r="AA146" t="s">
        <v>460</v>
      </c>
      <c r="AB146" t="s">
        <v>521</v>
      </c>
      <c r="AC146" s="9">
        <f t="shared" si="17"/>
        <v>1</v>
      </c>
      <c r="AD146" s="9" t="str">
        <f t="shared" si="18"/>
        <v>Ok</v>
      </c>
      <c r="AE146" s="11">
        <f t="shared" si="19"/>
        <v>0</v>
      </c>
    </row>
    <row r="147" spans="1:31" x14ac:dyDescent="0.3">
      <c r="A147">
        <v>136</v>
      </c>
      <c r="B147">
        <v>4424872</v>
      </c>
      <c r="C147" t="s">
        <v>220</v>
      </c>
      <c r="D147">
        <v>1064072</v>
      </c>
      <c r="E147" t="s">
        <v>652</v>
      </c>
      <c r="F147" t="s">
        <v>20</v>
      </c>
      <c r="G147" t="s">
        <v>2253</v>
      </c>
      <c r="H147" t="s">
        <v>2254</v>
      </c>
      <c r="I147" s="9" t="s">
        <v>3435</v>
      </c>
      <c r="J147" s="9">
        <v>51163943284</v>
      </c>
      <c r="K147" s="14" t="s">
        <v>3351</v>
      </c>
      <c r="L147" s="13" t="s">
        <v>3765</v>
      </c>
      <c r="M147" s="14">
        <v>2500</v>
      </c>
      <c r="N147" s="14">
        <v>0.94518000000000002</v>
      </c>
      <c r="O147" s="10">
        <f t="shared" si="15"/>
        <v>2362.9500000000003</v>
      </c>
      <c r="P147" s="11">
        <v>0</v>
      </c>
      <c r="Q147" s="11">
        <v>0</v>
      </c>
      <c r="R147" s="10">
        <f>IF(COUNTIF($J$2:J147,J147)=1,SUMIFS($O:$O,$J:$J,J147)+SUMIFS($P:$P,$J:$J,J147)+SUMIFS($Q:$Q,$J:$J,J147),"")</f>
        <v>2362.9500000000003</v>
      </c>
      <c r="S147" s="10">
        <v>2362.9499999999998</v>
      </c>
      <c r="T147" s="11" t="str">
        <f t="shared" si="20"/>
        <v>Ok</v>
      </c>
      <c r="U147" s="12">
        <v>45510</v>
      </c>
      <c r="V147" s="10">
        <v>2362.9499999999998</v>
      </c>
      <c r="W147" s="10" t="str">
        <f t="shared" si="16"/>
        <v>Not Paid</v>
      </c>
      <c r="X147" t="s">
        <v>474</v>
      </c>
      <c r="Y147" t="s">
        <v>28</v>
      </c>
      <c r="Z147">
        <v>100159</v>
      </c>
      <c r="AA147" t="s">
        <v>488</v>
      </c>
      <c r="AB147" t="s">
        <v>521</v>
      </c>
      <c r="AC147" s="9">
        <f t="shared" si="17"/>
        <v>1</v>
      </c>
      <c r="AD147" s="9" t="str">
        <f t="shared" si="18"/>
        <v>Ok</v>
      </c>
      <c r="AE147" s="11">
        <f t="shared" si="19"/>
        <v>0</v>
      </c>
    </row>
    <row r="148" spans="1:31" x14ac:dyDescent="0.3">
      <c r="A148">
        <v>136</v>
      </c>
      <c r="B148">
        <v>4424882</v>
      </c>
      <c r="C148" t="s">
        <v>220</v>
      </c>
      <c r="D148">
        <v>1064072</v>
      </c>
      <c r="E148" t="s">
        <v>652</v>
      </c>
      <c r="F148" t="s">
        <v>20</v>
      </c>
      <c r="G148" t="s">
        <v>2255</v>
      </c>
      <c r="H148" t="s">
        <v>2256</v>
      </c>
      <c r="I148" s="9" t="s">
        <v>3347</v>
      </c>
      <c r="J148" s="9">
        <v>51163945053</v>
      </c>
      <c r="K148" s="14" t="s">
        <v>3314</v>
      </c>
      <c r="L148" s="13" t="s">
        <v>3766</v>
      </c>
      <c r="M148" s="14">
        <v>1000</v>
      </c>
      <c r="N148" s="14">
        <v>0.3044</v>
      </c>
      <c r="O148" s="10">
        <f t="shared" si="15"/>
        <v>304.39999999999998</v>
      </c>
      <c r="P148" s="11">
        <v>0</v>
      </c>
      <c r="Q148" s="11">
        <v>0</v>
      </c>
      <c r="R148" s="10">
        <f>IF(COUNTIF($J$2:J148,J148)=1,SUMIFS($O:$O,$J:$J,J148)+SUMIFS($P:$P,$J:$J,J148)+SUMIFS($Q:$Q,$J:$J,J148),"")</f>
        <v>304.39999999999998</v>
      </c>
      <c r="S148" s="10">
        <v>304.39999999999998</v>
      </c>
      <c r="T148" s="11" t="str">
        <f t="shared" si="20"/>
        <v>Ok</v>
      </c>
      <c r="U148" s="12">
        <v>45534</v>
      </c>
      <c r="V148" s="10">
        <v>304.39999999999998</v>
      </c>
      <c r="W148" s="10" t="str">
        <f t="shared" si="16"/>
        <v>Not Paid</v>
      </c>
      <c r="X148" t="s">
        <v>474</v>
      </c>
      <c r="Y148" t="s">
        <v>28</v>
      </c>
      <c r="Z148">
        <v>100169</v>
      </c>
      <c r="AA148" t="s">
        <v>489</v>
      </c>
      <c r="AB148" t="s">
        <v>521</v>
      </c>
      <c r="AC148" s="9">
        <f t="shared" si="17"/>
        <v>1</v>
      </c>
      <c r="AD148" s="9" t="str">
        <f t="shared" si="18"/>
        <v>Ok</v>
      </c>
      <c r="AE148" s="11">
        <f t="shared" si="19"/>
        <v>0</v>
      </c>
    </row>
    <row r="149" spans="1:31" x14ac:dyDescent="0.3">
      <c r="A149">
        <v>136</v>
      </c>
      <c r="B149">
        <v>4426062</v>
      </c>
      <c r="C149" t="s">
        <v>220</v>
      </c>
      <c r="D149">
        <v>1064072</v>
      </c>
      <c r="E149" t="s">
        <v>652</v>
      </c>
      <c r="F149" t="s">
        <v>20</v>
      </c>
      <c r="G149" t="s">
        <v>2257</v>
      </c>
      <c r="H149" t="s">
        <v>2258</v>
      </c>
      <c r="I149" s="9" t="s">
        <v>3206</v>
      </c>
      <c r="J149" s="9">
        <v>55113531471</v>
      </c>
      <c r="K149" s="14" t="s">
        <v>3801</v>
      </c>
      <c r="L149" s="13" t="s">
        <v>3800</v>
      </c>
      <c r="M149" s="14">
        <v>1000</v>
      </c>
      <c r="N149" s="14">
        <v>1.5631999999999999</v>
      </c>
      <c r="O149" s="10">
        <f t="shared" si="15"/>
        <v>1563.1999999999998</v>
      </c>
      <c r="P149" s="11">
        <v>0</v>
      </c>
      <c r="Q149" s="11">
        <v>0</v>
      </c>
      <c r="R149" s="10">
        <f>IF(COUNTIF($J$2:J149,J149)=1,SUMIFS($O:$O,$J:$J,J149)+SUMIFS($P:$P,$J:$J,J149)+SUMIFS($Q:$Q,$J:$J,J149),"")</f>
        <v>1563.1999999999998</v>
      </c>
      <c r="S149" s="10">
        <v>1563.2</v>
      </c>
      <c r="T149" s="11" t="str">
        <f t="shared" si="20"/>
        <v>Ok</v>
      </c>
      <c r="U149" s="12">
        <v>45587</v>
      </c>
      <c r="V149" s="10">
        <v>1563.2</v>
      </c>
      <c r="W149" s="10" t="str">
        <f t="shared" si="16"/>
        <v>Not Paid</v>
      </c>
      <c r="X149" t="s">
        <v>474</v>
      </c>
      <c r="Y149" t="s">
        <v>28</v>
      </c>
      <c r="Z149">
        <v>100209</v>
      </c>
      <c r="AA149" t="s">
        <v>483</v>
      </c>
      <c r="AB149" t="s">
        <v>521</v>
      </c>
      <c r="AC149" s="9">
        <f t="shared" si="17"/>
        <v>1</v>
      </c>
      <c r="AD149" s="9" t="str">
        <f t="shared" si="18"/>
        <v>Ok</v>
      </c>
      <c r="AE149" s="11">
        <f t="shared" si="19"/>
        <v>0</v>
      </c>
    </row>
    <row r="150" spans="1:31" x14ac:dyDescent="0.3">
      <c r="A150">
        <v>136</v>
      </c>
      <c r="B150">
        <v>4426102</v>
      </c>
      <c r="C150" t="s">
        <v>220</v>
      </c>
      <c r="D150">
        <v>1064072</v>
      </c>
      <c r="E150" t="s">
        <v>652</v>
      </c>
      <c r="F150" t="s">
        <v>20</v>
      </c>
      <c r="G150" t="s">
        <v>2259</v>
      </c>
      <c r="H150" t="s">
        <v>2260</v>
      </c>
      <c r="I150" s="9" t="s">
        <v>3200</v>
      </c>
      <c r="J150" s="9">
        <v>51161650510</v>
      </c>
      <c r="K150" s="14" t="s">
        <v>3168</v>
      </c>
      <c r="L150" s="13" t="s">
        <v>3670</v>
      </c>
      <c r="M150" s="14">
        <v>6000</v>
      </c>
      <c r="N150" s="14">
        <v>1.84E-2</v>
      </c>
      <c r="O150" s="10">
        <f t="shared" si="15"/>
        <v>110.39999999999999</v>
      </c>
      <c r="P150" s="11">
        <v>0</v>
      </c>
      <c r="Q150" s="11">
        <v>0</v>
      </c>
      <c r="R150" s="10">
        <f>IF(COUNTIF($J$2:J150,J150)=1,SUMIFS($O:$O,$J:$J,J150)+SUMIFS($P:$P,$J:$J,J150)+SUMIFS($Q:$Q,$J:$J,J150),"")</f>
        <v>110.39999999999999</v>
      </c>
      <c r="S150" s="10">
        <v>110.4</v>
      </c>
      <c r="T150" s="11" t="str">
        <f t="shared" si="20"/>
        <v>Ok</v>
      </c>
      <c r="U150" s="12">
        <v>45076</v>
      </c>
      <c r="V150" s="10">
        <v>110.4</v>
      </c>
      <c r="W150" s="10" t="str">
        <f t="shared" si="16"/>
        <v>Not Paid</v>
      </c>
      <c r="X150" t="s">
        <v>474</v>
      </c>
      <c r="Y150" t="s">
        <v>28</v>
      </c>
      <c r="Z150">
        <v>100239</v>
      </c>
      <c r="AA150" t="s">
        <v>482</v>
      </c>
      <c r="AB150" t="s">
        <v>521</v>
      </c>
      <c r="AC150" s="9">
        <f t="shared" si="17"/>
        <v>1</v>
      </c>
      <c r="AD150" s="9" t="str">
        <f t="shared" si="18"/>
        <v>Ok</v>
      </c>
      <c r="AE150" s="11">
        <f t="shared" si="19"/>
        <v>0</v>
      </c>
    </row>
    <row r="151" spans="1:31" x14ac:dyDescent="0.3">
      <c r="A151">
        <v>135</v>
      </c>
      <c r="B151">
        <v>4426222</v>
      </c>
      <c r="C151" t="s">
        <v>239</v>
      </c>
      <c r="D151">
        <v>1309220</v>
      </c>
      <c r="E151" t="s">
        <v>638</v>
      </c>
      <c r="F151" t="s">
        <v>49</v>
      </c>
      <c r="G151" t="s">
        <v>2261</v>
      </c>
      <c r="H151" t="s">
        <v>2262</v>
      </c>
      <c r="I151" s="9" t="s">
        <v>3333</v>
      </c>
      <c r="J151" s="9">
        <v>51164089426</v>
      </c>
      <c r="K151" s="14" t="s">
        <v>3389</v>
      </c>
      <c r="L151" s="13" t="s">
        <v>3769</v>
      </c>
      <c r="M151" s="14">
        <v>6000</v>
      </c>
      <c r="N151" s="14">
        <v>1.2500000000000001E-2</v>
      </c>
      <c r="O151" s="10">
        <f t="shared" si="15"/>
        <v>75</v>
      </c>
      <c r="P151" s="11">
        <v>11.6</v>
      </c>
      <c r="Q151" s="11">
        <v>14.25</v>
      </c>
      <c r="R151" s="10">
        <f>IF(COUNTIF($J$2:J151,J151)=1,SUMIFS($O:$O,$J:$J,J151)+SUMIFS($P:$P,$J:$J,J151)+SUMIFS($Q:$Q,$J:$J,J151),"")</f>
        <v>100.85</v>
      </c>
      <c r="S151" s="10">
        <v>100.85</v>
      </c>
      <c r="T151" s="11" t="str">
        <f t="shared" si="20"/>
        <v>Ok</v>
      </c>
      <c r="U151" s="12">
        <v>45946</v>
      </c>
      <c r="V151" s="10">
        <v>11.6</v>
      </c>
      <c r="W151" s="10" t="str">
        <f t="shared" si="16"/>
        <v>Short Paid</v>
      </c>
      <c r="X151" t="s">
        <v>470</v>
      </c>
      <c r="Y151" t="s">
        <v>29</v>
      </c>
      <c r="Z151">
        <v>100298</v>
      </c>
      <c r="AA151" t="s">
        <v>3105</v>
      </c>
      <c r="AB151" t="s">
        <v>3041</v>
      </c>
      <c r="AC151" s="9">
        <f t="shared" si="17"/>
        <v>1</v>
      </c>
      <c r="AD151" s="9" t="str">
        <f t="shared" si="18"/>
        <v>Ok</v>
      </c>
      <c r="AE151" s="11">
        <f t="shared" si="19"/>
        <v>0</v>
      </c>
    </row>
    <row r="152" spans="1:31" x14ac:dyDescent="0.3">
      <c r="A152">
        <v>135</v>
      </c>
      <c r="B152">
        <v>4426122</v>
      </c>
      <c r="C152" t="s">
        <v>160</v>
      </c>
      <c r="D152">
        <v>1531094</v>
      </c>
      <c r="E152" t="s">
        <v>567</v>
      </c>
      <c r="F152" t="s">
        <v>49</v>
      </c>
      <c r="G152" t="s">
        <v>2263</v>
      </c>
      <c r="H152" t="s">
        <v>2264</v>
      </c>
      <c r="I152" s="9" t="s">
        <v>3285</v>
      </c>
      <c r="J152" s="9">
        <v>50117980174</v>
      </c>
      <c r="K152" s="14" t="s">
        <v>3177</v>
      </c>
      <c r="L152" s="13" t="s">
        <v>3286</v>
      </c>
      <c r="M152" s="14">
        <v>500</v>
      </c>
      <c r="N152" s="14">
        <v>0.26629999999999998</v>
      </c>
      <c r="O152" s="10">
        <f t="shared" si="15"/>
        <v>133.14999999999998</v>
      </c>
      <c r="P152" s="11">
        <v>11.2</v>
      </c>
      <c r="Q152" s="11">
        <v>0</v>
      </c>
      <c r="R152" s="10">
        <f>IF(COUNTIF($J$2:J152,J152)=1,SUMIFS($O:$O,$J:$J,J152)+SUMIFS($P:$P,$J:$J,J152)+SUMIFS($Q:$Q,$J:$J,J152),"")</f>
        <v>144.34999999999997</v>
      </c>
      <c r="S152" s="10">
        <v>144.35</v>
      </c>
      <c r="T152" s="11" t="str">
        <f t="shared" si="20"/>
        <v>Ok</v>
      </c>
      <c r="U152" s="12">
        <v>45979</v>
      </c>
      <c r="V152" s="10">
        <v>11.2</v>
      </c>
      <c r="W152" s="10" t="str">
        <f t="shared" si="16"/>
        <v>Short Paid</v>
      </c>
      <c r="X152" t="s">
        <v>478</v>
      </c>
      <c r="Y152" t="s">
        <v>29</v>
      </c>
      <c r="Z152">
        <v>100292</v>
      </c>
      <c r="AA152" t="s">
        <v>3122</v>
      </c>
      <c r="AB152" t="s">
        <v>3041</v>
      </c>
      <c r="AC152" s="9">
        <f t="shared" si="17"/>
        <v>1</v>
      </c>
      <c r="AD152" s="9" t="str">
        <f t="shared" si="18"/>
        <v>Ok</v>
      </c>
      <c r="AE152" s="11">
        <f t="shared" si="19"/>
        <v>0</v>
      </c>
    </row>
    <row r="153" spans="1:31" x14ac:dyDescent="0.3">
      <c r="A153">
        <v>135</v>
      </c>
      <c r="B153">
        <v>4428012</v>
      </c>
      <c r="C153" t="s">
        <v>160</v>
      </c>
      <c r="D153">
        <v>1963277</v>
      </c>
      <c r="E153" t="s">
        <v>250</v>
      </c>
      <c r="F153" t="s">
        <v>18</v>
      </c>
      <c r="G153" t="s">
        <v>2265</v>
      </c>
      <c r="H153" t="s">
        <v>2266</v>
      </c>
      <c r="I153" s="9" t="s">
        <v>3513</v>
      </c>
      <c r="J153" s="9">
        <v>51163754553</v>
      </c>
      <c r="K153" s="14" t="s">
        <v>3314</v>
      </c>
      <c r="L153" s="13" t="s">
        <v>3760</v>
      </c>
      <c r="M153" s="14">
        <v>25</v>
      </c>
      <c r="N153" s="14">
        <v>27.33</v>
      </c>
      <c r="O153" s="10">
        <f t="shared" si="15"/>
        <v>683.25</v>
      </c>
      <c r="P153" s="11">
        <v>0</v>
      </c>
      <c r="Q153" s="11">
        <v>0</v>
      </c>
      <c r="R153" s="10">
        <f>IF(COUNTIF($J$2:J153,J153)=1,SUMIFS($O:$O,$J:$J,J153)+SUMIFS($P:$P,$J:$J,J153)+SUMIFS($Q:$Q,$J:$J,J153),"")</f>
        <v>683.25</v>
      </c>
      <c r="S153" s="10">
        <v>683.25</v>
      </c>
      <c r="T153" s="11" t="str">
        <f t="shared" si="20"/>
        <v>Ok</v>
      </c>
      <c r="U153" s="12">
        <v>45954</v>
      </c>
      <c r="V153" s="10">
        <v>169.89</v>
      </c>
      <c r="W153" s="10" t="str">
        <f t="shared" si="16"/>
        <v>Short Paid</v>
      </c>
      <c r="X153" t="s">
        <v>474</v>
      </c>
      <c r="Y153" t="s">
        <v>28</v>
      </c>
      <c r="Z153">
        <v>100169</v>
      </c>
      <c r="AA153" t="s">
        <v>489</v>
      </c>
      <c r="AB153" t="s">
        <v>523</v>
      </c>
      <c r="AC153" s="9">
        <f t="shared" si="17"/>
        <v>1</v>
      </c>
      <c r="AD153" s="9" t="str">
        <f t="shared" si="18"/>
        <v>Ok</v>
      </c>
      <c r="AE153" s="11">
        <f t="shared" si="19"/>
        <v>0</v>
      </c>
    </row>
    <row r="154" spans="1:31" x14ac:dyDescent="0.3">
      <c r="A154">
        <v>135</v>
      </c>
      <c r="B154">
        <v>4428132</v>
      </c>
      <c r="C154" t="s">
        <v>167</v>
      </c>
      <c r="D154">
        <v>1224113</v>
      </c>
      <c r="E154" t="s">
        <v>169</v>
      </c>
      <c r="F154" t="s">
        <v>20</v>
      </c>
      <c r="G154" t="s">
        <v>2267</v>
      </c>
      <c r="H154" t="s">
        <v>2268</v>
      </c>
      <c r="I154" s="9" t="s">
        <v>3312</v>
      </c>
      <c r="J154" s="9">
        <v>51163850052</v>
      </c>
      <c r="K154" s="14" t="s">
        <v>3165</v>
      </c>
      <c r="L154" s="13" t="s">
        <v>3764</v>
      </c>
      <c r="M154" s="14">
        <v>2</v>
      </c>
      <c r="N154" s="14">
        <v>222.78</v>
      </c>
      <c r="O154" s="10">
        <f t="shared" si="15"/>
        <v>445.56</v>
      </c>
      <c r="P154" s="11">
        <v>0</v>
      </c>
      <c r="Q154" s="11">
        <v>0</v>
      </c>
      <c r="R154" s="10">
        <f>IF(COUNTIF($J$2:J154,J154)=1,SUMIFS($O:$O,$J:$J,J154)+SUMIFS($P:$P,$J:$J,J154)+SUMIFS($Q:$Q,$J:$J,J154),"")</f>
        <v>445.56</v>
      </c>
      <c r="S154" s="10">
        <v>445.56</v>
      </c>
      <c r="T154" s="11" t="str">
        <f t="shared" si="20"/>
        <v>Ok</v>
      </c>
      <c r="U154" s="12">
        <v>45561</v>
      </c>
      <c r="V154" s="10">
        <v>445.56</v>
      </c>
      <c r="W154" s="10" t="str">
        <f t="shared" si="16"/>
        <v>Not Paid</v>
      </c>
      <c r="X154" t="s">
        <v>455</v>
      </c>
      <c r="Y154" t="s">
        <v>28</v>
      </c>
      <c r="Z154">
        <v>100190</v>
      </c>
      <c r="AA154" t="s">
        <v>456</v>
      </c>
      <c r="AB154" t="s">
        <v>521</v>
      </c>
      <c r="AC154" s="9">
        <f t="shared" si="17"/>
        <v>1</v>
      </c>
      <c r="AD154" s="9" t="str">
        <f t="shared" si="18"/>
        <v>Ok</v>
      </c>
      <c r="AE154" s="11">
        <f t="shared" ref="AE154:AE190" si="21">R154-S154</f>
        <v>0</v>
      </c>
    </row>
    <row r="155" spans="1:31" x14ac:dyDescent="0.3">
      <c r="A155">
        <v>135</v>
      </c>
      <c r="B155">
        <v>4427522</v>
      </c>
      <c r="C155" t="s">
        <v>167</v>
      </c>
      <c r="D155">
        <v>1224113</v>
      </c>
      <c r="E155" t="s">
        <v>169</v>
      </c>
      <c r="F155" t="s">
        <v>20</v>
      </c>
      <c r="G155" t="s">
        <v>2269</v>
      </c>
      <c r="H155" t="s">
        <v>2270</v>
      </c>
      <c r="I155" s="9" t="s">
        <v>3425</v>
      </c>
      <c r="J155" s="9">
        <v>51164405941</v>
      </c>
      <c r="K155" s="14" t="s">
        <v>3165</v>
      </c>
      <c r="L155" s="13" t="s">
        <v>3764</v>
      </c>
      <c r="M155" s="14">
        <v>2</v>
      </c>
      <c r="N155" s="14">
        <v>224.78</v>
      </c>
      <c r="O155" s="10">
        <f t="shared" si="15"/>
        <v>449.56</v>
      </c>
      <c r="P155" s="11">
        <v>0</v>
      </c>
      <c r="Q155" s="11">
        <v>0</v>
      </c>
      <c r="R155" s="10">
        <f>IF(COUNTIF($J$2:J155,J155)=1,SUMIFS($O:$O,$J:$J,J155)+SUMIFS($P:$P,$J:$J,J155)+SUMIFS($Q:$Q,$J:$J,J155),"")</f>
        <v>449.56</v>
      </c>
      <c r="S155" s="10">
        <v>449.56</v>
      </c>
      <c r="T155" s="11" t="str">
        <f t="shared" si="20"/>
        <v>Ok</v>
      </c>
      <c r="U155" s="12">
        <v>45586</v>
      </c>
      <c r="V155" s="10">
        <v>449.56</v>
      </c>
      <c r="W155" s="10" t="str">
        <f t="shared" si="16"/>
        <v>Not Paid</v>
      </c>
      <c r="X155" t="s">
        <v>455</v>
      </c>
      <c r="Y155" t="s">
        <v>28</v>
      </c>
      <c r="Z155">
        <v>100200</v>
      </c>
      <c r="AA155" t="s">
        <v>461</v>
      </c>
      <c r="AB155" t="s">
        <v>521</v>
      </c>
      <c r="AC155" s="9">
        <f t="shared" si="17"/>
        <v>1</v>
      </c>
      <c r="AD155" s="9" t="str">
        <f t="shared" si="18"/>
        <v>Ok</v>
      </c>
      <c r="AE155" s="11">
        <f t="shared" si="21"/>
        <v>0</v>
      </c>
    </row>
    <row r="156" spans="1:31" x14ac:dyDescent="0.3">
      <c r="A156">
        <v>135</v>
      </c>
      <c r="B156">
        <v>4428122</v>
      </c>
      <c r="C156" t="s">
        <v>167</v>
      </c>
      <c r="D156">
        <v>1224113</v>
      </c>
      <c r="E156" t="s">
        <v>169</v>
      </c>
      <c r="F156" t="s">
        <v>20</v>
      </c>
      <c r="G156" t="s">
        <v>2271</v>
      </c>
      <c r="H156" t="s">
        <v>2272</v>
      </c>
      <c r="I156" s="9" t="s">
        <v>3416</v>
      </c>
      <c r="J156" s="9">
        <v>51163849370</v>
      </c>
      <c r="K156" s="14" t="s">
        <v>3165</v>
      </c>
      <c r="L156" s="13" t="s">
        <v>3763</v>
      </c>
      <c r="M156" s="14">
        <v>1</v>
      </c>
      <c r="N156" s="14">
        <v>204.8</v>
      </c>
      <c r="O156" s="10">
        <f t="shared" si="15"/>
        <v>204.8</v>
      </c>
      <c r="P156" s="11">
        <v>0</v>
      </c>
      <c r="Q156" s="11">
        <v>0</v>
      </c>
      <c r="R156" s="10">
        <f>IF(COUNTIF($J$2:J156,J156)=1,SUMIFS($O:$O,$J:$J,J156)+SUMIFS($P:$P,$J:$J,J156)+SUMIFS($Q:$Q,$J:$J,J156),"")</f>
        <v>204.8</v>
      </c>
      <c r="S156" s="10">
        <v>204.8</v>
      </c>
      <c r="T156" s="11" t="str">
        <f t="shared" si="20"/>
        <v>Ok</v>
      </c>
      <c r="U156" s="12">
        <v>45586</v>
      </c>
      <c r="V156" s="10">
        <v>204.8</v>
      </c>
      <c r="W156" s="10" t="str">
        <f t="shared" si="16"/>
        <v>Not Paid</v>
      </c>
      <c r="X156" t="s">
        <v>455</v>
      </c>
      <c r="Y156" t="s">
        <v>28</v>
      </c>
      <c r="Z156">
        <v>100230</v>
      </c>
      <c r="AA156" t="s">
        <v>462</v>
      </c>
      <c r="AB156" t="s">
        <v>521</v>
      </c>
      <c r="AC156" s="9">
        <f t="shared" si="17"/>
        <v>1</v>
      </c>
      <c r="AD156" s="9" t="str">
        <f t="shared" si="18"/>
        <v>Ok</v>
      </c>
      <c r="AE156" s="11">
        <f t="shared" si="21"/>
        <v>0</v>
      </c>
    </row>
    <row r="157" spans="1:31" x14ac:dyDescent="0.3">
      <c r="A157">
        <v>135</v>
      </c>
      <c r="B157">
        <v>4428212</v>
      </c>
      <c r="C157" t="s">
        <v>167</v>
      </c>
      <c r="D157">
        <v>1236114</v>
      </c>
      <c r="E157" t="s">
        <v>170</v>
      </c>
      <c r="F157" t="s">
        <v>25</v>
      </c>
      <c r="G157" t="s">
        <v>2273</v>
      </c>
      <c r="H157" t="s">
        <v>2274</v>
      </c>
      <c r="I157" s="9" t="s">
        <v>3342</v>
      </c>
      <c r="J157" s="9">
        <v>51164370579</v>
      </c>
      <c r="K157" s="14" t="s">
        <v>3165</v>
      </c>
      <c r="L157" s="13" t="s">
        <v>3248</v>
      </c>
      <c r="M157" s="14">
        <v>1</v>
      </c>
      <c r="N157" s="14">
        <v>526.30999999999995</v>
      </c>
      <c r="O157" s="10">
        <f t="shared" si="15"/>
        <v>526.30999999999995</v>
      </c>
      <c r="P157" s="11">
        <v>0</v>
      </c>
      <c r="Q157" s="11">
        <v>0</v>
      </c>
      <c r="R157" s="10">
        <f>IF(COUNTIF($J$2:J157,J157)=1,SUMIFS($O:$O,$J:$J,J157)+SUMIFS($P:$P,$J:$J,J157)+SUMIFS($Q:$Q,$J:$J,J157),"")</f>
        <v>526.30999999999995</v>
      </c>
      <c r="S157" s="10">
        <v>526.30999999999995</v>
      </c>
      <c r="T157" s="11" t="str">
        <f t="shared" si="20"/>
        <v>Ok</v>
      </c>
      <c r="U157" s="12">
        <v>45502</v>
      </c>
      <c r="V157" s="10">
        <v>526.30999999999995</v>
      </c>
      <c r="W157" s="10" t="str">
        <f t="shared" si="16"/>
        <v>Not Paid</v>
      </c>
      <c r="X157" t="s">
        <v>455</v>
      </c>
      <c r="Y157" t="s">
        <v>28</v>
      </c>
      <c r="Z157">
        <v>100240</v>
      </c>
      <c r="AA157" t="s">
        <v>459</v>
      </c>
      <c r="AB157" t="s">
        <v>525</v>
      </c>
      <c r="AC157" s="9">
        <f t="shared" si="17"/>
        <v>1</v>
      </c>
      <c r="AD157" s="9" t="str">
        <f t="shared" si="18"/>
        <v>Ok</v>
      </c>
      <c r="AE157" s="11">
        <f t="shared" si="21"/>
        <v>0</v>
      </c>
    </row>
    <row r="158" spans="1:31" x14ac:dyDescent="0.3">
      <c r="A158">
        <v>134</v>
      </c>
      <c r="B158">
        <v>4429112</v>
      </c>
      <c r="C158" t="s">
        <v>220</v>
      </c>
      <c r="D158">
        <v>1006248</v>
      </c>
      <c r="E158" t="s">
        <v>129</v>
      </c>
      <c r="F158" t="s">
        <v>20</v>
      </c>
      <c r="G158" t="s">
        <v>2275</v>
      </c>
      <c r="H158" t="s">
        <v>2276</v>
      </c>
      <c r="I158" s="9" t="s">
        <v>3476</v>
      </c>
      <c r="J158" s="9">
        <v>51160420854</v>
      </c>
      <c r="K158" s="14" t="s">
        <v>3353</v>
      </c>
      <c r="L158" s="13" t="s">
        <v>3623</v>
      </c>
      <c r="M158" s="14">
        <v>37000</v>
      </c>
      <c r="N158" s="14">
        <v>6.4</v>
      </c>
      <c r="O158" s="10">
        <f t="shared" si="15"/>
        <v>236800</v>
      </c>
      <c r="P158" s="11">
        <v>0</v>
      </c>
      <c r="Q158" s="11">
        <v>0</v>
      </c>
      <c r="R158" s="10">
        <f>IF(COUNTIF($J$2:J158,J158)=1,SUMIFS($O:$O,$J:$J,J158)+SUMIFS($P:$P,$J:$J,J158)+SUMIFS($Q:$Q,$J:$J,J158),"")</f>
        <v>236800</v>
      </c>
      <c r="S158" s="10">
        <v>236800</v>
      </c>
      <c r="T158" s="11" t="str">
        <f t="shared" si="20"/>
        <v>Ok</v>
      </c>
      <c r="U158" s="12">
        <v>45996</v>
      </c>
      <c r="V158" s="10">
        <v>236800</v>
      </c>
      <c r="W158" s="10" t="str">
        <f t="shared" si="16"/>
        <v>Not Paid</v>
      </c>
      <c r="X158" t="s">
        <v>438</v>
      </c>
      <c r="Y158" t="s">
        <v>28</v>
      </c>
      <c r="Z158">
        <v>100153</v>
      </c>
      <c r="AA158" t="s">
        <v>445</v>
      </c>
      <c r="AB158" t="s">
        <v>521</v>
      </c>
      <c r="AC158" s="9">
        <f t="shared" si="17"/>
        <v>1</v>
      </c>
      <c r="AD158" s="9" t="str">
        <f t="shared" si="18"/>
        <v>Ok</v>
      </c>
      <c r="AE158" s="11">
        <f t="shared" si="21"/>
        <v>0</v>
      </c>
    </row>
    <row r="159" spans="1:31" x14ac:dyDescent="0.3">
      <c r="A159">
        <v>134</v>
      </c>
      <c r="B159">
        <v>4429412</v>
      </c>
      <c r="C159" t="s">
        <v>167</v>
      </c>
      <c r="D159">
        <v>1235549</v>
      </c>
      <c r="E159" t="s">
        <v>168</v>
      </c>
      <c r="F159" t="s">
        <v>25</v>
      </c>
      <c r="G159" t="s">
        <v>2277</v>
      </c>
      <c r="H159" t="s">
        <v>2278</v>
      </c>
      <c r="I159" s="9" t="s">
        <v>3505</v>
      </c>
      <c r="J159" s="9">
        <v>51161963519</v>
      </c>
      <c r="K159" s="14" t="s">
        <v>3165</v>
      </c>
      <c r="L159" s="13" t="s">
        <v>3366</v>
      </c>
      <c r="M159" s="14">
        <v>1</v>
      </c>
      <c r="N159" s="14">
        <v>117.95</v>
      </c>
      <c r="O159" s="10">
        <f t="shared" si="15"/>
        <v>117.95</v>
      </c>
      <c r="P159" s="11">
        <v>0</v>
      </c>
      <c r="Q159" s="11">
        <v>0</v>
      </c>
      <c r="R159" s="10">
        <f>IF(COUNTIF($J$2:J159,J159)=1,SUMIFS($O:$O,$J:$J,J159)+SUMIFS($P:$P,$J:$J,J159)+SUMIFS($Q:$Q,$J:$J,J159),"")</f>
        <v>117.95</v>
      </c>
      <c r="S159" s="10">
        <v>117.95</v>
      </c>
      <c r="T159" s="11" t="str">
        <f t="shared" si="20"/>
        <v>Ok</v>
      </c>
      <c r="U159" s="12">
        <v>45940</v>
      </c>
      <c r="V159" s="10">
        <v>117.95</v>
      </c>
      <c r="W159" s="10" t="str">
        <f t="shared" si="16"/>
        <v>Not Paid</v>
      </c>
      <c r="X159" t="s">
        <v>455</v>
      </c>
      <c r="Y159" t="s">
        <v>28</v>
      </c>
      <c r="Z159">
        <v>100240</v>
      </c>
      <c r="AA159" t="s">
        <v>459</v>
      </c>
      <c r="AB159" t="s">
        <v>525</v>
      </c>
      <c r="AC159" s="9">
        <f t="shared" si="17"/>
        <v>1</v>
      </c>
      <c r="AD159" s="9" t="str">
        <f t="shared" si="18"/>
        <v>Ok</v>
      </c>
      <c r="AE159" s="11">
        <f t="shared" si="21"/>
        <v>0</v>
      </c>
    </row>
    <row r="160" spans="1:31" x14ac:dyDescent="0.3">
      <c r="A160">
        <v>133</v>
      </c>
      <c r="B160">
        <v>4429632</v>
      </c>
      <c r="C160" t="s">
        <v>160</v>
      </c>
      <c r="D160">
        <v>1139721</v>
      </c>
      <c r="E160" t="s">
        <v>547</v>
      </c>
      <c r="F160" t="s">
        <v>18</v>
      </c>
      <c r="G160" t="s">
        <v>2279</v>
      </c>
      <c r="H160" t="s">
        <v>2280</v>
      </c>
      <c r="I160" s="9" t="s">
        <v>3298</v>
      </c>
      <c r="J160" s="9">
        <v>50118001458</v>
      </c>
      <c r="K160" s="14" t="s">
        <v>3171</v>
      </c>
      <c r="L160" s="13" t="s">
        <v>3299</v>
      </c>
      <c r="M160" s="14">
        <v>700</v>
      </c>
      <c r="N160" s="14">
        <v>156.86000000000001</v>
      </c>
      <c r="O160" s="10">
        <f t="shared" si="15"/>
        <v>109802.00000000001</v>
      </c>
      <c r="P160" s="11">
        <v>0</v>
      </c>
      <c r="Q160" s="11">
        <v>0</v>
      </c>
      <c r="R160" s="10">
        <f>IF(COUNTIF($J$2:J160,J160)=1,SUMIFS($O:$O,$J:$J,J160)+SUMIFS($P:$P,$J:$J,J160)+SUMIFS($Q:$Q,$J:$J,J160),"")</f>
        <v>109802.00000000001</v>
      </c>
      <c r="S160" s="10">
        <v>109802</v>
      </c>
      <c r="T160" s="11" t="str">
        <f t="shared" si="20"/>
        <v>Ok</v>
      </c>
      <c r="U160" s="12">
        <v>45952</v>
      </c>
      <c r="V160" s="10">
        <v>442.45</v>
      </c>
      <c r="W160" s="10" t="str">
        <f t="shared" si="16"/>
        <v>Short Paid</v>
      </c>
      <c r="X160" t="s">
        <v>455</v>
      </c>
      <c r="Y160" t="s">
        <v>28</v>
      </c>
      <c r="Z160">
        <v>100270</v>
      </c>
      <c r="AA160" t="s">
        <v>464</v>
      </c>
      <c r="AB160" t="s">
        <v>523</v>
      </c>
      <c r="AC160" s="9">
        <f t="shared" si="17"/>
        <v>1</v>
      </c>
      <c r="AD160" s="9" t="str">
        <f t="shared" si="18"/>
        <v>Ok</v>
      </c>
      <c r="AE160" s="11">
        <f t="shared" si="21"/>
        <v>0</v>
      </c>
    </row>
    <row r="161" spans="1:31" x14ac:dyDescent="0.3">
      <c r="A161">
        <v>133</v>
      </c>
      <c r="B161">
        <v>4429422</v>
      </c>
      <c r="C161" t="s">
        <v>220</v>
      </c>
      <c r="D161">
        <v>1040246</v>
      </c>
      <c r="E161" t="s">
        <v>558</v>
      </c>
      <c r="F161" t="s">
        <v>18</v>
      </c>
      <c r="G161" t="s">
        <v>2281</v>
      </c>
      <c r="H161" t="s">
        <v>2282</v>
      </c>
      <c r="I161" s="9" t="s">
        <v>3390</v>
      </c>
      <c r="J161" s="9">
        <v>51164994047</v>
      </c>
      <c r="K161" s="14" t="s">
        <v>3194</v>
      </c>
      <c r="L161" s="13" t="s">
        <v>3786</v>
      </c>
      <c r="M161" s="14">
        <v>100</v>
      </c>
      <c r="N161" s="14">
        <v>335.78</v>
      </c>
      <c r="O161" s="10">
        <f t="shared" si="15"/>
        <v>33578</v>
      </c>
      <c r="P161" s="11">
        <v>0</v>
      </c>
      <c r="Q161" s="11">
        <v>0</v>
      </c>
      <c r="R161" s="10">
        <f>IF(COUNTIF($J$2:J161,J161)=1,SUMIFS($O:$O,$J:$J,J161)+SUMIFS($P:$P,$J:$J,J161)+SUMIFS($Q:$Q,$J:$J,J161),"")</f>
        <v>33578</v>
      </c>
      <c r="S161" s="10">
        <v>33578</v>
      </c>
      <c r="T161" s="11" t="str">
        <f t="shared" si="20"/>
        <v>Ok</v>
      </c>
      <c r="U161" s="12">
        <v>45940</v>
      </c>
      <c r="V161" s="10">
        <v>33578</v>
      </c>
      <c r="W161" s="10" t="str">
        <f t="shared" si="16"/>
        <v>Not Paid</v>
      </c>
      <c r="X161" t="s">
        <v>435</v>
      </c>
      <c r="Y161" t="s">
        <v>28</v>
      </c>
      <c r="Z161">
        <v>100281</v>
      </c>
      <c r="AA161" t="s">
        <v>3068</v>
      </c>
      <c r="AB161" t="s">
        <v>523</v>
      </c>
      <c r="AC161" s="9">
        <f t="shared" si="17"/>
        <v>1</v>
      </c>
      <c r="AD161" s="9" t="str">
        <f t="shared" si="18"/>
        <v>Ok</v>
      </c>
      <c r="AE161" s="11">
        <f t="shared" si="21"/>
        <v>0</v>
      </c>
    </row>
    <row r="162" spans="1:31" x14ac:dyDescent="0.3">
      <c r="A162">
        <v>133</v>
      </c>
      <c r="B162">
        <v>4430742</v>
      </c>
      <c r="C162" t="s">
        <v>167</v>
      </c>
      <c r="D162">
        <v>1031709</v>
      </c>
      <c r="E162" t="s">
        <v>653</v>
      </c>
      <c r="F162" t="s">
        <v>25</v>
      </c>
      <c r="G162" t="s">
        <v>2283</v>
      </c>
      <c r="H162" t="s">
        <v>2284</v>
      </c>
      <c r="I162" s="9" t="s">
        <v>3419</v>
      </c>
      <c r="J162" s="9">
        <v>51162980655</v>
      </c>
      <c r="K162" s="14" t="s">
        <v>3165</v>
      </c>
      <c r="L162" s="13" t="s">
        <v>3726</v>
      </c>
      <c r="M162" s="14">
        <v>1</v>
      </c>
      <c r="N162" s="14">
        <v>965.19</v>
      </c>
      <c r="O162" s="10">
        <f t="shared" si="15"/>
        <v>965.19</v>
      </c>
      <c r="P162" s="11">
        <v>0</v>
      </c>
      <c r="Q162" s="11">
        <v>0</v>
      </c>
      <c r="R162" s="10">
        <f>IF(COUNTIF($J$2:J162,J162)=1,SUMIFS($O:$O,$J:$J,J162)+SUMIFS($P:$P,$J:$J,J162)+SUMIFS($Q:$Q,$J:$J,J162),"")</f>
        <v>965.19</v>
      </c>
      <c r="S162" s="10">
        <v>965.19</v>
      </c>
      <c r="T162" s="11" t="str">
        <f t="shared" si="20"/>
        <v>Ok</v>
      </c>
      <c r="U162" s="12">
        <v>45583</v>
      </c>
      <c r="V162" s="10">
        <v>965.19</v>
      </c>
      <c r="W162" s="10" t="str">
        <f t="shared" si="16"/>
        <v>Not Paid</v>
      </c>
      <c r="X162" t="s">
        <v>438</v>
      </c>
      <c r="Y162" t="s">
        <v>28</v>
      </c>
      <c r="Z162">
        <v>100123</v>
      </c>
      <c r="AA162" t="s">
        <v>447</v>
      </c>
      <c r="AB162" t="s">
        <v>525</v>
      </c>
      <c r="AC162" s="9">
        <f t="shared" si="17"/>
        <v>1</v>
      </c>
      <c r="AD162" s="9" t="str">
        <f t="shared" si="18"/>
        <v>Ok</v>
      </c>
      <c r="AE162" s="11">
        <f t="shared" si="21"/>
        <v>0</v>
      </c>
    </row>
    <row r="163" spans="1:31" x14ac:dyDescent="0.3">
      <c r="A163">
        <v>132</v>
      </c>
      <c r="B163">
        <v>4429462</v>
      </c>
      <c r="C163" t="s">
        <v>220</v>
      </c>
      <c r="D163">
        <v>1006248</v>
      </c>
      <c r="E163" t="s">
        <v>129</v>
      </c>
      <c r="F163" t="s">
        <v>18</v>
      </c>
      <c r="G163" t="s">
        <v>2287</v>
      </c>
      <c r="H163" t="s">
        <v>2288</v>
      </c>
      <c r="I163" s="9" t="s">
        <v>3399</v>
      </c>
      <c r="J163" s="9">
        <v>51160339628</v>
      </c>
      <c r="K163" s="14" t="s">
        <v>3190</v>
      </c>
      <c r="L163" s="13" t="s">
        <v>3622</v>
      </c>
      <c r="M163" s="14">
        <v>100000</v>
      </c>
      <c r="N163" s="14">
        <v>5.5E-2</v>
      </c>
      <c r="O163" s="10">
        <f t="shared" si="15"/>
        <v>5500</v>
      </c>
      <c r="P163" s="11">
        <v>0</v>
      </c>
      <c r="Q163" s="11">
        <v>0</v>
      </c>
      <c r="R163" s="10">
        <f>IF(COUNTIF($J$2:J163,J163)=1,SUMIFS($O:$O,$J:$J,J163)+SUMIFS($P:$P,$J:$J,J163)+SUMIFS($Q:$Q,$J:$J,J163),"")</f>
        <v>5500</v>
      </c>
      <c r="S163" s="10">
        <v>5500</v>
      </c>
      <c r="T163" s="11" t="str">
        <f t="shared" si="20"/>
        <v>Ok</v>
      </c>
      <c r="U163" s="12">
        <v>46035</v>
      </c>
      <c r="V163" s="10">
        <v>5500</v>
      </c>
      <c r="W163" s="10" t="str">
        <f t="shared" si="16"/>
        <v>Not Paid</v>
      </c>
      <c r="X163" t="s">
        <v>438</v>
      </c>
      <c r="Y163" t="s">
        <v>28</v>
      </c>
      <c r="Z163">
        <v>100273</v>
      </c>
      <c r="AA163" t="s">
        <v>444</v>
      </c>
      <c r="AB163" t="s">
        <v>523</v>
      </c>
      <c r="AC163" s="9">
        <f t="shared" si="17"/>
        <v>1</v>
      </c>
      <c r="AD163" s="9" t="str">
        <f t="shared" si="18"/>
        <v>Ok</v>
      </c>
      <c r="AE163" s="11">
        <f t="shared" si="21"/>
        <v>0</v>
      </c>
    </row>
    <row r="164" spans="1:31" x14ac:dyDescent="0.3">
      <c r="A164">
        <v>129</v>
      </c>
      <c r="B164">
        <v>4430132</v>
      </c>
      <c r="C164" t="s">
        <v>160</v>
      </c>
      <c r="D164">
        <v>1830445</v>
      </c>
      <c r="E164" t="s">
        <v>95</v>
      </c>
      <c r="F164" t="s">
        <v>19</v>
      </c>
      <c r="G164" t="s">
        <v>2289</v>
      </c>
      <c r="H164" t="s">
        <v>2290</v>
      </c>
      <c r="I164" s="9" t="s">
        <v>3285</v>
      </c>
      <c r="J164" s="9">
        <v>51161321275</v>
      </c>
      <c r="K164" s="14" t="s">
        <v>3226</v>
      </c>
      <c r="L164" s="13" t="s">
        <v>3654</v>
      </c>
      <c r="M164" s="14">
        <v>3</v>
      </c>
      <c r="N164" s="14">
        <v>1142.46</v>
      </c>
      <c r="O164" s="10">
        <f t="shared" si="15"/>
        <v>3427.38</v>
      </c>
      <c r="P164" s="11">
        <v>0</v>
      </c>
      <c r="Q164" s="11">
        <v>0</v>
      </c>
      <c r="R164" s="10">
        <f>IF(COUNTIF($J$2:J164,J164)=1,SUMIFS($O:$O,$J:$J,J164)+SUMIFS($P:$P,$J:$J,J164)+SUMIFS($Q:$Q,$J:$J,J164),"")</f>
        <v>3427.38</v>
      </c>
      <c r="S164" s="10">
        <v>3427.38</v>
      </c>
      <c r="T164" s="11" t="str">
        <f t="shared" si="20"/>
        <v>Ok</v>
      </c>
      <c r="U164" s="12">
        <v>45898</v>
      </c>
      <c r="V164" s="10">
        <v>3427.38</v>
      </c>
      <c r="W164" s="10" t="str">
        <f t="shared" si="16"/>
        <v>Not Paid</v>
      </c>
      <c r="X164" t="s">
        <v>450</v>
      </c>
      <c r="Y164" t="s">
        <v>28</v>
      </c>
      <c r="Z164">
        <v>100127</v>
      </c>
      <c r="AA164" t="s">
        <v>3090</v>
      </c>
      <c r="AB164" t="s">
        <v>524</v>
      </c>
      <c r="AC164" s="9">
        <f t="shared" si="17"/>
        <v>1</v>
      </c>
      <c r="AD164" s="9" t="str">
        <f t="shared" si="18"/>
        <v>Ok</v>
      </c>
      <c r="AE164" s="11">
        <f t="shared" si="21"/>
        <v>0</v>
      </c>
    </row>
    <row r="165" spans="1:31" x14ac:dyDescent="0.3">
      <c r="A165">
        <v>128</v>
      </c>
      <c r="B165">
        <v>4430112</v>
      </c>
      <c r="C165" t="s">
        <v>239</v>
      </c>
      <c r="D165">
        <v>1309220</v>
      </c>
      <c r="E165" t="s">
        <v>638</v>
      </c>
      <c r="F165" t="s">
        <v>49</v>
      </c>
      <c r="G165" t="s">
        <v>2291</v>
      </c>
      <c r="H165" t="s">
        <v>2292</v>
      </c>
      <c r="I165" s="9" t="s">
        <v>3551</v>
      </c>
      <c r="J165" s="9">
        <v>51159940843</v>
      </c>
      <c r="K165" s="14" t="s">
        <v>3611</v>
      </c>
      <c r="L165" s="13" t="s">
        <v>3610</v>
      </c>
      <c r="M165" s="14">
        <v>5000</v>
      </c>
      <c r="N165" s="14">
        <v>0.871</v>
      </c>
      <c r="O165" s="10">
        <f t="shared" si="15"/>
        <v>4355</v>
      </c>
      <c r="P165" s="11">
        <v>566.15</v>
      </c>
      <c r="Q165" s="11">
        <v>0</v>
      </c>
      <c r="R165" s="10">
        <f>IF(COUNTIF($J$2:J165,J165)=1,SUMIFS($O:$O,$J:$J,J165)+SUMIFS($P:$P,$J:$J,J165)+SUMIFS($Q:$Q,$J:$J,J165),"")</f>
        <v>4921.1499999999996</v>
      </c>
      <c r="S165" s="10">
        <v>4921.1499999999996</v>
      </c>
      <c r="T165" s="11" t="str">
        <f t="shared" si="20"/>
        <v>Ok</v>
      </c>
      <c r="U165" s="12">
        <v>45874</v>
      </c>
      <c r="V165" s="10">
        <v>566.15</v>
      </c>
      <c r="W165" s="10" t="str">
        <f t="shared" si="16"/>
        <v>Short Paid</v>
      </c>
      <c r="X165" t="s">
        <v>470</v>
      </c>
      <c r="Y165" t="s">
        <v>29</v>
      </c>
      <c r="Z165">
        <v>100298</v>
      </c>
      <c r="AA165" t="s">
        <v>3105</v>
      </c>
      <c r="AB165" t="s">
        <v>3041</v>
      </c>
      <c r="AC165" s="9">
        <f t="shared" si="17"/>
        <v>1</v>
      </c>
      <c r="AD165" s="9" t="str">
        <f t="shared" si="18"/>
        <v>Ok</v>
      </c>
      <c r="AE165" s="11">
        <f t="shared" si="21"/>
        <v>0</v>
      </c>
    </row>
    <row r="166" spans="1:31" x14ac:dyDescent="0.3">
      <c r="A166">
        <v>128</v>
      </c>
      <c r="B166">
        <v>4429522</v>
      </c>
      <c r="C166" t="s">
        <v>239</v>
      </c>
      <c r="D166">
        <v>1309220</v>
      </c>
      <c r="E166" t="s">
        <v>638</v>
      </c>
      <c r="F166" t="s">
        <v>49</v>
      </c>
      <c r="G166" t="s">
        <v>2293</v>
      </c>
      <c r="H166" t="s">
        <v>2294</v>
      </c>
      <c r="I166" s="9" t="s">
        <v>3435</v>
      </c>
      <c r="J166" s="9">
        <v>51160525172</v>
      </c>
      <c r="K166" s="14" t="s">
        <v>3168</v>
      </c>
      <c r="L166" s="13" t="s">
        <v>3625</v>
      </c>
      <c r="M166" s="14">
        <v>27000</v>
      </c>
      <c r="N166" s="14">
        <v>1.7100000000000001E-2</v>
      </c>
      <c r="O166" s="10">
        <f t="shared" si="15"/>
        <v>461.7</v>
      </c>
      <c r="P166" s="11">
        <v>60.02</v>
      </c>
      <c r="Q166" s="11">
        <v>0</v>
      </c>
      <c r="R166" s="10">
        <f>IF(COUNTIF($J$2:J166,J166)=1,SUMIFS($O:$O,$J:$J,J166)+SUMIFS($P:$P,$J:$J,J166)+SUMIFS($Q:$Q,$J:$J,J166),"")</f>
        <v>521.72</v>
      </c>
      <c r="S166" s="10">
        <v>521.72</v>
      </c>
      <c r="T166" s="11" t="str">
        <f t="shared" si="20"/>
        <v>Ok</v>
      </c>
      <c r="U166" s="12">
        <v>45881</v>
      </c>
      <c r="V166" s="10">
        <v>60.02</v>
      </c>
      <c r="W166" s="10" t="str">
        <f t="shared" si="16"/>
        <v>Short Paid</v>
      </c>
      <c r="X166" t="s">
        <v>470</v>
      </c>
      <c r="Y166" t="s">
        <v>29</v>
      </c>
      <c r="Z166">
        <v>100298</v>
      </c>
      <c r="AA166" t="s">
        <v>3105</v>
      </c>
      <c r="AB166" t="s">
        <v>3041</v>
      </c>
      <c r="AC166" s="9">
        <f t="shared" si="17"/>
        <v>1</v>
      </c>
      <c r="AD166" s="9" t="str">
        <f t="shared" si="18"/>
        <v>Ok</v>
      </c>
      <c r="AE166" s="11">
        <f t="shared" si="21"/>
        <v>0</v>
      </c>
    </row>
    <row r="167" spans="1:31" x14ac:dyDescent="0.3">
      <c r="A167">
        <v>128</v>
      </c>
      <c r="B167">
        <v>4429702</v>
      </c>
      <c r="C167" t="s">
        <v>239</v>
      </c>
      <c r="D167">
        <v>1309220</v>
      </c>
      <c r="E167" t="s">
        <v>638</v>
      </c>
      <c r="F167" t="s">
        <v>49</v>
      </c>
      <c r="G167" t="s">
        <v>2295</v>
      </c>
      <c r="H167" t="s">
        <v>2296</v>
      </c>
      <c r="I167" s="9" t="s">
        <v>3477</v>
      </c>
      <c r="J167" s="9">
        <v>51160525091</v>
      </c>
      <c r="K167" s="14" t="s">
        <v>3168</v>
      </c>
      <c r="L167" s="13" t="s">
        <v>3625</v>
      </c>
      <c r="M167" s="14">
        <v>3000</v>
      </c>
      <c r="N167" s="14">
        <v>1.7100000000000001E-2</v>
      </c>
      <c r="O167" s="10">
        <f t="shared" si="15"/>
        <v>51.300000000000004</v>
      </c>
      <c r="P167" s="11">
        <v>7.94</v>
      </c>
      <c r="Q167" s="11">
        <v>9.75</v>
      </c>
      <c r="R167" s="10">
        <f>IF(COUNTIF($J$2:J167,J167)=1,SUMIFS($O:$O,$J:$J,J167)+SUMIFS($P:$P,$J:$J,J167)+SUMIFS($Q:$Q,$J:$J,J167),"")</f>
        <v>68.990000000000009</v>
      </c>
      <c r="S167" s="10">
        <v>68.989999999999995</v>
      </c>
      <c r="T167" s="11" t="str">
        <f t="shared" si="20"/>
        <v>Ok</v>
      </c>
      <c r="U167" s="12">
        <v>45852</v>
      </c>
      <c r="V167" s="10">
        <v>7.94</v>
      </c>
      <c r="W167" s="10" t="str">
        <f t="shared" si="16"/>
        <v>Short Paid</v>
      </c>
      <c r="X167" t="s">
        <v>470</v>
      </c>
      <c r="Y167" t="s">
        <v>29</v>
      </c>
      <c r="Z167">
        <v>100298</v>
      </c>
      <c r="AA167" t="s">
        <v>3105</v>
      </c>
      <c r="AB167" t="s">
        <v>3041</v>
      </c>
      <c r="AC167" s="9">
        <f t="shared" si="17"/>
        <v>1</v>
      </c>
      <c r="AD167" s="9" t="str">
        <f t="shared" si="18"/>
        <v>Ok</v>
      </c>
      <c r="AE167" s="11">
        <f t="shared" si="21"/>
        <v>0</v>
      </c>
    </row>
    <row r="168" spans="1:31" x14ac:dyDescent="0.3">
      <c r="A168">
        <v>128</v>
      </c>
      <c r="B168">
        <v>4429652</v>
      </c>
      <c r="C168" t="s">
        <v>239</v>
      </c>
      <c r="D168">
        <v>1309220</v>
      </c>
      <c r="E168" t="s">
        <v>638</v>
      </c>
      <c r="F168" t="s">
        <v>49</v>
      </c>
      <c r="G168" t="s">
        <v>2297</v>
      </c>
      <c r="H168" t="s">
        <v>2298</v>
      </c>
      <c r="I168" s="9" t="s">
        <v>3347</v>
      </c>
      <c r="J168" s="9">
        <v>51161308810</v>
      </c>
      <c r="K168" s="14" t="s">
        <v>3168</v>
      </c>
      <c r="L168" s="13" t="s">
        <v>3633</v>
      </c>
      <c r="M168" s="14">
        <v>20000</v>
      </c>
      <c r="N168" s="14">
        <v>3.3500000000000002E-2</v>
      </c>
      <c r="O168" s="10">
        <f t="shared" si="15"/>
        <v>670</v>
      </c>
      <c r="P168" s="11">
        <v>87.1</v>
      </c>
      <c r="Q168" s="11">
        <v>0</v>
      </c>
      <c r="R168" s="10">
        <f>IF(COUNTIF($J$2:J168,J168)=1,SUMIFS($O:$O,$J:$J,J168)+SUMIFS($P:$P,$J:$J,J168)+SUMIFS($Q:$Q,$J:$J,J168),"")</f>
        <v>757.1</v>
      </c>
      <c r="S168" s="10">
        <v>757.1</v>
      </c>
      <c r="T168" s="11" t="str">
        <f t="shared" si="20"/>
        <v>Ok</v>
      </c>
      <c r="U168" s="12">
        <v>45862</v>
      </c>
      <c r="V168" s="10">
        <v>87.1</v>
      </c>
      <c r="W168" s="10" t="str">
        <f t="shared" si="16"/>
        <v>Short Paid</v>
      </c>
      <c r="X168" t="s">
        <v>470</v>
      </c>
      <c r="Y168" t="s">
        <v>29</v>
      </c>
      <c r="Z168">
        <v>100298</v>
      </c>
      <c r="AA168" t="s">
        <v>3105</v>
      </c>
      <c r="AB168" t="s">
        <v>3041</v>
      </c>
      <c r="AC168" s="9">
        <f t="shared" si="17"/>
        <v>1</v>
      </c>
      <c r="AD168" s="9" t="str">
        <f t="shared" si="18"/>
        <v>Ok</v>
      </c>
      <c r="AE168" s="11">
        <f t="shared" si="21"/>
        <v>0</v>
      </c>
    </row>
    <row r="169" spans="1:31" x14ac:dyDescent="0.3">
      <c r="A169">
        <v>128</v>
      </c>
      <c r="B169">
        <v>4429382</v>
      </c>
      <c r="C169" t="s">
        <v>239</v>
      </c>
      <c r="D169">
        <v>1309220</v>
      </c>
      <c r="E169" t="s">
        <v>638</v>
      </c>
      <c r="F169" t="s">
        <v>49</v>
      </c>
      <c r="G169" t="s">
        <v>2299</v>
      </c>
      <c r="H169" t="s">
        <v>2300</v>
      </c>
      <c r="I169" s="9" t="s">
        <v>3273</v>
      </c>
      <c r="J169" s="9">
        <v>51161786159</v>
      </c>
      <c r="K169" s="14" t="s">
        <v>3168</v>
      </c>
      <c r="L169" s="13" t="s">
        <v>3679</v>
      </c>
      <c r="M169" s="14">
        <v>6000</v>
      </c>
      <c r="N169" s="14">
        <v>5.9499999999999997E-2</v>
      </c>
      <c r="O169" s="10">
        <f t="shared" si="15"/>
        <v>357</v>
      </c>
      <c r="P169" s="11">
        <v>46.41</v>
      </c>
      <c r="Q169" s="11">
        <v>0</v>
      </c>
      <c r="R169" s="10">
        <f>IF(COUNTIF($J$2:J169,J169)=1,SUMIFS($O:$O,$J:$J,J169)+SUMIFS($P:$P,$J:$J,J169)+SUMIFS($Q:$Q,$J:$J,J169),"")</f>
        <v>403.40999999999997</v>
      </c>
      <c r="S169" s="10">
        <v>403.41</v>
      </c>
      <c r="T169" s="11" t="str">
        <f t="shared" si="20"/>
        <v>Ok</v>
      </c>
      <c r="U169" s="12">
        <v>45855</v>
      </c>
      <c r="V169" s="10">
        <v>46.41</v>
      </c>
      <c r="W169" s="10" t="str">
        <f t="shared" si="16"/>
        <v>Short Paid</v>
      </c>
      <c r="X169" t="s">
        <v>470</v>
      </c>
      <c r="Y169" t="s">
        <v>29</v>
      </c>
      <c r="Z169">
        <v>100298</v>
      </c>
      <c r="AA169" t="s">
        <v>3105</v>
      </c>
      <c r="AB169" t="s">
        <v>3041</v>
      </c>
      <c r="AC169" s="9">
        <f t="shared" si="17"/>
        <v>1</v>
      </c>
      <c r="AD169" s="9" t="str">
        <f t="shared" si="18"/>
        <v>Ok</v>
      </c>
      <c r="AE169" s="11">
        <f t="shared" si="21"/>
        <v>0</v>
      </c>
    </row>
    <row r="170" spans="1:31" x14ac:dyDescent="0.3">
      <c r="A170">
        <v>128</v>
      </c>
      <c r="B170">
        <v>4429662</v>
      </c>
      <c r="C170" t="s">
        <v>239</v>
      </c>
      <c r="D170">
        <v>1309220</v>
      </c>
      <c r="E170" t="s">
        <v>638</v>
      </c>
      <c r="F170" t="s">
        <v>49</v>
      </c>
      <c r="G170" t="s">
        <v>2301</v>
      </c>
      <c r="H170" t="s">
        <v>2302</v>
      </c>
      <c r="I170" s="9" t="s">
        <v>3227</v>
      </c>
      <c r="J170" s="9">
        <v>51164005808</v>
      </c>
      <c r="K170" s="14" t="s">
        <v>3168</v>
      </c>
      <c r="L170" s="13" t="s">
        <v>3677</v>
      </c>
      <c r="M170" s="14">
        <v>3000</v>
      </c>
      <c r="N170" s="14">
        <v>1.49E-2</v>
      </c>
      <c r="O170" s="10">
        <f t="shared" si="15"/>
        <v>44.7</v>
      </c>
      <c r="P170" s="11">
        <v>6.91</v>
      </c>
      <c r="Q170" s="11">
        <v>8.49</v>
      </c>
      <c r="R170" s="10">
        <f>IF(COUNTIF($J$2:J170,J170)=1,SUMIFS($O:$O,$J:$J,J170)+SUMIFS($P:$P,$J:$J,J170)+SUMIFS($Q:$Q,$J:$J,J170),"")</f>
        <v>60.1</v>
      </c>
      <c r="S170" s="10">
        <v>60.1</v>
      </c>
      <c r="T170" s="11" t="str">
        <f t="shared" si="20"/>
        <v>Ok</v>
      </c>
      <c r="U170" s="12">
        <v>45846</v>
      </c>
      <c r="V170" s="10">
        <v>6.91</v>
      </c>
      <c r="W170" s="10" t="str">
        <f t="shared" si="16"/>
        <v>Short Paid</v>
      </c>
      <c r="X170" t="s">
        <v>470</v>
      </c>
      <c r="Y170" t="s">
        <v>29</v>
      </c>
      <c r="Z170">
        <v>100298</v>
      </c>
      <c r="AA170" t="s">
        <v>3105</v>
      </c>
      <c r="AB170" t="s">
        <v>3041</v>
      </c>
      <c r="AC170" s="9">
        <f t="shared" si="17"/>
        <v>1</v>
      </c>
      <c r="AD170" s="9" t="str">
        <f t="shared" si="18"/>
        <v>Ok</v>
      </c>
      <c r="AE170" s="11">
        <f t="shared" si="21"/>
        <v>0</v>
      </c>
    </row>
    <row r="171" spans="1:31" x14ac:dyDescent="0.3">
      <c r="A171">
        <v>128</v>
      </c>
      <c r="B171">
        <v>4429562</v>
      </c>
      <c r="C171" t="s">
        <v>239</v>
      </c>
      <c r="D171">
        <v>1309220</v>
      </c>
      <c r="E171" t="s">
        <v>638</v>
      </c>
      <c r="F171" t="s">
        <v>49</v>
      </c>
      <c r="G171" t="s">
        <v>2303</v>
      </c>
      <c r="H171" t="s">
        <v>2304</v>
      </c>
      <c r="I171" s="9" t="s">
        <v>3300</v>
      </c>
      <c r="J171" s="9">
        <v>51161731717</v>
      </c>
      <c r="K171" s="14" t="s">
        <v>3168</v>
      </c>
      <c r="L171" s="13" t="s">
        <v>3677</v>
      </c>
      <c r="M171" s="14">
        <v>3000</v>
      </c>
      <c r="N171" s="14">
        <v>1.49E-2</v>
      </c>
      <c r="O171" s="10">
        <f t="shared" si="15"/>
        <v>44.7</v>
      </c>
      <c r="P171" s="11">
        <v>6.91</v>
      </c>
      <c r="Q171" s="11">
        <v>8.49</v>
      </c>
      <c r="R171" s="10">
        <f>IF(COUNTIF($J$2:J171,J171)=1,SUMIFS($O:$O,$J:$J,J171)+SUMIFS($P:$P,$J:$J,J171)+SUMIFS($Q:$Q,$J:$J,J171),"")</f>
        <v>60.1</v>
      </c>
      <c r="S171" s="10">
        <v>60.1</v>
      </c>
      <c r="T171" s="11" t="str">
        <f t="shared" si="20"/>
        <v>Ok</v>
      </c>
      <c r="U171" s="12">
        <v>45846</v>
      </c>
      <c r="V171" s="10">
        <v>6.91</v>
      </c>
      <c r="W171" s="10" t="str">
        <f t="shared" si="16"/>
        <v>Short Paid</v>
      </c>
      <c r="X171" t="s">
        <v>470</v>
      </c>
      <c r="Y171" t="s">
        <v>29</v>
      </c>
      <c r="Z171">
        <v>100298</v>
      </c>
      <c r="AA171" t="s">
        <v>3105</v>
      </c>
      <c r="AB171" t="s">
        <v>3041</v>
      </c>
      <c r="AC171" s="9">
        <f t="shared" si="17"/>
        <v>1</v>
      </c>
      <c r="AD171" s="9" t="str">
        <f t="shared" si="18"/>
        <v>Ok</v>
      </c>
      <c r="AE171" s="11">
        <f t="shared" si="21"/>
        <v>0</v>
      </c>
    </row>
    <row r="172" spans="1:31" x14ac:dyDescent="0.3">
      <c r="A172">
        <v>128</v>
      </c>
      <c r="B172">
        <v>4429402</v>
      </c>
      <c r="C172" t="s">
        <v>239</v>
      </c>
      <c r="D172">
        <v>1309220</v>
      </c>
      <c r="E172" t="s">
        <v>638</v>
      </c>
      <c r="F172" t="s">
        <v>49</v>
      </c>
      <c r="G172" t="s">
        <v>2305</v>
      </c>
      <c r="H172" t="s">
        <v>2306</v>
      </c>
      <c r="I172" s="9" t="s">
        <v>3206</v>
      </c>
      <c r="J172" s="9">
        <v>51161829996</v>
      </c>
      <c r="K172" s="14" t="s">
        <v>3168</v>
      </c>
      <c r="L172" s="13" t="s">
        <v>3625</v>
      </c>
      <c r="M172" s="14">
        <v>3000</v>
      </c>
      <c r="N172" s="14">
        <v>1.7100000000000001E-2</v>
      </c>
      <c r="O172" s="10">
        <f t="shared" si="15"/>
        <v>51.300000000000004</v>
      </c>
      <c r="P172" s="11">
        <v>7.94</v>
      </c>
      <c r="Q172" s="11">
        <v>9.75</v>
      </c>
      <c r="R172" s="10">
        <f>IF(COUNTIF($J$2:J172,J172)=1,SUMIFS($O:$O,$J:$J,J172)+SUMIFS($P:$P,$J:$J,J172)+SUMIFS($Q:$Q,$J:$J,J172),"")</f>
        <v>68.990000000000009</v>
      </c>
      <c r="S172" s="10">
        <v>68.989999999999995</v>
      </c>
      <c r="T172" s="11" t="str">
        <f t="shared" si="20"/>
        <v>Ok</v>
      </c>
      <c r="U172" s="12">
        <v>45848</v>
      </c>
      <c r="V172" s="10">
        <v>7.94</v>
      </c>
      <c r="W172" s="10" t="str">
        <f t="shared" si="16"/>
        <v>Short Paid</v>
      </c>
      <c r="X172" t="s">
        <v>470</v>
      </c>
      <c r="Y172" t="s">
        <v>29</v>
      </c>
      <c r="Z172">
        <v>100298</v>
      </c>
      <c r="AA172" t="s">
        <v>3105</v>
      </c>
      <c r="AB172" t="s">
        <v>3041</v>
      </c>
      <c r="AC172" s="9">
        <f t="shared" si="17"/>
        <v>1</v>
      </c>
      <c r="AD172" s="9" t="str">
        <f t="shared" si="18"/>
        <v>Ok</v>
      </c>
      <c r="AE172" s="11">
        <f t="shared" si="21"/>
        <v>0</v>
      </c>
    </row>
    <row r="173" spans="1:31" x14ac:dyDescent="0.3">
      <c r="A173">
        <v>128</v>
      </c>
      <c r="B173">
        <v>4431581</v>
      </c>
      <c r="C173" t="s">
        <v>239</v>
      </c>
      <c r="D173">
        <v>1309220</v>
      </c>
      <c r="E173" t="s">
        <v>638</v>
      </c>
      <c r="F173" t="s">
        <v>49</v>
      </c>
      <c r="G173" t="s">
        <v>2307</v>
      </c>
      <c r="H173" t="s">
        <v>2308</v>
      </c>
      <c r="I173" s="9" t="s">
        <v>3195</v>
      </c>
      <c r="J173" s="9">
        <v>51161441595</v>
      </c>
      <c r="K173" s="14" t="s">
        <v>3168</v>
      </c>
      <c r="L173" s="13" t="s">
        <v>3631</v>
      </c>
      <c r="M173" s="14">
        <v>6000</v>
      </c>
      <c r="N173" s="14">
        <v>2.1100000000000001E-2</v>
      </c>
      <c r="O173" s="10">
        <f t="shared" si="15"/>
        <v>126.60000000000001</v>
      </c>
      <c r="P173" s="11">
        <v>16.46</v>
      </c>
      <c r="Q173" s="11">
        <v>0</v>
      </c>
      <c r="R173" s="10">
        <f>IF(COUNTIF($J$2:J173,J173)=1,SUMIFS($O:$O,$J:$J,J173)+SUMIFS($P:$P,$J:$J,J173)+SUMIFS($Q:$Q,$J:$J,J173),"")</f>
        <v>143.06</v>
      </c>
      <c r="S173" s="10">
        <v>143.06</v>
      </c>
      <c r="T173" s="11" t="str">
        <f t="shared" si="20"/>
        <v>Ok</v>
      </c>
      <c r="U173" s="12">
        <v>45849</v>
      </c>
      <c r="V173" s="10">
        <v>16.46</v>
      </c>
      <c r="W173" s="10" t="str">
        <f t="shared" si="16"/>
        <v>Short Paid</v>
      </c>
      <c r="X173" t="s">
        <v>470</v>
      </c>
      <c r="Y173" t="s">
        <v>29</v>
      </c>
      <c r="Z173">
        <v>100298</v>
      </c>
      <c r="AA173" t="s">
        <v>3105</v>
      </c>
      <c r="AB173" t="s">
        <v>3041</v>
      </c>
      <c r="AC173" s="9">
        <f t="shared" si="17"/>
        <v>1</v>
      </c>
      <c r="AD173" s="9" t="str">
        <f t="shared" si="18"/>
        <v>Ok</v>
      </c>
      <c r="AE173" s="11">
        <f t="shared" si="21"/>
        <v>0</v>
      </c>
    </row>
    <row r="174" spans="1:31" x14ac:dyDescent="0.3">
      <c r="A174">
        <v>128</v>
      </c>
      <c r="B174">
        <v>4430801</v>
      </c>
      <c r="C174" t="s">
        <v>239</v>
      </c>
      <c r="D174">
        <v>1309220</v>
      </c>
      <c r="E174" t="s">
        <v>638</v>
      </c>
      <c r="F174" t="s">
        <v>49</v>
      </c>
      <c r="G174" t="s">
        <v>2309</v>
      </c>
      <c r="H174" t="s">
        <v>2310</v>
      </c>
      <c r="I174" s="9" t="s">
        <v>3484</v>
      </c>
      <c r="J174" s="9">
        <v>51164451844</v>
      </c>
      <c r="K174" s="14" t="s">
        <v>3168</v>
      </c>
      <c r="L174" s="13" t="s">
        <v>3677</v>
      </c>
      <c r="M174" s="14">
        <v>3000</v>
      </c>
      <c r="N174" s="14">
        <v>1.49E-2</v>
      </c>
      <c r="O174" s="10">
        <f t="shared" si="15"/>
        <v>44.7</v>
      </c>
      <c r="P174" s="11">
        <v>6.91</v>
      </c>
      <c r="Q174" s="11">
        <v>8.49</v>
      </c>
      <c r="R174" s="10">
        <f>IF(COUNTIF($J$2:J174,J174)=1,SUMIFS($O:$O,$J:$J,J174)+SUMIFS($P:$P,$J:$J,J174)+SUMIFS($Q:$Q,$J:$J,J174),"")</f>
        <v>60.1</v>
      </c>
      <c r="S174" s="10">
        <v>60.1</v>
      </c>
      <c r="T174" s="11" t="str">
        <f t="shared" si="20"/>
        <v>Ok</v>
      </c>
      <c r="U174" s="12">
        <v>45846</v>
      </c>
      <c r="V174" s="10">
        <v>6.91</v>
      </c>
      <c r="W174" s="10" t="str">
        <f t="shared" si="16"/>
        <v>Short Paid</v>
      </c>
      <c r="X174" t="s">
        <v>470</v>
      </c>
      <c r="Y174" t="s">
        <v>29</v>
      </c>
      <c r="Z174">
        <v>100298</v>
      </c>
      <c r="AA174" t="s">
        <v>3105</v>
      </c>
      <c r="AB174" t="s">
        <v>3041</v>
      </c>
      <c r="AC174" s="9">
        <f t="shared" si="17"/>
        <v>1</v>
      </c>
      <c r="AD174" s="9" t="str">
        <f t="shared" si="18"/>
        <v>Ok</v>
      </c>
      <c r="AE174" s="11">
        <f t="shared" si="21"/>
        <v>0</v>
      </c>
    </row>
    <row r="175" spans="1:31" x14ac:dyDescent="0.3">
      <c r="A175">
        <v>128</v>
      </c>
      <c r="B175">
        <v>4431291</v>
      </c>
      <c r="C175" t="s">
        <v>239</v>
      </c>
      <c r="D175">
        <v>1309220</v>
      </c>
      <c r="E175" t="s">
        <v>638</v>
      </c>
      <c r="F175" t="s">
        <v>49</v>
      </c>
      <c r="G175" t="s">
        <v>2311</v>
      </c>
      <c r="H175" t="s">
        <v>2312</v>
      </c>
      <c r="I175" s="9" t="s">
        <v>3224</v>
      </c>
      <c r="J175" s="9">
        <v>51162986566</v>
      </c>
      <c r="K175" s="14" t="s">
        <v>3168</v>
      </c>
      <c r="L175" s="13" t="s">
        <v>3679</v>
      </c>
      <c r="M175" s="14">
        <v>3000</v>
      </c>
      <c r="N175" s="14">
        <v>5.9499999999999997E-2</v>
      </c>
      <c r="O175" s="10">
        <f t="shared" si="15"/>
        <v>178.5</v>
      </c>
      <c r="P175" s="11">
        <v>23.21</v>
      </c>
      <c r="Q175" s="11">
        <v>0</v>
      </c>
      <c r="R175" s="10">
        <f>IF(COUNTIF($J$2:J175,J175)=1,SUMIFS($O:$O,$J:$J,J175)+SUMIFS($P:$P,$J:$J,J175)+SUMIFS($Q:$Q,$J:$J,J175),"")</f>
        <v>201.71</v>
      </c>
      <c r="S175" s="10">
        <v>201.71</v>
      </c>
      <c r="T175" s="11" t="str">
        <f t="shared" si="20"/>
        <v>Ok</v>
      </c>
      <c r="U175" s="12">
        <v>45852</v>
      </c>
      <c r="V175" s="10">
        <v>23.21</v>
      </c>
      <c r="W175" s="10" t="str">
        <f t="shared" si="16"/>
        <v>Short Paid</v>
      </c>
      <c r="X175" t="s">
        <v>470</v>
      </c>
      <c r="Y175" t="s">
        <v>29</v>
      </c>
      <c r="Z175">
        <v>100298</v>
      </c>
      <c r="AA175" t="s">
        <v>3105</v>
      </c>
      <c r="AB175" t="s">
        <v>3041</v>
      </c>
      <c r="AC175" s="9">
        <f t="shared" si="17"/>
        <v>1</v>
      </c>
      <c r="AD175" s="9" t="str">
        <f t="shared" si="18"/>
        <v>Ok</v>
      </c>
      <c r="AE175" s="11">
        <f t="shared" si="21"/>
        <v>0</v>
      </c>
    </row>
    <row r="176" spans="1:31" x14ac:dyDescent="0.3">
      <c r="A176">
        <v>128</v>
      </c>
      <c r="B176">
        <v>4430811</v>
      </c>
      <c r="C176" t="s">
        <v>239</v>
      </c>
      <c r="D176">
        <v>1309220</v>
      </c>
      <c r="E176" t="s">
        <v>638</v>
      </c>
      <c r="F176" t="s">
        <v>49</v>
      </c>
      <c r="G176" t="s">
        <v>2313</v>
      </c>
      <c r="H176" t="s">
        <v>2314</v>
      </c>
      <c r="I176" s="9" t="s">
        <v>3185</v>
      </c>
      <c r="J176" s="9">
        <v>51164533929</v>
      </c>
      <c r="K176" s="14" t="s">
        <v>3168</v>
      </c>
      <c r="L176" s="13" t="s">
        <v>3633</v>
      </c>
      <c r="M176" s="14">
        <v>10000</v>
      </c>
      <c r="N176" s="14">
        <v>3.3500000000000002E-2</v>
      </c>
      <c r="O176" s="10">
        <f t="shared" si="15"/>
        <v>335</v>
      </c>
      <c r="P176" s="11">
        <v>43.55</v>
      </c>
      <c r="Q176" s="11">
        <v>0</v>
      </c>
      <c r="R176" s="10">
        <f>IF(COUNTIF($J$2:J176,J176)=1,SUMIFS($O:$O,$J:$J,J176)+SUMIFS($P:$P,$J:$J,J176)+SUMIFS($Q:$Q,$J:$J,J176),"")</f>
        <v>378.55</v>
      </c>
      <c r="S176" s="10">
        <v>378.55</v>
      </c>
      <c r="T176" s="11" t="str">
        <f t="shared" si="20"/>
        <v>Ok</v>
      </c>
      <c r="U176" s="12">
        <v>45853</v>
      </c>
      <c r="V176" s="10">
        <v>43.55</v>
      </c>
      <c r="W176" s="10" t="str">
        <f t="shared" si="16"/>
        <v>Short Paid</v>
      </c>
      <c r="X176" t="s">
        <v>470</v>
      </c>
      <c r="Y176" t="s">
        <v>29</v>
      </c>
      <c r="Z176">
        <v>100298</v>
      </c>
      <c r="AA176" t="s">
        <v>3105</v>
      </c>
      <c r="AB176" t="s">
        <v>3041</v>
      </c>
      <c r="AC176" s="9">
        <f t="shared" si="17"/>
        <v>1</v>
      </c>
      <c r="AD176" s="9" t="str">
        <f t="shared" si="18"/>
        <v>Ok</v>
      </c>
      <c r="AE176" s="11">
        <f t="shared" si="21"/>
        <v>0</v>
      </c>
    </row>
    <row r="177" spans="1:31" x14ac:dyDescent="0.3">
      <c r="A177">
        <v>128</v>
      </c>
      <c r="B177">
        <v>4431821</v>
      </c>
      <c r="C177" t="s">
        <v>239</v>
      </c>
      <c r="D177">
        <v>1309220</v>
      </c>
      <c r="E177" t="s">
        <v>638</v>
      </c>
      <c r="F177" t="s">
        <v>49</v>
      </c>
      <c r="G177" t="s">
        <v>2315</v>
      </c>
      <c r="H177" t="s">
        <v>2316</v>
      </c>
      <c r="I177" s="9" t="s">
        <v>3419</v>
      </c>
      <c r="J177" s="9">
        <v>51160764718</v>
      </c>
      <c r="K177" s="14" t="s">
        <v>3168</v>
      </c>
      <c r="L177" s="13" t="s">
        <v>3633</v>
      </c>
      <c r="M177" s="14">
        <v>10000</v>
      </c>
      <c r="N177" s="14">
        <v>3.3500000000000002E-2</v>
      </c>
      <c r="O177" s="10">
        <f t="shared" si="15"/>
        <v>335</v>
      </c>
      <c r="P177" s="11">
        <v>43.55</v>
      </c>
      <c r="Q177" s="11">
        <v>0</v>
      </c>
      <c r="R177" s="10">
        <f>IF(COUNTIF($J$2:J177,J177)=1,SUMIFS($O:$O,$J:$J,J177)+SUMIFS($P:$P,$J:$J,J177)+SUMIFS($Q:$Q,$J:$J,J177),"")</f>
        <v>378.55</v>
      </c>
      <c r="S177" s="10">
        <v>378.55</v>
      </c>
      <c r="T177" s="11" t="str">
        <f t="shared" si="20"/>
        <v>Ok</v>
      </c>
      <c r="U177" s="12">
        <v>45848</v>
      </c>
      <c r="V177" s="10">
        <v>43.55</v>
      </c>
      <c r="W177" s="10" t="str">
        <f t="shared" si="16"/>
        <v>Short Paid</v>
      </c>
      <c r="X177" t="s">
        <v>470</v>
      </c>
      <c r="Y177" t="s">
        <v>29</v>
      </c>
      <c r="Z177">
        <v>100298</v>
      </c>
      <c r="AA177" t="s">
        <v>3105</v>
      </c>
      <c r="AB177" t="s">
        <v>3041</v>
      </c>
      <c r="AC177" s="9">
        <f t="shared" si="17"/>
        <v>1</v>
      </c>
      <c r="AD177" s="9" t="str">
        <f t="shared" si="18"/>
        <v>Ok</v>
      </c>
      <c r="AE177" s="11">
        <f t="shared" si="21"/>
        <v>0</v>
      </c>
    </row>
    <row r="178" spans="1:31" x14ac:dyDescent="0.3">
      <c r="A178">
        <v>128</v>
      </c>
      <c r="B178">
        <v>4430501</v>
      </c>
      <c r="C178" t="s">
        <v>239</v>
      </c>
      <c r="D178">
        <v>1309220</v>
      </c>
      <c r="E178" t="s">
        <v>638</v>
      </c>
      <c r="F178" t="s">
        <v>49</v>
      </c>
      <c r="G178" t="s">
        <v>2317</v>
      </c>
      <c r="H178" t="s">
        <v>2318</v>
      </c>
      <c r="I178" s="9" t="s">
        <v>3283</v>
      </c>
      <c r="J178" s="9">
        <v>51162635577</v>
      </c>
      <c r="K178" s="14" t="s">
        <v>3168</v>
      </c>
      <c r="L178" s="13" t="s">
        <v>3633</v>
      </c>
      <c r="M178" s="14">
        <v>10000</v>
      </c>
      <c r="N178" s="14">
        <v>3.3500000000000002E-2</v>
      </c>
      <c r="O178" s="10">
        <f t="shared" si="15"/>
        <v>335</v>
      </c>
      <c r="P178" s="11">
        <v>43.55</v>
      </c>
      <c r="Q178" s="11">
        <v>0</v>
      </c>
      <c r="R178" s="10">
        <f>IF(COUNTIF($J$2:J178,J178)=1,SUMIFS($O:$O,$J:$J,J178)+SUMIFS($P:$P,$J:$J,J178)+SUMIFS($Q:$Q,$J:$J,J178),"")</f>
        <v>378.55</v>
      </c>
      <c r="S178" s="10">
        <v>378.55</v>
      </c>
      <c r="T178" s="11" t="str">
        <f t="shared" si="20"/>
        <v>Ok</v>
      </c>
      <c r="U178" s="12">
        <v>45848</v>
      </c>
      <c r="V178" s="10">
        <v>43.55</v>
      </c>
      <c r="W178" s="10" t="str">
        <f t="shared" si="16"/>
        <v>Short Paid</v>
      </c>
      <c r="X178" t="s">
        <v>470</v>
      </c>
      <c r="Y178" t="s">
        <v>29</v>
      </c>
      <c r="Z178">
        <v>100298</v>
      </c>
      <c r="AA178" t="s">
        <v>3105</v>
      </c>
      <c r="AB178" t="s">
        <v>3041</v>
      </c>
      <c r="AC178" s="9">
        <f t="shared" si="17"/>
        <v>1</v>
      </c>
      <c r="AD178" s="9" t="str">
        <f t="shared" si="18"/>
        <v>Ok</v>
      </c>
      <c r="AE178" s="11">
        <f t="shared" si="21"/>
        <v>0</v>
      </c>
    </row>
    <row r="179" spans="1:31" x14ac:dyDescent="0.3">
      <c r="A179">
        <v>128</v>
      </c>
      <c r="B179">
        <v>4431281</v>
      </c>
      <c r="C179" t="s">
        <v>239</v>
      </c>
      <c r="D179">
        <v>1309220</v>
      </c>
      <c r="E179" t="s">
        <v>638</v>
      </c>
      <c r="F179" t="s">
        <v>49</v>
      </c>
      <c r="G179" t="s">
        <v>2319</v>
      </c>
      <c r="H179" t="s">
        <v>2320</v>
      </c>
      <c r="I179" s="9" t="s">
        <v>3412</v>
      </c>
      <c r="J179" s="9">
        <v>51164035935</v>
      </c>
      <c r="K179" s="14" t="s">
        <v>3168</v>
      </c>
      <c r="L179" s="13" t="s">
        <v>3631</v>
      </c>
      <c r="M179" s="14">
        <v>3000</v>
      </c>
      <c r="N179" s="14">
        <v>2.1100000000000001E-2</v>
      </c>
      <c r="O179" s="10">
        <f t="shared" si="15"/>
        <v>63.300000000000004</v>
      </c>
      <c r="P179" s="11">
        <v>8.23</v>
      </c>
      <c r="Q179" s="11">
        <v>0</v>
      </c>
      <c r="R179" s="10">
        <f>IF(COUNTIF($J$2:J179,J179)=1,SUMIFS($O:$O,$J:$J,J179)+SUMIFS($P:$P,$J:$J,J179)+SUMIFS($Q:$Q,$J:$J,J179),"")</f>
        <v>71.53</v>
      </c>
      <c r="S179" s="10">
        <v>71.53</v>
      </c>
      <c r="T179" s="11" t="str">
        <f t="shared" si="20"/>
        <v>Ok</v>
      </c>
      <c r="U179" s="12">
        <v>45847</v>
      </c>
      <c r="V179" s="10">
        <v>8.23</v>
      </c>
      <c r="W179" s="10" t="str">
        <f t="shared" si="16"/>
        <v>Short Paid</v>
      </c>
      <c r="X179" t="s">
        <v>470</v>
      </c>
      <c r="Y179" t="s">
        <v>29</v>
      </c>
      <c r="Z179">
        <v>100298</v>
      </c>
      <c r="AA179" t="s">
        <v>3105</v>
      </c>
      <c r="AB179" t="s">
        <v>3041</v>
      </c>
      <c r="AC179" s="9">
        <f t="shared" si="17"/>
        <v>1</v>
      </c>
      <c r="AD179" s="9" t="str">
        <f t="shared" si="18"/>
        <v>Ok</v>
      </c>
      <c r="AE179" s="11">
        <f t="shared" si="21"/>
        <v>0</v>
      </c>
    </row>
    <row r="180" spans="1:31" x14ac:dyDescent="0.3">
      <c r="A180">
        <v>128</v>
      </c>
      <c r="B180">
        <v>4431251</v>
      </c>
      <c r="C180" t="s">
        <v>239</v>
      </c>
      <c r="D180">
        <v>1309220</v>
      </c>
      <c r="E180" t="s">
        <v>638</v>
      </c>
      <c r="F180" t="s">
        <v>49</v>
      </c>
      <c r="G180" t="s">
        <v>2321</v>
      </c>
      <c r="H180" t="s">
        <v>2322</v>
      </c>
      <c r="I180" s="9" t="s">
        <v>3349</v>
      </c>
      <c r="J180" s="9">
        <v>51160693374</v>
      </c>
      <c r="K180" s="14" t="s">
        <v>3168</v>
      </c>
      <c r="L180" s="13" t="s">
        <v>3631</v>
      </c>
      <c r="M180" s="14">
        <v>3000</v>
      </c>
      <c r="N180" s="14">
        <v>2.1100000000000001E-2</v>
      </c>
      <c r="O180" s="10">
        <f t="shared" si="15"/>
        <v>63.300000000000004</v>
      </c>
      <c r="P180" s="11">
        <v>8.23</v>
      </c>
      <c r="Q180" s="11">
        <v>0</v>
      </c>
      <c r="R180" s="10">
        <f>IF(COUNTIF($J$2:J180,J180)=1,SUMIFS($O:$O,$J:$J,J180)+SUMIFS($P:$P,$J:$J,J180)+SUMIFS($Q:$Q,$J:$J,J180),"")</f>
        <v>71.53</v>
      </c>
      <c r="S180" s="10">
        <v>71.53</v>
      </c>
      <c r="T180" s="11" t="str">
        <f t="shared" si="20"/>
        <v>Ok</v>
      </c>
      <c r="U180" s="12">
        <v>45847</v>
      </c>
      <c r="V180" s="10">
        <v>8.23</v>
      </c>
      <c r="W180" s="10" t="str">
        <f t="shared" si="16"/>
        <v>Short Paid</v>
      </c>
      <c r="X180" t="s">
        <v>470</v>
      </c>
      <c r="Y180" t="s">
        <v>29</v>
      </c>
      <c r="Z180">
        <v>100298</v>
      </c>
      <c r="AA180" t="s">
        <v>3105</v>
      </c>
      <c r="AB180" t="s">
        <v>3041</v>
      </c>
      <c r="AC180" s="9">
        <f t="shared" si="17"/>
        <v>1</v>
      </c>
      <c r="AD180" s="9" t="str">
        <f t="shared" si="18"/>
        <v>Ok</v>
      </c>
      <c r="AE180" s="11">
        <f t="shared" si="21"/>
        <v>0</v>
      </c>
    </row>
    <row r="181" spans="1:31" x14ac:dyDescent="0.3">
      <c r="A181">
        <v>128</v>
      </c>
      <c r="B181">
        <v>4431471</v>
      </c>
      <c r="C181" t="s">
        <v>239</v>
      </c>
      <c r="D181">
        <v>1309220</v>
      </c>
      <c r="E181" t="s">
        <v>638</v>
      </c>
      <c r="F181" t="s">
        <v>49</v>
      </c>
      <c r="G181" t="s">
        <v>2323</v>
      </c>
      <c r="H181" t="s">
        <v>2324</v>
      </c>
      <c r="I181" s="9" t="s">
        <v>3395</v>
      </c>
      <c r="J181" s="9">
        <v>51164323373</v>
      </c>
      <c r="K181" s="14" t="s">
        <v>3168</v>
      </c>
      <c r="L181" s="13" t="s">
        <v>3631</v>
      </c>
      <c r="M181" s="14">
        <v>3000</v>
      </c>
      <c r="N181" s="14">
        <v>2.1100000000000001E-2</v>
      </c>
      <c r="O181" s="10">
        <f t="shared" si="15"/>
        <v>63.300000000000004</v>
      </c>
      <c r="P181" s="11">
        <v>8.23</v>
      </c>
      <c r="Q181" s="11">
        <v>0</v>
      </c>
      <c r="R181" s="10">
        <f>IF(COUNTIF($J$2:J181,J181)=1,SUMIFS($O:$O,$J:$J,J181)+SUMIFS($P:$P,$J:$J,J181)+SUMIFS($Q:$Q,$J:$J,J181),"")</f>
        <v>71.53</v>
      </c>
      <c r="S181" s="10">
        <v>71.53</v>
      </c>
      <c r="T181" s="11" t="str">
        <f t="shared" si="20"/>
        <v>Ok</v>
      </c>
      <c r="U181" s="12">
        <v>45833</v>
      </c>
      <c r="V181" s="10">
        <v>8.23</v>
      </c>
      <c r="W181" s="10" t="str">
        <f t="shared" si="16"/>
        <v>Short Paid</v>
      </c>
      <c r="X181" t="s">
        <v>470</v>
      </c>
      <c r="Y181" t="s">
        <v>29</v>
      </c>
      <c r="Z181">
        <v>100298</v>
      </c>
      <c r="AA181" t="s">
        <v>3105</v>
      </c>
      <c r="AB181" t="s">
        <v>3041</v>
      </c>
      <c r="AC181" s="9">
        <f t="shared" si="17"/>
        <v>1</v>
      </c>
      <c r="AD181" s="9" t="str">
        <f t="shared" si="18"/>
        <v>Ok</v>
      </c>
      <c r="AE181" s="11">
        <f t="shared" si="21"/>
        <v>0</v>
      </c>
    </row>
    <row r="182" spans="1:31" x14ac:dyDescent="0.3">
      <c r="A182">
        <v>128</v>
      </c>
      <c r="B182">
        <v>4431831</v>
      </c>
      <c r="C182" t="s">
        <v>239</v>
      </c>
      <c r="D182">
        <v>1309220</v>
      </c>
      <c r="E182" t="s">
        <v>638</v>
      </c>
      <c r="F182" t="s">
        <v>49</v>
      </c>
      <c r="G182" t="s">
        <v>2325</v>
      </c>
      <c r="H182" t="s">
        <v>2326</v>
      </c>
      <c r="I182" s="9" t="s">
        <v>3178</v>
      </c>
      <c r="J182" s="9">
        <v>51161139102</v>
      </c>
      <c r="K182" s="14" t="s">
        <v>3168</v>
      </c>
      <c r="L182" s="13" t="s">
        <v>3631</v>
      </c>
      <c r="M182" s="14">
        <v>3000</v>
      </c>
      <c r="N182" s="14">
        <v>2.1100000000000001E-2</v>
      </c>
      <c r="O182" s="10">
        <f t="shared" si="15"/>
        <v>63.300000000000004</v>
      </c>
      <c r="P182" s="11">
        <v>8.23</v>
      </c>
      <c r="Q182" s="11">
        <v>0</v>
      </c>
      <c r="R182" s="10">
        <f>IF(COUNTIF($J$2:J182,J182)=1,SUMIFS($O:$O,$J:$J,J182)+SUMIFS($P:$P,$J:$J,J182)+SUMIFS($Q:$Q,$J:$J,J182),"")</f>
        <v>71.53</v>
      </c>
      <c r="S182" s="10">
        <v>71.53</v>
      </c>
      <c r="T182" s="11" t="str">
        <f t="shared" si="20"/>
        <v>Ok</v>
      </c>
      <c r="U182" s="12">
        <v>45832</v>
      </c>
      <c r="V182" s="10">
        <v>8.23</v>
      </c>
      <c r="W182" s="10" t="str">
        <f t="shared" si="16"/>
        <v>Short Paid</v>
      </c>
      <c r="X182" t="s">
        <v>470</v>
      </c>
      <c r="Y182" t="s">
        <v>29</v>
      </c>
      <c r="Z182">
        <v>100298</v>
      </c>
      <c r="AA182" t="s">
        <v>3105</v>
      </c>
      <c r="AB182" t="s">
        <v>3041</v>
      </c>
      <c r="AC182" s="9">
        <f t="shared" si="17"/>
        <v>1</v>
      </c>
      <c r="AD182" s="9" t="str">
        <f t="shared" si="18"/>
        <v>Ok</v>
      </c>
      <c r="AE182" s="11">
        <f t="shared" si="21"/>
        <v>0</v>
      </c>
    </row>
    <row r="183" spans="1:31" x14ac:dyDescent="0.3">
      <c r="A183">
        <v>128</v>
      </c>
      <c r="B183">
        <v>4431881</v>
      </c>
      <c r="C183" t="s">
        <v>160</v>
      </c>
      <c r="D183">
        <v>1262308</v>
      </c>
      <c r="E183" t="s">
        <v>611</v>
      </c>
      <c r="F183" t="s">
        <v>18</v>
      </c>
      <c r="G183" t="s">
        <v>2327</v>
      </c>
      <c r="H183" t="s">
        <v>2328</v>
      </c>
      <c r="I183" s="9" t="s">
        <v>3435</v>
      </c>
      <c r="J183" s="9">
        <v>51161512381</v>
      </c>
      <c r="K183" s="14" t="s">
        <v>3650</v>
      </c>
      <c r="L183" s="13" t="s">
        <v>3664</v>
      </c>
      <c r="M183" s="14">
        <v>200</v>
      </c>
      <c r="N183" s="14">
        <v>24.36</v>
      </c>
      <c r="O183" s="10">
        <f t="shared" si="15"/>
        <v>4872</v>
      </c>
      <c r="P183" s="11">
        <v>0</v>
      </c>
      <c r="Q183" s="11">
        <v>0</v>
      </c>
      <c r="R183" s="10">
        <f>IF(COUNTIF($J$2:J183,J183)=1,SUMIFS($O:$O,$J:$J,J183)+SUMIFS($P:$P,$J:$J,J183)+SUMIFS($Q:$Q,$J:$J,J183),"")</f>
        <v>4872</v>
      </c>
      <c r="S183" s="10">
        <v>4872</v>
      </c>
      <c r="T183" s="11" t="str">
        <f t="shared" si="20"/>
        <v>Ok</v>
      </c>
      <c r="U183" s="12">
        <v>45960</v>
      </c>
      <c r="V183" s="10">
        <v>632</v>
      </c>
      <c r="W183" s="10" t="str">
        <f t="shared" si="16"/>
        <v>Short Paid</v>
      </c>
      <c r="X183" t="s">
        <v>453</v>
      </c>
      <c r="Y183" t="s">
        <v>28</v>
      </c>
      <c r="Z183">
        <v>100204</v>
      </c>
      <c r="AA183" t="s">
        <v>500</v>
      </c>
      <c r="AB183" t="s">
        <v>523</v>
      </c>
      <c r="AC183" s="9">
        <f t="shared" si="17"/>
        <v>1</v>
      </c>
      <c r="AD183" s="9" t="str">
        <f t="shared" si="18"/>
        <v>Ok</v>
      </c>
      <c r="AE183" s="11">
        <f t="shared" si="21"/>
        <v>0</v>
      </c>
    </row>
    <row r="184" spans="1:31" x14ac:dyDescent="0.3">
      <c r="A184">
        <v>128</v>
      </c>
      <c r="B184">
        <v>4430941</v>
      </c>
      <c r="C184" t="s">
        <v>240</v>
      </c>
      <c r="D184">
        <v>1273516</v>
      </c>
      <c r="E184" t="s">
        <v>654</v>
      </c>
      <c r="F184" t="s">
        <v>20</v>
      </c>
      <c r="G184" t="s">
        <v>2329</v>
      </c>
      <c r="H184" t="s">
        <v>2330</v>
      </c>
      <c r="I184" s="9" t="s">
        <v>3376</v>
      </c>
      <c r="J184" s="9">
        <v>51163563959</v>
      </c>
      <c r="K184" s="14" t="s">
        <v>3165</v>
      </c>
      <c r="L184" s="13" t="s">
        <v>3290</v>
      </c>
      <c r="M184" s="14">
        <v>1</v>
      </c>
      <c r="N184" s="14">
        <v>2308.8000000000002</v>
      </c>
      <c r="O184" s="10">
        <f t="shared" si="15"/>
        <v>2308.8000000000002</v>
      </c>
      <c r="P184" s="11">
        <v>0</v>
      </c>
      <c r="Q184" s="11">
        <v>0</v>
      </c>
      <c r="R184" s="10">
        <f>IF(COUNTIF($J$2:J184,J184)=1,SUMIFS($O:$O,$J:$J,J184)+SUMIFS($P:$P,$J:$J,J184)+SUMIFS($Q:$Q,$J:$J,J184),"")</f>
        <v>2308.8000000000002</v>
      </c>
      <c r="S184" s="10">
        <v>3463.2</v>
      </c>
      <c r="T184" s="11" t="str">
        <f t="shared" si="20"/>
        <v>Check</v>
      </c>
      <c r="U184" s="12">
        <v>45992</v>
      </c>
      <c r="V184" s="10">
        <v>3463.2</v>
      </c>
      <c r="W184" s="10" t="str">
        <f t="shared" si="16"/>
        <v>Not Paid</v>
      </c>
      <c r="X184" t="s">
        <v>478</v>
      </c>
      <c r="Y184" t="s">
        <v>28</v>
      </c>
      <c r="Z184">
        <v>100242</v>
      </c>
      <c r="AA184" t="s">
        <v>3096</v>
      </c>
      <c r="AB184" t="s">
        <v>521</v>
      </c>
      <c r="AC184" s="9">
        <f t="shared" si="17"/>
        <v>1</v>
      </c>
      <c r="AD184" s="9" t="str">
        <f t="shared" si="18"/>
        <v>Check</v>
      </c>
      <c r="AE184" s="11">
        <f t="shared" si="21"/>
        <v>-1154.3999999999996</v>
      </c>
    </row>
    <row r="185" spans="1:31" x14ac:dyDescent="0.3">
      <c r="A185">
        <v>128</v>
      </c>
      <c r="B185">
        <v>4432841</v>
      </c>
      <c r="C185" t="s">
        <v>240</v>
      </c>
      <c r="D185">
        <v>1273516</v>
      </c>
      <c r="E185" t="s">
        <v>654</v>
      </c>
      <c r="F185" t="s">
        <v>20</v>
      </c>
      <c r="G185" t="s">
        <v>2331</v>
      </c>
      <c r="H185" t="s">
        <v>2332</v>
      </c>
      <c r="I185" s="9" t="s">
        <v>3195</v>
      </c>
      <c r="J185" s="9">
        <v>50117981978</v>
      </c>
      <c r="K185" s="14" t="s">
        <v>3165</v>
      </c>
      <c r="L185" s="13" t="s">
        <v>3290</v>
      </c>
      <c r="M185" s="14">
        <v>1</v>
      </c>
      <c r="N185" s="14">
        <v>481</v>
      </c>
      <c r="O185" s="10">
        <f t="shared" si="15"/>
        <v>481</v>
      </c>
      <c r="P185" s="11">
        <v>0</v>
      </c>
      <c r="Q185" s="11">
        <v>0</v>
      </c>
      <c r="R185" s="10">
        <f>IF(COUNTIF($J$2:J185,J185)=1,SUMIFS($O:$O,$J:$J,J185)+SUMIFS($P:$P,$J:$J,J185)+SUMIFS($Q:$Q,$J:$J,J185),"")</f>
        <v>481</v>
      </c>
      <c r="S185" s="10">
        <v>2308.8000000000002</v>
      </c>
      <c r="T185" s="11" t="str">
        <f t="shared" si="20"/>
        <v>Check</v>
      </c>
      <c r="U185" s="12">
        <v>45992</v>
      </c>
      <c r="V185" s="10">
        <v>2308.8000000000002</v>
      </c>
      <c r="W185" s="10" t="str">
        <f t="shared" si="16"/>
        <v>Not Paid</v>
      </c>
      <c r="X185" t="s">
        <v>478</v>
      </c>
      <c r="Y185" t="s">
        <v>28</v>
      </c>
      <c r="Z185">
        <v>100272</v>
      </c>
      <c r="AA185" t="s">
        <v>3084</v>
      </c>
      <c r="AB185" t="s">
        <v>521</v>
      </c>
      <c r="AC185" s="9">
        <f t="shared" si="17"/>
        <v>1</v>
      </c>
      <c r="AD185" s="9" t="str">
        <f t="shared" si="18"/>
        <v>Check</v>
      </c>
      <c r="AE185" s="11">
        <f t="shared" si="21"/>
        <v>-1827.8000000000002</v>
      </c>
    </row>
    <row r="186" spans="1:31" x14ac:dyDescent="0.3">
      <c r="A186">
        <v>128</v>
      </c>
      <c r="B186">
        <v>4432831</v>
      </c>
      <c r="C186" t="s">
        <v>240</v>
      </c>
      <c r="D186">
        <v>1023669</v>
      </c>
      <c r="E186" t="s">
        <v>655</v>
      </c>
      <c r="F186" t="s">
        <v>17</v>
      </c>
      <c r="G186" t="s">
        <v>2333</v>
      </c>
      <c r="H186" t="s">
        <v>2334</v>
      </c>
      <c r="I186" s="9" t="s">
        <v>3287</v>
      </c>
      <c r="J186" s="9">
        <v>50117981977</v>
      </c>
      <c r="K186" s="14" t="s">
        <v>3289</v>
      </c>
      <c r="L186" s="13" t="s">
        <v>3288</v>
      </c>
      <c r="M186" s="14">
        <v>1046</v>
      </c>
      <c r="N186" s="14">
        <v>1.8044400000000003</v>
      </c>
      <c r="O186" s="10">
        <f t="shared" si="15"/>
        <v>1887.4442400000003</v>
      </c>
      <c r="P186" s="11">
        <v>0</v>
      </c>
      <c r="Q186" s="11">
        <v>0</v>
      </c>
      <c r="R186" s="10">
        <f>IF(COUNTIF($J$2:J186,J186)=1,SUMIFS($O:$O,$J:$J,J186)+SUMIFS($P:$P,$J:$J,J186)+SUMIFS($Q:$Q,$J:$J,J186),"")</f>
        <v>1887.4442400000003</v>
      </c>
      <c r="S186" s="10">
        <v>1887.45</v>
      </c>
      <c r="T186" s="11" t="str">
        <f t="shared" si="20"/>
        <v>Check</v>
      </c>
      <c r="U186" s="12">
        <v>45845</v>
      </c>
      <c r="V186" s="10">
        <v>1887.45</v>
      </c>
      <c r="W186" s="10" t="str">
        <f t="shared" si="16"/>
        <v>Not Paid</v>
      </c>
      <c r="X186" t="s">
        <v>453</v>
      </c>
      <c r="Y186" t="s">
        <v>436</v>
      </c>
      <c r="Z186">
        <v>100254</v>
      </c>
      <c r="AA186" t="s">
        <v>505</v>
      </c>
      <c r="AB186" t="s">
        <v>528</v>
      </c>
      <c r="AC186" s="9">
        <f t="shared" si="17"/>
        <v>1</v>
      </c>
      <c r="AD186" s="9" t="str">
        <f t="shared" si="18"/>
        <v>Check</v>
      </c>
      <c r="AE186" s="11">
        <f t="shared" si="21"/>
        <v>-5.7599999997819396E-3</v>
      </c>
    </row>
    <row r="187" spans="1:31" x14ac:dyDescent="0.3">
      <c r="A187">
        <v>127</v>
      </c>
      <c r="B187">
        <v>4433001</v>
      </c>
      <c r="C187" t="s">
        <v>160</v>
      </c>
      <c r="D187">
        <v>1139721</v>
      </c>
      <c r="E187" t="s">
        <v>547</v>
      </c>
      <c r="F187" t="s">
        <v>18</v>
      </c>
      <c r="G187" t="s">
        <v>2335</v>
      </c>
      <c r="H187" t="s">
        <v>2336</v>
      </c>
      <c r="I187" s="9" t="s">
        <v>3221</v>
      </c>
      <c r="J187" s="9">
        <v>51163795035</v>
      </c>
      <c r="K187" s="14" t="s">
        <v>3171</v>
      </c>
      <c r="L187" s="13" t="s">
        <v>3299</v>
      </c>
      <c r="M187" s="14">
        <v>50</v>
      </c>
      <c r="N187" s="14">
        <v>156.86000000000001</v>
      </c>
      <c r="O187" s="10">
        <f t="shared" si="15"/>
        <v>7843.0000000000009</v>
      </c>
      <c r="P187" s="11">
        <v>0</v>
      </c>
      <c r="Q187" s="11">
        <v>0</v>
      </c>
      <c r="R187" s="10">
        <f>IF(COUNTIF($J$2:J187,J187)=1,SUMIFS($O:$O,$J:$J,J187)+SUMIFS($P:$P,$J:$J,J187)+SUMIFS($Q:$Q,$J:$J,J187),"")</f>
        <v>7843.0000000000009</v>
      </c>
      <c r="S187" s="10">
        <v>7843</v>
      </c>
      <c r="T187" s="11" t="str">
        <f t="shared" si="20"/>
        <v>Ok</v>
      </c>
      <c r="U187" s="12">
        <v>45962</v>
      </c>
      <c r="V187" s="10">
        <v>170.17</v>
      </c>
      <c r="W187" s="10" t="str">
        <f t="shared" si="16"/>
        <v>Short Paid</v>
      </c>
      <c r="X187" t="s">
        <v>455</v>
      </c>
      <c r="Y187" t="s">
        <v>28</v>
      </c>
      <c r="Z187">
        <v>100120</v>
      </c>
      <c r="AA187" t="s">
        <v>460</v>
      </c>
      <c r="AB187" t="s">
        <v>523</v>
      </c>
      <c r="AC187" s="9">
        <f t="shared" si="17"/>
        <v>1</v>
      </c>
      <c r="AD187" s="9" t="str">
        <f t="shared" si="18"/>
        <v>Ok</v>
      </c>
      <c r="AE187" s="11">
        <f t="shared" si="21"/>
        <v>0</v>
      </c>
    </row>
    <row r="188" spans="1:31" x14ac:dyDescent="0.3">
      <c r="A188">
        <v>127</v>
      </c>
      <c r="B188">
        <v>4432991</v>
      </c>
      <c r="C188" t="s">
        <v>217</v>
      </c>
      <c r="D188">
        <v>1200599</v>
      </c>
      <c r="E188" t="s">
        <v>656</v>
      </c>
      <c r="F188" t="s">
        <v>19</v>
      </c>
      <c r="G188" t="s">
        <v>2337</v>
      </c>
      <c r="H188" t="s">
        <v>2338</v>
      </c>
      <c r="I188" s="9" t="s">
        <v>3218</v>
      </c>
      <c r="J188" s="9">
        <v>51163072744</v>
      </c>
      <c r="K188" s="14" t="s">
        <v>3572</v>
      </c>
      <c r="L188" s="13" t="s">
        <v>3571</v>
      </c>
      <c r="M188" s="14">
        <v>1</v>
      </c>
      <c r="N188" s="14">
        <v>1530</v>
      </c>
      <c r="O188" s="10">
        <f t="shared" si="15"/>
        <v>1530</v>
      </c>
      <c r="P188" s="11">
        <v>0</v>
      </c>
      <c r="Q188" s="11">
        <v>0</v>
      </c>
      <c r="R188" s="10">
        <f>IF(COUNTIF($J$2:J188,J188)=1,SUMIFS($O:$O,$J:$J,J188)+SUMIFS($P:$P,$J:$J,J188)+SUMIFS($Q:$Q,$J:$J,J188),"")</f>
        <v>1530</v>
      </c>
      <c r="S188" s="10">
        <v>1530</v>
      </c>
      <c r="T188" s="11" t="str">
        <f t="shared" si="20"/>
        <v>Ok</v>
      </c>
      <c r="U188" s="12">
        <v>45944</v>
      </c>
      <c r="V188" s="10">
        <v>1530</v>
      </c>
      <c r="W188" s="10" t="str">
        <f t="shared" si="16"/>
        <v>Not Paid</v>
      </c>
      <c r="X188" t="s">
        <v>450</v>
      </c>
      <c r="Y188" t="s">
        <v>28</v>
      </c>
      <c r="Z188">
        <v>100157</v>
      </c>
      <c r="AA188" t="s">
        <v>3124</v>
      </c>
      <c r="AB188" t="s">
        <v>524</v>
      </c>
      <c r="AC188" s="9">
        <f t="shared" si="17"/>
        <v>1</v>
      </c>
      <c r="AD188" s="9" t="str">
        <f t="shared" si="18"/>
        <v>Ok</v>
      </c>
      <c r="AE188" s="11">
        <f t="shared" si="21"/>
        <v>0</v>
      </c>
    </row>
    <row r="189" spans="1:31" x14ac:dyDescent="0.3">
      <c r="A189">
        <v>127</v>
      </c>
      <c r="B189">
        <v>4432871</v>
      </c>
      <c r="C189" t="s">
        <v>217</v>
      </c>
      <c r="D189">
        <v>1200599</v>
      </c>
      <c r="E189" t="s">
        <v>656</v>
      </c>
      <c r="F189" t="s">
        <v>19</v>
      </c>
      <c r="G189" t="s">
        <v>2339</v>
      </c>
      <c r="H189" t="s">
        <v>2340</v>
      </c>
      <c r="I189" s="9" t="s">
        <v>3525</v>
      </c>
      <c r="J189" s="9">
        <v>51156984673</v>
      </c>
      <c r="K189" s="14" t="s">
        <v>3572</v>
      </c>
      <c r="L189" s="13" t="s">
        <v>3571</v>
      </c>
      <c r="M189" s="14">
        <v>1</v>
      </c>
      <c r="N189" s="14">
        <v>3060</v>
      </c>
      <c r="O189" s="10">
        <f t="shared" si="15"/>
        <v>3060</v>
      </c>
      <c r="P189" s="11">
        <v>0</v>
      </c>
      <c r="Q189" s="11">
        <v>0</v>
      </c>
      <c r="R189" s="10">
        <f>IF(COUNTIF($J$2:J189,J189)=1,SUMIFS($O:$O,$J:$J,J189)+SUMIFS($P:$P,$J:$J,J189)+SUMIFS($Q:$Q,$J:$J,J189),"")</f>
        <v>3060</v>
      </c>
      <c r="S189" s="10">
        <v>3060</v>
      </c>
      <c r="T189" s="11" t="str">
        <f t="shared" si="20"/>
        <v>Ok</v>
      </c>
      <c r="U189" s="12">
        <v>45947</v>
      </c>
      <c r="V189" s="10">
        <v>3060</v>
      </c>
      <c r="W189" s="10" t="str">
        <f t="shared" si="16"/>
        <v>Not Paid</v>
      </c>
      <c r="X189" t="s">
        <v>450</v>
      </c>
      <c r="Y189" t="s">
        <v>28</v>
      </c>
      <c r="Z189">
        <v>100167</v>
      </c>
      <c r="AA189" t="s">
        <v>499</v>
      </c>
      <c r="AB189" t="s">
        <v>524</v>
      </c>
      <c r="AC189" s="9">
        <f t="shared" si="17"/>
        <v>1</v>
      </c>
      <c r="AD189" s="9" t="str">
        <f t="shared" si="18"/>
        <v>Ok</v>
      </c>
      <c r="AE189" s="11">
        <f t="shared" si="21"/>
        <v>0</v>
      </c>
    </row>
    <row r="190" spans="1:31" x14ac:dyDescent="0.3">
      <c r="A190">
        <v>127</v>
      </c>
      <c r="B190">
        <v>4432801</v>
      </c>
      <c r="C190" t="s">
        <v>220</v>
      </c>
      <c r="D190">
        <v>1040246</v>
      </c>
      <c r="E190" t="s">
        <v>558</v>
      </c>
      <c r="F190" t="s">
        <v>19</v>
      </c>
      <c r="G190" t="s">
        <v>2341</v>
      </c>
      <c r="H190" t="s">
        <v>2342</v>
      </c>
      <c r="I190" s="9" t="s">
        <v>3444</v>
      </c>
      <c r="J190" s="9">
        <v>51162890242</v>
      </c>
      <c r="K190" s="14">
        <v>36586</v>
      </c>
      <c r="L190" s="13" t="s">
        <v>3722</v>
      </c>
      <c r="M190" s="14">
        <v>320</v>
      </c>
      <c r="N190" s="14">
        <v>22.19</v>
      </c>
      <c r="O190" s="10">
        <f t="shared" si="15"/>
        <v>7100.8</v>
      </c>
      <c r="P190" s="11">
        <v>0</v>
      </c>
      <c r="Q190" s="11">
        <v>0</v>
      </c>
      <c r="R190" s="10">
        <f>IF(COUNTIF($J$2:J190,J190)=1,SUMIFS($O:$O,$J:$J,J190)+SUMIFS($P:$P,$J:$J,J190)+SUMIFS($Q:$Q,$J:$J,J190),"")</f>
        <v>7100.8</v>
      </c>
      <c r="S190" s="10">
        <v>7100.8</v>
      </c>
      <c r="T190" s="11" t="str">
        <f t="shared" si="20"/>
        <v>Ok</v>
      </c>
      <c r="U190" s="12">
        <v>45961</v>
      </c>
      <c r="V190" s="10">
        <v>7100.8</v>
      </c>
      <c r="W190" s="10" t="str">
        <f t="shared" si="16"/>
        <v>Not Paid</v>
      </c>
      <c r="X190" t="s">
        <v>435</v>
      </c>
      <c r="Y190" t="s">
        <v>28</v>
      </c>
      <c r="Z190">
        <v>100111</v>
      </c>
      <c r="AA190" t="s">
        <v>3045</v>
      </c>
      <c r="AB190" t="s">
        <v>524</v>
      </c>
      <c r="AC190" s="9">
        <f t="shared" si="17"/>
        <v>1</v>
      </c>
      <c r="AD190" s="9" t="str">
        <f t="shared" si="18"/>
        <v>Ok</v>
      </c>
      <c r="AE190" s="11">
        <f t="shared" si="21"/>
        <v>0</v>
      </c>
    </row>
    <row r="191" spans="1:31" x14ac:dyDescent="0.3">
      <c r="A191">
        <v>126</v>
      </c>
      <c r="B191">
        <v>4432781</v>
      </c>
      <c r="C191" t="s">
        <v>160</v>
      </c>
      <c r="D191">
        <v>1443616</v>
      </c>
      <c r="E191" t="s">
        <v>285</v>
      </c>
      <c r="F191" t="s">
        <v>20</v>
      </c>
      <c r="G191" t="s">
        <v>2349</v>
      </c>
      <c r="H191" t="s">
        <v>2350</v>
      </c>
      <c r="I191" s="9" t="s">
        <v>3419</v>
      </c>
      <c r="J191" s="9">
        <v>51152435099</v>
      </c>
      <c r="K191" s="14" t="s">
        <v>3168</v>
      </c>
      <c r="L191" s="13" t="s">
        <v>3282</v>
      </c>
      <c r="M191" s="14">
        <v>6000</v>
      </c>
      <c r="N191" s="14">
        <v>4.5809999999999997E-2</v>
      </c>
      <c r="O191" s="10">
        <f t="shared" si="15"/>
        <v>274.85999999999996</v>
      </c>
      <c r="P191" s="11">
        <v>0</v>
      </c>
      <c r="Q191" s="11">
        <v>0</v>
      </c>
      <c r="R191" s="10">
        <f>IF(COUNTIF($J$2:J191,J191)=1,SUMIFS($O:$O,$J:$J,J191)+SUMIFS($P:$P,$J:$J,J191)+SUMIFS($Q:$Q,$J:$J,J191),"")</f>
        <v>274.85999999999996</v>
      </c>
      <c r="S191" s="10">
        <v>274.86</v>
      </c>
      <c r="T191" s="11" t="str">
        <f t="shared" si="20"/>
        <v>Ok</v>
      </c>
      <c r="U191" s="12">
        <v>46035</v>
      </c>
      <c r="V191" s="10">
        <v>274.86</v>
      </c>
      <c r="W191" s="10" t="str">
        <f t="shared" si="16"/>
        <v>Not Paid</v>
      </c>
      <c r="X191" t="s">
        <v>435</v>
      </c>
      <c r="Y191" t="s">
        <v>28</v>
      </c>
      <c r="Z191">
        <v>100121</v>
      </c>
      <c r="AA191" t="s">
        <v>3056</v>
      </c>
      <c r="AB191" t="s">
        <v>521</v>
      </c>
      <c r="AC191" s="9">
        <f t="shared" si="17"/>
        <v>1</v>
      </c>
      <c r="AD191" s="9" t="str">
        <f t="shared" si="18"/>
        <v>Ok</v>
      </c>
      <c r="AE191" s="11">
        <f t="shared" ref="AE191:AE217" si="22">R191-S191</f>
        <v>0</v>
      </c>
    </row>
    <row r="192" spans="1:31" x14ac:dyDescent="0.3">
      <c r="A192">
        <v>126</v>
      </c>
      <c r="B192">
        <v>4436431</v>
      </c>
      <c r="C192" t="s">
        <v>239</v>
      </c>
      <c r="D192">
        <v>1035325</v>
      </c>
      <c r="E192" t="s">
        <v>556</v>
      </c>
      <c r="F192" t="s">
        <v>20</v>
      </c>
      <c r="G192" t="s">
        <v>2351</v>
      </c>
      <c r="H192" t="s">
        <v>2352</v>
      </c>
      <c r="I192" s="9" t="s">
        <v>3525</v>
      </c>
      <c r="J192" s="9">
        <v>51163233623</v>
      </c>
      <c r="K192" s="14" t="s">
        <v>3429</v>
      </c>
      <c r="L192" s="13" t="s">
        <v>3735</v>
      </c>
      <c r="M192" s="14">
        <v>59</v>
      </c>
      <c r="N192" s="14">
        <v>0.217</v>
      </c>
      <c r="O192" s="10">
        <f t="shared" si="15"/>
        <v>12.802999999999999</v>
      </c>
      <c r="P192" s="11">
        <v>0</v>
      </c>
      <c r="Q192" s="11">
        <v>0</v>
      </c>
      <c r="R192" s="10">
        <f>IF(COUNTIF($J$2:J192,J192)=1,SUMIFS($O:$O,$J:$J,J192)+SUMIFS($P:$P,$J:$J,J192)+SUMIFS($Q:$Q,$J:$J,J192),"")</f>
        <v>12.802999999999999</v>
      </c>
      <c r="S192" s="10">
        <v>12.8</v>
      </c>
      <c r="T192" s="11" t="str">
        <f t="shared" si="20"/>
        <v>Check</v>
      </c>
      <c r="U192" s="12">
        <v>45979</v>
      </c>
      <c r="V192" s="10">
        <v>12.8</v>
      </c>
      <c r="W192" s="10" t="str">
        <f t="shared" si="16"/>
        <v>Not Paid</v>
      </c>
      <c r="X192" t="s">
        <v>476</v>
      </c>
      <c r="Y192" t="s">
        <v>28</v>
      </c>
      <c r="Z192">
        <v>100165</v>
      </c>
      <c r="AA192" t="s">
        <v>3100</v>
      </c>
      <c r="AB192" t="s">
        <v>521</v>
      </c>
      <c r="AC192" s="9">
        <f t="shared" si="17"/>
        <v>1</v>
      </c>
      <c r="AD192" s="9" t="str">
        <f t="shared" si="18"/>
        <v>Check</v>
      </c>
      <c r="AE192" s="11">
        <f t="shared" si="22"/>
        <v>2.9999999999983373E-3</v>
      </c>
    </row>
    <row r="193" spans="1:31" x14ac:dyDescent="0.3">
      <c r="A193">
        <v>125</v>
      </c>
      <c r="B193">
        <v>4432451</v>
      </c>
      <c r="C193" t="s">
        <v>240</v>
      </c>
      <c r="D193">
        <v>1358046</v>
      </c>
      <c r="E193" t="s">
        <v>657</v>
      </c>
      <c r="F193" t="s">
        <v>49</v>
      </c>
      <c r="G193" t="s">
        <v>2353</v>
      </c>
      <c r="H193" t="s">
        <v>2354</v>
      </c>
      <c r="I193" s="9" t="s">
        <v>3200</v>
      </c>
      <c r="J193" s="9">
        <v>51152461068</v>
      </c>
      <c r="K193" s="14" t="s">
        <v>3370</v>
      </c>
      <c r="L193" s="13" t="s">
        <v>3522</v>
      </c>
      <c r="M193" s="14">
        <v>12000</v>
      </c>
      <c r="N193" s="14">
        <v>1.11E-2</v>
      </c>
      <c r="O193" s="10">
        <f t="shared" si="15"/>
        <v>133.20000000000002</v>
      </c>
      <c r="P193" s="11">
        <v>17.32</v>
      </c>
      <c r="Q193" s="11">
        <v>25.31</v>
      </c>
      <c r="R193" s="10">
        <f>IF(COUNTIF($J$2:J193,J193)=1,SUMIFS($O:$O,$J:$J,J193)+SUMIFS($P:$P,$J:$J,J193)+SUMIFS($Q:$Q,$J:$J,J193),"")</f>
        <v>175.83</v>
      </c>
      <c r="S193" s="10">
        <v>175.83</v>
      </c>
      <c r="T193" s="11" t="str">
        <f t="shared" si="20"/>
        <v>Ok</v>
      </c>
      <c r="U193" s="12">
        <v>45821</v>
      </c>
      <c r="V193" s="10">
        <v>17.32</v>
      </c>
      <c r="W193" s="10" t="str">
        <f t="shared" si="16"/>
        <v>Short Paid</v>
      </c>
      <c r="X193" t="s">
        <v>478</v>
      </c>
      <c r="Y193" t="s">
        <v>29</v>
      </c>
      <c r="Z193">
        <v>100292</v>
      </c>
      <c r="AA193" t="s">
        <v>3122</v>
      </c>
      <c r="AB193" t="s">
        <v>3041</v>
      </c>
      <c r="AC193" s="9">
        <f t="shared" si="17"/>
        <v>1</v>
      </c>
      <c r="AD193" s="9" t="str">
        <f t="shared" si="18"/>
        <v>Ok</v>
      </c>
      <c r="AE193" s="11">
        <f t="shared" si="22"/>
        <v>0</v>
      </c>
    </row>
    <row r="194" spans="1:31" x14ac:dyDescent="0.3">
      <c r="A194">
        <v>125</v>
      </c>
      <c r="B194">
        <v>4433011</v>
      </c>
      <c r="C194" t="s">
        <v>160</v>
      </c>
      <c r="D194">
        <v>1469829</v>
      </c>
      <c r="E194" t="s">
        <v>224</v>
      </c>
      <c r="F194" t="s">
        <v>20</v>
      </c>
      <c r="G194" t="s">
        <v>2355</v>
      </c>
      <c r="H194" t="s">
        <v>2356</v>
      </c>
      <c r="I194" s="9" t="s">
        <v>3256</v>
      </c>
      <c r="J194" s="9">
        <v>51164218757</v>
      </c>
      <c r="K194" s="14" t="s">
        <v>3177</v>
      </c>
      <c r="L194" s="13" t="s">
        <v>3775</v>
      </c>
      <c r="M194" s="14">
        <v>4000</v>
      </c>
      <c r="N194" s="14">
        <v>3.7999999999999999E-2</v>
      </c>
      <c r="O194" s="10">
        <f t="shared" ref="O194:O257" si="23">M194*N194</f>
        <v>152</v>
      </c>
      <c r="P194" s="11">
        <v>0</v>
      </c>
      <c r="Q194" s="11">
        <v>0</v>
      </c>
      <c r="R194" s="10">
        <f>IF(COUNTIF($J$2:J194,J194)=1,SUMIFS($O:$O,$J:$J,J194)+SUMIFS($P:$P,$J:$J,J194)+SUMIFS($Q:$Q,$J:$J,J194),"")</f>
        <v>152</v>
      </c>
      <c r="S194" s="10">
        <v>152</v>
      </c>
      <c r="T194" s="11" t="str">
        <f t="shared" si="20"/>
        <v>Ok</v>
      </c>
      <c r="U194" s="12">
        <v>46008</v>
      </c>
      <c r="V194" s="10">
        <v>128</v>
      </c>
      <c r="W194" s="10" t="str">
        <f t="shared" ref="W194:W257" si="24">IF(OR(S194="",V194=""),"N/A",IF(S194&lt;&gt;V194,"Short Paid","Not Paid"))</f>
        <v>Short Paid</v>
      </c>
      <c r="X194" t="s">
        <v>470</v>
      </c>
      <c r="Y194" t="s">
        <v>28</v>
      </c>
      <c r="Z194">
        <v>100288</v>
      </c>
      <c r="AA194" t="s">
        <v>471</v>
      </c>
      <c r="AB194" t="s">
        <v>521</v>
      </c>
      <c r="AC194" s="9">
        <f t="shared" ref="AC194:AC257" si="25">COUNTIF(J:J,J194)</f>
        <v>1</v>
      </c>
      <c r="AD194" s="9" t="str">
        <f t="shared" ref="AD194:AD257" si="26">IF(AND(R194="",S194=""),"N/A",IF(R194=S194,"Ok","Check"))</f>
        <v>Ok</v>
      </c>
      <c r="AE194" s="11">
        <f t="shared" si="22"/>
        <v>0</v>
      </c>
    </row>
    <row r="195" spans="1:31" x14ac:dyDescent="0.3">
      <c r="A195">
        <v>123</v>
      </c>
      <c r="B195">
        <v>4430961</v>
      </c>
      <c r="C195" t="s">
        <v>240</v>
      </c>
      <c r="D195">
        <v>1004941</v>
      </c>
      <c r="E195" t="s">
        <v>658</v>
      </c>
      <c r="F195" t="s">
        <v>19</v>
      </c>
      <c r="G195" t="s">
        <v>2357</v>
      </c>
      <c r="H195" t="s">
        <v>2358</v>
      </c>
      <c r="I195" s="9" t="s">
        <v>3291</v>
      </c>
      <c r="J195" s="9">
        <v>51164154505</v>
      </c>
      <c r="K195" s="14" t="s">
        <v>3429</v>
      </c>
      <c r="L195" s="13" t="s">
        <v>3773</v>
      </c>
      <c r="M195" s="14">
        <v>111</v>
      </c>
      <c r="N195" s="14">
        <v>4.76</v>
      </c>
      <c r="O195" s="10">
        <f t="shared" si="23"/>
        <v>528.36</v>
      </c>
      <c r="P195" s="11">
        <v>0</v>
      </c>
      <c r="Q195" s="11">
        <v>0</v>
      </c>
      <c r="R195" s="10">
        <f>IF(COUNTIF($J$2:J195,J195)=1,SUMIFS($O:$O,$J:$J,J195)+SUMIFS($P:$P,$J:$J,J195)+SUMIFS($Q:$Q,$J:$J,J195),"")</f>
        <v>528.36</v>
      </c>
      <c r="S195" s="10">
        <v>536.36</v>
      </c>
      <c r="T195" s="11" t="str">
        <f t="shared" ref="T195:T258" si="27">IFERROR(INDEX(AD:AD,MATCH(J195,J:J,0)),"")</f>
        <v>Check</v>
      </c>
      <c r="U195" s="12">
        <v>45965</v>
      </c>
      <c r="V195" s="10">
        <v>536.36</v>
      </c>
      <c r="W195" s="10" t="str">
        <f t="shared" si="24"/>
        <v>Not Paid</v>
      </c>
      <c r="X195" t="s">
        <v>468</v>
      </c>
      <c r="Y195" t="s">
        <v>28</v>
      </c>
      <c r="Z195">
        <v>100126</v>
      </c>
      <c r="AA195" t="s">
        <v>3123</v>
      </c>
      <c r="AB195" t="s">
        <v>524</v>
      </c>
      <c r="AC195" s="9">
        <f t="shared" si="25"/>
        <v>1</v>
      </c>
      <c r="AD195" s="9" t="str">
        <f t="shared" si="26"/>
        <v>Check</v>
      </c>
      <c r="AE195" s="11">
        <f t="shared" si="22"/>
        <v>-8</v>
      </c>
    </row>
    <row r="196" spans="1:31" x14ac:dyDescent="0.3">
      <c r="A196">
        <v>121</v>
      </c>
      <c r="B196">
        <v>4433451</v>
      </c>
      <c r="C196" t="s">
        <v>239</v>
      </c>
      <c r="D196">
        <v>1030332</v>
      </c>
      <c r="E196" t="s">
        <v>659</v>
      </c>
      <c r="F196" t="s">
        <v>24</v>
      </c>
      <c r="G196" t="s">
        <v>2359</v>
      </c>
      <c r="H196" t="s">
        <v>2360</v>
      </c>
      <c r="I196" s="9" t="s">
        <v>3388</v>
      </c>
      <c r="J196" s="9">
        <v>51158603542</v>
      </c>
      <c r="K196" s="14" t="s">
        <v>3526</v>
      </c>
      <c r="L196" s="13" t="s">
        <v>3591</v>
      </c>
      <c r="M196" s="14">
        <v>2</v>
      </c>
      <c r="N196" s="14">
        <v>21375</v>
      </c>
      <c r="O196" s="10">
        <f t="shared" si="23"/>
        <v>42750</v>
      </c>
      <c r="P196" s="11">
        <v>0</v>
      </c>
      <c r="Q196" s="11">
        <v>0</v>
      </c>
      <c r="R196" s="10">
        <f>IF(COUNTIF($J$2:J196,J196)=1,SUMIFS($O:$O,$J:$J,J196)+SUMIFS($P:$P,$J:$J,J196)+SUMIFS($Q:$Q,$J:$J,J196),"")</f>
        <v>42750</v>
      </c>
      <c r="S196" s="10">
        <v>42750</v>
      </c>
      <c r="T196" s="11" t="str">
        <f t="shared" si="27"/>
        <v>Ok</v>
      </c>
      <c r="U196" s="12">
        <v>45884</v>
      </c>
      <c r="V196" s="10">
        <v>35620</v>
      </c>
      <c r="W196" s="10" t="str">
        <f t="shared" si="24"/>
        <v>Short Paid</v>
      </c>
      <c r="X196" t="s">
        <v>476</v>
      </c>
      <c r="Y196" t="s">
        <v>40</v>
      </c>
      <c r="Z196">
        <v>100265</v>
      </c>
      <c r="AA196" t="s">
        <v>3103</v>
      </c>
      <c r="AB196" t="s">
        <v>522</v>
      </c>
      <c r="AC196" s="9">
        <f t="shared" si="25"/>
        <v>1</v>
      </c>
      <c r="AD196" s="9" t="str">
        <f t="shared" si="26"/>
        <v>Ok</v>
      </c>
      <c r="AE196" s="11">
        <f t="shared" si="22"/>
        <v>0</v>
      </c>
    </row>
    <row r="197" spans="1:31" x14ac:dyDescent="0.3">
      <c r="A197">
        <v>121</v>
      </c>
      <c r="B197">
        <v>4433491</v>
      </c>
      <c r="C197" t="s">
        <v>160</v>
      </c>
      <c r="D197">
        <v>1262308</v>
      </c>
      <c r="E197" t="s">
        <v>611</v>
      </c>
      <c r="F197" t="s">
        <v>20</v>
      </c>
      <c r="G197" t="s">
        <v>2361</v>
      </c>
      <c r="H197" t="s">
        <v>2362</v>
      </c>
      <c r="I197" s="9" t="s">
        <v>3184</v>
      </c>
      <c r="J197" s="9">
        <v>50117997711</v>
      </c>
      <c r="K197" s="14" t="s">
        <v>3295</v>
      </c>
      <c r="L197" s="13" t="s">
        <v>3294</v>
      </c>
      <c r="M197" s="14">
        <v>6000</v>
      </c>
      <c r="N197" s="14">
        <v>3.34</v>
      </c>
      <c r="O197" s="10">
        <f t="shared" si="23"/>
        <v>20040</v>
      </c>
      <c r="P197" s="11">
        <v>0</v>
      </c>
      <c r="Q197" s="11">
        <v>10480.92</v>
      </c>
      <c r="R197" s="10">
        <f>IF(COUNTIF($J$2:J197,J197)=1,SUMIFS($O:$O,$J:$J,J197)+SUMIFS($P:$P,$J:$J,J197)+SUMIFS($Q:$Q,$J:$J,J197),"")</f>
        <v>30520.92</v>
      </c>
      <c r="S197" s="10">
        <v>30520.92</v>
      </c>
      <c r="T197" s="11" t="str">
        <f t="shared" si="27"/>
        <v>Ok</v>
      </c>
      <c r="U197" s="12">
        <v>45975</v>
      </c>
      <c r="V197" s="10">
        <v>10480.92</v>
      </c>
      <c r="W197" s="10" t="str">
        <f t="shared" si="24"/>
        <v>Short Paid</v>
      </c>
      <c r="X197" t="s">
        <v>453</v>
      </c>
      <c r="Y197" t="s">
        <v>28</v>
      </c>
      <c r="Z197">
        <v>100204</v>
      </c>
      <c r="AA197" t="s">
        <v>500</v>
      </c>
      <c r="AB197" t="s">
        <v>521</v>
      </c>
      <c r="AC197" s="9">
        <f t="shared" si="25"/>
        <v>1</v>
      </c>
      <c r="AD197" s="9" t="str">
        <f t="shared" si="26"/>
        <v>Ok</v>
      </c>
      <c r="AE197" s="11">
        <f t="shared" si="22"/>
        <v>0</v>
      </c>
    </row>
    <row r="198" spans="1:31" x14ac:dyDescent="0.3">
      <c r="A198">
        <v>121</v>
      </c>
      <c r="B198">
        <v>4433501</v>
      </c>
      <c r="C198" t="s">
        <v>160</v>
      </c>
      <c r="D198">
        <v>1507694</v>
      </c>
      <c r="E198" t="s">
        <v>351</v>
      </c>
      <c r="F198" t="s">
        <v>18</v>
      </c>
      <c r="G198" t="s">
        <v>2363</v>
      </c>
      <c r="H198" t="s">
        <v>2364</v>
      </c>
      <c r="I198" s="9" t="s">
        <v>3257</v>
      </c>
      <c r="J198" s="9">
        <v>50117997710</v>
      </c>
      <c r="K198" s="14" t="s">
        <v>3209</v>
      </c>
      <c r="L198" s="13" t="s">
        <v>3293</v>
      </c>
      <c r="M198" s="14">
        <v>30000</v>
      </c>
      <c r="N198" s="14">
        <v>1.2800000000000001E-2</v>
      </c>
      <c r="O198" s="10">
        <f t="shared" si="23"/>
        <v>384</v>
      </c>
      <c r="P198" s="11">
        <v>0</v>
      </c>
      <c r="Q198" s="11">
        <v>54.91</v>
      </c>
      <c r="R198" s="10">
        <f>IF(COUNTIF($J$2:J198,J198)=1,SUMIFS($O:$O,$J:$J,J198)+SUMIFS($P:$P,$J:$J,J198)+SUMIFS($Q:$Q,$J:$J,J198),"")</f>
        <v>438.90999999999997</v>
      </c>
      <c r="S198" s="10">
        <v>438.91</v>
      </c>
      <c r="T198" s="11" t="str">
        <f t="shared" si="27"/>
        <v>Ok</v>
      </c>
      <c r="U198" s="12">
        <v>46048</v>
      </c>
      <c r="V198" s="10">
        <v>400.51</v>
      </c>
      <c r="W198" s="10" t="str">
        <f t="shared" si="24"/>
        <v>Short Paid</v>
      </c>
      <c r="X198" t="s">
        <v>438</v>
      </c>
      <c r="Y198" t="s">
        <v>28</v>
      </c>
      <c r="Z198">
        <v>100233</v>
      </c>
      <c r="AA198" t="s">
        <v>448</v>
      </c>
      <c r="AB198" t="s">
        <v>523</v>
      </c>
      <c r="AC198" s="9">
        <f t="shared" si="25"/>
        <v>1</v>
      </c>
      <c r="AD198" s="9" t="str">
        <f t="shared" si="26"/>
        <v>Ok</v>
      </c>
      <c r="AE198" s="11">
        <f t="shared" si="22"/>
        <v>0</v>
      </c>
    </row>
    <row r="199" spans="1:31" x14ac:dyDescent="0.3">
      <c r="A199">
        <v>121</v>
      </c>
      <c r="B199">
        <v>4433231</v>
      </c>
      <c r="C199" t="s">
        <v>239</v>
      </c>
      <c r="D199">
        <v>1329427</v>
      </c>
      <c r="E199" t="s">
        <v>660</v>
      </c>
      <c r="F199" t="s">
        <v>20</v>
      </c>
      <c r="G199" t="s">
        <v>2365</v>
      </c>
      <c r="H199" t="s">
        <v>2366</v>
      </c>
      <c r="I199" s="9" t="s">
        <v>3296</v>
      </c>
      <c r="J199" s="9">
        <v>50117997719</v>
      </c>
      <c r="K199" s="14" t="s">
        <v>3209</v>
      </c>
      <c r="L199" s="13" t="s">
        <v>3297</v>
      </c>
      <c r="M199" s="14">
        <v>1000</v>
      </c>
      <c r="N199" s="14">
        <v>0.68859999999999999</v>
      </c>
      <c r="O199" s="10">
        <f t="shared" si="23"/>
        <v>688.6</v>
      </c>
      <c r="P199" s="11">
        <v>0</v>
      </c>
      <c r="Q199" s="11">
        <v>139.65</v>
      </c>
      <c r="R199" s="10">
        <f>IF(COUNTIF($J$2:J199,J199)=1,SUMIFS($O:$O,$J:$J,J199)+SUMIFS($P:$P,$J:$J,J199)+SUMIFS($Q:$Q,$J:$J,J199),"")</f>
        <v>828.25</v>
      </c>
      <c r="S199" s="10">
        <v>828.25</v>
      </c>
      <c r="T199" s="11" t="str">
        <f t="shared" si="27"/>
        <v>Ok</v>
      </c>
      <c r="U199" s="12">
        <v>45911</v>
      </c>
      <c r="V199" s="10">
        <v>828.25</v>
      </c>
      <c r="W199" s="10" t="str">
        <f t="shared" si="24"/>
        <v>Not Paid</v>
      </c>
      <c r="X199" t="s">
        <v>470</v>
      </c>
      <c r="Y199" t="s">
        <v>28</v>
      </c>
      <c r="Z199">
        <v>100248</v>
      </c>
      <c r="AA199" t="s">
        <v>3117</v>
      </c>
      <c r="AB199" t="s">
        <v>521</v>
      </c>
      <c r="AC199" s="9">
        <f t="shared" si="25"/>
        <v>1</v>
      </c>
      <c r="AD199" s="9" t="str">
        <f t="shared" si="26"/>
        <v>Ok</v>
      </c>
      <c r="AE199" s="11">
        <f t="shared" si="22"/>
        <v>0</v>
      </c>
    </row>
    <row r="200" spans="1:31" x14ac:dyDescent="0.3">
      <c r="A200">
        <v>121</v>
      </c>
      <c r="B200">
        <v>4433421</v>
      </c>
      <c r="C200" t="s">
        <v>167</v>
      </c>
      <c r="D200">
        <v>1098309</v>
      </c>
      <c r="E200" t="s">
        <v>544</v>
      </c>
      <c r="F200" t="s">
        <v>20</v>
      </c>
      <c r="G200" t="s">
        <v>2367</v>
      </c>
      <c r="H200" t="s">
        <v>2368</v>
      </c>
      <c r="I200" s="9" t="s">
        <v>3185</v>
      </c>
      <c r="J200" s="9">
        <v>51158276696</v>
      </c>
      <c r="K200" s="14" t="s">
        <v>3183</v>
      </c>
      <c r="L200" s="13" t="s">
        <v>3588</v>
      </c>
      <c r="M200" s="14">
        <v>1</v>
      </c>
      <c r="N200" s="14">
        <v>2000</v>
      </c>
      <c r="O200" s="10">
        <f t="shared" si="23"/>
        <v>2000</v>
      </c>
      <c r="P200" s="11">
        <v>0</v>
      </c>
      <c r="Q200" s="11">
        <v>0</v>
      </c>
      <c r="R200" s="10">
        <f>IF(COUNTIF($J$2:J200,J200)=1,SUMIFS($O:$O,$J:$J,J200)+SUMIFS($P:$P,$J:$J,J200)+SUMIFS($Q:$Q,$J:$J,J200),"")</f>
        <v>2000</v>
      </c>
      <c r="S200" s="10">
        <v>2000</v>
      </c>
      <c r="T200" s="11" t="str">
        <f t="shared" si="27"/>
        <v>Ok</v>
      </c>
      <c r="U200" s="12">
        <v>45967</v>
      </c>
      <c r="V200" s="10">
        <v>2000</v>
      </c>
      <c r="W200" s="10" t="str">
        <f t="shared" si="24"/>
        <v>Not Paid</v>
      </c>
      <c r="X200" t="s">
        <v>476</v>
      </c>
      <c r="Y200" t="s">
        <v>28</v>
      </c>
      <c r="Z200">
        <v>100115</v>
      </c>
      <c r="AA200" t="s">
        <v>504</v>
      </c>
      <c r="AB200" t="s">
        <v>523</v>
      </c>
      <c r="AC200" s="9">
        <f t="shared" si="25"/>
        <v>1</v>
      </c>
      <c r="AD200" s="9" t="str">
        <f t="shared" si="26"/>
        <v>Ok</v>
      </c>
      <c r="AE200" s="11">
        <f t="shared" si="22"/>
        <v>0</v>
      </c>
    </row>
    <row r="201" spans="1:31" x14ac:dyDescent="0.3">
      <c r="A201">
        <v>120</v>
      </c>
      <c r="B201">
        <v>4433201</v>
      </c>
      <c r="C201" t="s">
        <v>160</v>
      </c>
      <c r="D201">
        <v>1262308</v>
      </c>
      <c r="E201" t="s">
        <v>611</v>
      </c>
      <c r="F201" t="s">
        <v>20</v>
      </c>
      <c r="G201" t="s">
        <v>2371</v>
      </c>
      <c r="H201" t="s">
        <v>2372</v>
      </c>
      <c r="I201" s="9" t="s">
        <v>3498</v>
      </c>
      <c r="J201" s="9">
        <v>51163610674</v>
      </c>
      <c r="K201" s="14" t="s">
        <v>3295</v>
      </c>
      <c r="L201" s="13" t="s">
        <v>3756</v>
      </c>
      <c r="M201" s="14">
        <v>4000</v>
      </c>
      <c r="N201" s="14">
        <v>0.14729999999999999</v>
      </c>
      <c r="O201" s="10">
        <f t="shared" si="23"/>
        <v>589.19999999999993</v>
      </c>
      <c r="P201" s="11">
        <v>0</v>
      </c>
      <c r="Q201" s="11">
        <v>111.95</v>
      </c>
      <c r="R201" s="10">
        <f>IF(COUNTIF($J$2:J201,J201)=1,SUMIFS($O:$O,$J:$J,J201)+SUMIFS($P:$P,$J:$J,J201)+SUMIFS($Q:$Q,$J:$J,J201),"")</f>
        <v>701.15</v>
      </c>
      <c r="S201" s="10">
        <v>701.15</v>
      </c>
      <c r="T201" s="11" t="str">
        <f t="shared" si="27"/>
        <v>Ok</v>
      </c>
      <c r="U201" s="12">
        <v>45946</v>
      </c>
      <c r="V201" s="10">
        <v>701.15</v>
      </c>
      <c r="W201" s="10" t="str">
        <f t="shared" si="24"/>
        <v>Not Paid</v>
      </c>
      <c r="X201" t="s">
        <v>453</v>
      </c>
      <c r="Y201" t="s">
        <v>28</v>
      </c>
      <c r="Z201">
        <v>100154</v>
      </c>
      <c r="AA201" t="s">
        <v>480</v>
      </c>
      <c r="AB201" t="s">
        <v>521</v>
      </c>
      <c r="AC201" s="9">
        <f t="shared" si="25"/>
        <v>1</v>
      </c>
      <c r="AD201" s="9" t="str">
        <f t="shared" si="26"/>
        <v>Ok</v>
      </c>
      <c r="AE201" s="11">
        <f t="shared" si="22"/>
        <v>0</v>
      </c>
    </row>
    <row r="202" spans="1:31" x14ac:dyDescent="0.3">
      <c r="A202">
        <v>120</v>
      </c>
      <c r="B202">
        <v>4434151</v>
      </c>
      <c r="C202" t="s">
        <v>160</v>
      </c>
      <c r="D202">
        <v>1648570</v>
      </c>
      <c r="E202" t="s">
        <v>208</v>
      </c>
      <c r="F202" t="s">
        <v>18</v>
      </c>
      <c r="G202" t="s">
        <v>2373</v>
      </c>
      <c r="H202" t="s">
        <v>2374</v>
      </c>
      <c r="I202" s="9" t="s">
        <v>3305</v>
      </c>
      <c r="J202" s="9">
        <v>50118053582</v>
      </c>
      <c r="K202" s="14" t="s">
        <v>3168</v>
      </c>
      <c r="L202" s="13" t="s">
        <v>3306</v>
      </c>
      <c r="M202" s="14">
        <v>75000</v>
      </c>
      <c r="N202" s="14">
        <v>1.2189999999999999E-2</v>
      </c>
      <c r="O202" s="10">
        <f t="shared" si="23"/>
        <v>914.25</v>
      </c>
      <c r="P202" s="11">
        <v>0</v>
      </c>
      <c r="Q202" s="11">
        <v>0</v>
      </c>
      <c r="R202" s="10">
        <f>IF(COUNTIF($J$2:J202,J202)=1,SUMIFS($O:$O,$J:$J,J202)+SUMIFS($P:$P,$J:$J,J202)+SUMIFS($Q:$Q,$J:$J,J202),"")</f>
        <v>914.25</v>
      </c>
      <c r="S202" s="10">
        <v>914.25</v>
      </c>
      <c r="T202" s="11" t="str">
        <f t="shared" si="27"/>
        <v>Ok</v>
      </c>
      <c r="U202" s="12">
        <v>45965</v>
      </c>
      <c r="V202" s="10">
        <v>291.75</v>
      </c>
      <c r="W202" s="10" t="str">
        <f t="shared" si="24"/>
        <v>Short Paid</v>
      </c>
      <c r="X202" t="s">
        <v>453</v>
      </c>
      <c r="Y202" t="s">
        <v>28</v>
      </c>
      <c r="Z202">
        <v>100194</v>
      </c>
      <c r="AA202" t="s">
        <v>487</v>
      </c>
      <c r="AB202" t="s">
        <v>523</v>
      </c>
      <c r="AC202" s="9">
        <f t="shared" si="25"/>
        <v>1</v>
      </c>
      <c r="AD202" s="9" t="str">
        <f t="shared" si="26"/>
        <v>Ok</v>
      </c>
      <c r="AE202" s="11">
        <f t="shared" si="22"/>
        <v>0</v>
      </c>
    </row>
    <row r="203" spans="1:31" x14ac:dyDescent="0.3">
      <c r="A203">
        <v>120</v>
      </c>
      <c r="B203">
        <v>4435021</v>
      </c>
      <c r="C203" t="s">
        <v>160</v>
      </c>
      <c r="D203">
        <v>1560151</v>
      </c>
      <c r="E203" t="s">
        <v>241</v>
      </c>
      <c r="F203" t="s">
        <v>20</v>
      </c>
      <c r="G203" t="s">
        <v>2375</v>
      </c>
      <c r="H203" t="s">
        <v>2376</v>
      </c>
      <c r="I203" s="9" t="s">
        <v>3376</v>
      </c>
      <c r="J203" s="9">
        <v>51161853070</v>
      </c>
      <c r="K203" s="14" t="s">
        <v>3682</v>
      </c>
      <c r="L203" s="13" t="s">
        <v>3681</v>
      </c>
      <c r="M203" s="14">
        <v>1</v>
      </c>
      <c r="N203" s="14">
        <v>4400</v>
      </c>
      <c r="O203" s="10">
        <f t="shared" si="23"/>
        <v>4400</v>
      </c>
      <c r="P203" s="11">
        <v>0</v>
      </c>
      <c r="Q203" s="11">
        <v>0</v>
      </c>
      <c r="R203" s="10">
        <f>IF(COUNTIF($J$2:J203,J203)=1,SUMIFS($O:$O,$J:$J,J203)+SUMIFS($P:$P,$J:$J,J203)+SUMIFS($Q:$Q,$J:$J,J203),"")</f>
        <v>4400</v>
      </c>
      <c r="S203" s="10">
        <v>4400</v>
      </c>
      <c r="T203" s="11" t="str">
        <f t="shared" si="27"/>
        <v>Ok</v>
      </c>
      <c r="U203" s="12">
        <v>45717</v>
      </c>
      <c r="V203" s="10">
        <v>4400</v>
      </c>
      <c r="W203" s="10" t="str">
        <f t="shared" si="24"/>
        <v>Not Paid</v>
      </c>
      <c r="X203" t="s">
        <v>478</v>
      </c>
      <c r="Y203" t="s">
        <v>28</v>
      </c>
      <c r="Z203">
        <v>100232</v>
      </c>
      <c r="AA203" t="s">
        <v>3108</v>
      </c>
      <c r="AB203" t="s">
        <v>521</v>
      </c>
      <c r="AC203" s="9">
        <f t="shared" si="25"/>
        <v>1</v>
      </c>
      <c r="AD203" s="9" t="str">
        <f t="shared" si="26"/>
        <v>Ok</v>
      </c>
      <c r="AE203" s="11">
        <f t="shared" si="22"/>
        <v>0</v>
      </c>
    </row>
    <row r="204" spans="1:31" x14ac:dyDescent="0.3">
      <c r="A204">
        <v>120</v>
      </c>
      <c r="B204">
        <v>4435331</v>
      </c>
      <c r="C204" t="s">
        <v>160</v>
      </c>
      <c r="D204">
        <v>1560151</v>
      </c>
      <c r="E204" t="s">
        <v>241</v>
      </c>
      <c r="F204" t="s">
        <v>20</v>
      </c>
      <c r="G204" t="s">
        <v>2377</v>
      </c>
      <c r="H204" t="s">
        <v>2378</v>
      </c>
      <c r="I204" s="9" t="s">
        <v>3528</v>
      </c>
      <c r="J204" s="9">
        <v>51163082358</v>
      </c>
      <c r="K204" s="14" t="s">
        <v>3682</v>
      </c>
      <c r="L204" s="13" t="s">
        <v>3727</v>
      </c>
      <c r="M204" s="14">
        <v>1</v>
      </c>
      <c r="N204" s="14">
        <v>350</v>
      </c>
      <c r="O204" s="10">
        <f t="shared" si="23"/>
        <v>350</v>
      </c>
      <c r="P204" s="11">
        <v>0</v>
      </c>
      <c r="Q204" s="11">
        <v>0</v>
      </c>
      <c r="R204" s="10">
        <f>IF(COUNTIF($J$2:J204,J204)=1,SUMIFS($O:$O,$J:$J,J204)+SUMIFS($P:$P,$J:$J,J204)+SUMIFS($Q:$Q,$J:$J,J204),"")</f>
        <v>350</v>
      </c>
      <c r="S204" s="10">
        <v>350</v>
      </c>
      <c r="T204" s="11" t="str">
        <f t="shared" si="27"/>
        <v>Ok</v>
      </c>
      <c r="U204" s="12">
        <v>45805</v>
      </c>
      <c r="V204" s="10">
        <v>350</v>
      </c>
      <c r="W204" s="10" t="str">
        <f t="shared" si="24"/>
        <v>Not Paid</v>
      </c>
      <c r="X204" t="s">
        <v>478</v>
      </c>
      <c r="Y204" t="s">
        <v>28</v>
      </c>
      <c r="Z204">
        <v>100272</v>
      </c>
      <c r="AA204" t="s">
        <v>3084</v>
      </c>
      <c r="AB204" t="s">
        <v>521</v>
      </c>
      <c r="AC204" s="9">
        <f t="shared" si="25"/>
        <v>1</v>
      </c>
      <c r="AD204" s="9" t="str">
        <f t="shared" si="26"/>
        <v>Ok</v>
      </c>
      <c r="AE204" s="11">
        <f t="shared" si="22"/>
        <v>0</v>
      </c>
    </row>
    <row r="205" spans="1:31" x14ac:dyDescent="0.3">
      <c r="A205">
        <v>119</v>
      </c>
      <c r="B205">
        <v>4434861</v>
      </c>
      <c r="C205" t="s">
        <v>220</v>
      </c>
      <c r="D205">
        <v>1123088</v>
      </c>
      <c r="E205" t="s">
        <v>661</v>
      </c>
      <c r="F205" t="s">
        <v>20</v>
      </c>
      <c r="G205" t="s">
        <v>2381</v>
      </c>
      <c r="H205" t="s">
        <v>2382</v>
      </c>
      <c r="I205" s="9" t="s">
        <v>3218</v>
      </c>
      <c r="J205" s="9">
        <v>51162539311</v>
      </c>
      <c r="K205" s="14" t="s">
        <v>3577</v>
      </c>
      <c r="L205" s="13" t="s">
        <v>3576</v>
      </c>
      <c r="M205" s="14">
        <v>8000</v>
      </c>
      <c r="N205" s="14">
        <v>0.66</v>
      </c>
      <c r="O205" s="10">
        <f t="shared" si="23"/>
        <v>5280</v>
      </c>
      <c r="P205" s="11">
        <v>633.6</v>
      </c>
      <c r="Q205" s="11">
        <v>1003.2</v>
      </c>
      <c r="R205" s="10">
        <f>IF(COUNTIF($J$2:J205,J205)=1,SUMIFS($O:$O,$J:$J,J205)+SUMIFS($P:$P,$J:$J,J205)+SUMIFS($Q:$Q,$J:$J,J205),"")</f>
        <v>6916.8</v>
      </c>
      <c r="S205" s="10">
        <v>6916.8</v>
      </c>
      <c r="T205" s="11" t="str">
        <f t="shared" si="27"/>
        <v>Ok</v>
      </c>
      <c r="U205" s="12">
        <v>45840</v>
      </c>
      <c r="V205" s="10">
        <v>6916.8</v>
      </c>
      <c r="W205" s="10" t="str">
        <f t="shared" si="24"/>
        <v>Not Paid</v>
      </c>
      <c r="X205" t="s">
        <v>470</v>
      </c>
      <c r="Y205" t="s">
        <v>28</v>
      </c>
      <c r="Z205">
        <v>100208</v>
      </c>
      <c r="AA205" t="s">
        <v>3098</v>
      </c>
      <c r="AB205" t="s">
        <v>521</v>
      </c>
      <c r="AC205" s="9">
        <f t="shared" si="25"/>
        <v>1</v>
      </c>
      <c r="AD205" s="9" t="str">
        <f t="shared" si="26"/>
        <v>Ok</v>
      </c>
      <c r="AE205" s="11">
        <f t="shared" si="22"/>
        <v>0</v>
      </c>
    </row>
    <row r="206" spans="1:31" x14ac:dyDescent="0.3">
      <c r="A206">
        <v>119</v>
      </c>
      <c r="B206">
        <v>4435701</v>
      </c>
      <c r="C206" t="s">
        <v>220</v>
      </c>
      <c r="D206">
        <v>1123088</v>
      </c>
      <c r="E206" t="s">
        <v>661</v>
      </c>
      <c r="F206" t="s">
        <v>20</v>
      </c>
      <c r="G206" t="s">
        <v>2383</v>
      </c>
      <c r="H206" t="s">
        <v>2384</v>
      </c>
      <c r="I206" s="9" t="s">
        <v>3331</v>
      </c>
      <c r="J206" s="9">
        <v>51164043310</v>
      </c>
      <c r="K206" s="14" t="s">
        <v>3577</v>
      </c>
      <c r="L206" s="13" t="s">
        <v>3576</v>
      </c>
      <c r="M206" s="14">
        <v>10500</v>
      </c>
      <c r="N206" s="14">
        <v>0.66</v>
      </c>
      <c r="O206" s="10">
        <f t="shared" si="23"/>
        <v>6930</v>
      </c>
      <c r="P206" s="11">
        <v>989.6</v>
      </c>
      <c r="Q206" s="11">
        <v>1316.7</v>
      </c>
      <c r="R206" s="10">
        <f>IF(COUNTIF($J$2:J206,J206)=1,SUMIFS($O:$O,$J:$J,J206)+SUMIFS($P:$P,$J:$J,J206)+SUMIFS($Q:$Q,$J:$J,J206),"")</f>
        <v>9236.3000000000011</v>
      </c>
      <c r="S206" s="10">
        <v>9236.2999999999993</v>
      </c>
      <c r="T206" s="11" t="str">
        <f t="shared" si="27"/>
        <v>Ok</v>
      </c>
      <c r="U206" s="12">
        <v>45847</v>
      </c>
      <c r="V206" s="10">
        <v>9236.2999999999993</v>
      </c>
      <c r="W206" s="10" t="str">
        <f t="shared" si="24"/>
        <v>Not Paid</v>
      </c>
      <c r="X206" t="s">
        <v>470</v>
      </c>
      <c r="Y206" t="s">
        <v>28</v>
      </c>
      <c r="Z206">
        <v>100238</v>
      </c>
      <c r="AA206" t="s">
        <v>3078</v>
      </c>
      <c r="AB206" t="s">
        <v>521</v>
      </c>
      <c r="AC206" s="9">
        <f t="shared" si="25"/>
        <v>1</v>
      </c>
      <c r="AD206" s="9" t="str">
        <f t="shared" si="26"/>
        <v>Ok</v>
      </c>
      <c r="AE206" s="11">
        <f t="shared" si="22"/>
        <v>0</v>
      </c>
    </row>
    <row r="207" spans="1:31" x14ac:dyDescent="0.3">
      <c r="A207">
        <v>119</v>
      </c>
      <c r="B207">
        <v>4436401</v>
      </c>
      <c r="C207" t="s">
        <v>220</v>
      </c>
      <c r="D207">
        <v>1123088</v>
      </c>
      <c r="E207" t="s">
        <v>661</v>
      </c>
      <c r="F207" t="s">
        <v>20</v>
      </c>
      <c r="G207" t="s">
        <v>2385</v>
      </c>
      <c r="H207" t="s">
        <v>2386</v>
      </c>
      <c r="I207" s="9" t="s">
        <v>3195</v>
      </c>
      <c r="J207" s="9">
        <v>51163945589</v>
      </c>
      <c r="K207" s="14" t="s">
        <v>3168</v>
      </c>
      <c r="L207" s="13" t="s">
        <v>3767</v>
      </c>
      <c r="M207" s="14">
        <v>3000</v>
      </c>
      <c r="N207" s="14">
        <v>1.02044</v>
      </c>
      <c r="O207" s="10">
        <f t="shared" si="23"/>
        <v>3061.32</v>
      </c>
      <c r="P207" s="11">
        <v>437.16</v>
      </c>
      <c r="Q207" s="11">
        <v>581.65</v>
      </c>
      <c r="R207" s="10">
        <f>IF(COUNTIF($J$2:J207,J207)=1,SUMIFS($O:$O,$J:$J,J207)+SUMIFS($P:$P,$J:$J,J207)+SUMIFS($Q:$Q,$J:$J,J207),"")</f>
        <v>4080.13</v>
      </c>
      <c r="S207" s="10">
        <v>4080.13</v>
      </c>
      <c r="T207" s="11" t="str">
        <f t="shared" si="27"/>
        <v>Ok</v>
      </c>
      <c r="U207" s="12">
        <v>45847</v>
      </c>
      <c r="V207" s="10">
        <v>4080.13</v>
      </c>
      <c r="W207" s="10" t="str">
        <f t="shared" si="24"/>
        <v>Not Paid</v>
      </c>
      <c r="X207" t="s">
        <v>470</v>
      </c>
      <c r="Y207" t="s">
        <v>28</v>
      </c>
      <c r="Z207">
        <v>100248</v>
      </c>
      <c r="AA207" t="s">
        <v>3117</v>
      </c>
      <c r="AB207" t="s">
        <v>521</v>
      </c>
      <c r="AC207" s="9">
        <f t="shared" si="25"/>
        <v>1</v>
      </c>
      <c r="AD207" s="9" t="str">
        <f t="shared" si="26"/>
        <v>Ok</v>
      </c>
      <c r="AE207" s="11">
        <f t="shared" si="22"/>
        <v>0</v>
      </c>
    </row>
    <row r="208" spans="1:31" x14ac:dyDescent="0.3">
      <c r="A208">
        <v>119</v>
      </c>
      <c r="B208">
        <v>4435741</v>
      </c>
      <c r="C208" t="s">
        <v>220</v>
      </c>
      <c r="D208">
        <v>1123088</v>
      </c>
      <c r="E208" t="s">
        <v>661</v>
      </c>
      <c r="F208" t="s">
        <v>20</v>
      </c>
      <c r="G208" t="s">
        <v>2387</v>
      </c>
      <c r="H208" t="s">
        <v>2388</v>
      </c>
      <c r="I208" s="9" t="s">
        <v>3525</v>
      </c>
      <c r="J208" s="9">
        <v>51157222488</v>
      </c>
      <c r="K208" s="14" t="s">
        <v>3577</v>
      </c>
      <c r="L208" s="13" t="s">
        <v>3576</v>
      </c>
      <c r="M208" s="14">
        <v>10500</v>
      </c>
      <c r="N208" s="14">
        <v>0.66</v>
      </c>
      <c r="O208" s="10">
        <f t="shared" si="23"/>
        <v>6930</v>
      </c>
      <c r="P208" s="11">
        <v>989.6</v>
      </c>
      <c r="Q208" s="11">
        <v>1316.7</v>
      </c>
      <c r="R208" s="10">
        <f>IF(COUNTIF($J$2:J208,J208)=1,SUMIFS($O:$O,$J:$J,J208)+SUMIFS($P:$P,$J:$J,J208)+SUMIFS($Q:$Q,$J:$J,J208),"")</f>
        <v>9236.3000000000011</v>
      </c>
      <c r="S208" s="10">
        <v>9236.2999999999993</v>
      </c>
      <c r="T208" s="11" t="str">
        <f t="shared" si="27"/>
        <v>Ok</v>
      </c>
      <c r="U208" s="12">
        <v>45863</v>
      </c>
      <c r="V208" s="10">
        <v>9236.2999999999993</v>
      </c>
      <c r="W208" s="10" t="str">
        <f t="shared" si="24"/>
        <v>Not Paid</v>
      </c>
      <c r="X208" t="s">
        <v>470</v>
      </c>
      <c r="Y208" t="s">
        <v>28</v>
      </c>
      <c r="Z208">
        <v>100278</v>
      </c>
      <c r="AA208" t="s">
        <v>3114</v>
      </c>
      <c r="AB208" t="s">
        <v>521</v>
      </c>
      <c r="AC208" s="9">
        <f t="shared" si="25"/>
        <v>1</v>
      </c>
      <c r="AD208" s="9" t="str">
        <f t="shared" si="26"/>
        <v>Ok</v>
      </c>
      <c r="AE208" s="11">
        <f t="shared" si="22"/>
        <v>0</v>
      </c>
    </row>
    <row r="209" spans="1:31" x14ac:dyDescent="0.3">
      <c r="A209">
        <v>119</v>
      </c>
      <c r="B209">
        <v>4437071</v>
      </c>
      <c r="C209" t="s">
        <v>220</v>
      </c>
      <c r="D209">
        <v>1123088</v>
      </c>
      <c r="E209" t="s">
        <v>661</v>
      </c>
      <c r="F209" t="s">
        <v>20</v>
      </c>
      <c r="G209" t="s">
        <v>2389</v>
      </c>
      <c r="H209" t="s">
        <v>2390</v>
      </c>
      <c r="I209" s="9" t="s">
        <v>3419</v>
      </c>
      <c r="J209" s="9">
        <v>51164332507</v>
      </c>
      <c r="K209" s="14" t="s">
        <v>3168</v>
      </c>
      <c r="L209" s="13" t="s">
        <v>3767</v>
      </c>
      <c r="M209" s="14">
        <v>6000</v>
      </c>
      <c r="N209" s="14">
        <v>1.02044</v>
      </c>
      <c r="O209" s="10">
        <f t="shared" si="23"/>
        <v>6122.64</v>
      </c>
      <c r="P209" s="11">
        <v>874.31</v>
      </c>
      <c r="Q209" s="11">
        <v>1163.3</v>
      </c>
      <c r="R209" s="10">
        <f>IF(COUNTIF($J$2:J209,J209)=1,SUMIFS($O:$O,$J:$J,J209)+SUMIFS($P:$P,$J:$J,J209)+SUMIFS($Q:$Q,$J:$J,J209),"")</f>
        <v>8160.2500000000009</v>
      </c>
      <c r="S209" s="10">
        <v>8160.25</v>
      </c>
      <c r="T209" s="11" t="str">
        <f t="shared" si="27"/>
        <v>Ok</v>
      </c>
      <c r="U209" s="12">
        <v>45867</v>
      </c>
      <c r="V209" s="10">
        <v>8160.25</v>
      </c>
      <c r="W209" s="10" t="str">
        <f t="shared" si="24"/>
        <v>Not Paid</v>
      </c>
      <c r="X209" t="s">
        <v>470</v>
      </c>
      <c r="Y209" t="s">
        <v>28</v>
      </c>
      <c r="Z209">
        <v>100288</v>
      </c>
      <c r="AA209" t="s">
        <v>471</v>
      </c>
      <c r="AB209" t="s">
        <v>521</v>
      </c>
      <c r="AC209" s="9">
        <f t="shared" si="25"/>
        <v>1</v>
      </c>
      <c r="AD209" s="9" t="str">
        <f t="shared" si="26"/>
        <v>Ok</v>
      </c>
      <c r="AE209" s="11">
        <f t="shared" si="22"/>
        <v>0</v>
      </c>
    </row>
    <row r="210" spans="1:31" x14ac:dyDescent="0.3">
      <c r="A210">
        <v>119</v>
      </c>
      <c r="B210">
        <v>4437021</v>
      </c>
      <c r="C210" t="s">
        <v>220</v>
      </c>
      <c r="D210">
        <v>1123088</v>
      </c>
      <c r="E210" t="s">
        <v>661</v>
      </c>
      <c r="F210" t="s">
        <v>20</v>
      </c>
      <c r="G210" t="s">
        <v>2391</v>
      </c>
      <c r="H210" t="s">
        <v>2392</v>
      </c>
      <c r="I210" s="9" t="s">
        <v>3254</v>
      </c>
      <c r="J210" s="9">
        <v>51164165516</v>
      </c>
      <c r="K210" s="14" t="s">
        <v>3341</v>
      </c>
      <c r="L210" s="13" t="s">
        <v>3774</v>
      </c>
      <c r="M210" s="14">
        <v>8600</v>
      </c>
      <c r="N210" s="14">
        <v>0.83520000000000005</v>
      </c>
      <c r="O210" s="10">
        <f t="shared" si="23"/>
        <v>7182.72</v>
      </c>
      <c r="P210" s="11">
        <v>1025.69</v>
      </c>
      <c r="Q210" s="11">
        <v>1364.71</v>
      </c>
      <c r="R210" s="10">
        <f>IF(COUNTIF($J$2:J210,J210)=1,SUMIFS($O:$O,$J:$J,J210)+SUMIFS($P:$P,$J:$J,J210)+SUMIFS($Q:$Q,$J:$J,J210),"")</f>
        <v>9573.119999999999</v>
      </c>
      <c r="S210" s="10">
        <v>9573.1200000000008</v>
      </c>
      <c r="T210" s="11" t="str">
        <f t="shared" si="27"/>
        <v>Ok</v>
      </c>
      <c r="U210" s="12">
        <v>45868</v>
      </c>
      <c r="V210" s="10">
        <v>9573.1200000000008</v>
      </c>
      <c r="W210" s="10" t="str">
        <f t="shared" si="24"/>
        <v>Not Paid</v>
      </c>
      <c r="X210" t="s">
        <v>470</v>
      </c>
      <c r="Y210" t="s">
        <v>28</v>
      </c>
      <c r="Z210">
        <v>100118</v>
      </c>
      <c r="AA210" t="s">
        <v>494</v>
      </c>
      <c r="AB210" t="s">
        <v>521</v>
      </c>
      <c r="AC210" s="9">
        <f t="shared" si="25"/>
        <v>1</v>
      </c>
      <c r="AD210" s="9" t="str">
        <f t="shared" si="26"/>
        <v>Ok</v>
      </c>
      <c r="AE210" s="11">
        <f t="shared" si="22"/>
        <v>0</v>
      </c>
    </row>
    <row r="211" spans="1:31" x14ac:dyDescent="0.3">
      <c r="A211">
        <v>119</v>
      </c>
      <c r="B211">
        <v>4436311</v>
      </c>
      <c r="C211" t="s">
        <v>160</v>
      </c>
      <c r="D211">
        <v>1469829</v>
      </c>
      <c r="E211" t="s">
        <v>224</v>
      </c>
      <c r="F211" t="s">
        <v>20</v>
      </c>
      <c r="G211" t="s">
        <v>2393</v>
      </c>
      <c r="H211" t="s">
        <v>2394</v>
      </c>
      <c r="I211" s="9" t="s">
        <v>3217</v>
      </c>
      <c r="J211" s="9">
        <v>51164563045</v>
      </c>
      <c r="K211" s="14" t="s">
        <v>3209</v>
      </c>
      <c r="L211" s="13" t="s">
        <v>3778</v>
      </c>
      <c r="M211" s="14">
        <v>500</v>
      </c>
      <c r="N211" s="14">
        <v>2.15</v>
      </c>
      <c r="O211" s="10">
        <f t="shared" si="23"/>
        <v>1075</v>
      </c>
      <c r="P211" s="11">
        <v>0</v>
      </c>
      <c r="Q211" s="11">
        <v>255.85</v>
      </c>
      <c r="R211" s="10">
        <f>IF(COUNTIF($J$2:J211,J211)=1,SUMIFS($O:$O,$J:$J,J211)+SUMIFS($P:$P,$J:$J,J211)+SUMIFS($Q:$Q,$J:$J,J211),"")</f>
        <v>1330.85</v>
      </c>
      <c r="S211" s="10">
        <v>1330.85</v>
      </c>
      <c r="T211" s="11" t="str">
        <f t="shared" si="27"/>
        <v>Ok</v>
      </c>
      <c r="U211" s="12">
        <v>45995</v>
      </c>
      <c r="V211" s="10">
        <v>1075</v>
      </c>
      <c r="W211" s="10" t="str">
        <f t="shared" si="24"/>
        <v>Short Paid</v>
      </c>
      <c r="X211" t="s">
        <v>470</v>
      </c>
      <c r="Y211" t="s">
        <v>28</v>
      </c>
      <c r="Z211">
        <v>100128</v>
      </c>
      <c r="AA211" t="s">
        <v>508</v>
      </c>
      <c r="AB211" t="s">
        <v>521</v>
      </c>
      <c r="AC211" s="9">
        <f t="shared" si="25"/>
        <v>1</v>
      </c>
      <c r="AD211" s="9" t="str">
        <f t="shared" si="26"/>
        <v>Ok</v>
      </c>
      <c r="AE211" s="11">
        <f t="shared" si="22"/>
        <v>0</v>
      </c>
    </row>
    <row r="212" spans="1:31" x14ac:dyDescent="0.3">
      <c r="A212">
        <v>119</v>
      </c>
      <c r="B212">
        <v>4436861</v>
      </c>
      <c r="C212" t="s">
        <v>239</v>
      </c>
      <c r="D212">
        <v>1035325</v>
      </c>
      <c r="E212" t="s">
        <v>556</v>
      </c>
      <c r="F212" t="s">
        <v>20</v>
      </c>
      <c r="G212" t="s">
        <v>2395</v>
      </c>
      <c r="H212" t="s">
        <v>2396</v>
      </c>
      <c r="I212" s="9" t="s">
        <v>3542</v>
      </c>
      <c r="J212" s="9">
        <v>51162099052</v>
      </c>
      <c r="K212" s="14" t="s">
        <v>3269</v>
      </c>
      <c r="L212" s="13" t="s">
        <v>3308</v>
      </c>
      <c r="M212" s="14">
        <v>5</v>
      </c>
      <c r="N212" s="14">
        <v>299</v>
      </c>
      <c r="O212" s="10">
        <f t="shared" si="23"/>
        <v>1495</v>
      </c>
      <c r="P212" s="11">
        <v>0</v>
      </c>
      <c r="Q212" s="11">
        <v>639.87</v>
      </c>
      <c r="R212" s="10">
        <f>IF(COUNTIF($J$2:J212,J212)=1,SUMIFS($O:$O,$J:$J,J212)+SUMIFS($P:$P,$J:$J,J212)+SUMIFS($Q:$Q,$J:$J,J212),"")</f>
        <v>2134.87</v>
      </c>
      <c r="S212" s="10">
        <v>2134.87</v>
      </c>
      <c r="T212" s="11" t="str">
        <f t="shared" si="27"/>
        <v>Ok</v>
      </c>
      <c r="U212" s="12">
        <v>45996</v>
      </c>
      <c r="V212" s="10">
        <v>2134.87</v>
      </c>
      <c r="W212" s="10" t="str">
        <f t="shared" si="24"/>
        <v>Not Paid</v>
      </c>
      <c r="X212" t="s">
        <v>476</v>
      </c>
      <c r="Y212" t="s">
        <v>28</v>
      </c>
      <c r="Z212">
        <v>100195</v>
      </c>
      <c r="AA212" t="s">
        <v>3070</v>
      </c>
      <c r="AB212" t="s">
        <v>521</v>
      </c>
      <c r="AC212" s="9">
        <f t="shared" si="25"/>
        <v>1</v>
      </c>
      <c r="AD212" s="9" t="str">
        <f t="shared" si="26"/>
        <v>Ok</v>
      </c>
      <c r="AE212" s="11">
        <f t="shared" si="22"/>
        <v>0</v>
      </c>
    </row>
    <row r="213" spans="1:31" x14ac:dyDescent="0.3">
      <c r="A213">
        <v>119</v>
      </c>
      <c r="B213">
        <v>4436051</v>
      </c>
      <c r="C213" t="s">
        <v>239</v>
      </c>
      <c r="D213">
        <v>1035325</v>
      </c>
      <c r="E213" t="s">
        <v>556</v>
      </c>
      <c r="F213" t="s">
        <v>20</v>
      </c>
      <c r="G213" t="s">
        <v>2397</v>
      </c>
      <c r="H213" t="s">
        <v>2398</v>
      </c>
      <c r="I213" s="9" t="s">
        <v>3307</v>
      </c>
      <c r="J213" s="9">
        <v>50118084174</v>
      </c>
      <c r="K213" s="14" t="s">
        <v>3269</v>
      </c>
      <c r="L213" s="13" t="s">
        <v>3308</v>
      </c>
      <c r="M213" s="14">
        <v>8</v>
      </c>
      <c r="N213" s="14">
        <v>299</v>
      </c>
      <c r="O213" s="10">
        <f t="shared" si="23"/>
        <v>2392</v>
      </c>
      <c r="P213" s="11">
        <v>0</v>
      </c>
      <c r="Q213" s="11">
        <v>1023.78</v>
      </c>
      <c r="R213" s="10">
        <f>IF(COUNTIF($J$2:J213,J213)=1,SUMIFS($O:$O,$J:$J,J213)+SUMIFS($P:$P,$J:$J,J213)+SUMIFS($Q:$Q,$J:$J,J213),"")</f>
        <v>3415.7799999999997</v>
      </c>
      <c r="S213" s="10">
        <v>3415.78</v>
      </c>
      <c r="T213" s="11" t="str">
        <f t="shared" si="27"/>
        <v>Ok</v>
      </c>
      <c r="U213" s="12">
        <v>45996</v>
      </c>
      <c r="V213" s="10">
        <v>3415.78</v>
      </c>
      <c r="W213" s="10" t="str">
        <f t="shared" si="24"/>
        <v>Not Paid</v>
      </c>
      <c r="X213" t="s">
        <v>476</v>
      </c>
      <c r="Y213" t="s">
        <v>28</v>
      </c>
      <c r="Z213">
        <v>100155</v>
      </c>
      <c r="AA213" t="s">
        <v>3072</v>
      </c>
      <c r="AB213" t="s">
        <v>521</v>
      </c>
      <c r="AC213" s="9">
        <f t="shared" si="25"/>
        <v>1</v>
      </c>
      <c r="AD213" s="9" t="str">
        <f t="shared" si="26"/>
        <v>Ok</v>
      </c>
      <c r="AE213" s="11">
        <f t="shared" si="22"/>
        <v>0</v>
      </c>
    </row>
    <row r="214" spans="1:31" x14ac:dyDescent="0.3">
      <c r="A214">
        <v>119</v>
      </c>
      <c r="B214">
        <v>4437051</v>
      </c>
      <c r="C214" t="s">
        <v>160</v>
      </c>
      <c r="D214">
        <v>1963277</v>
      </c>
      <c r="E214" t="s">
        <v>250</v>
      </c>
      <c r="F214" t="s">
        <v>18</v>
      </c>
      <c r="G214" t="s">
        <v>2399</v>
      </c>
      <c r="H214" t="s">
        <v>2400</v>
      </c>
      <c r="I214" s="9" t="s">
        <v>3402</v>
      </c>
      <c r="J214" s="9">
        <v>51162262591</v>
      </c>
      <c r="K214" s="14" t="s">
        <v>3314</v>
      </c>
      <c r="L214" s="13" t="s">
        <v>3313</v>
      </c>
      <c r="M214" s="14">
        <v>50</v>
      </c>
      <c r="N214" s="14">
        <v>44.44</v>
      </c>
      <c r="O214" s="10">
        <f t="shared" si="23"/>
        <v>2222</v>
      </c>
      <c r="P214" s="11">
        <v>0</v>
      </c>
      <c r="Q214" s="11">
        <v>0</v>
      </c>
      <c r="R214" s="10">
        <f>IF(COUNTIF($J$2:J214,J214)=1,SUMIFS($O:$O,$J:$J,J214)+SUMIFS($P:$P,$J:$J,J214)+SUMIFS($Q:$Q,$J:$J,J214),"")</f>
        <v>2222</v>
      </c>
      <c r="S214" s="10">
        <v>2222</v>
      </c>
      <c r="T214" s="11" t="str">
        <f t="shared" si="27"/>
        <v>Ok</v>
      </c>
      <c r="U214" s="12">
        <v>45971</v>
      </c>
      <c r="V214" s="10">
        <v>394.29</v>
      </c>
      <c r="W214" s="10" t="str">
        <f t="shared" si="24"/>
        <v>Short Paid</v>
      </c>
      <c r="X214" t="s">
        <v>474</v>
      </c>
      <c r="Y214" t="s">
        <v>28</v>
      </c>
      <c r="Z214">
        <v>100209</v>
      </c>
      <c r="AA214" t="s">
        <v>483</v>
      </c>
      <c r="AB214" t="s">
        <v>523</v>
      </c>
      <c r="AC214" s="9">
        <f t="shared" si="25"/>
        <v>1</v>
      </c>
      <c r="AD214" s="9" t="str">
        <f t="shared" si="26"/>
        <v>Ok</v>
      </c>
      <c r="AE214" s="11">
        <f t="shared" si="22"/>
        <v>0</v>
      </c>
    </row>
    <row r="215" spans="1:31" x14ac:dyDescent="0.3">
      <c r="A215">
        <v>119</v>
      </c>
      <c r="B215">
        <v>4437041</v>
      </c>
      <c r="C215" t="s">
        <v>160</v>
      </c>
      <c r="D215">
        <v>1963277</v>
      </c>
      <c r="E215" t="s">
        <v>250</v>
      </c>
      <c r="F215" t="s">
        <v>18</v>
      </c>
      <c r="G215" t="s">
        <v>2401</v>
      </c>
      <c r="H215" t="s">
        <v>2402</v>
      </c>
      <c r="I215" s="9" t="s">
        <v>3219</v>
      </c>
      <c r="J215" s="9">
        <v>51162276020</v>
      </c>
      <c r="K215" s="14" t="s">
        <v>3314</v>
      </c>
      <c r="L215" s="13" t="s">
        <v>3313</v>
      </c>
      <c r="M215" s="14">
        <v>50</v>
      </c>
      <c r="N215" s="14">
        <v>44.44</v>
      </c>
      <c r="O215" s="10">
        <f t="shared" si="23"/>
        <v>2222</v>
      </c>
      <c r="P215" s="11">
        <v>0</v>
      </c>
      <c r="Q215" s="11">
        <v>0</v>
      </c>
      <c r="R215" s="10">
        <f>IF(COUNTIF($J$2:J215,J215)=1,SUMIFS($O:$O,$J:$J,J215)+SUMIFS($P:$P,$J:$J,J215)+SUMIFS($Q:$Q,$J:$J,J215),"")</f>
        <v>2222</v>
      </c>
      <c r="S215" s="10">
        <v>2222</v>
      </c>
      <c r="T215" s="11" t="str">
        <f t="shared" si="27"/>
        <v>Ok</v>
      </c>
      <c r="U215" s="12">
        <v>45971</v>
      </c>
      <c r="V215" s="10">
        <v>394.29</v>
      </c>
      <c r="W215" s="10" t="str">
        <f t="shared" si="24"/>
        <v>Short Paid</v>
      </c>
      <c r="X215" t="s">
        <v>474</v>
      </c>
      <c r="Y215" t="s">
        <v>28</v>
      </c>
      <c r="Z215">
        <v>100239</v>
      </c>
      <c r="AA215" t="s">
        <v>482</v>
      </c>
      <c r="AB215" t="s">
        <v>523</v>
      </c>
      <c r="AC215" s="9">
        <f t="shared" si="25"/>
        <v>1</v>
      </c>
      <c r="AD215" s="9" t="str">
        <f t="shared" si="26"/>
        <v>Ok</v>
      </c>
      <c r="AE215" s="11">
        <f t="shared" si="22"/>
        <v>0</v>
      </c>
    </row>
    <row r="216" spans="1:31" x14ac:dyDescent="0.3">
      <c r="A216">
        <v>118</v>
      </c>
      <c r="B216">
        <v>4437031</v>
      </c>
      <c r="C216" t="s">
        <v>160</v>
      </c>
      <c r="D216">
        <v>1470631</v>
      </c>
      <c r="E216" t="s">
        <v>214</v>
      </c>
      <c r="F216" t="s">
        <v>18</v>
      </c>
      <c r="G216" t="s">
        <v>2403</v>
      </c>
      <c r="H216" t="s">
        <v>2404</v>
      </c>
      <c r="I216" s="9" t="s">
        <v>3178</v>
      </c>
      <c r="J216" s="9">
        <v>51162295789</v>
      </c>
      <c r="K216" s="14" t="s">
        <v>3517</v>
      </c>
      <c r="L216" s="13" t="s">
        <v>3701</v>
      </c>
      <c r="M216" s="14">
        <v>3000</v>
      </c>
      <c r="N216" s="14">
        <v>0.89390000000000003</v>
      </c>
      <c r="O216" s="10">
        <f t="shared" si="23"/>
        <v>2681.7000000000003</v>
      </c>
      <c r="P216" s="11">
        <v>0</v>
      </c>
      <c r="Q216" s="11">
        <v>1783.33</v>
      </c>
      <c r="R216" s="10">
        <f>IF(COUNTIF($J$2:J216,J216)=1,SUMIFS($O:$O,$J:$J,J216)+SUMIFS($P:$P,$J:$J,J216)+SUMIFS($Q:$Q,$J:$J,J216),"")</f>
        <v>4465.0300000000007</v>
      </c>
      <c r="S216" s="10">
        <v>4465.03</v>
      </c>
      <c r="T216" s="11" t="str">
        <f t="shared" si="27"/>
        <v>Ok</v>
      </c>
      <c r="U216" s="12">
        <v>45968</v>
      </c>
      <c r="V216" s="10">
        <v>127.5</v>
      </c>
      <c r="W216" s="10" t="str">
        <f t="shared" si="24"/>
        <v>Short Paid</v>
      </c>
      <c r="X216" t="s">
        <v>450</v>
      </c>
      <c r="Y216" t="s">
        <v>28</v>
      </c>
      <c r="Z216">
        <v>100247</v>
      </c>
      <c r="AA216" t="s">
        <v>452</v>
      </c>
      <c r="AB216" t="s">
        <v>523</v>
      </c>
      <c r="AC216" s="9">
        <f t="shared" si="25"/>
        <v>1</v>
      </c>
      <c r="AD216" s="9" t="str">
        <f t="shared" si="26"/>
        <v>Ok</v>
      </c>
      <c r="AE216" s="11">
        <f t="shared" si="22"/>
        <v>0</v>
      </c>
    </row>
    <row r="217" spans="1:31" x14ac:dyDescent="0.3">
      <c r="A217">
        <v>116</v>
      </c>
      <c r="B217">
        <v>4436681</v>
      </c>
      <c r="C217" t="s">
        <v>217</v>
      </c>
      <c r="D217">
        <v>1140119</v>
      </c>
      <c r="E217" t="s">
        <v>630</v>
      </c>
      <c r="F217" t="s">
        <v>18</v>
      </c>
      <c r="G217" t="s">
        <v>2405</v>
      </c>
      <c r="H217" t="s">
        <v>2406</v>
      </c>
      <c r="I217" s="9" t="s">
        <v>3476</v>
      </c>
      <c r="J217" s="9">
        <v>51160681757</v>
      </c>
      <c r="K217" s="14" t="s">
        <v>3379</v>
      </c>
      <c r="L217" s="13" t="s">
        <v>3624</v>
      </c>
      <c r="M217" s="14">
        <v>260000</v>
      </c>
      <c r="N217" s="14">
        <v>3.65E-3</v>
      </c>
      <c r="O217" s="10">
        <f t="shared" si="23"/>
        <v>949</v>
      </c>
      <c r="P217" s="11">
        <v>123.37</v>
      </c>
      <c r="Q217" s="11">
        <v>0</v>
      </c>
      <c r="R217" s="10">
        <f>IF(COUNTIF($J$2:J217,J217)=1,SUMIFS($O:$O,$J:$J,J217)+SUMIFS($P:$P,$J:$J,J217)+SUMIFS($Q:$Q,$J:$J,J217),"")</f>
        <v>1072.3699999999999</v>
      </c>
      <c r="S217" s="10">
        <v>1072.3699999999999</v>
      </c>
      <c r="T217" s="11" t="str">
        <f t="shared" si="27"/>
        <v>Ok</v>
      </c>
      <c r="U217" s="12">
        <v>46052</v>
      </c>
      <c r="V217" s="10">
        <v>578.79</v>
      </c>
      <c r="W217" s="10" t="str">
        <f t="shared" si="24"/>
        <v>Short Paid</v>
      </c>
      <c r="X217" t="s">
        <v>468</v>
      </c>
      <c r="Y217" t="s">
        <v>28</v>
      </c>
      <c r="Z217">
        <v>100286</v>
      </c>
      <c r="AA217" t="s">
        <v>3061</v>
      </c>
      <c r="AB217" t="s">
        <v>523</v>
      </c>
      <c r="AC217" s="9">
        <f t="shared" si="25"/>
        <v>1</v>
      </c>
      <c r="AD217" s="9" t="str">
        <f t="shared" si="26"/>
        <v>Ok</v>
      </c>
      <c r="AE217" s="11">
        <f t="shared" si="22"/>
        <v>0</v>
      </c>
    </row>
    <row r="218" spans="1:31" x14ac:dyDescent="0.3">
      <c r="A218">
        <v>115</v>
      </c>
      <c r="B218">
        <v>4436631</v>
      </c>
      <c r="C218" t="s">
        <v>217</v>
      </c>
      <c r="D218">
        <v>1140119</v>
      </c>
      <c r="E218" t="s">
        <v>630</v>
      </c>
      <c r="F218" t="s">
        <v>18</v>
      </c>
      <c r="G218" t="s">
        <v>2407</v>
      </c>
      <c r="H218" t="s">
        <v>2408</v>
      </c>
      <c r="I218" s="9" t="s">
        <v>3307</v>
      </c>
      <c r="J218" s="9">
        <v>51159198986</v>
      </c>
      <c r="K218" s="14" t="s">
        <v>3370</v>
      </c>
      <c r="L218" s="13" t="s">
        <v>3595</v>
      </c>
      <c r="M218" s="14">
        <v>10000</v>
      </c>
      <c r="N218" s="14">
        <v>3.117E-2</v>
      </c>
      <c r="O218" s="10">
        <f t="shared" si="23"/>
        <v>311.7</v>
      </c>
      <c r="P218" s="11">
        <v>40.520000000000003</v>
      </c>
      <c r="Q218" s="11">
        <v>0</v>
      </c>
      <c r="R218" s="10">
        <f>IF(COUNTIF($J$2:J218,J218)=1,SUMIFS($O:$O,$J:$J,J218)+SUMIFS($P:$P,$J:$J,J218)+SUMIFS($Q:$Q,$J:$J,J218),"")</f>
        <v>352.21999999999997</v>
      </c>
      <c r="S218" s="10">
        <v>352.22</v>
      </c>
      <c r="T218" s="11" t="str">
        <f t="shared" si="27"/>
        <v>Ok</v>
      </c>
      <c r="U218" s="12">
        <v>46065</v>
      </c>
      <c r="V218" s="10">
        <v>134.13</v>
      </c>
      <c r="W218" s="10" t="str">
        <f t="shared" si="24"/>
        <v>Short Paid</v>
      </c>
      <c r="X218" t="s">
        <v>468</v>
      </c>
      <c r="Y218" t="s">
        <v>28</v>
      </c>
      <c r="Z218">
        <v>100116</v>
      </c>
      <c r="AA218" t="s">
        <v>3082</v>
      </c>
      <c r="AB218" t="s">
        <v>523</v>
      </c>
      <c r="AC218" s="9">
        <f t="shared" si="25"/>
        <v>1</v>
      </c>
      <c r="AD218" s="9" t="str">
        <f t="shared" si="26"/>
        <v>Ok</v>
      </c>
      <c r="AE218" s="11">
        <f t="shared" ref="AE218:AE250" si="28">R218-S218</f>
        <v>0</v>
      </c>
    </row>
    <row r="219" spans="1:31" x14ac:dyDescent="0.3">
      <c r="A219">
        <v>115</v>
      </c>
      <c r="B219">
        <v>4436061</v>
      </c>
      <c r="C219" t="s">
        <v>217</v>
      </c>
      <c r="D219">
        <v>1140119</v>
      </c>
      <c r="E219" t="s">
        <v>630</v>
      </c>
      <c r="F219" t="s">
        <v>18</v>
      </c>
      <c r="G219" t="s">
        <v>2409</v>
      </c>
      <c r="H219" t="s">
        <v>2410</v>
      </c>
      <c r="I219" s="9" t="s">
        <v>3367</v>
      </c>
      <c r="J219" s="9">
        <v>51163272025</v>
      </c>
      <c r="K219" s="14" t="s">
        <v>3370</v>
      </c>
      <c r="L219" s="13" t="s">
        <v>3595</v>
      </c>
      <c r="M219" s="14">
        <v>10000</v>
      </c>
      <c r="N219" s="14">
        <v>3.117E-2</v>
      </c>
      <c r="O219" s="10">
        <f t="shared" si="23"/>
        <v>311.7</v>
      </c>
      <c r="P219" s="11">
        <v>40.520000000000003</v>
      </c>
      <c r="Q219" s="11">
        <v>0</v>
      </c>
      <c r="R219" s="10">
        <f>IF(COUNTIF($J$2:J219,J219)=1,SUMIFS($O:$O,$J:$J,J219)+SUMIFS($P:$P,$J:$J,J219)+SUMIFS($Q:$Q,$J:$J,J219),"")</f>
        <v>352.21999999999997</v>
      </c>
      <c r="S219" s="10">
        <v>352.22</v>
      </c>
      <c r="T219" s="11" t="str">
        <f t="shared" si="27"/>
        <v>Ok</v>
      </c>
      <c r="U219" s="12">
        <v>46065</v>
      </c>
      <c r="V219" s="10">
        <v>134.13</v>
      </c>
      <c r="W219" s="10" t="str">
        <f t="shared" si="24"/>
        <v>Short Paid</v>
      </c>
      <c r="X219" t="s">
        <v>468</v>
      </c>
      <c r="Y219" t="s">
        <v>28</v>
      </c>
      <c r="Z219">
        <v>100126</v>
      </c>
      <c r="AA219" t="s">
        <v>3123</v>
      </c>
      <c r="AB219" t="s">
        <v>523</v>
      </c>
      <c r="AC219" s="9">
        <f t="shared" si="25"/>
        <v>1</v>
      </c>
      <c r="AD219" s="9" t="str">
        <f t="shared" si="26"/>
        <v>Ok</v>
      </c>
      <c r="AE219" s="11">
        <f t="shared" si="28"/>
        <v>0</v>
      </c>
    </row>
    <row r="220" spans="1:31" x14ac:dyDescent="0.3">
      <c r="A220">
        <v>115</v>
      </c>
      <c r="B220">
        <v>4436671</v>
      </c>
      <c r="C220" t="s">
        <v>217</v>
      </c>
      <c r="D220">
        <v>1140119</v>
      </c>
      <c r="E220" t="s">
        <v>630</v>
      </c>
      <c r="F220" t="s">
        <v>18</v>
      </c>
      <c r="G220" t="s">
        <v>2411</v>
      </c>
      <c r="H220" t="s">
        <v>2412</v>
      </c>
      <c r="I220" s="9" t="s">
        <v>3469</v>
      </c>
      <c r="J220" s="9">
        <v>51160523864</v>
      </c>
      <c r="K220" s="14" t="s">
        <v>3379</v>
      </c>
      <c r="L220" s="13" t="s">
        <v>3624</v>
      </c>
      <c r="M220" s="14">
        <v>100000</v>
      </c>
      <c r="N220" s="14">
        <v>3.65E-3</v>
      </c>
      <c r="O220" s="10">
        <f t="shared" si="23"/>
        <v>365</v>
      </c>
      <c r="P220" s="11">
        <v>47.45</v>
      </c>
      <c r="Q220" s="11">
        <v>0</v>
      </c>
      <c r="R220" s="10">
        <f>IF(COUNTIF($J$2:J220,J220)=1,SUMIFS($O:$O,$J:$J,J220)+SUMIFS($P:$P,$J:$J,J220)+SUMIFS($Q:$Q,$J:$J,J220),"")</f>
        <v>412.45</v>
      </c>
      <c r="S220" s="10">
        <v>412.45</v>
      </c>
      <c r="T220" s="11" t="str">
        <f t="shared" si="27"/>
        <v>Ok</v>
      </c>
      <c r="U220" s="12">
        <v>46065</v>
      </c>
      <c r="V220" s="10">
        <v>222.61</v>
      </c>
      <c r="W220" s="10" t="str">
        <f t="shared" si="24"/>
        <v>Short Paid</v>
      </c>
      <c r="X220" t="s">
        <v>468</v>
      </c>
      <c r="Y220" t="s">
        <v>28</v>
      </c>
      <c r="Z220">
        <v>100156</v>
      </c>
      <c r="AA220" t="s">
        <v>3112</v>
      </c>
      <c r="AB220" t="s">
        <v>523</v>
      </c>
      <c r="AC220" s="9">
        <f t="shared" si="25"/>
        <v>1</v>
      </c>
      <c r="AD220" s="9" t="str">
        <f t="shared" si="26"/>
        <v>Ok</v>
      </c>
      <c r="AE220" s="11">
        <f t="shared" si="28"/>
        <v>0</v>
      </c>
    </row>
    <row r="221" spans="1:31" x14ac:dyDescent="0.3">
      <c r="A221">
        <v>114</v>
      </c>
      <c r="B221">
        <v>4436641</v>
      </c>
      <c r="C221" t="s">
        <v>239</v>
      </c>
      <c r="D221">
        <v>1035325</v>
      </c>
      <c r="E221" t="s">
        <v>556</v>
      </c>
      <c r="F221" t="s">
        <v>20</v>
      </c>
      <c r="G221" t="s">
        <v>2413</v>
      </c>
      <c r="H221" t="s">
        <v>2414</v>
      </c>
      <c r="I221" s="9" t="s">
        <v>3496</v>
      </c>
      <c r="J221" s="9">
        <v>51159488479</v>
      </c>
      <c r="K221" s="14" t="s">
        <v>3271</v>
      </c>
      <c r="L221" s="13" t="s">
        <v>3270</v>
      </c>
      <c r="M221" s="14">
        <v>10</v>
      </c>
      <c r="N221" s="14">
        <v>59.830000000000005</v>
      </c>
      <c r="O221" s="10">
        <f t="shared" si="23"/>
        <v>598.30000000000007</v>
      </c>
      <c r="P221" s="11">
        <v>0</v>
      </c>
      <c r="Q221" s="11">
        <v>256.08</v>
      </c>
      <c r="R221" s="10">
        <f>IF(COUNTIF($J$2:J221,J221)=1,SUMIFS($O:$O,$J:$J,J221)+SUMIFS($P:$P,$J:$J,J221)+SUMIFS($Q:$Q,$J:$J,J221),"")</f>
        <v>854.38000000000011</v>
      </c>
      <c r="S221" s="10">
        <v>854.38</v>
      </c>
      <c r="T221" s="11" t="str">
        <f t="shared" si="27"/>
        <v>Ok</v>
      </c>
      <c r="U221" s="12">
        <v>46007</v>
      </c>
      <c r="V221" s="10">
        <v>854.38</v>
      </c>
      <c r="W221" s="10" t="str">
        <f t="shared" si="24"/>
        <v>Not Paid</v>
      </c>
      <c r="X221" t="s">
        <v>476</v>
      </c>
      <c r="Y221" t="s">
        <v>28</v>
      </c>
      <c r="Z221">
        <v>100245</v>
      </c>
      <c r="AA221" t="s">
        <v>507</v>
      </c>
      <c r="AB221" t="s">
        <v>521</v>
      </c>
      <c r="AC221" s="9">
        <f t="shared" si="25"/>
        <v>1</v>
      </c>
      <c r="AD221" s="9" t="str">
        <f t="shared" si="26"/>
        <v>Ok</v>
      </c>
      <c r="AE221" s="11">
        <f t="shared" si="28"/>
        <v>0</v>
      </c>
    </row>
    <row r="222" spans="1:31" x14ac:dyDescent="0.3">
      <c r="A222">
        <v>114</v>
      </c>
      <c r="B222">
        <v>4437961</v>
      </c>
      <c r="C222" t="s">
        <v>239</v>
      </c>
      <c r="D222">
        <v>1035325</v>
      </c>
      <c r="E222" t="s">
        <v>556</v>
      </c>
      <c r="F222" t="s">
        <v>20</v>
      </c>
      <c r="G222" t="s">
        <v>2415</v>
      </c>
      <c r="H222" t="s">
        <v>2416</v>
      </c>
      <c r="I222" s="9" t="s">
        <v>3323</v>
      </c>
      <c r="J222" s="9">
        <v>51161884818</v>
      </c>
      <c r="K222" s="14" t="s">
        <v>3685</v>
      </c>
      <c r="L222" s="13" t="s">
        <v>3684</v>
      </c>
      <c r="M222" s="14">
        <v>3000</v>
      </c>
      <c r="N222" s="14">
        <v>0.21029999999999999</v>
      </c>
      <c r="O222" s="10">
        <f t="shared" si="23"/>
        <v>630.9</v>
      </c>
      <c r="P222" s="11">
        <v>0</v>
      </c>
      <c r="Q222" s="11">
        <v>150.15</v>
      </c>
      <c r="R222" s="10">
        <f>IF(COUNTIF($J$2:J222,J222)=1,SUMIFS($O:$O,$J:$J,J222)+SUMIFS($P:$P,$J:$J,J222)+SUMIFS($Q:$Q,$J:$J,J222),"")</f>
        <v>781.05</v>
      </c>
      <c r="S222" s="10">
        <v>781.05</v>
      </c>
      <c r="T222" s="11" t="str">
        <f t="shared" si="27"/>
        <v>Ok</v>
      </c>
      <c r="U222" s="12">
        <v>46008</v>
      </c>
      <c r="V222" s="10">
        <v>781.05</v>
      </c>
      <c r="W222" s="10" t="str">
        <f t="shared" si="24"/>
        <v>Not Paid</v>
      </c>
      <c r="X222" t="s">
        <v>476</v>
      </c>
      <c r="Y222" t="s">
        <v>28</v>
      </c>
      <c r="Z222">
        <v>100275</v>
      </c>
      <c r="AA222" t="s">
        <v>492</v>
      </c>
      <c r="AB222" t="s">
        <v>521</v>
      </c>
      <c r="AC222" s="9">
        <f t="shared" si="25"/>
        <v>1</v>
      </c>
      <c r="AD222" s="9" t="str">
        <f t="shared" si="26"/>
        <v>Ok</v>
      </c>
      <c r="AE222" s="11">
        <f t="shared" si="28"/>
        <v>0</v>
      </c>
    </row>
    <row r="223" spans="1:31" x14ac:dyDescent="0.3">
      <c r="A223">
        <v>114</v>
      </c>
      <c r="B223">
        <v>4435551</v>
      </c>
      <c r="C223" t="s">
        <v>160</v>
      </c>
      <c r="D223">
        <v>1023247</v>
      </c>
      <c r="E223" t="s">
        <v>627</v>
      </c>
      <c r="F223" t="s">
        <v>19</v>
      </c>
      <c r="G223" t="s">
        <v>2417</v>
      </c>
      <c r="H223" t="s">
        <v>2418</v>
      </c>
      <c r="I223" s="9" t="s">
        <v>3432</v>
      </c>
      <c r="J223" s="9">
        <v>51164901197</v>
      </c>
      <c r="K223" s="14" t="s">
        <v>3194</v>
      </c>
      <c r="L223" s="13" t="s">
        <v>3785</v>
      </c>
      <c r="M223" s="14">
        <v>32</v>
      </c>
      <c r="N223" s="14">
        <v>9.75</v>
      </c>
      <c r="O223" s="10">
        <f t="shared" si="23"/>
        <v>312</v>
      </c>
      <c r="P223" s="11">
        <v>0</v>
      </c>
      <c r="Q223" s="11">
        <v>0</v>
      </c>
      <c r="R223" s="10">
        <f>IF(COUNTIF($J$2:J223,J223)=1,SUMIFS($O:$O,$J:$J,J223)+SUMIFS($P:$P,$J:$J,J223)+SUMIFS($Q:$Q,$J:$J,J223),"")</f>
        <v>312</v>
      </c>
      <c r="S223" s="10">
        <v>312</v>
      </c>
      <c r="T223" s="11" t="str">
        <f t="shared" si="27"/>
        <v>Ok</v>
      </c>
      <c r="U223" s="12">
        <v>46021</v>
      </c>
      <c r="V223" s="10">
        <v>312</v>
      </c>
      <c r="W223" s="10" t="str">
        <f t="shared" si="24"/>
        <v>Not Paid</v>
      </c>
      <c r="X223" t="s">
        <v>435</v>
      </c>
      <c r="Y223" t="s">
        <v>28</v>
      </c>
      <c r="Z223">
        <v>100161</v>
      </c>
      <c r="AA223" t="s">
        <v>3066</v>
      </c>
      <c r="AB223" t="s">
        <v>524</v>
      </c>
      <c r="AC223" s="9">
        <f t="shared" si="25"/>
        <v>1</v>
      </c>
      <c r="AD223" s="9" t="str">
        <f t="shared" si="26"/>
        <v>Ok</v>
      </c>
      <c r="AE223" s="11">
        <f t="shared" si="28"/>
        <v>0</v>
      </c>
    </row>
    <row r="224" spans="1:31" x14ac:dyDescent="0.3">
      <c r="A224">
        <v>114</v>
      </c>
      <c r="B224">
        <v>4436811</v>
      </c>
      <c r="C224" t="s">
        <v>239</v>
      </c>
      <c r="D224">
        <v>1571373</v>
      </c>
      <c r="E224" t="s">
        <v>604</v>
      </c>
      <c r="F224" t="s">
        <v>18</v>
      </c>
      <c r="G224" t="s">
        <v>2419</v>
      </c>
      <c r="H224" t="s">
        <v>2420</v>
      </c>
      <c r="I224" s="9" t="s">
        <v>3397</v>
      </c>
      <c r="J224" s="9">
        <v>51164692686</v>
      </c>
      <c r="K224" s="14" t="s">
        <v>3201</v>
      </c>
      <c r="L224" s="13" t="s">
        <v>3779</v>
      </c>
      <c r="M224" s="14">
        <v>850</v>
      </c>
      <c r="N224" s="14">
        <v>2.8849999999999998</v>
      </c>
      <c r="O224" s="10">
        <f t="shared" si="23"/>
        <v>2452.25</v>
      </c>
      <c r="P224" s="11">
        <v>0</v>
      </c>
      <c r="Q224" s="11">
        <v>0</v>
      </c>
      <c r="R224" s="10">
        <f>IF(COUNTIF($J$2:J224,J224)=1,SUMIFS($O:$O,$J:$J,J224)+SUMIFS($P:$P,$J:$J,J224)+SUMIFS($Q:$Q,$J:$J,J224),"")</f>
        <v>2452.25</v>
      </c>
      <c r="S224" s="10">
        <v>2452.25</v>
      </c>
      <c r="T224" s="11" t="str">
        <f t="shared" si="27"/>
        <v>Ok</v>
      </c>
      <c r="U224" s="12">
        <v>46035</v>
      </c>
      <c r="V224" s="10">
        <v>1143.25</v>
      </c>
      <c r="W224" s="10" t="str">
        <f t="shared" si="24"/>
        <v>Short Paid</v>
      </c>
      <c r="X224" t="s">
        <v>476</v>
      </c>
      <c r="Y224" t="s">
        <v>28</v>
      </c>
      <c r="Z224">
        <v>100115</v>
      </c>
      <c r="AA224" t="s">
        <v>504</v>
      </c>
      <c r="AB224" t="s">
        <v>523</v>
      </c>
      <c r="AC224" s="9">
        <f t="shared" si="25"/>
        <v>1</v>
      </c>
      <c r="AD224" s="9" t="str">
        <f t="shared" si="26"/>
        <v>Ok</v>
      </c>
      <c r="AE224" s="11">
        <f t="shared" si="28"/>
        <v>0</v>
      </c>
    </row>
    <row r="225" spans="1:31" x14ac:dyDescent="0.3">
      <c r="A225">
        <v>114</v>
      </c>
      <c r="B225">
        <v>4436211</v>
      </c>
      <c r="C225" t="s">
        <v>220</v>
      </c>
      <c r="D225">
        <v>1040246</v>
      </c>
      <c r="E225" t="s">
        <v>558</v>
      </c>
      <c r="F225" t="s">
        <v>39</v>
      </c>
      <c r="G225" t="s">
        <v>2421</v>
      </c>
      <c r="H225" t="s">
        <v>2422</v>
      </c>
      <c r="I225" s="9" t="s">
        <v>3166</v>
      </c>
      <c r="J225" s="9">
        <v>51161079424</v>
      </c>
      <c r="K225" s="14" t="s">
        <v>3246</v>
      </c>
      <c r="L225" s="13" t="s">
        <v>3643</v>
      </c>
      <c r="M225" s="14">
        <v>8855</v>
      </c>
      <c r="N225" s="14">
        <v>0.30109999999999998</v>
      </c>
      <c r="O225" s="10">
        <f t="shared" si="23"/>
        <v>2666.2404999999999</v>
      </c>
      <c r="P225" s="11">
        <v>0</v>
      </c>
      <c r="Q225" s="11">
        <v>506.59</v>
      </c>
      <c r="R225" s="10">
        <f>IF(COUNTIF($J$2:J225,J225)=1,SUMIFS($O:$O,$J:$J,J225)+SUMIFS($P:$P,$J:$J,J225)+SUMIFS($Q:$Q,$J:$J,J225),"")</f>
        <v>3172.8305</v>
      </c>
      <c r="S225" s="10">
        <v>3172.83</v>
      </c>
      <c r="T225" s="11" t="str">
        <f t="shared" si="27"/>
        <v>Check</v>
      </c>
      <c r="U225" s="12">
        <v>45897</v>
      </c>
      <c r="V225" s="10">
        <v>3172.83</v>
      </c>
      <c r="W225" s="10" t="str">
        <f t="shared" si="24"/>
        <v>Not Paid</v>
      </c>
      <c r="X225" t="s">
        <v>435</v>
      </c>
      <c r="Y225" t="s">
        <v>28</v>
      </c>
      <c r="Z225">
        <v>100231</v>
      </c>
      <c r="AA225" t="s">
        <v>3065</v>
      </c>
      <c r="AB225" t="s">
        <v>527</v>
      </c>
      <c r="AC225" s="9">
        <f t="shared" si="25"/>
        <v>1</v>
      </c>
      <c r="AD225" s="9" t="str">
        <f t="shared" si="26"/>
        <v>Check</v>
      </c>
      <c r="AE225" s="11">
        <f t="shared" si="28"/>
        <v>5.0000000010186341E-4</v>
      </c>
    </row>
    <row r="226" spans="1:31" x14ac:dyDescent="0.3">
      <c r="A226">
        <v>113</v>
      </c>
      <c r="B226">
        <v>4435971</v>
      </c>
      <c r="C226" t="s">
        <v>217</v>
      </c>
      <c r="D226">
        <v>1349213</v>
      </c>
      <c r="E226" t="s">
        <v>637</v>
      </c>
      <c r="F226" t="s">
        <v>18</v>
      </c>
      <c r="G226" t="s">
        <v>2425</v>
      </c>
      <c r="H226" t="s">
        <v>2426</v>
      </c>
      <c r="I226" s="9" t="s">
        <v>3513</v>
      </c>
      <c r="J226" s="9">
        <v>51163964522</v>
      </c>
      <c r="K226" s="14" t="s">
        <v>3262</v>
      </c>
      <c r="L226" s="13" t="s">
        <v>3261</v>
      </c>
      <c r="M226" s="14">
        <v>1000</v>
      </c>
      <c r="N226" s="14">
        <v>1.82</v>
      </c>
      <c r="O226" s="10">
        <f t="shared" si="23"/>
        <v>1820</v>
      </c>
      <c r="P226" s="11">
        <v>0</v>
      </c>
      <c r="Q226" s="11">
        <v>0</v>
      </c>
      <c r="R226" s="10">
        <f>IF(COUNTIF($J$2:J226,J226)=1,SUMIFS($O:$O,$J:$J,J226)+SUMIFS($P:$P,$J:$J,J226)+SUMIFS($Q:$Q,$J:$J,J226),"")</f>
        <v>1820</v>
      </c>
      <c r="S226" s="10">
        <v>7280</v>
      </c>
      <c r="T226" s="11" t="str">
        <f t="shared" si="27"/>
        <v>Check</v>
      </c>
      <c r="U226" s="12">
        <v>46015</v>
      </c>
      <c r="V226" s="10">
        <v>120</v>
      </c>
      <c r="W226" s="10" t="str">
        <f t="shared" si="24"/>
        <v>Short Paid</v>
      </c>
      <c r="X226" t="s">
        <v>438</v>
      </c>
      <c r="Y226" t="s">
        <v>28</v>
      </c>
      <c r="Z226">
        <v>100193</v>
      </c>
      <c r="AA226" t="s">
        <v>442</v>
      </c>
      <c r="AB226" t="s">
        <v>523</v>
      </c>
      <c r="AC226" s="9">
        <f t="shared" si="25"/>
        <v>1</v>
      </c>
      <c r="AD226" s="9" t="str">
        <f t="shared" si="26"/>
        <v>Check</v>
      </c>
      <c r="AE226" s="11">
        <f t="shared" si="28"/>
        <v>-5460</v>
      </c>
    </row>
    <row r="227" spans="1:31" x14ac:dyDescent="0.3">
      <c r="A227">
        <v>113</v>
      </c>
      <c r="B227">
        <v>4435541</v>
      </c>
      <c r="C227" t="s">
        <v>56</v>
      </c>
      <c r="D227">
        <v>1588891</v>
      </c>
      <c r="E227" t="s">
        <v>61</v>
      </c>
      <c r="F227" t="s">
        <v>19</v>
      </c>
      <c r="G227" t="s">
        <v>2427</v>
      </c>
      <c r="H227" t="s">
        <v>2428</v>
      </c>
      <c r="I227" s="9" t="s">
        <v>3342</v>
      </c>
      <c r="J227" s="9">
        <v>51164354741</v>
      </c>
      <c r="K227" s="14" t="s">
        <v>3201</v>
      </c>
      <c r="L227" s="13" t="s">
        <v>3776</v>
      </c>
      <c r="M227" s="14">
        <v>13500</v>
      </c>
      <c r="N227" s="14">
        <v>0.373</v>
      </c>
      <c r="O227" s="10">
        <f t="shared" si="23"/>
        <v>5035.5</v>
      </c>
      <c r="P227" s="11">
        <v>0</v>
      </c>
      <c r="Q227" s="11">
        <v>0</v>
      </c>
      <c r="R227" s="10">
        <f>IF(COUNTIF($J$2:J227,J227)=1,SUMIFS($O:$O,$J:$J,J227)+SUMIFS($P:$P,$J:$J,J227)+SUMIFS($Q:$Q,$J:$J,J227),"")</f>
        <v>5035.5</v>
      </c>
      <c r="S227" s="10">
        <v>5035.5</v>
      </c>
      <c r="T227" s="11" t="str">
        <f t="shared" si="27"/>
        <v>Ok</v>
      </c>
      <c r="U227" s="12">
        <v>45615</v>
      </c>
      <c r="V227" s="10">
        <v>5035.5</v>
      </c>
      <c r="W227" s="10" t="str">
        <f t="shared" si="24"/>
        <v>Not Paid</v>
      </c>
      <c r="X227" t="s">
        <v>438</v>
      </c>
      <c r="Y227" t="s">
        <v>28</v>
      </c>
      <c r="Z227">
        <v>100203</v>
      </c>
      <c r="AA227" t="s">
        <v>441</v>
      </c>
      <c r="AB227" t="s">
        <v>524</v>
      </c>
      <c r="AC227" s="9">
        <f t="shared" si="25"/>
        <v>1</v>
      </c>
      <c r="AD227" s="9" t="str">
        <f t="shared" si="26"/>
        <v>Ok</v>
      </c>
      <c r="AE227" s="11">
        <f t="shared" si="28"/>
        <v>0</v>
      </c>
    </row>
    <row r="228" spans="1:31" x14ac:dyDescent="0.3">
      <c r="A228">
        <v>113</v>
      </c>
      <c r="B228">
        <v>4437501</v>
      </c>
      <c r="C228" t="s">
        <v>60</v>
      </c>
      <c r="D228">
        <v>1187239</v>
      </c>
      <c r="E228" t="s">
        <v>663</v>
      </c>
      <c r="F228" t="s">
        <v>19</v>
      </c>
      <c r="G228" t="s">
        <v>2429</v>
      </c>
      <c r="H228" t="s">
        <v>2430</v>
      </c>
      <c r="I228" s="9" t="s">
        <v>3397</v>
      </c>
      <c r="J228" s="9">
        <v>54108059020</v>
      </c>
      <c r="K228" s="14" t="s">
        <v>3389</v>
      </c>
      <c r="L228" s="13" t="s">
        <v>3792</v>
      </c>
      <c r="M228" s="14">
        <v>3000</v>
      </c>
      <c r="N228" s="14">
        <v>0.18</v>
      </c>
      <c r="O228" s="10">
        <f t="shared" si="23"/>
        <v>540</v>
      </c>
      <c r="P228" s="11">
        <v>0</v>
      </c>
      <c r="Q228" s="11">
        <v>0</v>
      </c>
      <c r="R228" s="10">
        <f>IF(COUNTIF($J$2:J228,J228)=1,SUMIFS($O:$O,$J:$J,J228)+SUMIFS($P:$P,$J:$J,J228)+SUMIFS($Q:$Q,$J:$J,J228),"")</f>
        <v>540</v>
      </c>
      <c r="S228" s="10">
        <v>540</v>
      </c>
      <c r="T228" s="11" t="str">
        <f t="shared" si="27"/>
        <v>Ok</v>
      </c>
      <c r="U228" s="12">
        <v>45931</v>
      </c>
      <c r="V228" s="10">
        <v>540</v>
      </c>
      <c r="W228" s="10" t="str">
        <f t="shared" si="24"/>
        <v>Not Paid</v>
      </c>
      <c r="X228" t="s">
        <v>453</v>
      </c>
      <c r="Y228" t="s">
        <v>28</v>
      </c>
      <c r="Z228">
        <v>100234</v>
      </c>
      <c r="AA228" t="s">
        <v>502</v>
      </c>
      <c r="AB228" t="s">
        <v>524</v>
      </c>
      <c r="AC228" s="9">
        <f t="shared" si="25"/>
        <v>1</v>
      </c>
      <c r="AD228" s="9" t="str">
        <f t="shared" si="26"/>
        <v>Ok</v>
      </c>
      <c r="AE228" s="11">
        <f t="shared" si="28"/>
        <v>0</v>
      </c>
    </row>
    <row r="229" spans="1:31" x14ac:dyDescent="0.3">
      <c r="A229">
        <v>113</v>
      </c>
      <c r="B229">
        <v>4437121</v>
      </c>
      <c r="C229" t="s">
        <v>60</v>
      </c>
      <c r="D229">
        <v>1187239</v>
      </c>
      <c r="E229" t="s">
        <v>663</v>
      </c>
      <c r="F229" t="s">
        <v>19</v>
      </c>
      <c r="G229" t="s">
        <v>2431</v>
      </c>
      <c r="H229" t="s">
        <v>2432</v>
      </c>
      <c r="I229" s="9" t="s">
        <v>3253</v>
      </c>
      <c r="J229" s="9">
        <v>51164692729</v>
      </c>
      <c r="K229" s="14" t="s">
        <v>3351</v>
      </c>
      <c r="L229" s="13" t="s">
        <v>3780</v>
      </c>
      <c r="M229" s="14">
        <v>5200</v>
      </c>
      <c r="N229" s="14">
        <v>3</v>
      </c>
      <c r="O229" s="10">
        <f t="shared" si="23"/>
        <v>15600</v>
      </c>
      <c r="P229" s="11">
        <v>0</v>
      </c>
      <c r="Q229" s="11">
        <v>0</v>
      </c>
      <c r="R229" s="10">
        <f>IF(COUNTIF($J$2:J229,J229)=1,SUMIFS($O:$O,$J:$J,J229)+SUMIFS($P:$P,$J:$J,J229)+SUMIFS($Q:$Q,$J:$J,J229),"")</f>
        <v>15600</v>
      </c>
      <c r="S229" s="10">
        <v>17940</v>
      </c>
      <c r="T229" s="11" t="str">
        <f t="shared" si="27"/>
        <v>Check</v>
      </c>
      <c r="U229" s="12">
        <v>45931</v>
      </c>
      <c r="V229" s="10">
        <v>17940</v>
      </c>
      <c r="W229" s="10" t="str">
        <f t="shared" si="24"/>
        <v>Not Paid</v>
      </c>
      <c r="X229" t="s">
        <v>453</v>
      </c>
      <c r="Y229" t="s">
        <v>28</v>
      </c>
      <c r="Z229">
        <v>100244</v>
      </c>
      <c r="AA229" t="s">
        <v>466</v>
      </c>
      <c r="AB229" t="s">
        <v>524</v>
      </c>
      <c r="AC229" s="9">
        <f t="shared" si="25"/>
        <v>1</v>
      </c>
      <c r="AD229" s="9" t="str">
        <f t="shared" si="26"/>
        <v>Check</v>
      </c>
      <c r="AE229" s="11">
        <f t="shared" si="28"/>
        <v>-2340</v>
      </c>
    </row>
    <row r="230" spans="1:31" x14ac:dyDescent="0.3">
      <c r="A230">
        <v>113</v>
      </c>
      <c r="B230">
        <v>4437131</v>
      </c>
      <c r="C230" t="s">
        <v>56</v>
      </c>
      <c r="D230">
        <v>1588891</v>
      </c>
      <c r="E230" t="s">
        <v>61</v>
      </c>
      <c r="F230" t="s">
        <v>19</v>
      </c>
      <c r="G230" t="s">
        <v>2433</v>
      </c>
      <c r="H230" t="s">
        <v>2434</v>
      </c>
      <c r="I230" s="9" t="s">
        <v>3300</v>
      </c>
      <c r="J230" s="9">
        <v>51164692758</v>
      </c>
      <c r="K230" s="14" t="s">
        <v>3180</v>
      </c>
      <c r="L230" s="13" t="s">
        <v>3781</v>
      </c>
      <c r="M230" s="14">
        <v>4000</v>
      </c>
      <c r="N230" s="14">
        <v>1.0660000000000001</v>
      </c>
      <c r="O230" s="10">
        <f t="shared" si="23"/>
        <v>4264</v>
      </c>
      <c r="P230" s="11">
        <v>0</v>
      </c>
      <c r="Q230" s="11">
        <v>0</v>
      </c>
      <c r="R230" s="10">
        <f>IF(COUNTIF($J$2:J230,J230)=1,SUMIFS($O:$O,$J:$J,J230)+SUMIFS($P:$P,$J:$J,J230)+SUMIFS($Q:$Q,$J:$J,J230),"")</f>
        <v>4264</v>
      </c>
      <c r="S230" s="10">
        <v>4264</v>
      </c>
      <c r="T230" s="11" t="str">
        <f t="shared" si="27"/>
        <v>Ok</v>
      </c>
      <c r="U230" s="12">
        <v>45628</v>
      </c>
      <c r="V230" s="10">
        <v>4264</v>
      </c>
      <c r="W230" s="10" t="str">
        <f t="shared" si="24"/>
        <v>Not Paid</v>
      </c>
      <c r="X230" t="s">
        <v>438</v>
      </c>
      <c r="Y230" t="s">
        <v>28</v>
      </c>
      <c r="Z230">
        <v>100273</v>
      </c>
      <c r="AA230" t="s">
        <v>444</v>
      </c>
      <c r="AB230" t="s">
        <v>524</v>
      </c>
      <c r="AC230" s="9">
        <f t="shared" si="25"/>
        <v>1</v>
      </c>
      <c r="AD230" s="9" t="str">
        <f t="shared" si="26"/>
        <v>Ok</v>
      </c>
      <c r="AE230" s="11">
        <f t="shared" si="28"/>
        <v>0</v>
      </c>
    </row>
    <row r="231" spans="1:31" x14ac:dyDescent="0.3">
      <c r="A231">
        <v>113</v>
      </c>
      <c r="B231">
        <v>4436181</v>
      </c>
      <c r="C231" t="s">
        <v>220</v>
      </c>
      <c r="D231">
        <v>1125734</v>
      </c>
      <c r="E231" t="s">
        <v>532</v>
      </c>
      <c r="F231" t="s">
        <v>20</v>
      </c>
      <c r="G231" t="s">
        <v>2435</v>
      </c>
      <c r="H231" t="s">
        <v>2436</v>
      </c>
      <c r="I231" s="9" t="s">
        <v>3347</v>
      </c>
      <c r="J231" s="9">
        <v>51164442916</v>
      </c>
      <c r="K231" s="14" t="s">
        <v>3431</v>
      </c>
      <c r="L231" s="13" t="s">
        <v>3777</v>
      </c>
      <c r="M231" s="14">
        <v>2000</v>
      </c>
      <c r="N231" s="14">
        <v>0.35365999999999997</v>
      </c>
      <c r="O231" s="10">
        <f t="shared" si="23"/>
        <v>707.31999999999994</v>
      </c>
      <c r="P231" s="11">
        <v>0</v>
      </c>
      <c r="Q231" s="11">
        <v>134.38999999999999</v>
      </c>
      <c r="R231" s="10">
        <f>IF(COUNTIF($J$2:J231,J231)=1,SUMIFS($O:$O,$J:$J,J231)+SUMIFS($P:$P,$J:$J,J231)+SUMIFS($Q:$Q,$J:$J,J231),"")</f>
        <v>841.70999999999992</v>
      </c>
      <c r="S231" s="10">
        <v>841.71</v>
      </c>
      <c r="T231" s="11" t="str">
        <f t="shared" si="27"/>
        <v>Ok</v>
      </c>
      <c r="U231" s="12">
        <v>45871</v>
      </c>
      <c r="V231" s="10">
        <v>707.32</v>
      </c>
      <c r="W231" s="10" t="str">
        <f t="shared" si="24"/>
        <v>Short Paid</v>
      </c>
      <c r="X231" t="s">
        <v>470</v>
      </c>
      <c r="Y231" t="s">
        <v>28</v>
      </c>
      <c r="Z231">
        <v>100118</v>
      </c>
      <c r="AA231" t="s">
        <v>494</v>
      </c>
      <c r="AB231" t="s">
        <v>521</v>
      </c>
      <c r="AC231" s="9">
        <f t="shared" si="25"/>
        <v>1</v>
      </c>
      <c r="AD231" s="9" t="str">
        <f t="shared" si="26"/>
        <v>Ok</v>
      </c>
      <c r="AE231" s="11">
        <f t="shared" si="28"/>
        <v>0</v>
      </c>
    </row>
    <row r="232" spans="1:31" x14ac:dyDescent="0.3">
      <c r="A232">
        <v>113</v>
      </c>
      <c r="B232">
        <v>4438071</v>
      </c>
      <c r="C232" t="s">
        <v>220</v>
      </c>
      <c r="D232">
        <v>1125734</v>
      </c>
      <c r="E232" t="s">
        <v>532</v>
      </c>
      <c r="F232" t="s">
        <v>20</v>
      </c>
      <c r="G232" t="s">
        <v>2437</v>
      </c>
      <c r="H232" t="s">
        <v>2438</v>
      </c>
      <c r="I232" s="9" t="s">
        <v>3468</v>
      </c>
      <c r="J232" s="9">
        <v>51164593905</v>
      </c>
      <c r="K232" s="14" t="s">
        <v>3431</v>
      </c>
      <c r="L232" s="13" t="s">
        <v>3777</v>
      </c>
      <c r="M232" s="14">
        <v>23000</v>
      </c>
      <c r="N232" s="14">
        <v>0.35365999999999997</v>
      </c>
      <c r="O232" s="10">
        <f t="shared" si="23"/>
        <v>8134.1799999999994</v>
      </c>
      <c r="P232" s="11">
        <v>0</v>
      </c>
      <c r="Q232" s="11">
        <v>1545.49</v>
      </c>
      <c r="R232" s="10">
        <f>IF(COUNTIF($J$2:J232,J232)=1,SUMIFS($O:$O,$J:$J,J232)+SUMIFS($P:$P,$J:$J,J232)+SUMIFS($Q:$Q,$J:$J,J232),"")</f>
        <v>9679.67</v>
      </c>
      <c r="S232" s="10">
        <v>9679.67</v>
      </c>
      <c r="T232" s="11" t="str">
        <f t="shared" si="27"/>
        <v>Ok</v>
      </c>
      <c r="U232" s="12">
        <v>45871</v>
      </c>
      <c r="V232" s="10">
        <v>8134.18</v>
      </c>
      <c r="W232" s="10" t="str">
        <f t="shared" si="24"/>
        <v>Short Paid</v>
      </c>
      <c r="X232" t="s">
        <v>470</v>
      </c>
      <c r="Y232" t="s">
        <v>28</v>
      </c>
      <c r="Z232">
        <v>100128</v>
      </c>
      <c r="AA232" t="s">
        <v>508</v>
      </c>
      <c r="AB232" t="s">
        <v>521</v>
      </c>
      <c r="AC232" s="9">
        <f t="shared" si="25"/>
        <v>1</v>
      </c>
      <c r="AD232" s="9" t="str">
        <f t="shared" si="26"/>
        <v>Ok</v>
      </c>
      <c r="AE232" s="11">
        <f t="shared" si="28"/>
        <v>0</v>
      </c>
    </row>
    <row r="233" spans="1:31" x14ac:dyDescent="0.3">
      <c r="A233">
        <v>113</v>
      </c>
      <c r="B233">
        <v>4436171</v>
      </c>
      <c r="C233" t="s">
        <v>220</v>
      </c>
      <c r="D233">
        <v>1125734</v>
      </c>
      <c r="E233" t="s">
        <v>532</v>
      </c>
      <c r="F233" t="s">
        <v>20</v>
      </c>
      <c r="G233" t="s">
        <v>2439</v>
      </c>
      <c r="H233" t="s">
        <v>2440</v>
      </c>
      <c r="I233" s="9" t="s">
        <v>3315</v>
      </c>
      <c r="J233" s="9">
        <v>51164433014</v>
      </c>
      <c r="K233" s="14" t="s">
        <v>3431</v>
      </c>
      <c r="L233" s="13" t="s">
        <v>3777</v>
      </c>
      <c r="M233" s="14">
        <v>2000</v>
      </c>
      <c r="N233" s="14">
        <v>0.35365999999999997</v>
      </c>
      <c r="O233" s="10">
        <f t="shared" si="23"/>
        <v>707.31999999999994</v>
      </c>
      <c r="P233" s="11">
        <v>0</v>
      </c>
      <c r="Q233" s="11">
        <v>134.38999999999999</v>
      </c>
      <c r="R233" s="10">
        <f>IF(COUNTIF($J$2:J233,J233)=1,SUMIFS($O:$O,$J:$J,J233)+SUMIFS($P:$P,$J:$J,J233)+SUMIFS($Q:$Q,$J:$J,J233),"")</f>
        <v>841.70999999999992</v>
      </c>
      <c r="S233" s="10">
        <v>841.71</v>
      </c>
      <c r="T233" s="11" t="str">
        <f t="shared" si="27"/>
        <v>Ok</v>
      </c>
      <c r="U233" s="12">
        <v>45849</v>
      </c>
      <c r="V233" s="10">
        <v>707.32</v>
      </c>
      <c r="W233" s="10" t="str">
        <f t="shared" si="24"/>
        <v>Short Paid</v>
      </c>
      <c r="X233" t="s">
        <v>470</v>
      </c>
      <c r="Y233" t="s">
        <v>28</v>
      </c>
      <c r="Z233">
        <v>100158</v>
      </c>
      <c r="AA233" t="s">
        <v>510</v>
      </c>
      <c r="AB233" t="s">
        <v>521</v>
      </c>
      <c r="AC233" s="9">
        <f t="shared" si="25"/>
        <v>1</v>
      </c>
      <c r="AD233" s="9" t="str">
        <f t="shared" si="26"/>
        <v>Ok</v>
      </c>
      <c r="AE233" s="11">
        <f t="shared" si="28"/>
        <v>0</v>
      </c>
    </row>
    <row r="234" spans="1:31" x14ac:dyDescent="0.3">
      <c r="A234">
        <v>112</v>
      </c>
      <c r="B234">
        <v>4438481</v>
      </c>
      <c r="C234" t="s">
        <v>160</v>
      </c>
      <c r="D234">
        <v>1469829</v>
      </c>
      <c r="E234" t="s">
        <v>224</v>
      </c>
      <c r="F234" t="s">
        <v>20</v>
      </c>
      <c r="G234" t="s">
        <v>2443</v>
      </c>
      <c r="H234" t="s">
        <v>2444</v>
      </c>
      <c r="I234" s="9" t="s">
        <v>3451</v>
      </c>
      <c r="J234" s="9">
        <v>51162165432</v>
      </c>
      <c r="K234" s="14" t="s">
        <v>3209</v>
      </c>
      <c r="L234" s="13" t="s">
        <v>3694</v>
      </c>
      <c r="M234" s="14">
        <v>500</v>
      </c>
      <c r="N234" s="14">
        <v>1.62</v>
      </c>
      <c r="O234" s="10">
        <f t="shared" si="23"/>
        <v>810</v>
      </c>
      <c r="P234" s="11">
        <v>0</v>
      </c>
      <c r="Q234" s="11">
        <v>115.83</v>
      </c>
      <c r="R234" s="10">
        <f>IF(COUNTIF($J$2:J234,J234)=1,SUMIFS($O:$O,$J:$J,J234)+SUMIFS($P:$P,$J:$J,J234)+SUMIFS($Q:$Q,$J:$J,J234),"")</f>
        <v>925.83</v>
      </c>
      <c r="S234" s="10">
        <v>925.83</v>
      </c>
      <c r="T234" s="11" t="str">
        <f t="shared" si="27"/>
        <v>Ok</v>
      </c>
      <c r="U234" s="12">
        <v>46008</v>
      </c>
      <c r="V234" s="10">
        <v>810</v>
      </c>
      <c r="W234" s="10" t="str">
        <f t="shared" si="24"/>
        <v>Short Paid</v>
      </c>
      <c r="X234" t="s">
        <v>470</v>
      </c>
      <c r="Y234" t="s">
        <v>28</v>
      </c>
      <c r="Z234">
        <v>100198</v>
      </c>
      <c r="AA234" t="s">
        <v>473</v>
      </c>
      <c r="AB234" t="s">
        <v>521</v>
      </c>
      <c r="AC234" s="9">
        <f t="shared" si="25"/>
        <v>1</v>
      </c>
      <c r="AD234" s="9" t="str">
        <f t="shared" si="26"/>
        <v>Ok</v>
      </c>
      <c r="AE234" s="11">
        <f t="shared" si="28"/>
        <v>0</v>
      </c>
    </row>
    <row r="235" spans="1:31" x14ac:dyDescent="0.3">
      <c r="A235">
        <v>112</v>
      </c>
      <c r="B235">
        <v>4438491</v>
      </c>
      <c r="C235" t="s">
        <v>160</v>
      </c>
      <c r="D235">
        <v>1443616</v>
      </c>
      <c r="E235" t="s">
        <v>285</v>
      </c>
      <c r="F235" t="s">
        <v>50</v>
      </c>
      <c r="G235" t="s">
        <v>2445</v>
      </c>
      <c r="H235" t="s">
        <v>2446</v>
      </c>
      <c r="I235" s="9" t="s">
        <v>3163</v>
      </c>
      <c r="J235" s="9">
        <v>51162165401</v>
      </c>
      <c r="K235" s="14" t="s">
        <v>3611</v>
      </c>
      <c r="L235" s="13" t="s">
        <v>3693</v>
      </c>
      <c r="M235" s="14">
        <v>365000</v>
      </c>
      <c r="N235" s="14">
        <v>4.53E-2</v>
      </c>
      <c r="O235" s="10">
        <f t="shared" si="23"/>
        <v>16534.5</v>
      </c>
      <c r="P235" s="11">
        <v>0</v>
      </c>
      <c r="Q235" s="11">
        <v>0</v>
      </c>
      <c r="R235" s="10">
        <f>IF(COUNTIF($J$2:J235,J235)=1,SUMIFS($O:$O,$J:$J,J235)+SUMIFS($P:$P,$J:$J,J235)+SUMIFS($Q:$Q,$J:$J,J235),"")</f>
        <v>16534.5</v>
      </c>
      <c r="S235" s="10">
        <v>16875.28</v>
      </c>
      <c r="T235" s="11" t="str">
        <f t="shared" si="27"/>
        <v>Check</v>
      </c>
      <c r="U235" s="12">
        <v>46049</v>
      </c>
      <c r="V235" s="10">
        <v>16875.28</v>
      </c>
      <c r="W235" s="10" t="str">
        <f t="shared" si="24"/>
        <v>Not Paid</v>
      </c>
      <c r="X235" t="s">
        <v>435</v>
      </c>
      <c r="Y235" t="s">
        <v>436</v>
      </c>
      <c r="Z235">
        <v>100251</v>
      </c>
      <c r="AA235" t="s">
        <v>3125</v>
      </c>
      <c r="AB235" t="s">
        <v>3042</v>
      </c>
      <c r="AC235" s="9">
        <f t="shared" si="25"/>
        <v>1</v>
      </c>
      <c r="AD235" s="9" t="str">
        <f t="shared" si="26"/>
        <v>Check</v>
      </c>
      <c r="AE235" s="11">
        <f t="shared" si="28"/>
        <v>-340.77999999999884</v>
      </c>
    </row>
    <row r="236" spans="1:31" x14ac:dyDescent="0.3">
      <c r="A236">
        <v>112</v>
      </c>
      <c r="B236">
        <v>4438451</v>
      </c>
      <c r="C236" t="s">
        <v>160</v>
      </c>
      <c r="D236">
        <v>1443616</v>
      </c>
      <c r="E236" t="s">
        <v>285</v>
      </c>
      <c r="F236" t="s">
        <v>19</v>
      </c>
      <c r="G236" t="s">
        <v>2447</v>
      </c>
      <c r="H236" t="s">
        <v>2448</v>
      </c>
      <c r="I236" s="9" t="s">
        <v>3416</v>
      </c>
      <c r="J236" s="9">
        <v>51161269619</v>
      </c>
      <c r="K236" s="14" t="s">
        <v>3611</v>
      </c>
      <c r="L236" s="13" t="s">
        <v>3653</v>
      </c>
      <c r="M236" s="14">
        <v>50000</v>
      </c>
      <c r="N236" s="14">
        <v>0.69499999999999995</v>
      </c>
      <c r="O236" s="10">
        <f t="shared" si="23"/>
        <v>34750</v>
      </c>
      <c r="P236" s="11">
        <v>0</v>
      </c>
      <c r="Q236" s="11">
        <v>19807.5</v>
      </c>
      <c r="R236" s="10">
        <f>IF(COUNTIF($J$2:J236,J236)=1,SUMIFS($O:$O,$J:$J,J236)+SUMIFS($P:$P,$J:$J,J236)+SUMIFS($Q:$Q,$J:$J,J236),"")</f>
        <v>54557.5</v>
      </c>
      <c r="S236" s="10">
        <v>54557.5</v>
      </c>
      <c r="T236" s="11" t="str">
        <f t="shared" si="27"/>
        <v>Ok</v>
      </c>
      <c r="U236" s="12">
        <v>46058</v>
      </c>
      <c r="V236" s="10">
        <v>54557.5</v>
      </c>
      <c r="W236" s="10" t="str">
        <f t="shared" si="24"/>
        <v>Not Paid</v>
      </c>
      <c r="X236" t="s">
        <v>435</v>
      </c>
      <c r="Y236" t="s">
        <v>28</v>
      </c>
      <c r="Z236">
        <v>100201</v>
      </c>
      <c r="AA236" t="s">
        <v>3064</v>
      </c>
      <c r="AB236" t="s">
        <v>524</v>
      </c>
      <c r="AC236" s="9">
        <f t="shared" si="25"/>
        <v>1</v>
      </c>
      <c r="AD236" s="9" t="str">
        <f t="shared" si="26"/>
        <v>Ok</v>
      </c>
      <c r="AE236" s="11">
        <f t="shared" si="28"/>
        <v>0</v>
      </c>
    </row>
    <row r="237" spans="1:31" x14ac:dyDescent="0.3">
      <c r="A237">
        <v>112</v>
      </c>
      <c r="B237">
        <v>4438121</v>
      </c>
      <c r="C237" t="s">
        <v>160</v>
      </c>
      <c r="D237">
        <v>1443616</v>
      </c>
      <c r="E237" t="s">
        <v>285</v>
      </c>
      <c r="F237" t="s">
        <v>50</v>
      </c>
      <c r="G237" t="s">
        <v>2449</v>
      </c>
      <c r="H237" t="s">
        <v>2450</v>
      </c>
      <c r="I237" s="9" t="s">
        <v>3213</v>
      </c>
      <c r="J237" s="9">
        <v>51163792498</v>
      </c>
      <c r="K237" s="14" t="s">
        <v>3611</v>
      </c>
      <c r="L237" s="13" t="s">
        <v>3693</v>
      </c>
      <c r="M237" s="14">
        <v>535000</v>
      </c>
      <c r="N237" s="14">
        <v>4.53E-2</v>
      </c>
      <c r="O237" s="10">
        <f t="shared" si="23"/>
        <v>24235.5</v>
      </c>
      <c r="P237" s="11">
        <v>0</v>
      </c>
      <c r="Q237" s="11">
        <v>0</v>
      </c>
      <c r="R237" s="10">
        <f>IF(COUNTIF($J$2:J237,J237)=1,SUMIFS($O:$O,$J:$J,J237)+SUMIFS($P:$P,$J:$J,J237)+SUMIFS($Q:$Q,$J:$J,J237),"")</f>
        <v>24235.5</v>
      </c>
      <c r="S237" s="10">
        <v>24576.959999999999</v>
      </c>
      <c r="T237" s="11" t="str">
        <f t="shared" si="27"/>
        <v>Check</v>
      </c>
      <c r="U237" s="12">
        <v>46056</v>
      </c>
      <c r="V237" s="10">
        <v>341.46</v>
      </c>
      <c r="W237" s="10" t="str">
        <f t="shared" si="24"/>
        <v>Short Paid</v>
      </c>
      <c r="X237" t="s">
        <v>435</v>
      </c>
      <c r="Y237" t="s">
        <v>436</v>
      </c>
      <c r="Z237">
        <v>100131</v>
      </c>
      <c r="AA237" t="s">
        <v>3046</v>
      </c>
      <c r="AB237" t="s">
        <v>3042</v>
      </c>
      <c r="AC237" s="9">
        <f t="shared" si="25"/>
        <v>1</v>
      </c>
      <c r="AD237" s="9" t="str">
        <f t="shared" si="26"/>
        <v>Check</v>
      </c>
      <c r="AE237" s="11">
        <f t="shared" si="28"/>
        <v>-341.45999999999913</v>
      </c>
    </row>
    <row r="238" spans="1:31" x14ac:dyDescent="0.3">
      <c r="A238">
        <v>109</v>
      </c>
      <c r="B238">
        <v>4438201</v>
      </c>
      <c r="C238" t="s">
        <v>239</v>
      </c>
      <c r="D238">
        <v>1098309</v>
      </c>
      <c r="E238" t="s">
        <v>544</v>
      </c>
      <c r="F238" t="s">
        <v>25</v>
      </c>
      <c r="G238" t="s">
        <v>2451</v>
      </c>
      <c r="H238" t="s">
        <v>2452</v>
      </c>
      <c r="I238" s="9" t="s">
        <v>3309</v>
      </c>
      <c r="J238" s="9">
        <v>50118098955</v>
      </c>
      <c r="K238" s="14" t="s">
        <v>3252</v>
      </c>
      <c r="L238" s="13" t="s">
        <v>3310</v>
      </c>
      <c r="M238" s="14">
        <v>15000</v>
      </c>
      <c r="N238" s="14">
        <v>4.3499999999999997E-3</v>
      </c>
      <c r="O238" s="10">
        <f t="shared" si="23"/>
        <v>65.25</v>
      </c>
      <c r="P238" s="11">
        <v>0</v>
      </c>
      <c r="Q238" s="11">
        <v>9.33</v>
      </c>
      <c r="R238" s="10">
        <f>IF(COUNTIF($J$2:J238,J238)=1,SUMIFS($O:$O,$J:$J,J238)+SUMIFS($P:$P,$J:$J,J238)+SUMIFS($Q:$Q,$J:$J,J238),"")</f>
        <v>74.58</v>
      </c>
      <c r="S238" s="10">
        <v>74.58</v>
      </c>
      <c r="T238" s="11" t="str">
        <f t="shared" si="27"/>
        <v>Ok</v>
      </c>
      <c r="U238" s="12">
        <v>45980</v>
      </c>
      <c r="V238" s="10">
        <v>74.58</v>
      </c>
      <c r="W238" s="10" t="str">
        <f t="shared" si="24"/>
        <v>Not Paid</v>
      </c>
      <c r="X238" t="s">
        <v>476</v>
      </c>
      <c r="Y238" t="s">
        <v>28</v>
      </c>
      <c r="Z238">
        <v>100125</v>
      </c>
      <c r="AA238" t="s">
        <v>477</v>
      </c>
      <c r="AB238" t="s">
        <v>525</v>
      </c>
      <c r="AC238" s="9">
        <f t="shared" si="25"/>
        <v>1</v>
      </c>
      <c r="AD238" s="9" t="str">
        <f t="shared" si="26"/>
        <v>Ok</v>
      </c>
      <c r="AE238" s="11">
        <f t="shared" si="28"/>
        <v>0</v>
      </c>
    </row>
    <row r="239" spans="1:31" x14ac:dyDescent="0.3">
      <c r="A239">
        <v>108</v>
      </c>
      <c r="B239">
        <v>4438351</v>
      </c>
      <c r="C239" t="s">
        <v>220</v>
      </c>
      <c r="D239">
        <v>1125734</v>
      </c>
      <c r="E239" t="s">
        <v>532</v>
      </c>
      <c r="F239" t="s">
        <v>19</v>
      </c>
      <c r="G239" t="s">
        <v>2453</v>
      </c>
      <c r="H239" t="s">
        <v>2454</v>
      </c>
      <c r="I239" s="9" t="s">
        <v>3232</v>
      </c>
      <c r="J239" s="9">
        <v>54206404791</v>
      </c>
      <c r="K239" s="14" t="s">
        <v>3194</v>
      </c>
      <c r="L239" s="13" t="s">
        <v>3794</v>
      </c>
      <c r="M239" s="14">
        <v>164</v>
      </c>
      <c r="N239" s="14">
        <v>14.35</v>
      </c>
      <c r="O239" s="10">
        <f t="shared" si="23"/>
        <v>2353.4</v>
      </c>
      <c r="P239" s="11">
        <v>0</v>
      </c>
      <c r="Q239" s="11">
        <v>0</v>
      </c>
      <c r="R239" s="10">
        <f>IF(COUNTIF($J$2:J239,J239)=1,SUMIFS($O:$O,$J:$J,J239)+SUMIFS($P:$P,$J:$J,J239)+SUMIFS($Q:$Q,$J:$J,J239),"")</f>
        <v>2353.4</v>
      </c>
      <c r="S239" s="10">
        <v>2353.4</v>
      </c>
      <c r="T239" s="11" t="str">
        <f t="shared" si="27"/>
        <v>Ok</v>
      </c>
      <c r="U239" s="12">
        <v>45877</v>
      </c>
      <c r="V239" s="10">
        <v>2353.4</v>
      </c>
      <c r="W239" s="10" t="str">
        <f t="shared" si="24"/>
        <v>Not Paid</v>
      </c>
      <c r="X239" t="s">
        <v>470</v>
      </c>
      <c r="Y239" t="s">
        <v>28</v>
      </c>
      <c r="Z239">
        <v>100208</v>
      </c>
      <c r="AA239" t="s">
        <v>3098</v>
      </c>
      <c r="AB239" t="s">
        <v>524</v>
      </c>
      <c r="AC239" s="9">
        <f t="shared" si="25"/>
        <v>1</v>
      </c>
      <c r="AD239" s="9" t="str">
        <f t="shared" si="26"/>
        <v>Ok</v>
      </c>
      <c r="AE239" s="11">
        <f t="shared" si="28"/>
        <v>0</v>
      </c>
    </row>
    <row r="240" spans="1:31" x14ac:dyDescent="0.3">
      <c r="A240">
        <v>108</v>
      </c>
      <c r="B240">
        <v>4436191</v>
      </c>
      <c r="C240" t="s">
        <v>220</v>
      </c>
      <c r="D240">
        <v>1125734</v>
      </c>
      <c r="E240" t="s">
        <v>532</v>
      </c>
      <c r="F240" t="s">
        <v>19</v>
      </c>
      <c r="G240" t="s">
        <v>2455</v>
      </c>
      <c r="H240" t="s">
        <v>2456</v>
      </c>
      <c r="I240" s="9" t="s">
        <v>3342</v>
      </c>
      <c r="J240" s="9">
        <v>51159939840</v>
      </c>
      <c r="K240" s="14" t="s">
        <v>3488</v>
      </c>
      <c r="L240" s="13" t="s">
        <v>3609</v>
      </c>
      <c r="M240" s="14">
        <v>26400</v>
      </c>
      <c r="N240" s="14">
        <v>0.92</v>
      </c>
      <c r="O240" s="10">
        <f t="shared" si="23"/>
        <v>24288</v>
      </c>
      <c r="P240" s="11">
        <v>0</v>
      </c>
      <c r="Q240" s="11">
        <v>0</v>
      </c>
      <c r="R240" s="10">
        <f>IF(COUNTIF($J$2:J240,J240)=1,SUMIFS($O:$O,$J:$J,J240)+SUMIFS($P:$P,$J:$J,J240)+SUMIFS($Q:$Q,$J:$J,J240),"")</f>
        <v>24288</v>
      </c>
      <c r="S240" s="10">
        <v>24288</v>
      </c>
      <c r="T240" s="11" t="str">
        <f t="shared" si="27"/>
        <v>Ok</v>
      </c>
      <c r="U240" s="12">
        <v>45924</v>
      </c>
      <c r="V240" s="10">
        <v>24288</v>
      </c>
      <c r="W240" s="10" t="str">
        <f t="shared" si="24"/>
        <v>Not Paid</v>
      </c>
      <c r="X240" t="s">
        <v>470</v>
      </c>
      <c r="Y240" t="s">
        <v>28</v>
      </c>
      <c r="Z240">
        <v>100238</v>
      </c>
      <c r="AA240" t="s">
        <v>3078</v>
      </c>
      <c r="AB240" t="s">
        <v>524</v>
      </c>
      <c r="AC240" s="9">
        <f t="shared" si="25"/>
        <v>1</v>
      </c>
      <c r="AD240" s="9" t="str">
        <f t="shared" si="26"/>
        <v>Ok</v>
      </c>
      <c r="AE240" s="11">
        <f t="shared" si="28"/>
        <v>0</v>
      </c>
    </row>
    <row r="241" spans="1:31" x14ac:dyDescent="0.3">
      <c r="A241">
        <v>108</v>
      </c>
      <c r="B241">
        <v>4438371</v>
      </c>
      <c r="C241" t="s">
        <v>167</v>
      </c>
      <c r="D241">
        <v>1355144</v>
      </c>
      <c r="E241" t="s">
        <v>664</v>
      </c>
      <c r="F241" t="s">
        <v>20</v>
      </c>
      <c r="G241" t="s">
        <v>2457</v>
      </c>
      <c r="H241" t="s">
        <v>2458</v>
      </c>
      <c r="I241" s="9" t="s">
        <v>3333</v>
      </c>
      <c r="J241" s="9">
        <v>51160843929</v>
      </c>
      <c r="K241" s="14" t="s">
        <v>3635</v>
      </c>
      <c r="L241" s="13" t="s">
        <v>3634</v>
      </c>
      <c r="M241" s="14">
        <v>50</v>
      </c>
      <c r="N241" s="14">
        <v>73.75</v>
      </c>
      <c r="O241" s="10">
        <f t="shared" si="23"/>
        <v>3687.5</v>
      </c>
      <c r="P241" s="11">
        <v>0</v>
      </c>
      <c r="Q241" s="11">
        <v>0</v>
      </c>
      <c r="R241" s="10">
        <f>IF(COUNTIF($J$2:J241,J241)=1,SUMIFS($O:$O,$J:$J,J241)+SUMIFS($P:$P,$J:$J,J241)+SUMIFS($Q:$Q,$J:$J,J241),"")</f>
        <v>3687.5</v>
      </c>
      <c r="S241" s="10">
        <v>3687.5</v>
      </c>
      <c r="T241" s="11" t="str">
        <f t="shared" si="27"/>
        <v>Ok</v>
      </c>
      <c r="U241" s="12">
        <v>45762</v>
      </c>
      <c r="V241" s="10">
        <v>3687.5</v>
      </c>
      <c r="W241" s="10" t="str">
        <f t="shared" si="24"/>
        <v>Not Paid</v>
      </c>
      <c r="X241" t="s">
        <v>468</v>
      </c>
      <c r="Y241" t="s">
        <v>28</v>
      </c>
      <c r="Z241">
        <v>100246</v>
      </c>
      <c r="AA241" t="s">
        <v>3060</v>
      </c>
      <c r="AB241" t="s">
        <v>521</v>
      </c>
      <c r="AC241" s="9">
        <f t="shared" si="25"/>
        <v>1</v>
      </c>
      <c r="AD241" s="9" t="str">
        <f t="shared" si="26"/>
        <v>Ok</v>
      </c>
      <c r="AE241" s="11">
        <f t="shared" si="28"/>
        <v>0</v>
      </c>
    </row>
    <row r="242" spans="1:31" x14ac:dyDescent="0.3">
      <c r="A242">
        <v>107</v>
      </c>
      <c r="B242">
        <v>4438421</v>
      </c>
      <c r="C242" t="s">
        <v>160</v>
      </c>
      <c r="D242">
        <v>1360053</v>
      </c>
      <c r="E242" t="s">
        <v>665</v>
      </c>
      <c r="F242" t="s">
        <v>46</v>
      </c>
      <c r="G242" t="s">
        <v>2459</v>
      </c>
      <c r="H242" t="s">
        <v>2460</v>
      </c>
      <c r="I242" s="9" t="s">
        <v>3355</v>
      </c>
      <c r="J242" s="9">
        <v>51161011766</v>
      </c>
      <c r="K242" s="14" t="s">
        <v>3259</v>
      </c>
      <c r="L242" s="13" t="s">
        <v>3639</v>
      </c>
      <c r="M242" s="14">
        <v>48</v>
      </c>
      <c r="N242" s="14">
        <v>882.81</v>
      </c>
      <c r="O242" s="10">
        <f t="shared" si="23"/>
        <v>42374.879999999997</v>
      </c>
      <c r="P242" s="11">
        <v>0</v>
      </c>
      <c r="Q242" s="11">
        <v>10085.219999999999</v>
      </c>
      <c r="R242" s="10">
        <f>IF(COUNTIF($J$2:J242,J242)=1,SUMIFS($O:$O,$J:$J,J242)+SUMIFS($P:$P,$J:$J,J242)+SUMIFS($Q:$Q,$J:$J,J242),"")</f>
        <v>52460.1</v>
      </c>
      <c r="S242" s="10">
        <v>52468.1</v>
      </c>
      <c r="T242" s="11" t="str">
        <f t="shared" si="27"/>
        <v>Check</v>
      </c>
      <c r="U242" s="12">
        <v>46013</v>
      </c>
      <c r="V242" s="10">
        <v>52468.1</v>
      </c>
      <c r="W242" s="10" t="str">
        <f t="shared" si="24"/>
        <v>Not Paid</v>
      </c>
      <c r="X242" t="s">
        <v>450</v>
      </c>
      <c r="Y242" t="s">
        <v>436</v>
      </c>
      <c r="Z242">
        <v>100257</v>
      </c>
      <c r="AA242" t="s">
        <v>3126</v>
      </c>
      <c r="AB242" t="s">
        <v>3038</v>
      </c>
      <c r="AC242" s="9">
        <f t="shared" si="25"/>
        <v>1</v>
      </c>
      <c r="AD242" s="9" t="str">
        <f t="shared" si="26"/>
        <v>Check</v>
      </c>
      <c r="AE242" s="11">
        <f t="shared" si="28"/>
        <v>-8</v>
      </c>
    </row>
    <row r="243" spans="1:31" x14ac:dyDescent="0.3">
      <c r="A243">
        <v>107</v>
      </c>
      <c r="B243">
        <v>4438191</v>
      </c>
      <c r="C243" t="s">
        <v>220</v>
      </c>
      <c r="D243">
        <v>1379208</v>
      </c>
      <c r="E243" t="s">
        <v>603</v>
      </c>
      <c r="F243" t="s">
        <v>20</v>
      </c>
      <c r="G243" t="s">
        <v>2461</v>
      </c>
      <c r="H243" t="s">
        <v>2462</v>
      </c>
      <c r="I243" s="9" t="s">
        <v>3260</v>
      </c>
      <c r="J243" s="9">
        <v>51161693625</v>
      </c>
      <c r="K243" s="14" t="s">
        <v>3201</v>
      </c>
      <c r="L243" s="13" t="s">
        <v>3675</v>
      </c>
      <c r="M243" s="14">
        <v>3000</v>
      </c>
      <c r="N243" s="14">
        <v>0.12559999999999999</v>
      </c>
      <c r="O243" s="10">
        <f t="shared" si="23"/>
        <v>376.79999999999995</v>
      </c>
      <c r="P243" s="11">
        <v>0</v>
      </c>
      <c r="Q243" s="11">
        <v>0</v>
      </c>
      <c r="R243" s="10">
        <f>IF(COUNTIF($J$2:J243,J243)=1,SUMIFS($O:$O,$J:$J,J243)+SUMIFS($P:$P,$J:$J,J243)+SUMIFS($Q:$Q,$J:$J,J243),"")</f>
        <v>376.79999999999995</v>
      </c>
      <c r="S243" s="10">
        <v>753.6</v>
      </c>
      <c r="T243" s="11" t="str">
        <f t="shared" si="27"/>
        <v>Check</v>
      </c>
      <c r="U243" s="12">
        <v>45982</v>
      </c>
      <c r="V243" s="10">
        <v>753.6</v>
      </c>
      <c r="W243" s="10" t="str">
        <f t="shared" si="24"/>
        <v>Not Paid</v>
      </c>
      <c r="X243" t="s">
        <v>470</v>
      </c>
      <c r="Y243" t="s">
        <v>28</v>
      </c>
      <c r="Z243">
        <v>100128</v>
      </c>
      <c r="AA243" t="s">
        <v>508</v>
      </c>
      <c r="AB243" t="s">
        <v>521</v>
      </c>
      <c r="AC243" s="9">
        <f t="shared" si="25"/>
        <v>1</v>
      </c>
      <c r="AD243" s="9" t="str">
        <f t="shared" si="26"/>
        <v>Check</v>
      </c>
      <c r="AE243" s="11">
        <f t="shared" si="28"/>
        <v>-376.80000000000007</v>
      </c>
    </row>
    <row r="244" spans="1:31" x14ac:dyDescent="0.3">
      <c r="A244">
        <v>107</v>
      </c>
      <c r="B244">
        <v>4438401</v>
      </c>
      <c r="C244" t="s">
        <v>220</v>
      </c>
      <c r="D244">
        <v>1040246</v>
      </c>
      <c r="E244" t="s">
        <v>558</v>
      </c>
      <c r="F244" t="s">
        <v>39</v>
      </c>
      <c r="G244" t="s">
        <v>2463</v>
      </c>
      <c r="H244" t="s">
        <v>2464</v>
      </c>
      <c r="I244" s="9" t="s">
        <v>3535</v>
      </c>
      <c r="J244" s="9">
        <v>51161109013</v>
      </c>
      <c r="K244" s="14" t="s">
        <v>3314</v>
      </c>
      <c r="L244" s="13" t="s">
        <v>3647</v>
      </c>
      <c r="M244" s="14">
        <v>1440000</v>
      </c>
      <c r="N244" s="14">
        <v>4.2999999999999999E-4</v>
      </c>
      <c r="O244" s="10">
        <f t="shared" si="23"/>
        <v>619.19999999999993</v>
      </c>
      <c r="P244" s="11">
        <v>0</v>
      </c>
      <c r="Q244" s="11">
        <v>117.65</v>
      </c>
      <c r="R244" s="10">
        <f>IF(COUNTIF($J$2:J244,J244)=1,SUMIFS($O:$O,$J:$J,J244)+SUMIFS($P:$P,$J:$J,J244)+SUMIFS($Q:$Q,$J:$J,J244),"")</f>
        <v>736.84999999999991</v>
      </c>
      <c r="S244" s="10">
        <v>736.85</v>
      </c>
      <c r="T244" s="11" t="str">
        <f t="shared" si="27"/>
        <v>Ok</v>
      </c>
      <c r="U244" s="12">
        <v>45959</v>
      </c>
      <c r="V244" s="10">
        <v>736.85</v>
      </c>
      <c r="W244" s="10" t="str">
        <f t="shared" si="24"/>
        <v>Not Paid</v>
      </c>
      <c r="X244" t="s">
        <v>435</v>
      </c>
      <c r="Y244" t="s">
        <v>28</v>
      </c>
      <c r="Z244">
        <v>100241</v>
      </c>
      <c r="AA244" t="s">
        <v>3063</v>
      </c>
      <c r="AB244" t="s">
        <v>527</v>
      </c>
      <c r="AC244" s="9">
        <f t="shared" si="25"/>
        <v>1</v>
      </c>
      <c r="AD244" s="9" t="str">
        <f t="shared" si="26"/>
        <v>Ok</v>
      </c>
      <c r="AE244" s="11">
        <f t="shared" si="28"/>
        <v>0</v>
      </c>
    </row>
    <row r="245" spans="1:31" x14ac:dyDescent="0.3">
      <c r="A245">
        <v>107</v>
      </c>
      <c r="B245">
        <v>4438411</v>
      </c>
      <c r="C245" t="s">
        <v>220</v>
      </c>
      <c r="D245">
        <v>1125734</v>
      </c>
      <c r="E245" t="s">
        <v>532</v>
      </c>
      <c r="F245" t="s">
        <v>20</v>
      </c>
      <c r="G245" t="s">
        <v>2465</v>
      </c>
      <c r="H245" t="s">
        <v>2466</v>
      </c>
      <c r="I245" s="9" t="s">
        <v>3535</v>
      </c>
      <c r="J245" s="9">
        <v>51161085302</v>
      </c>
      <c r="K245" s="14" t="s">
        <v>3434</v>
      </c>
      <c r="L245" s="13" t="s">
        <v>3645</v>
      </c>
      <c r="M245" s="14">
        <v>10000</v>
      </c>
      <c r="N245" s="14">
        <v>0.4</v>
      </c>
      <c r="O245" s="10">
        <f t="shared" si="23"/>
        <v>4000</v>
      </c>
      <c r="P245" s="11">
        <v>0</v>
      </c>
      <c r="Q245" s="11">
        <v>0</v>
      </c>
      <c r="R245" s="10">
        <f>IF(COUNTIF($J$2:J245,J245)=1,SUMIFS($O:$O,$J:$J,J245)+SUMIFS($P:$P,$J:$J,J245)+SUMIFS($Q:$Q,$J:$J,J245),"")</f>
        <v>4000</v>
      </c>
      <c r="S245" s="10">
        <v>4000</v>
      </c>
      <c r="T245" s="11" t="str">
        <f t="shared" si="27"/>
        <v>Ok</v>
      </c>
      <c r="U245" s="12">
        <v>45884</v>
      </c>
      <c r="V245" s="10">
        <v>4000</v>
      </c>
      <c r="W245" s="10" t="str">
        <f t="shared" si="24"/>
        <v>Not Paid</v>
      </c>
      <c r="X245" t="s">
        <v>470</v>
      </c>
      <c r="Y245" t="s">
        <v>28</v>
      </c>
      <c r="Z245">
        <v>100198</v>
      </c>
      <c r="AA245" t="s">
        <v>473</v>
      </c>
      <c r="AB245" t="s">
        <v>521</v>
      </c>
      <c r="AC245" s="9">
        <f t="shared" si="25"/>
        <v>1</v>
      </c>
      <c r="AD245" s="9" t="str">
        <f t="shared" si="26"/>
        <v>Ok</v>
      </c>
      <c r="AE245" s="11">
        <f t="shared" si="28"/>
        <v>0</v>
      </c>
    </row>
    <row r="246" spans="1:31" x14ac:dyDescent="0.3">
      <c r="A246">
        <v>107</v>
      </c>
      <c r="B246">
        <v>4436891</v>
      </c>
      <c r="C246" t="s">
        <v>220</v>
      </c>
      <c r="D246">
        <v>1125734</v>
      </c>
      <c r="E246" t="s">
        <v>532</v>
      </c>
      <c r="F246" t="s">
        <v>20</v>
      </c>
      <c r="G246" t="s">
        <v>2467</v>
      </c>
      <c r="H246" t="s">
        <v>2468</v>
      </c>
      <c r="I246" s="9" t="s">
        <v>3596</v>
      </c>
      <c r="J246" s="9">
        <v>51161082351</v>
      </c>
      <c r="K246" s="14" t="s">
        <v>3375</v>
      </c>
      <c r="L246" s="13" t="s">
        <v>3644</v>
      </c>
      <c r="M246" s="14">
        <v>2500</v>
      </c>
      <c r="N246" s="14">
        <v>1.8680000000000001</v>
      </c>
      <c r="O246" s="10">
        <f t="shared" si="23"/>
        <v>4670</v>
      </c>
      <c r="P246" s="11">
        <v>0</v>
      </c>
      <c r="Q246" s="11">
        <v>0</v>
      </c>
      <c r="R246" s="10">
        <f>IF(COUNTIF($J$2:J246,J246)=1,SUMIFS($O:$O,$J:$J,J246)+SUMIFS($P:$P,$J:$J,J246)+SUMIFS($Q:$Q,$J:$J,J246),"")</f>
        <v>4670</v>
      </c>
      <c r="S246" s="10">
        <v>4670</v>
      </c>
      <c r="T246" s="11" t="str">
        <f t="shared" si="27"/>
        <v>Ok</v>
      </c>
      <c r="U246" s="12">
        <v>45955</v>
      </c>
      <c r="V246" s="10">
        <v>4670</v>
      </c>
      <c r="W246" s="10" t="str">
        <f t="shared" si="24"/>
        <v>Not Paid</v>
      </c>
      <c r="X246" t="s">
        <v>470</v>
      </c>
      <c r="Y246" t="s">
        <v>28</v>
      </c>
      <c r="Z246">
        <v>100208</v>
      </c>
      <c r="AA246" t="s">
        <v>3098</v>
      </c>
      <c r="AB246" t="s">
        <v>521</v>
      </c>
      <c r="AC246" s="9">
        <f t="shared" si="25"/>
        <v>1</v>
      </c>
      <c r="AD246" s="9" t="str">
        <f t="shared" si="26"/>
        <v>Ok</v>
      </c>
      <c r="AE246" s="11">
        <f t="shared" si="28"/>
        <v>0</v>
      </c>
    </row>
    <row r="247" spans="1:31" x14ac:dyDescent="0.3">
      <c r="A247">
        <v>107</v>
      </c>
      <c r="B247">
        <v>4443194</v>
      </c>
      <c r="C247" t="s">
        <v>217</v>
      </c>
      <c r="D247">
        <v>1104415</v>
      </c>
      <c r="E247" t="s">
        <v>538</v>
      </c>
      <c r="F247" t="s">
        <v>47</v>
      </c>
      <c r="G247" t="s">
        <v>2469</v>
      </c>
      <c r="H247" t="s">
        <v>2470</v>
      </c>
      <c r="I247" s="9" t="s">
        <v>3355</v>
      </c>
      <c r="J247" s="9">
        <v>51161947964</v>
      </c>
      <c r="K247" s="14" t="s">
        <v>3266</v>
      </c>
      <c r="L247" s="13" t="s">
        <v>3688</v>
      </c>
      <c r="M247" s="14">
        <v>6480</v>
      </c>
      <c r="N247" s="14">
        <v>0.44429999999999997</v>
      </c>
      <c r="O247" s="10">
        <f t="shared" si="23"/>
        <v>2879.0639999999999</v>
      </c>
      <c r="P247" s="11">
        <v>0</v>
      </c>
      <c r="Q247" s="11">
        <v>685.22</v>
      </c>
      <c r="R247" s="10">
        <f>IF(COUNTIF($J$2:J247,J247)=1,SUMIFS($O:$O,$J:$J,J247)+SUMIFS($P:$P,$J:$J,J247)+SUMIFS($Q:$Q,$J:$J,J247),"")</f>
        <v>3564.2839999999997</v>
      </c>
      <c r="S247" s="10">
        <v>3564.28</v>
      </c>
      <c r="T247" s="11" t="str">
        <f t="shared" si="27"/>
        <v>Check</v>
      </c>
      <c r="U247" s="12">
        <v>45826</v>
      </c>
      <c r="V247" s="10">
        <v>2879.06</v>
      </c>
      <c r="W247" s="10" t="str">
        <f t="shared" si="24"/>
        <v>Short Paid</v>
      </c>
      <c r="X247" t="s">
        <v>476</v>
      </c>
      <c r="Y247" t="s">
        <v>28</v>
      </c>
      <c r="Z247">
        <v>100155</v>
      </c>
      <c r="AA247" t="s">
        <v>3072</v>
      </c>
      <c r="AB247" t="s">
        <v>3039</v>
      </c>
      <c r="AC247" s="9">
        <f t="shared" si="25"/>
        <v>1</v>
      </c>
      <c r="AD247" s="9" t="str">
        <f t="shared" si="26"/>
        <v>Check</v>
      </c>
      <c r="AE247" s="11">
        <f t="shared" si="28"/>
        <v>3.9999999994506652E-3</v>
      </c>
    </row>
    <row r="248" spans="1:31" x14ac:dyDescent="0.3">
      <c r="A248">
        <v>107</v>
      </c>
      <c r="B248">
        <v>4443054</v>
      </c>
      <c r="C248" t="s">
        <v>217</v>
      </c>
      <c r="D248">
        <v>1104415</v>
      </c>
      <c r="E248" t="s">
        <v>538</v>
      </c>
      <c r="F248" t="s">
        <v>47</v>
      </c>
      <c r="G248" t="s">
        <v>2471</v>
      </c>
      <c r="H248" t="s">
        <v>2472</v>
      </c>
      <c r="I248" s="9" t="s">
        <v>3307</v>
      </c>
      <c r="J248" s="9">
        <v>51161947955</v>
      </c>
      <c r="K248" s="14" t="s">
        <v>3266</v>
      </c>
      <c r="L248" s="13" t="s">
        <v>3688</v>
      </c>
      <c r="M248" s="14">
        <v>6480</v>
      </c>
      <c r="N248" s="14">
        <v>0.44429999999999997</v>
      </c>
      <c r="O248" s="10">
        <f t="shared" si="23"/>
        <v>2879.0639999999999</v>
      </c>
      <c r="P248" s="11">
        <v>0</v>
      </c>
      <c r="Q248" s="11">
        <v>685.22</v>
      </c>
      <c r="R248" s="10">
        <f>IF(COUNTIF($J$2:J248,J248)=1,SUMIFS($O:$O,$J:$J,J248)+SUMIFS($P:$P,$J:$J,J248)+SUMIFS($Q:$Q,$J:$J,J248),"")</f>
        <v>3564.2839999999997</v>
      </c>
      <c r="S248" s="10">
        <v>3564.28</v>
      </c>
      <c r="T248" s="11" t="str">
        <f t="shared" si="27"/>
        <v>Check</v>
      </c>
      <c r="U248" s="12">
        <v>45833</v>
      </c>
      <c r="V248" s="10">
        <v>2879.06</v>
      </c>
      <c r="W248" s="10" t="str">
        <f t="shared" si="24"/>
        <v>Short Paid</v>
      </c>
      <c r="X248" t="s">
        <v>476</v>
      </c>
      <c r="Y248" t="s">
        <v>28</v>
      </c>
      <c r="Z248">
        <v>100125</v>
      </c>
      <c r="AA248" t="s">
        <v>477</v>
      </c>
      <c r="AB248" t="s">
        <v>3039</v>
      </c>
      <c r="AC248" s="9">
        <f t="shared" si="25"/>
        <v>1</v>
      </c>
      <c r="AD248" s="9" t="str">
        <f t="shared" si="26"/>
        <v>Check</v>
      </c>
      <c r="AE248" s="11">
        <f t="shared" si="28"/>
        <v>3.9999999994506652E-3</v>
      </c>
    </row>
    <row r="249" spans="1:31" x14ac:dyDescent="0.3">
      <c r="A249">
        <v>107</v>
      </c>
      <c r="B249">
        <v>4443184</v>
      </c>
      <c r="C249" t="s">
        <v>217</v>
      </c>
      <c r="D249">
        <v>1104415</v>
      </c>
      <c r="E249" t="s">
        <v>538</v>
      </c>
      <c r="F249" t="s">
        <v>47</v>
      </c>
      <c r="G249" t="s">
        <v>2473</v>
      </c>
      <c r="H249" t="s">
        <v>2474</v>
      </c>
      <c r="I249" s="9" t="s">
        <v>3485</v>
      </c>
      <c r="J249" s="9">
        <v>51161919186</v>
      </c>
      <c r="K249" s="14" t="s">
        <v>3266</v>
      </c>
      <c r="L249" s="13" t="s">
        <v>3683</v>
      </c>
      <c r="M249" s="14">
        <v>1440</v>
      </c>
      <c r="N249" s="14">
        <v>0.35560000000000003</v>
      </c>
      <c r="O249" s="10">
        <f t="shared" si="23"/>
        <v>512.06400000000008</v>
      </c>
      <c r="P249" s="11">
        <v>0</v>
      </c>
      <c r="Q249" s="11">
        <v>267.81</v>
      </c>
      <c r="R249" s="10">
        <f>IF(COUNTIF($J$2:J249,J249)=1,SUMIFS($O:$O,$J:$J,J249)+SUMIFS($P:$P,$J:$J,J249)+SUMIFS($Q:$Q,$J:$J,J249),"")</f>
        <v>779.87400000000002</v>
      </c>
      <c r="S249" s="10">
        <v>779.87</v>
      </c>
      <c r="T249" s="11" t="str">
        <f t="shared" si="27"/>
        <v>Check</v>
      </c>
      <c r="U249" s="12">
        <v>45834</v>
      </c>
      <c r="V249" s="10">
        <v>512.05999999999995</v>
      </c>
      <c r="W249" s="10" t="str">
        <f t="shared" si="24"/>
        <v>Short Paid</v>
      </c>
      <c r="X249" t="s">
        <v>476</v>
      </c>
      <c r="Y249" t="s">
        <v>28</v>
      </c>
      <c r="Z249">
        <v>100115</v>
      </c>
      <c r="AA249" t="s">
        <v>504</v>
      </c>
      <c r="AB249" t="s">
        <v>3039</v>
      </c>
      <c r="AC249" s="9">
        <f t="shared" si="25"/>
        <v>1</v>
      </c>
      <c r="AD249" s="9" t="str">
        <f t="shared" si="26"/>
        <v>Check</v>
      </c>
      <c r="AE249" s="11">
        <f t="shared" si="28"/>
        <v>4.0000000000190994E-3</v>
      </c>
    </row>
    <row r="250" spans="1:31" x14ac:dyDescent="0.3">
      <c r="A250">
        <v>107</v>
      </c>
      <c r="B250">
        <v>4443164</v>
      </c>
      <c r="C250" t="s">
        <v>217</v>
      </c>
      <c r="D250">
        <v>1104415</v>
      </c>
      <c r="E250" t="s">
        <v>538</v>
      </c>
      <c r="F250" t="s">
        <v>47</v>
      </c>
      <c r="G250" t="s">
        <v>2475</v>
      </c>
      <c r="H250" t="s">
        <v>2476</v>
      </c>
      <c r="I250" s="9" t="s">
        <v>3328</v>
      </c>
      <c r="J250" s="9">
        <v>51161872867</v>
      </c>
      <c r="K250" s="14" t="s">
        <v>3266</v>
      </c>
      <c r="L250" s="13" t="s">
        <v>3683</v>
      </c>
      <c r="M250" s="14">
        <v>24480</v>
      </c>
      <c r="N250" s="14">
        <v>0.35560000000000003</v>
      </c>
      <c r="O250" s="10">
        <f t="shared" si="23"/>
        <v>8705.0880000000016</v>
      </c>
      <c r="P250" s="11">
        <v>1206.46</v>
      </c>
      <c r="Q250" s="11">
        <v>4552.76</v>
      </c>
      <c r="R250" s="10">
        <f>IF(COUNTIF($J$2:J250,J250)=1,SUMIFS($O:$O,$J:$J,J250)+SUMIFS($P:$P,$J:$J,J250)+SUMIFS($Q:$Q,$J:$J,J250),"")</f>
        <v>14464.308000000003</v>
      </c>
      <c r="S250" s="10">
        <v>14464.31</v>
      </c>
      <c r="T250" s="11" t="str">
        <f t="shared" si="27"/>
        <v>Check</v>
      </c>
      <c r="U250" s="12">
        <v>45856</v>
      </c>
      <c r="V250" s="10">
        <v>9911.5499999999993</v>
      </c>
      <c r="W250" s="10" t="str">
        <f t="shared" si="24"/>
        <v>Short Paid</v>
      </c>
      <c r="X250" t="s">
        <v>476</v>
      </c>
      <c r="Y250" t="s">
        <v>28</v>
      </c>
      <c r="Z250">
        <v>100285</v>
      </c>
      <c r="AA250" t="s">
        <v>501</v>
      </c>
      <c r="AB250" t="s">
        <v>3039</v>
      </c>
      <c r="AC250" s="9">
        <f t="shared" si="25"/>
        <v>1</v>
      </c>
      <c r="AD250" s="9" t="str">
        <f t="shared" si="26"/>
        <v>Check</v>
      </c>
      <c r="AE250" s="11">
        <f t="shared" si="28"/>
        <v>-1.9999999967694748E-3</v>
      </c>
    </row>
    <row r="251" spans="1:31" x14ac:dyDescent="0.3">
      <c r="A251">
        <v>106</v>
      </c>
      <c r="B251">
        <v>4439769</v>
      </c>
      <c r="C251" t="s">
        <v>240</v>
      </c>
      <c r="D251">
        <v>1179276</v>
      </c>
      <c r="E251" t="s">
        <v>666</v>
      </c>
      <c r="F251" t="s">
        <v>18</v>
      </c>
      <c r="G251" t="s">
        <v>2479</v>
      </c>
      <c r="H251" t="s">
        <v>2480</v>
      </c>
      <c r="I251" s="9" t="s">
        <v>3184</v>
      </c>
      <c r="J251" s="9">
        <v>51165132650</v>
      </c>
      <c r="K251" s="14" t="s">
        <v>3177</v>
      </c>
      <c r="L251" s="13" t="s">
        <v>3787</v>
      </c>
      <c r="M251" s="14">
        <v>4000</v>
      </c>
      <c r="N251" s="14">
        <v>0.15679999999999999</v>
      </c>
      <c r="O251" s="10">
        <f t="shared" si="23"/>
        <v>627.19999999999993</v>
      </c>
      <c r="P251" s="11">
        <v>0</v>
      </c>
      <c r="Q251" s="11">
        <v>59.58</v>
      </c>
      <c r="R251" s="10">
        <f>IF(COUNTIF($J$2:J251,J251)=1,SUMIFS($O:$O,$J:$J,J251)+SUMIFS($P:$P,$J:$J,J251)+SUMIFS($Q:$Q,$J:$J,J251),"")</f>
        <v>686.78</v>
      </c>
      <c r="S251" s="10">
        <v>686.78</v>
      </c>
      <c r="T251" s="11" t="str">
        <f t="shared" si="27"/>
        <v>Ok</v>
      </c>
      <c r="U251" s="12">
        <v>45981</v>
      </c>
      <c r="V251" s="10">
        <v>686.78</v>
      </c>
      <c r="W251" s="10" t="str">
        <f t="shared" si="24"/>
        <v>Not Paid</v>
      </c>
      <c r="X251" t="s">
        <v>453</v>
      </c>
      <c r="Y251" t="s">
        <v>28</v>
      </c>
      <c r="Z251">
        <v>100234</v>
      </c>
      <c r="AA251" t="s">
        <v>502</v>
      </c>
      <c r="AB251" t="s">
        <v>523</v>
      </c>
      <c r="AC251" s="9">
        <f t="shared" si="25"/>
        <v>1</v>
      </c>
      <c r="AD251" s="9" t="str">
        <f t="shared" si="26"/>
        <v>Ok</v>
      </c>
      <c r="AE251" s="11">
        <f t="shared" ref="AE251:AE288" si="29">R251-S251</f>
        <v>0</v>
      </c>
    </row>
    <row r="252" spans="1:31" x14ac:dyDescent="0.3">
      <c r="A252">
        <v>106</v>
      </c>
      <c r="B252">
        <v>4439069</v>
      </c>
      <c r="C252" t="s">
        <v>160</v>
      </c>
      <c r="D252">
        <v>1469829</v>
      </c>
      <c r="E252" t="s">
        <v>224</v>
      </c>
      <c r="F252" t="s">
        <v>20</v>
      </c>
      <c r="G252" t="s">
        <v>2481</v>
      </c>
      <c r="H252" t="s">
        <v>2482</v>
      </c>
      <c r="I252" s="9" t="s">
        <v>3192</v>
      </c>
      <c r="J252" s="9">
        <v>51162152169</v>
      </c>
      <c r="K252" s="14" t="s">
        <v>3209</v>
      </c>
      <c r="L252" s="13" t="s">
        <v>3692</v>
      </c>
      <c r="M252" s="14">
        <v>10000</v>
      </c>
      <c r="N252" s="14">
        <v>1.541E-2</v>
      </c>
      <c r="O252" s="10">
        <f t="shared" si="23"/>
        <v>154.1</v>
      </c>
      <c r="P252" s="11">
        <v>0</v>
      </c>
      <c r="Q252" s="11">
        <v>22.04</v>
      </c>
      <c r="R252" s="10">
        <f>IF(COUNTIF($J$2:J252,J252)=1,SUMIFS($O:$O,$J:$J,J252)+SUMIFS($P:$P,$J:$J,J252)+SUMIFS($Q:$Q,$J:$J,J252),"")</f>
        <v>176.14</v>
      </c>
      <c r="S252" s="10">
        <v>176.14</v>
      </c>
      <c r="T252" s="11" t="str">
        <f t="shared" si="27"/>
        <v>Ok</v>
      </c>
      <c r="U252" s="12">
        <v>46055</v>
      </c>
      <c r="V252" s="10">
        <v>154.1</v>
      </c>
      <c r="W252" s="10" t="str">
        <f t="shared" si="24"/>
        <v>Short Paid</v>
      </c>
      <c r="X252" t="s">
        <v>470</v>
      </c>
      <c r="Y252" t="s">
        <v>28</v>
      </c>
      <c r="Z252">
        <v>100248</v>
      </c>
      <c r="AA252" t="s">
        <v>3117</v>
      </c>
      <c r="AB252" t="s">
        <v>521</v>
      </c>
      <c r="AC252" s="9">
        <f t="shared" si="25"/>
        <v>1</v>
      </c>
      <c r="AD252" s="9" t="str">
        <f t="shared" si="26"/>
        <v>Ok</v>
      </c>
      <c r="AE252" s="11">
        <f t="shared" si="29"/>
        <v>0</v>
      </c>
    </row>
    <row r="253" spans="1:31" x14ac:dyDescent="0.3">
      <c r="A253">
        <v>105</v>
      </c>
      <c r="B253">
        <v>4438919</v>
      </c>
      <c r="C253" t="s">
        <v>160</v>
      </c>
      <c r="D253">
        <v>1380317</v>
      </c>
      <c r="E253" t="s">
        <v>667</v>
      </c>
      <c r="F253" t="s">
        <v>19</v>
      </c>
      <c r="G253" t="s">
        <v>2483</v>
      </c>
      <c r="H253" t="s">
        <v>2484</v>
      </c>
      <c r="I253" s="9" t="s">
        <v>3210</v>
      </c>
      <c r="J253" s="9">
        <v>51163724466</v>
      </c>
      <c r="K253" s="14" t="s">
        <v>3177</v>
      </c>
      <c r="L253" s="13" t="s">
        <v>3759</v>
      </c>
      <c r="M253" s="14">
        <v>5</v>
      </c>
      <c r="N253" s="14">
        <v>68.91</v>
      </c>
      <c r="O253" s="10">
        <f t="shared" si="23"/>
        <v>344.54999999999995</v>
      </c>
      <c r="P253" s="11">
        <v>0</v>
      </c>
      <c r="Q253" s="11">
        <v>0</v>
      </c>
      <c r="R253" s="10">
        <f>IF(COUNTIF($J$2:J253,J253)=1,SUMIFS($O:$O,$J:$J,J253)+SUMIFS($P:$P,$J:$J,J253)+SUMIFS($Q:$Q,$J:$J,J253),"")</f>
        <v>344.54999999999995</v>
      </c>
      <c r="S253" s="10">
        <v>344.55</v>
      </c>
      <c r="T253" s="11" t="str">
        <f t="shared" si="27"/>
        <v>Ok</v>
      </c>
      <c r="U253" s="12">
        <v>45927</v>
      </c>
      <c r="V253" s="10">
        <v>344.55</v>
      </c>
      <c r="W253" s="10" t="str">
        <f t="shared" si="24"/>
        <v>Not Paid</v>
      </c>
      <c r="X253" t="s">
        <v>455</v>
      </c>
      <c r="Y253" t="s">
        <v>28</v>
      </c>
      <c r="Z253">
        <v>100110</v>
      </c>
      <c r="AA253" t="s">
        <v>512</v>
      </c>
      <c r="AB253" t="s">
        <v>524</v>
      </c>
      <c r="AC253" s="9">
        <f t="shared" si="25"/>
        <v>1</v>
      </c>
      <c r="AD253" s="9" t="str">
        <f t="shared" si="26"/>
        <v>Ok</v>
      </c>
      <c r="AE253" s="11">
        <f t="shared" si="29"/>
        <v>0</v>
      </c>
    </row>
    <row r="254" spans="1:31" x14ac:dyDescent="0.3">
      <c r="A254">
        <v>105</v>
      </c>
      <c r="B254">
        <v>4438869</v>
      </c>
      <c r="C254" t="s">
        <v>160</v>
      </c>
      <c r="D254">
        <v>1443616</v>
      </c>
      <c r="E254" t="s">
        <v>285</v>
      </c>
      <c r="F254" t="s">
        <v>20</v>
      </c>
      <c r="G254" t="s">
        <v>2485</v>
      </c>
      <c r="H254" t="s">
        <v>2486</v>
      </c>
      <c r="I254" s="9" t="s">
        <v>3178</v>
      </c>
      <c r="J254" s="9">
        <v>51163768145</v>
      </c>
      <c r="K254" s="14" t="s">
        <v>3475</v>
      </c>
      <c r="L254" s="13" t="s">
        <v>3761</v>
      </c>
      <c r="M254" s="14">
        <v>1</v>
      </c>
      <c r="N254" s="14">
        <v>21053</v>
      </c>
      <c r="O254" s="10">
        <f t="shared" si="23"/>
        <v>21053</v>
      </c>
      <c r="P254" s="11">
        <v>0</v>
      </c>
      <c r="Q254" s="11">
        <v>0</v>
      </c>
      <c r="R254" s="10">
        <f>IF(COUNTIF($J$2:J254,J254)=1,SUMIFS($O:$O,$J:$J,J254)+SUMIFS($P:$P,$J:$J,J254)+SUMIFS($Q:$Q,$J:$J,J254),"")</f>
        <v>21053</v>
      </c>
      <c r="S254" s="10">
        <v>21053</v>
      </c>
      <c r="T254" s="11" t="str">
        <f t="shared" si="27"/>
        <v>Ok</v>
      </c>
      <c r="U254" s="12">
        <v>46062</v>
      </c>
      <c r="V254" s="10">
        <v>21053</v>
      </c>
      <c r="W254" s="10" t="str">
        <f t="shared" si="24"/>
        <v>Not Paid</v>
      </c>
      <c r="X254" t="s">
        <v>435</v>
      </c>
      <c r="Y254" t="s">
        <v>28</v>
      </c>
      <c r="Z254">
        <v>100271</v>
      </c>
      <c r="AA254" t="s">
        <v>3067</v>
      </c>
      <c r="AB254" t="s">
        <v>521</v>
      </c>
      <c r="AC254" s="9">
        <f t="shared" si="25"/>
        <v>1</v>
      </c>
      <c r="AD254" s="9" t="str">
        <f t="shared" si="26"/>
        <v>Ok</v>
      </c>
      <c r="AE254" s="11">
        <f t="shared" si="29"/>
        <v>0</v>
      </c>
    </row>
    <row r="255" spans="1:31" x14ac:dyDescent="0.3">
      <c r="A255">
        <v>105</v>
      </c>
      <c r="B255">
        <v>4438737</v>
      </c>
      <c r="C255" t="s">
        <v>160</v>
      </c>
      <c r="D255">
        <v>1443616</v>
      </c>
      <c r="E255" t="s">
        <v>285</v>
      </c>
      <c r="F255" t="s">
        <v>18</v>
      </c>
      <c r="G255" t="s">
        <v>2487</v>
      </c>
      <c r="H255" t="s">
        <v>2488</v>
      </c>
      <c r="I255" s="9" t="s">
        <v>3467</v>
      </c>
      <c r="J255" s="9">
        <v>51163465874</v>
      </c>
      <c r="K255" s="14" t="s">
        <v>3201</v>
      </c>
      <c r="L255" s="13" t="s">
        <v>3746</v>
      </c>
      <c r="M255" s="14">
        <v>14000</v>
      </c>
      <c r="N255" s="14">
        <v>52.02</v>
      </c>
      <c r="O255" s="10">
        <f t="shared" si="23"/>
        <v>728280</v>
      </c>
      <c r="P255" s="11">
        <v>0</v>
      </c>
      <c r="Q255" s="11">
        <v>0</v>
      </c>
      <c r="R255" s="10">
        <f>IF(COUNTIF($J$2:J255,J255)=1,SUMIFS($O:$O,$J:$J,J255)+SUMIFS($P:$P,$J:$J,J255)+SUMIFS($Q:$Q,$J:$J,J255),"")</f>
        <v>728280</v>
      </c>
      <c r="S255" s="10">
        <v>2184840</v>
      </c>
      <c r="T255" s="11" t="str">
        <f t="shared" si="27"/>
        <v>Check</v>
      </c>
      <c r="U255" s="12">
        <v>46064</v>
      </c>
      <c r="V255" s="10">
        <v>214620</v>
      </c>
      <c r="W255" s="10" t="str">
        <f t="shared" si="24"/>
        <v>Short Paid</v>
      </c>
      <c r="X255" t="s">
        <v>435</v>
      </c>
      <c r="Y255" t="s">
        <v>28</v>
      </c>
      <c r="Z255">
        <v>100281</v>
      </c>
      <c r="AA255" t="s">
        <v>3068</v>
      </c>
      <c r="AB255" t="s">
        <v>523</v>
      </c>
      <c r="AC255" s="9">
        <f t="shared" si="25"/>
        <v>1</v>
      </c>
      <c r="AD255" s="9" t="str">
        <f t="shared" si="26"/>
        <v>Check</v>
      </c>
      <c r="AE255" s="11">
        <f t="shared" si="29"/>
        <v>-1456560</v>
      </c>
    </row>
    <row r="256" spans="1:31" x14ac:dyDescent="0.3">
      <c r="A256">
        <v>105</v>
      </c>
      <c r="B256">
        <v>4440127</v>
      </c>
      <c r="C256" t="s">
        <v>240</v>
      </c>
      <c r="D256">
        <v>1394929</v>
      </c>
      <c r="E256" t="s">
        <v>610</v>
      </c>
      <c r="F256" t="s">
        <v>20</v>
      </c>
      <c r="G256" t="s">
        <v>2489</v>
      </c>
      <c r="H256" t="s">
        <v>2490</v>
      </c>
      <c r="I256" s="9" t="s">
        <v>3494</v>
      </c>
      <c r="J256" s="9">
        <v>51162704321</v>
      </c>
      <c r="K256" s="14" t="s">
        <v>3241</v>
      </c>
      <c r="L256" s="13" t="s">
        <v>3713</v>
      </c>
      <c r="M256" s="14">
        <v>10000</v>
      </c>
      <c r="N256" s="14">
        <v>2.3269999999999999E-2</v>
      </c>
      <c r="O256" s="10">
        <f t="shared" si="23"/>
        <v>232.7</v>
      </c>
      <c r="P256" s="11">
        <v>0</v>
      </c>
      <c r="Q256" s="11">
        <v>44.21</v>
      </c>
      <c r="R256" s="10">
        <f>IF(COUNTIF($J$2:J256,J256)=1,SUMIFS($O:$O,$J:$J,J256)+SUMIFS($P:$P,$J:$J,J256)+SUMIFS($Q:$Q,$J:$J,J256),"")</f>
        <v>276.90999999999997</v>
      </c>
      <c r="S256" s="10">
        <v>276.91000000000003</v>
      </c>
      <c r="T256" s="11" t="str">
        <f t="shared" si="27"/>
        <v>Ok</v>
      </c>
      <c r="U256" s="12">
        <v>46020</v>
      </c>
      <c r="V256" s="10">
        <v>276.91000000000003</v>
      </c>
      <c r="W256" s="10" t="str">
        <f t="shared" si="24"/>
        <v>Not Paid</v>
      </c>
      <c r="X256" t="s">
        <v>435</v>
      </c>
      <c r="Y256" t="s">
        <v>28</v>
      </c>
      <c r="Z256">
        <v>100111</v>
      </c>
      <c r="AA256" t="s">
        <v>3045</v>
      </c>
      <c r="AB256" t="s">
        <v>521</v>
      </c>
      <c r="AC256" s="9">
        <f t="shared" si="25"/>
        <v>1</v>
      </c>
      <c r="AD256" s="9" t="str">
        <f t="shared" si="26"/>
        <v>Ok</v>
      </c>
      <c r="AE256" s="11">
        <f t="shared" si="29"/>
        <v>0</v>
      </c>
    </row>
    <row r="257" spans="1:31" x14ac:dyDescent="0.3">
      <c r="A257">
        <v>105</v>
      </c>
      <c r="B257">
        <v>4439977</v>
      </c>
      <c r="C257" t="s">
        <v>217</v>
      </c>
      <c r="D257">
        <v>1403565</v>
      </c>
      <c r="E257" t="s">
        <v>668</v>
      </c>
      <c r="F257" t="s">
        <v>19</v>
      </c>
      <c r="G257" t="s">
        <v>2491</v>
      </c>
      <c r="H257" t="s">
        <v>2492</v>
      </c>
      <c r="I257" s="9" t="s">
        <v>3524</v>
      </c>
      <c r="J257" s="9">
        <v>51163424310</v>
      </c>
      <c r="K257" s="14" t="s">
        <v>3266</v>
      </c>
      <c r="L257" s="13" t="s">
        <v>3741</v>
      </c>
      <c r="M257" s="14">
        <v>1482</v>
      </c>
      <c r="N257" s="14">
        <v>1.05</v>
      </c>
      <c r="O257" s="10">
        <f t="shared" si="23"/>
        <v>1556.1000000000001</v>
      </c>
      <c r="P257" s="11">
        <v>0</v>
      </c>
      <c r="Q257" s="11">
        <v>0</v>
      </c>
      <c r="R257" s="10">
        <f>IF(COUNTIF($J$2:J257,J257)=1,SUMIFS($O:$O,$J:$J,J257)+SUMIFS($P:$P,$J:$J,J257)+SUMIFS($Q:$Q,$J:$J,J257),"")</f>
        <v>1556.1000000000001</v>
      </c>
      <c r="S257" s="10">
        <v>4668.3</v>
      </c>
      <c r="T257" s="11" t="str">
        <f t="shared" si="27"/>
        <v>Check</v>
      </c>
      <c r="U257" s="12">
        <v>45887</v>
      </c>
      <c r="V257" s="10">
        <v>4668.3</v>
      </c>
      <c r="W257" s="10" t="str">
        <f t="shared" si="24"/>
        <v>Not Paid</v>
      </c>
      <c r="X257" t="s">
        <v>478</v>
      </c>
      <c r="Y257" t="s">
        <v>28</v>
      </c>
      <c r="Z257">
        <v>100232</v>
      </c>
      <c r="AA257" t="s">
        <v>3108</v>
      </c>
      <c r="AB257" t="s">
        <v>524</v>
      </c>
      <c r="AC257" s="9">
        <f t="shared" si="25"/>
        <v>1</v>
      </c>
      <c r="AD257" s="9" t="str">
        <f t="shared" si="26"/>
        <v>Check</v>
      </c>
      <c r="AE257" s="11">
        <f t="shared" si="29"/>
        <v>-3112.2</v>
      </c>
    </row>
    <row r="258" spans="1:31" x14ac:dyDescent="0.3">
      <c r="A258">
        <v>105</v>
      </c>
      <c r="B258">
        <v>4439987</v>
      </c>
      <c r="C258" t="s">
        <v>167</v>
      </c>
      <c r="D258">
        <v>1240968</v>
      </c>
      <c r="E258" t="s">
        <v>545</v>
      </c>
      <c r="F258" t="s">
        <v>20</v>
      </c>
      <c r="G258" t="s">
        <v>2493</v>
      </c>
      <c r="H258" t="s">
        <v>2494</v>
      </c>
      <c r="I258" s="9" t="s">
        <v>3329</v>
      </c>
      <c r="J258" s="9">
        <v>51163547406</v>
      </c>
      <c r="K258" s="14" t="s">
        <v>3638</v>
      </c>
      <c r="L258" s="13" t="s">
        <v>3706</v>
      </c>
      <c r="M258" s="14">
        <v>1</v>
      </c>
      <c r="N258" s="14">
        <v>2776.38</v>
      </c>
      <c r="O258" s="10">
        <f t="shared" ref="O258:O321" si="30">M258*N258</f>
        <v>2776.38</v>
      </c>
      <c r="P258" s="11">
        <v>0</v>
      </c>
      <c r="Q258" s="11">
        <v>0</v>
      </c>
      <c r="R258" s="10">
        <f>IF(COUNTIF($J$2:J258,J258)=1,SUMIFS($O:$O,$J:$J,J258)+SUMIFS($P:$P,$J:$J,J258)+SUMIFS($Q:$Q,$J:$J,J258),"")</f>
        <v>2776.38</v>
      </c>
      <c r="S258" s="10">
        <v>2776.38</v>
      </c>
      <c r="T258" s="11" t="str">
        <f t="shared" si="27"/>
        <v>Ok</v>
      </c>
      <c r="U258" s="12">
        <v>45848</v>
      </c>
      <c r="V258" s="10">
        <v>2776.38</v>
      </c>
      <c r="W258" s="10" t="str">
        <f t="shared" ref="W258:W321" si="31">IF(OR(S258="",V258=""),"N/A",IF(S258&lt;&gt;V258,"Short Paid","Not Paid"))</f>
        <v>Not Paid</v>
      </c>
      <c r="X258" t="s">
        <v>455</v>
      </c>
      <c r="Y258" t="s">
        <v>28</v>
      </c>
      <c r="Z258">
        <v>100110</v>
      </c>
      <c r="AA258" t="s">
        <v>512</v>
      </c>
      <c r="AB258" t="s">
        <v>521</v>
      </c>
      <c r="AC258" s="9">
        <f t="shared" ref="AC258:AC321" si="32">COUNTIF(J:J,J258)</f>
        <v>1</v>
      </c>
      <c r="AD258" s="9" t="str">
        <f t="shared" ref="AD258:AD321" si="33">IF(AND(R258="",S258=""),"N/A",IF(R258=S258,"Ok","Check"))</f>
        <v>Ok</v>
      </c>
      <c r="AE258" s="11">
        <f t="shared" si="29"/>
        <v>0</v>
      </c>
    </row>
    <row r="259" spans="1:31" x14ac:dyDescent="0.3">
      <c r="A259">
        <v>105</v>
      </c>
      <c r="B259">
        <v>4440057</v>
      </c>
      <c r="C259" t="s">
        <v>167</v>
      </c>
      <c r="D259">
        <v>1240968</v>
      </c>
      <c r="E259" t="s">
        <v>545</v>
      </c>
      <c r="F259" t="s">
        <v>20</v>
      </c>
      <c r="G259" t="s">
        <v>2495</v>
      </c>
      <c r="H259" t="s">
        <v>2496</v>
      </c>
      <c r="I259" s="9" t="s">
        <v>3469</v>
      </c>
      <c r="J259" s="9">
        <v>51163704923</v>
      </c>
      <c r="K259" s="14" t="s">
        <v>3638</v>
      </c>
      <c r="L259" s="13" t="s">
        <v>3706</v>
      </c>
      <c r="M259" s="14">
        <v>1</v>
      </c>
      <c r="N259" s="14">
        <v>2063.58</v>
      </c>
      <c r="O259" s="10">
        <f t="shared" si="30"/>
        <v>2063.58</v>
      </c>
      <c r="P259" s="11">
        <v>0</v>
      </c>
      <c r="Q259" s="11">
        <v>0</v>
      </c>
      <c r="R259" s="10">
        <f>IF(COUNTIF($J$2:J259,J259)=1,SUMIFS($O:$O,$J:$J,J259)+SUMIFS($P:$P,$J:$J,J259)+SUMIFS($Q:$Q,$J:$J,J259),"")</f>
        <v>2063.58</v>
      </c>
      <c r="S259" s="10">
        <v>2063.58</v>
      </c>
      <c r="T259" s="11" t="str">
        <f t="shared" ref="T259:T322" si="34">IFERROR(INDEX(AD:AD,MATCH(J259,J:J,0)),"")</f>
        <v>Ok</v>
      </c>
      <c r="U259" s="12">
        <v>45869</v>
      </c>
      <c r="V259" s="10">
        <v>2063.58</v>
      </c>
      <c r="W259" s="10" t="str">
        <f t="shared" si="31"/>
        <v>Not Paid</v>
      </c>
      <c r="X259" t="s">
        <v>455</v>
      </c>
      <c r="Y259" t="s">
        <v>28</v>
      </c>
      <c r="Z259">
        <v>100160</v>
      </c>
      <c r="AA259" t="s">
        <v>457</v>
      </c>
      <c r="AB259" t="s">
        <v>521</v>
      </c>
      <c r="AC259" s="9">
        <f t="shared" si="32"/>
        <v>1</v>
      </c>
      <c r="AD259" s="9" t="str">
        <f t="shared" si="33"/>
        <v>Ok</v>
      </c>
      <c r="AE259" s="11">
        <f t="shared" si="29"/>
        <v>0</v>
      </c>
    </row>
    <row r="260" spans="1:31" x14ac:dyDescent="0.3">
      <c r="A260">
        <v>105</v>
      </c>
      <c r="B260">
        <v>4438767</v>
      </c>
      <c r="C260" t="s">
        <v>167</v>
      </c>
      <c r="D260">
        <v>1240968</v>
      </c>
      <c r="E260" t="s">
        <v>545</v>
      </c>
      <c r="F260" t="s">
        <v>20</v>
      </c>
      <c r="G260" t="s">
        <v>2497</v>
      </c>
      <c r="H260" t="s">
        <v>2498</v>
      </c>
      <c r="I260" s="9" t="s">
        <v>3185</v>
      </c>
      <c r="J260" s="9">
        <v>51162353392</v>
      </c>
      <c r="K260" s="14" t="s">
        <v>3638</v>
      </c>
      <c r="L260" s="13" t="s">
        <v>3706</v>
      </c>
      <c r="M260" s="14">
        <v>1</v>
      </c>
      <c r="N260" s="14">
        <v>2113.06</v>
      </c>
      <c r="O260" s="10">
        <f t="shared" si="30"/>
        <v>2113.06</v>
      </c>
      <c r="P260" s="11">
        <v>0</v>
      </c>
      <c r="Q260" s="11">
        <v>0</v>
      </c>
      <c r="R260" s="10">
        <f>IF(COUNTIF($J$2:J260,J260)=1,SUMIFS($O:$O,$J:$J,J260)+SUMIFS($P:$P,$J:$J,J260)+SUMIFS($Q:$Q,$J:$J,J260),"")</f>
        <v>2113.06</v>
      </c>
      <c r="S260" s="10">
        <v>2113.06</v>
      </c>
      <c r="T260" s="11" t="str">
        <f t="shared" si="34"/>
        <v>Ok</v>
      </c>
      <c r="U260" s="12">
        <v>45869</v>
      </c>
      <c r="V260" s="10">
        <v>2113.06</v>
      </c>
      <c r="W260" s="10" t="str">
        <f t="shared" si="31"/>
        <v>Not Paid</v>
      </c>
      <c r="X260" t="s">
        <v>455</v>
      </c>
      <c r="Y260" t="s">
        <v>28</v>
      </c>
      <c r="Z260">
        <v>100190</v>
      </c>
      <c r="AA260" t="s">
        <v>456</v>
      </c>
      <c r="AB260" t="s">
        <v>521</v>
      </c>
      <c r="AC260" s="9">
        <f t="shared" si="32"/>
        <v>1</v>
      </c>
      <c r="AD260" s="9" t="str">
        <f t="shared" si="33"/>
        <v>Ok</v>
      </c>
      <c r="AE260" s="11">
        <f t="shared" si="29"/>
        <v>0</v>
      </c>
    </row>
    <row r="261" spans="1:31" x14ac:dyDescent="0.3">
      <c r="A261">
        <v>105</v>
      </c>
      <c r="B261">
        <v>4438777</v>
      </c>
      <c r="C261" t="s">
        <v>167</v>
      </c>
      <c r="D261">
        <v>1240968</v>
      </c>
      <c r="E261" t="s">
        <v>545</v>
      </c>
      <c r="F261" t="s">
        <v>20</v>
      </c>
      <c r="G261" t="s">
        <v>2499</v>
      </c>
      <c r="H261" t="s">
        <v>2500</v>
      </c>
      <c r="I261" s="9" t="s">
        <v>3467</v>
      </c>
      <c r="J261" s="9">
        <v>51162353411</v>
      </c>
      <c r="K261" s="14" t="s">
        <v>3638</v>
      </c>
      <c r="L261" s="13" t="s">
        <v>3706</v>
      </c>
      <c r="M261" s="14">
        <v>1</v>
      </c>
      <c r="N261" s="14">
        <v>1359.44</v>
      </c>
      <c r="O261" s="10">
        <f t="shared" si="30"/>
        <v>1359.44</v>
      </c>
      <c r="P261" s="11">
        <v>0</v>
      </c>
      <c r="Q261" s="11">
        <v>0</v>
      </c>
      <c r="R261" s="10">
        <f>IF(COUNTIF($J$2:J261,J261)=1,SUMIFS($O:$O,$J:$J,J261)+SUMIFS($P:$P,$J:$J,J261)+SUMIFS($Q:$Q,$J:$J,J261),"")</f>
        <v>1359.44</v>
      </c>
      <c r="S261" s="10">
        <v>1359.44</v>
      </c>
      <c r="T261" s="11" t="str">
        <f t="shared" si="34"/>
        <v>Ok</v>
      </c>
      <c r="U261" s="12">
        <v>45869</v>
      </c>
      <c r="V261" s="10">
        <v>1359.44</v>
      </c>
      <c r="W261" s="10" t="str">
        <f t="shared" si="31"/>
        <v>Not Paid</v>
      </c>
      <c r="X261" t="s">
        <v>455</v>
      </c>
      <c r="Y261" t="s">
        <v>28</v>
      </c>
      <c r="Z261">
        <v>100200</v>
      </c>
      <c r="AA261" t="s">
        <v>461</v>
      </c>
      <c r="AB261" t="s">
        <v>521</v>
      </c>
      <c r="AC261" s="9">
        <f t="shared" si="32"/>
        <v>1</v>
      </c>
      <c r="AD261" s="9" t="str">
        <f t="shared" si="33"/>
        <v>Ok</v>
      </c>
      <c r="AE261" s="11">
        <f t="shared" si="29"/>
        <v>0</v>
      </c>
    </row>
    <row r="262" spans="1:31" x14ac:dyDescent="0.3">
      <c r="A262">
        <v>105</v>
      </c>
      <c r="B262">
        <v>4440257</v>
      </c>
      <c r="C262" t="s">
        <v>167</v>
      </c>
      <c r="D262">
        <v>1240968</v>
      </c>
      <c r="E262" t="s">
        <v>545</v>
      </c>
      <c r="F262" t="s">
        <v>20</v>
      </c>
      <c r="G262" t="s">
        <v>2501</v>
      </c>
      <c r="H262" t="s">
        <v>2502</v>
      </c>
      <c r="I262" s="9" t="s">
        <v>3254</v>
      </c>
      <c r="J262" s="9">
        <v>51163702880</v>
      </c>
      <c r="K262" s="14" t="s">
        <v>3638</v>
      </c>
      <c r="L262" s="13" t="s">
        <v>3706</v>
      </c>
      <c r="M262" s="14">
        <v>1</v>
      </c>
      <c r="N262" s="14">
        <v>1204.31</v>
      </c>
      <c r="O262" s="10">
        <f t="shared" si="30"/>
        <v>1204.31</v>
      </c>
      <c r="P262" s="11">
        <v>0</v>
      </c>
      <c r="Q262" s="11">
        <v>0</v>
      </c>
      <c r="R262" s="10">
        <f>IF(COUNTIF($J$2:J262,J262)=1,SUMIFS($O:$O,$J:$J,J262)+SUMIFS($P:$P,$J:$J,J262)+SUMIFS($Q:$Q,$J:$J,J262),"")</f>
        <v>1204.31</v>
      </c>
      <c r="S262" s="10">
        <v>1204.31</v>
      </c>
      <c r="T262" s="11" t="str">
        <f t="shared" si="34"/>
        <v>Ok</v>
      </c>
      <c r="U262" s="12">
        <v>45869</v>
      </c>
      <c r="V262" s="10">
        <v>1204.31</v>
      </c>
      <c r="W262" s="10" t="str">
        <f t="shared" si="31"/>
        <v>Not Paid</v>
      </c>
      <c r="X262" t="s">
        <v>455</v>
      </c>
      <c r="Y262" t="s">
        <v>28</v>
      </c>
      <c r="Z262">
        <v>100230</v>
      </c>
      <c r="AA262" t="s">
        <v>462</v>
      </c>
      <c r="AB262" t="s">
        <v>521</v>
      </c>
      <c r="AC262" s="9">
        <f t="shared" si="32"/>
        <v>1</v>
      </c>
      <c r="AD262" s="9" t="str">
        <f t="shared" si="33"/>
        <v>Ok</v>
      </c>
      <c r="AE262" s="11">
        <f t="shared" si="29"/>
        <v>0</v>
      </c>
    </row>
    <row r="263" spans="1:31" x14ac:dyDescent="0.3">
      <c r="A263">
        <v>105</v>
      </c>
      <c r="B263">
        <v>4440187</v>
      </c>
      <c r="C263" t="s">
        <v>167</v>
      </c>
      <c r="D263">
        <v>1240968</v>
      </c>
      <c r="E263" t="s">
        <v>545</v>
      </c>
      <c r="F263" t="s">
        <v>20</v>
      </c>
      <c r="G263" t="s">
        <v>2503</v>
      </c>
      <c r="H263" t="s">
        <v>2504</v>
      </c>
      <c r="I263" s="9" t="s">
        <v>3344</v>
      </c>
      <c r="J263" s="9">
        <v>51163150545</v>
      </c>
      <c r="K263" s="14" t="s">
        <v>3638</v>
      </c>
      <c r="L263" s="13" t="s">
        <v>3637</v>
      </c>
      <c r="M263" s="14">
        <v>1</v>
      </c>
      <c r="N263" s="14">
        <v>192</v>
      </c>
      <c r="O263" s="10">
        <f t="shared" si="30"/>
        <v>192</v>
      </c>
      <c r="P263" s="11">
        <v>0</v>
      </c>
      <c r="Q263" s="11">
        <v>0</v>
      </c>
      <c r="R263" s="10">
        <f>IF(COUNTIF($J$2:J263,J263)=1,SUMIFS($O:$O,$J:$J,J263)+SUMIFS($P:$P,$J:$J,J263)+SUMIFS($Q:$Q,$J:$J,J263),"")</f>
        <v>192</v>
      </c>
      <c r="S263" s="10">
        <v>192</v>
      </c>
      <c r="T263" s="11" t="str">
        <f t="shared" si="34"/>
        <v>Ok</v>
      </c>
      <c r="U263" s="12">
        <v>45926</v>
      </c>
      <c r="V263" s="10">
        <v>192</v>
      </c>
      <c r="W263" s="10" t="str">
        <f t="shared" si="31"/>
        <v>Not Paid</v>
      </c>
      <c r="X263" t="s">
        <v>455</v>
      </c>
      <c r="Y263" t="s">
        <v>28</v>
      </c>
      <c r="Z263">
        <v>100120</v>
      </c>
      <c r="AA263" t="s">
        <v>460</v>
      </c>
      <c r="AB263" t="s">
        <v>521</v>
      </c>
      <c r="AC263" s="9">
        <f t="shared" si="32"/>
        <v>1</v>
      </c>
      <c r="AD263" s="9" t="str">
        <f t="shared" si="33"/>
        <v>Ok</v>
      </c>
      <c r="AE263" s="11">
        <f t="shared" si="29"/>
        <v>0</v>
      </c>
    </row>
    <row r="264" spans="1:31" x14ac:dyDescent="0.3">
      <c r="A264">
        <v>105</v>
      </c>
      <c r="B264">
        <v>4440177</v>
      </c>
      <c r="C264" t="s">
        <v>167</v>
      </c>
      <c r="D264">
        <v>1240968</v>
      </c>
      <c r="E264" t="s">
        <v>545</v>
      </c>
      <c r="F264" t="s">
        <v>20</v>
      </c>
      <c r="G264" t="s">
        <v>2505</v>
      </c>
      <c r="H264" t="s">
        <v>2506</v>
      </c>
      <c r="I264" s="9" t="s">
        <v>3325</v>
      </c>
      <c r="J264" s="9">
        <v>51163150494</v>
      </c>
      <c r="K264" s="14" t="s">
        <v>3638</v>
      </c>
      <c r="L264" s="13" t="s">
        <v>3637</v>
      </c>
      <c r="M264" s="14">
        <v>1</v>
      </c>
      <c r="N264" s="14">
        <v>192</v>
      </c>
      <c r="O264" s="10">
        <f t="shared" si="30"/>
        <v>192</v>
      </c>
      <c r="P264" s="11">
        <v>0</v>
      </c>
      <c r="Q264" s="11">
        <v>0</v>
      </c>
      <c r="R264" s="10">
        <f>IF(COUNTIF($J$2:J264,J264)=1,SUMIFS($O:$O,$J:$J,J264)+SUMIFS($P:$P,$J:$J,J264)+SUMIFS($Q:$Q,$J:$J,J264),"")</f>
        <v>192</v>
      </c>
      <c r="S264" s="10">
        <v>192</v>
      </c>
      <c r="T264" s="11" t="str">
        <f t="shared" si="34"/>
        <v>Ok</v>
      </c>
      <c r="U264" s="12">
        <v>45926</v>
      </c>
      <c r="V264" s="10">
        <v>192</v>
      </c>
      <c r="W264" s="10" t="str">
        <f t="shared" si="31"/>
        <v>Not Paid</v>
      </c>
      <c r="X264" t="s">
        <v>455</v>
      </c>
      <c r="Y264" t="s">
        <v>28</v>
      </c>
      <c r="Z264">
        <v>100150</v>
      </c>
      <c r="AA264" t="s">
        <v>458</v>
      </c>
      <c r="AB264" t="s">
        <v>521</v>
      </c>
      <c r="AC264" s="9">
        <f t="shared" si="32"/>
        <v>1</v>
      </c>
      <c r="AD264" s="9" t="str">
        <f t="shared" si="33"/>
        <v>Ok</v>
      </c>
      <c r="AE264" s="11">
        <f t="shared" si="29"/>
        <v>0</v>
      </c>
    </row>
    <row r="265" spans="1:31" x14ac:dyDescent="0.3">
      <c r="A265">
        <v>105</v>
      </c>
      <c r="B265">
        <v>4440167</v>
      </c>
      <c r="C265" t="s">
        <v>167</v>
      </c>
      <c r="D265">
        <v>1240968</v>
      </c>
      <c r="E265" t="s">
        <v>545</v>
      </c>
      <c r="F265" t="s">
        <v>20</v>
      </c>
      <c r="G265" t="s">
        <v>2507</v>
      </c>
      <c r="H265" t="s">
        <v>2508</v>
      </c>
      <c r="I265" s="9" t="s">
        <v>3175</v>
      </c>
      <c r="J265" s="9">
        <v>51163150473</v>
      </c>
      <c r="K265" s="14" t="s">
        <v>3638</v>
      </c>
      <c r="L265" s="13" t="s">
        <v>3637</v>
      </c>
      <c r="M265" s="14">
        <v>1</v>
      </c>
      <c r="N265" s="14">
        <v>192</v>
      </c>
      <c r="O265" s="10">
        <f t="shared" si="30"/>
        <v>192</v>
      </c>
      <c r="P265" s="11">
        <v>0</v>
      </c>
      <c r="Q265" s="11">
        <v>0</v>
      </c>
      <c r="R265" s="10">
        <f>IF(COUNTIF($J$2:J265,J265)=1,SUMIFS($O:$O,$J:$J,J265)+SUMIFS($P:$P,$J:$J,J265)+SUMIFS($Q:$Q,$J:$J,J265),"")</f>
        <v>192</v>
      </c>
      <c r="S265" s="10">
        <v>192</v>
      </c>
      <c r="T265" s="11" t="str">
        <f t="shared" si="34"/>
        <v>Ok</v>
      </c>
      <c r="U265" s="12">
        <v>45926</v>
      </c>
      <c r="V265" s="10">
        <v>192</v>
      </c>
      <c r="W265" s="10" t="str">
        <f t="shared" si="31"/>
        <v>Not Paid</v>
      </c>
      <c r="X265" t="s">
        <v>455</v>
      </c>
      <c r="Y265" t="s">
        <v>28</v>
      </c>
      <c r="Z265">
        <v>100160</v>
      </c>
      <c r="AA265" t="s">
        <v>457</v>
      </c>
      <c r="AB265" t="s">
        <v>521</v>
      </c>
      <c r="AC265" s="9">
        <f t="shared" si="32"/>
        <v>1</v>
      </c>
      <c r="AD265" s="9" t="str">
        <f t="shared" si="33"/>
        <v>Ok</v>
      </c>
      <c r="AE265" s="11">
        <f t="shared" si="29"/>
        <v>0</v>
      </c>
    </row>
    <row r="266" spans="1:31" x14ac:dyDescent="0.3">
      <c r="A266">
        <v>105</v>
      </c>
      <c r="B266">
        <v>4440197</v>
      </c>
      <c r="C266" t="s">
        <v>167</v>
      </c>
      <c r="D266">
        <v>1240968</v>
      </c>
      <c r="E266" t="s">
        <v>545</v>
      </c>
      <c r="F266" t="s">
        <v>20</v>
      </c>
      <c r="G266" t="s">
        <v>2509</v>
      </c>
      <c r="H266" t="s">
        <v>2510</v>
      </c>
      <c r="I266" s="9" t="s">
        <v>3224</v>
      </c>
      <c r="J266" s="9">
        <v>51163150562</v>
      </c>
      <c r="K266" s="14" t="s">
        <v>3638</v>
      </c>
      <c r="L266" s="13" t="s">
        <v>3706</v>
      </c>
      <c r="M266" s="14">
        <v>1</v>
      </c>
      <c r="N266" s="14">
        <v>524.89</v>
      </c>
      <c r="O266" s="10">
        <f t="shared" si="30"/>
        <v>524.89</v>
      </c>
      <c r="P266" s="11">
        <v>0</v>
      </c>
      <c r="Q266" s="11">
        <v>0</v>
      </c>
      <c r="R266" s="10">
        <f>IF(COUNTIF($J$2:J266,J266)=1,SUMIFS($O:$O,$J:$J,J266)+SUMIFS($P:$P,$J:$J,J266)+SUMIFS($Q:$Q,$J:$J,J266),"")</f>
        <v>524.89</v>
      </c>
      <c r="S266" s="10">
        <v>524.89</v>
      </c>
      <c r="T266" s="11" t="str">
        <f t="shared" si="34"/>
        <v>Ok</v>
      </c>
      <c r="U266" s="12">
        <v>45946</v>
      </c>
      <c r="V266" s="10">
        <v>524.89</v>
      </c>
      <c r="W266" s="10" t="str">
        <f t="shared" si="31"/>
        <v>Not Paid</v>
      </c>
      <c r="X266" t="s">
        <v>455</v>
      </c>
      <c r="Y266" t="s">
        <v>28</v>
      </c>
      <c r="Z266">
        <v>100190</v>
      </c>
      <c r="AA266" t="s">
        <v>456</v>
      </c>
      <c r="AB266" t="s">
        <v>521</v>
      </c>
      <c r="AC266" s="9">
        <f t="shared" si="32"/>
        <v>1</v>
      </c>
      <c r="AD266" s="9" t="str">
        <f t="shared" si="33"/>
        <v>Ok</v>
      </c>
      <c r="AE266" s="11">
        <f t="shared" si="29"/>
        <v>0</v>
      </c>
    </row>
    <row r="267" spans="1:31" x14ac:dyDescent="0.3">
      <c r="A267">
        <v>105</v>
      </c>
      <c r="B267">
        <v>4440946</v>
      </c>
      <c r="C267" t="s">
        <v>167</v>
      </c>
      <c r="D267">
        <v>1240968</v>
      </c>
      <c r="E267" t="s">
        <v>545</v>
      </c>
      <c r="F267" t="s">
        <v>20</v>
      </c>
      <c r="G267" t="s">
        <v>2511</v>
      </c>
      <c r="H267" t="s">
        <v>2512</v>
      </c>
      <c r="I267" s="9" t="s">
        <v>3267</v>
      </c>
      <c r="J267" s="9">
        <v>51164614306</v>
      </c>
      <c r="K267" s="14" t="s">
        <v>3638</v>
      </c>
      <c r="L267" s="13" t="s">
        <v>3706</v>
      </c>
      <c r="M267" s="14">
        <v>1</v>
      </c>
      <c r="N267" s="14">
        <v>3084.36</v>
      </c>
      <c r="O267" s="10">
        <f t="shared" si="30"/>
        <v>3084.36</v>
      </c>
      <c r="P267" s="11">
        <v>0</v>
      </c>
      <c r="Q267" s="11">
        <v>0</v>
      </c>
      <c r="R267" s="10">
        <f>IF(COUNTIF($J$2:J267,J267)=1,SUMIFS($O:$O,$J:$J,J267)+SUMIFS($P:$P,$J:$J,J267)+SUMIFS($Q:$Q,$J:$J,J267),"")</f>
        <v>3084.36</v>
      </c>
      <c r="S267" s="10">
        <v>3084.36</v>
      </c>
      <c r="T267" s="11" t="str">
        <f t="shared" si="34"/>
        <v>Ok</v>
      </c>
      <c r="U267" s="12">
        <v>45960</v>
      </c>
      <c r="V267" s="10">
        <v>3084.36</v>
      </c>
      <c r="W267" s="10" t="str">
        <f t="shared" si="31"/>
        <v>Not Paid</v>
      </c>
      <c r="X267" t="s">
        <v>455</v>
      </c>
      <c r="Y267" t="s">
        <v>28</v>
      </c>
      <c r="Z267">
        <v>100110</v>
      </c>
      <c r="AA267" t="s">
        <v>512</v>
      </c>
      <c r="AB267" t="s">
        <v>521</v>
      </c>
      <c r="AC267" s="9">
        <f t="shared" si="32"/>
        <v>1</v>
      </c>
      <c r="AD267" s="9" t="str">
        <f t="shared" si="33"/>
        <v>Ok</v>
      </c>
      <c r="AE267" s="11">
        <f t="shared" si="29"/>
        <v>0</v>
      </c>
    </row>
    <row r="268" spans="1:31" x14ac:dyDescent="0.3">
      <c r="A268">
        <v>105</v>
      </c>
      <c r="B268">
        <v>4443444</v>
      </c>
      <c r="C268" t="s">
        <v>239</v>
      </c>
      <c r="D268">
        <v>1449770</v>
      </c>
      <c r="E268" t="s">
        <v>560</v>
      </c>
      <c r="F268" t="s">
        <v>47</v>
      </c>
      <c r="G268" t="s">
        <v>2513</v>
      </c>
      <c r="H268" t="s">
        <v>2514</v>
      </c>
      <c r="I268" s="9" t="s">
        <v>3287</v>
      </c>
      <c r="J268" s="9">
        <v>51163100138</v>
      </c>
      <c r="K268" s="14" t="s">
        <v>3537</v>
      </c>
      <c r="L268" s="13" t="s">
        <v>3728</v>
      </c>
      <c r="M268" s="14">
        <v>2000</v>
      </c>
      <c r="N268" s="14">
        <v>0.29099999999999998</v>
      </c>
      <c r="O268" s="10">
        <f t="shared" si="30"/>
        <v>582</v>
      </c>
      <c r="P268" s="11">
        <v>0</v>
      </c>
      <c r="Q268" s="11">
        <v>83.23</v>
      </c>
      <c r="R268" s="10">
        <f>IF(COUNTIF($J$2:J268,J268)=1,SUMIFS($O:$O,$J:$J,J268)+SUMIFS($P:$P,$J:$J,J268)+SUMIFS($Q:$Q,$J:$J,J268),"")</f>
        <v>665.23</v>
      </c>
      <c r="S268" s="10">
        <v>665.23</v>
      </c>
      <c r="T268" s="11" t="str">
        <f t="shared" si="34"/>
        <v>Ok</v>
      </c>
      <c r="U268" s="12">
        <v>46051</v>
      </c>
      <c r="V268" s="10">
        <v>665.23</v>
      </c>
      <c r="W268" s="10" t="str">
        <f t="shared" si="31"/>
        <v>Not Paid</v>
      </c>
      <c r="X268" t="s">
        <v>450</v>
      </c>
      <c r="Y268" t="s">
        <v>28</v>
      </c>
      <c r="Z268">
        <v>100277</v>
      </c>
      <c r="AA268" t="s">
        <v>467</v>
      </c>
      <c r="AB268" t="s">
        <v>3039</v>
      </c>
      <c r="AC268" s="9">
        <f t="shared" si="32"/>
        <v>1</v>
      </c>
      <c r="AD268" s="9" t="str">
        <f t="shared" si="33"/>
        <v>Ok</v>
      </c>
      <c r="AE268" s="11">
        <f t="shared" si="29"/>
        <v>0</v>
      </c>
    </row>
    <row r="269" spans="1:31" x14ac:dyDescent="0.3">
      <c r="A269">
        <v>105</v>
      </c>
      <c r="B269">
        <v>4443004</v>
      </c>
      <c r="C269" t="s">
        <v>239</v>
      </c>
      <c r="D269">
        <v>1449770</v>
      </c>
      <c r="E269" t="s">
        <v>560</v>
      </c>
      <c r="F269" t="s">
        <v>47</v>
      </c>
      <c r="G269" t="s">
        <v>2515</v>
      </c>
      <c r="H269" t="s">
        <v>2516</v>
      </c>
      <c r="I269" s="9" t="s">
        <v>3367</v>
      </c>
      <c r="J269" s="9">
        <v>51162397227</v>
      </c>
      <c r="K269" s="14" t="s">
        <v>3229</v>
      </c>
      <c r="L269" s="13" t="s">
        <v>3707</v>
      </c>
      <c r="M269" s="14">
        <v>3000</v>
      </c>
      <c r="N269" s="14">
        <v>0.27643000000000001</v>
      </c>
      <c r="O269" s="10">
        <f t="shared" si="30"/>
        <v>829.29000000000008</v>
      </c>
      <c r="P269" s="11">
        <v>0</v>
      </c>
      <c r="Q269" s="11">
        <v>150.1</v>
      </c>
      <c r="R269" s="10">
        <f>IF(COUNTIF($J$2:J269,J269)=1,SUMIFS($O:$O,$J:$J,J269)+SUMIFS($P:$P,$J:$J,J269)+SUMIFS($Q:$Q,$J:$J,J269),"")</f>
        <v>979.3900000000001</v>
      </c>
      <c r="S269" s="10">
        <v>979.39</v>
      </c>
      <c r="T269" s="11" t="str">
        <f t="shared" si="34"/>
        <v>Ok</v>
      </c>
      <c r="U269" s="12">
        <v>46058</v>
      </c>
      <c r="V269" s="10">
        <v>979.39</v>
      </c>
      <c r="W269" s="10" t="str">
        <f t="shared" si="31"/>
        <v>Not Paid</v>
      </c>
      <c r="X269" t="s">
        <v>450</v>
      </c>
      <c r="Y269" t="s">
        <v>28</v>
      </c>
      <c r="Z269">
        <v>100287</v>
      </c>
      <c r="AA269" t="s">
        <v>503</v>
      </c>
      <c r="AB269" t="s">
        <v>3039</v>
      </c>
      <c r="AC269" s="9">
        <f t="shared" si="32"/>
        <v>1</v>
      </c>
      <c r="AD269" s="9" t="str">
        <f t="shared" si="33"/>
        <v>Ok</v>
      </c>
      <c r="AE269" s="11">
        <f t="shared" si="29"/>
        <v>0</v>
      </c>
    </row>
    <row r="270" spans="1:31" x14ac:dyDescent="0.3">
      <c r="A270">
        <v>105</v>
      </c>
      <c r="B270">
        <v>4443284</v>
      </c>
      <c r="C270" t="s">
        <v>239</v>
      </c>
      <c r="D270">
        <v>1449770</v>
      </c>
      <c r="E270" t="s">
        <v>560</v>
      </c>
      <c r="F270" t="s">
        <v>47</v>
      </c>
      <c r="G270" t="s">
        <v>2517</v>
      </c>
      <c r="H270" t="s">
        <v>2518</v>
      </c>
      <c r="I270" s="9" t="s">
        <v>3393</v>
      </c>
      <c r="J270" s="9">
        <v>54108029286</v>
      </c>
      <c r="K270" s="14" t="s">
        <v>3252</v>
      </c>
      <c r="L270" s="13" t="s">
        <v>3791</v>
      </c>
      <c r="M270" s="14">
        <v>2000</v>
      </c>
      <c r="N270" s="14">
        <v>0.217</v>
      </c>
      <c r="O270" s="10">
        <f t="shared" si="30"/>
        <v>434</v>
      </c>
      <c r="P270" s="11">
        <v>0</v>
      </c>
      <c r="Q270" s="11">
        <v>78.55</v>
      </c>
      <c r="R270" s="10">
        <f>IF(COUNTIF($J$2:J270,J270)=1,SUMIFS($O:$O,$J:$J,J270)+SUMIFS($P:$P,$J:$J,J270)+SUMIFS($Q:$Q,$J:$J,J270),"")</f>
        <v>512.54999999999995</v>
      </c>
      <c r="S270" s="10">
        <v>512.54999999999995</v>
      </c>
      <c r="T270" s="11" t="str">
        <f t="shared" si="34"/>
        <v>Ok</v>
      </c>
      <c r="U270" s="12">
        <v>46065</v>
      </c>
      <c r="V270" s="10">
        <v>512.54999999999995</v>
      </c>
      <c r="W270" s="10" t="str">
        <f t="shared" si="31"/>
        <v>Not Paid</v>
      </c>
      <c r="X270" t="s">
        <v>450</v>
      </c>
      <c r="Y270" t="s">
        <v>28</v>
      </c>
      <c r="Z270">
        <v>100117</v>
      </c>
      <c r="AA270" t="s">
        <v>451</v>
      </c>
      <c r="AB270" t="s">
        <v>3039</v>
      </c>
      <c r="AC270" s="9">
        <f t="shared" si="32"/>
        <v>1</v>
      </c>
      <c r="AD270" s="9" t="str">
        <f t="shared" si="33"/>
        <v>Ok</v>
      </c>
      <c r="AE270" s="11">
        <f t="shared" si="29"/>
        <v>0</v>
      </c>
    </row>
    <row r="271" spans="1:31" x14ac:dyDescent="0.3">
      <c r="A271">
        <v>102</v>
      </c>
      <c r="B271">
        <v>4441665</v>
      </c>
      <c r="C271" t="s">
        <v>160</v>
      </c>
      <c r="D271">
        <v>1413236</v>
      </c>
      <c r="E271" t="s">
        <v>669</v>
      </c>
      <c r="F271" t="s">
        <v>17</v>
      </c>
      <c r="G271" t="s">
        <v>2521</v>
      </c>
      <c r="H271" t="s">
        <v>2522</v>
      </c>
      <c r="I271" s="9" t="s">
        <v>3195</v>
      </c>
      <c r="J271" s="9">
        <v>51161027994</v>
      </c>
      <c r="K271" s="14" t="s">
        <v>3374</v>
      </c>
      <c r="L271" s="13" t="s">
        <v>3641</v>
      </c>
      <c r="M271" s="14">
        <v>300000</v>
      </c>
      <c r="N271" s="14">
        <v>1E-3</v>
      </c>
      <c r="O271" s="10">
        <f t="shared" si="30"/>
        <v>300</v>
      </c>
      <c r="P271" s="11">
        <v>0</v>
      </c>
      <c r="Q271" s="11">
        <v>0</v>
      </c>
      <c r="R271" s="10">
        <f>IF(COUNTIF($J$2:J271,J271)=1,SUMIFS($O:$O,$J:$J,J271)+SUMIFS($P:$P,$J:$J,J271)+SUMIFS($Q:$Q,$J:$J,J271),"")</f>
        <v>300</v>
      </c>
      <c r="S271" s="10">
        <v>300</v>
      </c>
      <c r="T271" s="11" t="str">
        <f t="shared" si="34"/>
        <v>Ok</v>
      </c>
      <c r="U271" s="12">
        <v>45764</v>
      </c>
      <c r="V271" s="10">
        <v>300</v>
      </c>
      <c r="W271" s="10" t="str">
        <f t="shared" si="31"/>
        <v>Not Paid</v>
      </c>
      <c r="X271" t="s">
        <v>438</v>
      </c>
      <c r="Y271" t="s">
        <v>436</v>
      </c>
      <c r="Z271">
        <v>100133</v>
      </c>
      <c r="AA271" t="s">
        <v>3087</v>
      </c>
      <c r="AB271" t="s">
        <v>528</v>
      </c>
      <c r="AC271" s="9">
        <f t="shared" si="32"/>
        <v>1</v>
      </c>
      <c r="AD271" s="9" t="str">
        <f t="shared" si="33"/>
        <v>Ok</v>
      </c>
      <c r="AE271" s="11">
        <f t="shared" si="29"/>
        <v>0</v>
      </c>
    </row>
    <row r="272" spans="1:31" x14ac:dyDescent="0.3">
      <c r="A272">
        <v>102</v>
      </c>
      <c r="B272">
        <v>4442365</v>
      </c>
      <c r="C272" t="s">
        <v>167</v>
      </c>
      <c r="D272">
        <v>1212379</v>
      </c>
      <c r="E272" t="s">
        <v>535</v>
      </c>
      <c r="F272" t="s">
        <v>19</v>
      </c>
      <c r="G272" t="s">
        <v>2523</v>
      </c>
      <c r="H272" t="s">
        <v>2524</v>
      </c>
      <c r="I272" s="9" t="s">
        <v>3425</v>
      </c>
      <c r="J272" s="9">
        <v>51163314133</v>
      </c>
      <c r="K272" s="14" t="s">
        <v>3738</v>
      </c>
      <c r="L272" s="13" t="s">
        <v>3737</v>
      </c>
      <c r="M272" s="14">
        <v>8</v>
      </c>
      <c r="N272" s="14">
        <v>3192</v>
      </c>
      <c r="O272" s="10">
        <f t="shared" si="30"/>
        <v>25536</v>
      </c>
      <c r="P272" s="11">
        <v>0</v>
      </c>
      <c r="Q272" s="11">
        <v>0</v>
      </c>
      <c r="R272" s="10">
        <f>IF(COUNTIF($J$2:J272,J272)=1,SUMIFS($O:$O,$J:$J,J272)+SUMIFS($P:$P,$J:$J,J272)+SUMIFS($Q:$Q,$J:$J,J272),"")</f>
        <v>25536</v>
      </c>
      <c r="S272" s="10">
        <v>25536</v>
      </c>
      <c r="T272" s="11" t="str">
        <f t="shared" si="34"/>
        <v>Ok</v>
      </c>
      <c r="U272" s="12">
        <v>46051</v>
      </c>
      <c r="V272" s="10">
        <v>25536</v>
      </c>
      <c r="W272" s="10" t="str">
        <f t="shared" si="31"/>
        <v>Not Paid</v>
      </c>
      <c r="X272" t="s">
        <v>455</v>
      </c>
      <c r="Y272" t="s">
        <v>28</v>
      </c>
      <c r="Z272">
        <v>100160</v>
      </c>
      <c r="AA272" t="s">
        <v>457</v>
      </c>
      <c r="AB272" t="s">
        <v>524</v>
      </c>
      <c r="AC272" s="9">
        <f t="shared" si="32"/>
        <v>1</v>
      </c>
      <c r="AD272" s="9" t="str">
        <f t="shared" si="33"/>
        <v>Ok</v>
      </c>
      <c r="AE272" s="11">
        <f t="shared" si="29"/>
        <v>0</v>
      </c>
    </row>
    <row r="273" spans="1:31" x14ac:dyDescent="0.3">
      <c r="A273">
        <v>101</v>
      </c>
      <c r="B273">
        <v>4441785</v>
      </c>
      <c r="C273" t="s">
        <v>160</v>
      </c>
      <c r="D273">
        <v>1358046</v>
      </c>
      <c r="E273" t="s">
        <v>657</v>
      </c>
      <c r="F273" t="s">
        <v>20</v>
      </c>
      <c r="G273" t="s">
        <v>2525</v>
      </c>
      <c r="H273" t="s">
        <v>2526</v>
      </c>
      <c r="I273" s="9" t="s">
        <v>3525</v>
      </c>
      <c r="J273" s="9">
        <v>51162223719</v>
      </c>
      <c r="K273" s="14" t="s">
        <v>3389</v>
      </c>
      <c r="L273" s="13" t="s">
        <v>3697</v>
      </c>
      <c r="M273" s="14">
        <v>2500</v>
      </c>
      <c r="N273" s="14">
        <v>6.5850000000000006E-2</v>
      </c>
      <c r="O273" s="10">
        <f t="shared" si="30"/>
        <v>164.62500000000003</v>
      </c>
      <c r="P273" s="11">
        <v>21.4</v>
      </c>
      <c r="Q273" s="11">
        <v>0</v>
      </c>
      <c r="R273" s="10">
        <f>IF(COUNTIF($J$2:J273,J273)=1,SUMIFS($O:$O,$J:$J,J273)+SUMIFS($P:$P,$J:$J,J273)+SUMIFS($Q:$Q,$J:$J,J273),"")</f>
        <v>186.02500000000003</v>
      </c>
      <c r="S273" s="10">
        <v>186.03</v>
      </c>
      <c r="T273" s="11" t="str">
        <f t="shared" si="34"/>
        <v>Check</v>
      </c>
      <c r="U273" s="12">
        <v>45204</v>
      </c>
      <c r="V273" s="10">
        <v>186.03</v>
      </c>
      <c r="W273" s="10" t="str">
        <f t="shared" si="31"/>
        <v>Not Paid</v>
      </c>
      <c r="X273" t="s">
        <v>478</v>
      </c>
      <c r="Y273" t="s">
        <v>28</v>
      </c>
      <c r="Z273">
        <v>100242</v>
      </c>
      <c r="AA273" t="s">
        <v>3096</v>
      </c>
      <c r="AB273" t="s">
        <v>521</v>
      </c>
      <c r="AC273" s="9">
        <f t="shared" si="32"/>
        <v>1</v>
      </c>
      <c r="AD273" s="9" t="str">
        <f t="shared" si="33"/>
        <v>Check</v>
      </c>
      <c r="AE273" s="11">
        <f t="shared" si="29"/>
        <v>-4.9999999999670308E-3</v>
      </c>
    </row>
    <row r="274" spans="1:31" x14ac:dyDescent="0.3">
      <c r="A274">
        <v>101</v>
      </c>
      <c r="B274">
        <v>4442325</v>
      </c>
      <c r="C274" t="s">
        <v>160</v>
      </c>
      <c r="D274">
        <v>1358046</v>
      </c>
      <c r="E274" t="s">
        <v>657</v>
      </c>
      <c r="F274" t="s">
        <v>20</v>
      </c>
      <c r="G274" t="s">
        <v>2527</v>
      </c>
      <c r="H274" t="s">
        <v>2528</v>
      </c>
      <c r="I274" s="9" t="s">
        <v>3175</v>
      </c>
      <c r="J274" s="9">
        <v>51163505108</v>
      </c>
      <c r="K274" s="14" t="s">
        <v>3252</v>
      </c>
      <c r="L274" s="13" t="s">
        <v>3748</v>
      </c>
      <c r="M274" s="14">
        <v>500</v>
      </c>
      <c r="N274" s="14">
        <v>0.15590000000000001</v>
      </c>
      <c r="O274" s="10">
        <f t="shared" si="30"/>
        <v>77.95</v>
      </c>
      <c r="P274" s="11">
        <v>10.130000000000001</v>
      </c>
      <c r="Q274" s="11">
        <v>0</v>
      </c>
      <c r="R274" s="10">
        <f>IF(COUNTIF($J$2:J274,J274)=1,SUMIFS($O:$O,$J:$J,J274)+SUMIFS($P:$P,$J:$J,J274)+SUMIFS($Q:$Q,$J:$J,J274),"")</f>
        <v>88.08</v>
      </c>
      <c r="S274" s="10">
        <v>88.08</v>
      </c>
      <c r="T274" s="11" t="str">
        <f t="shared" si="34"/>
        <v>Ok</v>
      </c>
      <c r="U274" s="12">
        <v>45204</v>
      </c>
      <c r="V274" s="10">
        <v>88.08</v>
      </c>
      <c r="W274" s="10" t="str">
        <f t="shared" si="31"/>
        <v>Not Paid</v>
      </c>
      <c r="X274" t="s">
        <v>478</v>
      </c>
      <c r="Y274" t="s">
        <v>28</v>
      </c>
      <c r="Z274">
        <v>100272</v>
      </c>
      <c r="AA274" t="s">
        <v>3084</v>
      </c>
      <c r="AB274" t="s">
        <v>521</v>
      </c>
      <c r="AC274" s="9">
        <f t="shared" si="32"/>
        <v>1</v>
      </c>
      <c r="AD274" s="9" t="str">
        <f t="shared" si="33"/>
        <v>Ok</v>
      </c>
      <c r="AE274" s="11">
        <f t="shared" si="29"/>
        <v>0</v>
      </c>
    </row>
    <row r="275" spans="1:31" x14ac:dyDescent="0.3">
      <c r="A275">
        <v>101</v>
      </c>
      <c r="B275">
        <v>4441825</v>
      </c>
      <c r="C275" t="s">
        <v>160</v>
      </c>
      <c r="D275">
        <v>1358046</v>
      </c>
      <c r="E275" t="s">
        <v>657</v>
      </c>
      <c r="F275" t="s">
        <v>20</v>
      </c>
      <c r="G275" t="s">
        <v>2529</v>
      </c>
      <c r="H275" t="s">
        <v>2530</v>
      </c>
      <c r="I275" s="9" t="s">
        <v>3331</v>
      </c>
      <c r="J275" s="9">
        <v>51162604017</v>
      </c>
      <c r="K275" s="14" t="s">
        <v>3389</v>
      </c>
      <c r="L275" s="13" t="s">
        <v>3710</v>
      </c>
      <c r="M275" s="14">
        <v>6000</v>
      </c>
      <c r="N275" s="14">
        <v>2.1100000000000001E-2</v>
      </c>
      <c r="O275" s="10">
        <f t="shared" si="30"/>
        <v>126.60000000000001</v>
      </c>
      <c r="P275" s="11">
        <v>16.46</v>
      </c>
      <c r="Q275" s="11">
        <v>0</v>
      </c>
      <c r="R275" s="10">
        <f>IF(COUNTIF($J$2:J275,J275)=1,SUMIFS($O:$O,$J:$J,J275)+SUMIFS($P:$P,$J:$J,J275)+SUMIFS($Q:$Q,$J:$J,J275),"")</f>
        <v>143.06</v>
      </c>
      <c r="S275" s="10">
        <v>143.06</v>
      </c>
      <c r="T275" s="11" t="str">
        <f t="shared" si="34"/>
        <v>Ok</v>
      </c>
      <c r="U275" s="12">
        <v>45204</v>
      </c>
      <c r="V275" s="10">
        <v>143.06</v>
      </c>
      <c r="W275" s="10" t="str">
        <f t="shared" si="31"/>
        <v>Not Paid</v>
      </c>
      <c r="X275" t="s">
        <v>478</v>
      </c>
      <c r="Y275" t="s">
        <v>28</v>
      </c>
      <c r="Z275">
        <v>100282</v>
      </c>
      <c r="AA275" t="s">
        <v>3089</v>
      </c>
      <c r="AB275" t="s">
        <v>521</v>
      </c>
      <c r="AC275" s="9">
        <f t="shared" si="32"/>
        <v>1</v>
      </c>
      <c r="AD275" s="9" t="str">
        <f t="shared" si="33"/>
        <v>Ok</v>
      </c>
      <c r="AE275" s="11">
        <f t="shared" si="29"/>
        <v>0</v>
      </c>
    </row>
    <row r="276" spans="1:31" x14ac:dyDescent="0.3">
      <c r="A276">
        <v>101</v>
      </c>
      <c r="B276">
        <v>4442395</v>
      </c>
      <c r="C276" t="s">
        <v>240</v>
      </c>
      <c r="D276">
        <v>1358046</v>
      </c>
      <c r="E276" t="s">
        <v>657</v>
      </c>
      <c r="F276" t="s">
        <v>20</v>
      </c>
      <c r="G276" t="s">
        <v>2531</v>
      </c>
      <c r="H276" t="s">
        <v>2532</v>
      </c>
      <c r="I276" s="9" t="s">
        <v>3236</v>
      </c>
      <c r="J276" s="9">
        <v>51163107474</v>
      </c>
      <c r="K276" s="14" t="s">
        <v>3370</v>
      </c>
      <c r="L276" s="13" t="s">
        <v>3729</v>
      </c>
      <c r="M276" s="14">
        <v>6000</v>
      </c>
      <c r="N276" s="14">
        <v>0.01</v>
      </c>
      <c r="O276" s="10">
        <f t="shared" si="30"/>
        <v>60</v>
      </c>
      <c r="P276" s="11">
        <v>7.8</v>
      </c>
      <c r="Q276" s="11">
        <v>0</v>
      </c>
      <c r="R276" s="10">
        <f>IF(COUNTIF($J$2:J276,J276)=1,SUMIFS($O:$O,$J:$J,J276)+SUMIFS($P:$P,$J:$J,J276)+SUMIFS($Q:$Q,$J:$J,J276),"")</f>
        <v>67.8</v>
      </c>
      <c r="S276" s="10">
        <v>67.8</v>
      </c>
      <c r="T276" s="11" t="str">
        <f t="shared" si="34"/>
        <v>Ok</v>
      </c>
      <c r="U276" s="12">
        <v>45621</v>
      </c>
      <c r="V276" s="10">
        <v>67.8</v>
      </c>
      <c r="W276" s="10" t="str">
        <f t="shared" si="31"/>
        <v>Not Paid</v>
      </c>
      <c r="X276" t="s">
        <v>478</v>
      </c>
      <c r="Y276" t="s">
        <v>28</v>
      </c>
      <c r="Z276">
        <v>100152</v>
      </c>
      <c r="AA276" t="s">
        <v>3101</v>
      </c>
      <c r="AB276" t="s">
        <v>521</v>
      </c>
      <c r="AC276" s="9">
        <f t="shared" si="32"/>
        <v>1</v>
      </c>
      <c r="AD276" s="9" t="str">
        <f t="shared" si="33"/>
        <v>Ok</v>
      </c>
      <c r="AE276" s="11">
        <f t="shared" si="29"/>
        <v>0</v>
      </c>
    </row>
    <row r="277" spans="1:31" x14ac:dyDescent="0.3">
      <c r="A277">
        <v>101</v>
      </c>
      <c r="B277">
        <v>4442375</v>
      </c>
      <c r="C277" t="s">
        <v>240</v>
      </c>
      <c r="D277">
        <v>1358046</v>
      </c>
      <c r="E277" t="s">
        <v>657</v>
      </c>
      <c r="F277" t="s">
        <v>20</v>
      </c>
      <c r="G277" t="s">
        <v>2533</v>
      </c>
      <c r="H277" t="s">
        <v>2534</v>
      </c>
      <c r="I277" s="9" t="s">
        <v>3336</v>
      </c>
      <c r="J277" s="9">
        <v>51163475333</v>
      </c>
      <c r="K277" s="14" t="s">
        <v>3370</v>
      </c>
      <c r="L277" s="13" t="s">
        <v>3729</v>
      </c>
      <c r="M277" s="14">
        <v>3000</v>
      </c>
      <c r="N277" s="14">
        <v>0.01</v>
      </c>
      <c r="O277" s="10">
        <f t="shared" si="30"/>
        <v>30</v>
      </c>
      <c r="P277" s="11">
        <v>3.9</v>
      </c>
      <c r="Q277" s="11">
        <v>0</v>
      </c>
      <c r="R277" s="10">
        <f>IF(COUNTIF($J$2:J277,J277)=1,SUMIFS($O:$O,$J:$J,J277)+SUMIFS($P:$P,$J:$J,J277)+SUMIFS($Q:$Q,$J:$J,J277),"")</f>
        <v>33.9</v>
      </c>
      <c r="S277" s="10">
        <v>33.9</v>
      </c>
      <c r="T277" s="11" t="str">
        <f t="shared" si="34"/>
        <v>Ok</v>
      </c>
      <c r="U277" s="12">
        <v>45670</v>
      </c>
      <c r="V277" s="10">
        <v>33.9</v>
      </c>
      <c r="W277" s="10" t="str">
        <f t="shared" si="31"/>
        <v>Not Paid</v>
      </c>
      <c r="X277" t="s">
        <v>478</v>
      </c>
      <c r="Y277" t="s">
        <v>28</v>
      </c>
      <c r="Z277">
        <v>100162</v>
      </c>
      <c r="AA277" t="s">
        <v>3083</v>
      </c>
      <c r="AB277" t="s">
        <v>521</v>
      </c>
      <c r="AC277" s="9">
        <f t="shared" si="32"/>
        <v>1</v>
      </c>
      <c r="AD277" s="9" t="str">
        <f t="shared" si="33"/>
        <v>Ok</v>
      </c>
      <c r="AE277" s="11">
        <f t="shared" si="29"/>
        <v>0</v>
      </c>
    </row>
    <row r="278" spans="1:31" x14ac:dyDescent="0.3">
      <c r="A278">
        <v>101</v>
      </c>
      <c r="B278">
        <v>4441335</v>
      </c>
      <c r="C278" t="s">
        <v>240</v>
      </c>
      <c r="D278">
        <v>1358046</v>
      </c>
      <c r="E278" t="s">
        <v>657</v>
      </c>
      <c r="F278" t="s">
        <v>20</v>
      </c>
      <c r="G278" t="s">
        <v>2535</v>
      </c>
      <c r="H278" t="s">
        <v>2536</v>
      </c>
      <c r="I278" s="9" t="s">
        <v>3498</v>
      </c>
      <c r="J278" s="9">
        <v>51162811652</v>
      </c>
      <c r="K278" s="14" t="s">
        <v>3201</v>
      </c>
      <c r="L278" s="13" t="s">
        <v>3715</v>
      </c>
      <c r="M278" s="14">
        <v>1500</v>
      </c>
      <c r="N278" s="14">
        <v>0.20469999999999999</v>
      </c>
      <c r="O278" s="10">
        <f t="shared" si="30"/>
        <v>307.05</v>
      </c>
      <c r="P278" s="11">
        <v>39.92</v>
      </c>
      <c r="Q278" s="11">
        <v>0</v>
      </c>
      <c r="R278" s="10">
        <f>IF(COUNTIF($J$2:J278,J278)=1,SUMIFS($O:$O,$J:$J,J278)+SUMIFS($P:$P,$J:$J,J278)+SUMIFS($Q:$Q,$J:$J,J278),"")</f>
        <v>346.97</v>
      </c>
      <c r="S278" s="10">
        <v>346.97</v>
      </c>
      <c r="T278" s="11" t="str">
        <f t="shared" si="34"/>
        <v>Ok</v>
      </c>
      <c r="U278" s="12">
        <v>45670</v>
      </c>
      <c r="V278" s="10">
        <v>346.97</v>
      </c>
      <c r="W278" s="10" t="str">
        <f t="shared" si="31"/>
        <v>Not Paid</v>
      </c>
      <c r="X278" t="s">
        <v>478</v>
      </c>
      <c r="Y278" t="s">
        <v>28</v>
      </c>
      <c r="Z278">
        <v>100192</v>
      </c>
      <c r="AA278" t="s">
        <v>3106</v>
      </c>
      <c r="AB278" t="s">
        <v>521</v>
      </c>
      <c r="AC278" s="9">
        <f t="shared" si="32"/>
        <v>1</v>
      </c>
      <c r="AD278" s="9" t="str">
        <f t="shared" si="33"/>
        <v>Ok</v>
      </c>
      <c r="AE278" s="11">
        <f t="shared" si="29"/>
        <v>0</v>
      </c>
    </row>
    <row r="279" spans="1:31" x14ac:dyDescent="0.3">
      <c r="A279">
        <v>101</v>
      </c>
      <c r="B279">
        <v>4442335</v>
      </c>
      <c r="C279" t="s">
        <v>240</v>
      </c>
      <c r="D279">
        <v>1358046</v>
      </c>
      <c r="E279" t="s">
        <v>657</v>
      </c>
      <c r="F279" t="s">
        <v>20</v>
      </c>
      <c r="G279" t="s">
        <v>2537</v>
      </c>
      <c r="H279" t="s">
        <v>2538</v>
      </c>
      <c r="I279" s="9" t="s">
        <v>3535</v>
      </c>
      <c r="J279" s="9">
        <v>51163541241</v>
      </c>
      <c r="K279" s="14" t="s">
        <v>3750</v>
      </c>
      <c r="L279" s="13" t="s">
        <v>3749</v>
      </c>
      <c r="M279" s="14">
        <v>159</v>
      </c>
      <c r="N279" s="14">
        <v>4</v>
      </c>
      <c r="O279" s="10">
        <f t="shared" si="30"/>
        <v>636</v>
      </c>
      <c r="P279" s="11">
        <v>82.68</v>
      </c>
      <c r="Q279" s="11">
        <v>0</v>
      </c>
      <c r="R279" s="10">
        <f>IF(COUNTIF($J$2:J279,J279)=1,SUMIFS($O:$O,$J:$J,J279)+SUMIFS($P:$P,$J:$J,J279)+SUMIFS($Q:$Q,$J:$J,J279),"")</f>
        <v>718.68000000000006</v>
      </c>
      <c r="S279" s="10">
        <v>718.68</v>
      </c>
      <c r="T279" s="11" t="str">
        <f t="shared" si="34"/>
        <v>Ok</v>
      </c>
      <c r="U279" s="12">
        <v>45671</v>
      </c>
      <c r="V279" s="10">
        <v>718.68</v>
      </c>
      <c r="W279" s="10" t="str">
        <f t="shared" si="31"/>
        <v>Not Paid</v>
      </c>
      <c r="X279" t="s">
        <v>478</v>
      </c>
      <c r="Y279" t="s">
        <v>28</v>
      </c>
      <c r="Z279">
        <v>100202</v>
      </c>
      <c r="AA279" t="s">
        <v>3107</v>
      </c>
      <c r="AB279" t="s">
        <v>521</v>
      </c>
      <c r="AC279" s="9">
        <f t="shared" si="32"/>
        <v>1</v>
      </c>
      <c r="AD279" s="9" t="str">
        <f t="shared" si="33"/>
        <v>Ok</v>
      </c>
      <c r="AE279" s="11">
        <f t="shared" si="29"/>
        <v>0</v>
      </c>
    </row>
    <row r="280" spans="1:31" x14ac:dyDescent="0.3">
      <c r="A280">
        <v>101</v>
      </c>
      <c r="B280">
        <v>4441364</v>
      </c>
      <c r="C280" t="s">
        <v>240</v>
      </c>
      <c r="D280">
        <v>1358046</v>
      </c>
      <c r="E280" t="s">
        <v>657</v>
      </c>
      <c r="F280" t="s">
        <v>20</v>
      </c>
      <c r="G280" t="s">
        <v>2539</v>
      </c>
      <c r="H280" t="s">
        <v>2540</v>
      </c>
      <c r="I280" s="9" t="s">
        <v>3307</v>
      </c>
      <c r="J280" s="9">
        <v>51161461750</v>
      </c>
      <c r="K280" s="14" t="s">
        <v>3168</v>
      </c>
      <c r="L280" s="13" t="s">
        <v>3663</v>
      </c>
      <c r="M280" s="14">
        <v>2500</v>
      </c>
      <c r="N280" s="14">
        <v>6.5799999999999997E-2</v>
      </c>
      <c r="O280" s="10">
        <f t="shared" si="30"/>
        <v>164.5</v>
      </c>
      <c r="P280" s="11">
        <v>21.39</v>
      </c>
      <c r="Q280" s="11">
        <v>0</v>
      </c>
      <c r="R280" s="10">
        <f>IF(COUNTIF($J$2:J280,J280)=1,SUMIFS($O:$O,$J:$J,J280)+SUMIFS($P:$P,$J:$J,J280)+SUMIFS($Q:$Q,$J:$J,J280),"")</f>
        <v>185.89</v>
      </c>
      <c r="S280" s="10">
        <v>185.89</v>
      </c>
      <c r="T280" s="11" t="str">
        <f t="shared" si="34"/>
        <v>Ok</v>
      </c>
      <c r="U280" s="12">
        <v>45691</v>
      </c>
      <c r="V280" s="10">
        <v>185.89</v>
      </c>
      <c r="W280" s="10" t="str">
        <f t="shared" si="31"/>
        <v>Not Paid</v>
      </c>
      <c r="X280" t="s">
        <v>478</v>
      </c>
      <c r="Y280" t="s">
        <v>28</v>
      </c>
      <c r="Z280">
        <v>100232</v>
      </c>
      <c r="AA280" t="s">
        <v>3108</v>
      </c>
      <c r="AB280" t="s">
        <v>521</v>
      </c>
      <c r="AC280" s="9">
        <f t="shared" si="32"/>
        <v>1</v>
      </c>
      <c r="AD280" s="9" t="str">
        <f t="shared" si="33"/>
        <v>Ok</v>
      </c>
      <c r="AE280" s="11">
        <f t="shared" si="29"/>
        <v>0</v>
      </c>
    </row>
    <row r="281" spans="1:31" x14ac:dyDescent="0.3">
      <c r="A281">
        <v>101</v>
      </c>
      <c r="B281">
        <v>4443074</v>
      </c>
      <c r="C281" t="s">
        <v>240</v>
      </c>
      <c r="D281">
        <v>1358046</v>
      </c>
      <c r="E281" t="s">
        <v>657</v>
      </c>
      <c r="F281" t="s">
        <v>20</v>
      </c>
      <c r="G281" t="s">
        <v>2541</v>
      </c>
      <c r="H281" t="s">
        <v>2542</v>
      </c>
      <c r="I281" s="9" t="s">
        <v>3455</v>
      </c>
      <c r="J281" s="9">
        <v>51161671738</v>
      </c>
      <c r="K281" s="14" t="s">
        <v>3168</v>
      </c>
      <c r="L281" s="13" t="s">
        <v>3674</v>
      </c>
      <c r="M281" s="14">
        <v>3000</v>
      </c>
      <c r="N281" s="14">
        <v>6.7100000000000007E-2</v>
      </c>
      <c r="O281" s="10">
        <f t="shared" si="30"/>
        <v>201.3</v>
      </c>
      <c r="P281" s="11">
        <v>26.17</v>
      </c>
      <c r="Q281" s="11">
        <v>38.25</v>
      </c>
      <c r="R281" s="10">
        <f>IF(COUNTIF($J$2:J281,J281)=1,SUMIFS($O:$O,$J:$J,J281)+SUMIFS($P:$P,$J:$J,J281)+SUMIFS($Q:$Q,$J:$J,J281),"")</f>
        <v>265.72000000000003</v>
      </c>
      <c r="S281" s="10">
        <v>265.72000000000003</v>
      </c>
      <c r="T281" s="11" t="str">
        <f t="shared" si="34"/>
        <v>Ok</v>
      </c>
      <c r="U281" s="12">
        <v>45820</v>
      </c>
      <c r="V281" s="10">
        <v>265.72000000000003</v>
      </c>
      <c r="W281" s="10" t="str">
        <f t="shared" si="31"/>
        <v>Not Paid</v>
      </c>
      <c r="X281" t="s">
        <v>478</v>
      </c>
      <c r="Y281" t="s">
        <v>28</v>
      </c>
      <c r="Z281">
        <v>100272</v>
      </c>
      <c r="AA281" t="s">
        <v>3084</v>
      </c>
      <c r="AB281" t="s">
        <v>521</v>
      </c>
      <c r="AC281" s="9">
        <f t="shared" si="32"/>
        <v>1</v>
      </c>
      <c r="AD281" s="9" t="str">
        <f t="shared" si="33"/>
        <v>Ok</v>
      </c>
      <c r="AE281" s="11">
        <f t="shared" si="29"/>
        <v>0</v>
      </c>
    </row>
    <row r="282" spans="1:31" x14ac:dyDescent="0.3">
      <c r="A282">
        <v>101</v>
      </c>
      <c r="B282">
        <v>4443094</v>
      </c>
      <c r="C282" t="s">
        <v>160</v>
      </c>
      <c r="D282">
        <v>1418961</v>
      </c>
      <c r="E282" t="s">
        <v>670</v>
      </c>
      <c r="F282" t="s">
        <v>18</v>
      </c>
      <c r="G282" t="s">
        <v>2543</v>
      </c>
      <c r="H282" t="s">
        <v>2544</v>
      </c>
      <c r="I282" s="9" t="s">
        <v>3451</v>
      </c>
      <c r="J282" s="9">
        <v>51161657147</v>
      </c>
      <c r="K282" s="14" t="s">
        <v>3177</v>
      </c>
      <c r="L282" s="13" t="s">
        <v>3673</v>
      </c>
      <c r="M282" s="14">
        <v>40000</v>
      </c>
      <c r="N282" s="14">
        <v>0.12</v>
      </c>
      <c r="O282" s="10">
        <f t="shared" si="30"/>
        <v>4800</v>
      </c>
      <c r="P282" s="11">
        <v>0</v>
      </c>
      <c r="Q282" s="11">
        <v>868.8</v>
      </c>
      <c r="R282" s="10">
        <f>IF(COUNTIF($J$2:J282,J282)=1,SUMIFS($O:$O,$J:$J,J282)+SUMIFS($P:$P,$J:$J,J282)+SUMIFS($Q:$Q,$J:$J,J282),"")</f>
        <v>5668.8</v>
      </c>
      <c r="S282" s="10">
        <v>5668.8</v>
      </c>
      <c r="T282" s="11" t="str">
        <f t="shared" si="34"/>
        <v>Ok</v>
      </c>
      <c r="U282" s="12">
        <v>46044</v>
      </c>
      <c r="V282" s="10">
        <v>159.97999999999999</v>
      </c>
      <c r="W282" s="10" t="str">
        <f t="shared" si="31"/>
        <v>Short Paid</v>
      </c>
      <c r="X282" t="s">
        <v>453</v>
      </c>
      <c r="Y282" t="s">
        <v>28</v>
      </c>
      <c r="Z282">
        <v>100284</v>
      </c>
      <c r="AA282" t="s">
        <v>3062</v>
      </c>
      <c r="AB282" t="s">
        <v>523</v>
      </c>
      <c r="AC282" s="9">
        <f t="shared" si="32"/>
        <v>1</v>
      </c>
      <c r="AD282" s="9" t="str">
        <f t="shared" si="33"/>
        <v>Ok</v>
      </c>
      <c r="AE282" s="11">
        <f t="shared" si="29"/>
        <v>0</v>
      </c>
    </row>
    <row r="283" spans="1:31" x14ac:dyDescent="0.3">
      <c r="A283">
        <v>101</v>
      </c>
      <c r="B283">
        <v>4443104</v>
      </c>
      <c r="C283" t="s">
        <v>239</v>
      </c>
      <c r="D283">
        <v>1059882</v>
      </c>
      <c r="E283" t="s">
        <v>633</v>
      </c>
      <c r="F283" t="s">
        <v>19</v>
      </c>
      <c r="G283" t="s">
        <v>2545</v>
      </c>
      <c r="H283" t="s">
        <v>2546</v>
      </c>
      <c r="I283" s="9" t="s">
        <v>3581</v>
      </c>
      <c r="J283" s="9">
        <v>51161657106</v>
      </c>
      <c r="K283" s="14" t="s">
        <v>3174</v>
      </c>
      <c r="L283" s="13" t="s">
        <v>3671</v>
      </c>
      <c r="M283" s="14">
        <v>1600</v>
      </c>
      <c r="N283" s="14">
        <v>0.158</v>
      </c>
      <c r="O283" s="10">
        <f t="shared" si="30"/>
        <v>252.8</v>
      </c>
      <c r="P283" s="11">
        <v>0</v>
      </c>
      <c r="Q283" s="11">
        <v>0</v>
      </c>
      <c r="R283" s="10">
        <f>IF(COUNTIF($J$2:J283,J283)=1,SUMIFS($O:$O,$J:$J,J283)+SUMIFS($P:$P,$J:$J,J283)+SUMIFS($Q:$Q,$J:$J,J283),"")</f>
        <v>252.8</v>
      </c>
      <c r="S283" s="10">
        <v>252.8</v>
      </c>
      <c r="T283" s="11" t="str">
        <f t="shared" si="34"/>
        <v>Ok</v>
      </c>
      <c r="U283" s="12">
        <v>46052</v>
      </c>
      <c r="V283" s="10">
        <v>252.8</v>
      </c>
      <c r="W283" s="10" t="str">
        <f t="shared" si="31"/>
        <v>Not Paid</v>
      </c>
      <c r="X283" t="s">
        <v>476</v>
      </c>
      <c r="Y283" t="s">
        <v>28</v>
      </c>
      <c r="Z283">
        <v>100115</v>
      </c>
      <c r="AA283" t="s">
        <v>504</v>
      </c>
      <c r="AB283" t="s">
        <v>524</v>
      </c>
      <c r="AC283" s="9">
        <f t="shared" si="32"/>
        <v>1</v>
      </c>
      <c r="AD283" s="9" t="str">
        <f t="shared" si="33"/>
        <v>Ok</v>
      </c>
      <c r="AE283" s="11">
        <f t="shared" si="29"/>
        <v>0</v>
      </c>
    </row>
    <row r="284" spans="1:31" x14ac:dyDescent="0.3">
      <c r="A284">
        <v>101</v>
      </c>
      <c r="B284">
        <v>4441374</v>
      </c>
      <c r="C284" t="s">
        <v>217</v>
      </c>
      <c r="D284">
        <v>1423649</v>
      </c>
      <c r="E284" t="s">
        <v>671</v>
      </c>
      <c r="F284" t="s">
        <v>18</v>
      </c>
      <c r="G284" t="s">
        <v>2547</v>
      </c>
      <c r="H284" t="s">
        <v>2548</v>
      </c>
      <c r="I284" s="9" t="s">
        <v>3359</v>
      </c>
      <c r="J284" s="9">
        <v>51161558815</v>
      </c>
      <c r="K284" s="14" t="s">
        <v>3262</v>
      </c>
      <c r="L284" s="13" t="s">
        <v>3665</v>
      </c>
      <c r="M284" s="14">
        <v>52500</v>
      </c>
      <c r="N284" s="14">
        <v>2.4300000000000002</v>
      </c>
      <c r="O284" s="10">
        <f t="shared" si="30"/>
        <v>127575.00000000001</v>
      </c>
      <c r="P284" s="11">
        <v>0</v>
      </c>
      <c r="Q284" s="11">
        <v>0</v>
      </c>
      <c r="R284" s="10">
        <f>IF(COUNTIF($J$2:J284,J284)=1,SUMIFS($O:$O,$J:$J,J284)+SUMIFS($P:$P,$J:$J,J284)+SUMIFS($Q:$Q,$J:$J,J284),"")</f>
        <v>127575.00000000001</v>
      </c>
      <c r="S284" s="10">
        <v>127575</v>
      </c>
      <c r="T284" s="11" t="str">
        <f t="shared" si="34"/>
        <v>Ok</v>
      </c>
      <c r="U284" s="12">
        <v>46045</v>
      </c>
      <c r="V284" s="10">
        <v>8400</v>
      </c>
      <c r="W284" s="10" t="str">
        <f t="shared" si="31"/>
        <v>Short Paid</v>
      </c>
      <c r="X284" t="s">
        <v>476</v>
      </c>
      <c r="Y284" t="s">
        <v>28</v>
      </c>
      <c r="Z284">
        <v>100125</v>
      </c>
      <c r="AA284" t="s">
        <v>477</v>
      </c>
      <c r="AB284" t="s">
        <v>523</v>
      </c>
      <c r="AC284" s="9">
        <f t="shared" si="32"/>
        <v>1</v>
      </c>
      <c r="AD284" s="9" t="str">
        <f t="shared" si="33"/>
        <v>Ok</v>
      </c>
      <c r="AE284" s="11">
        <f t="shared" si="29"/>
        <v>0</v>
      </c>
    </row>
    <row r="285" spans="1:31" x14ac:dyDescent="0.3">
      <c r="A285">
        <v>101</v>
      </c>
      <c r="B285">
        <v>4443214</v>
      </c>
      <c r="C285" t="s">
        <v>217</v>
      </c>
      <c r="D285">
        <v>1423649</v>
      </c>
      <c r="E285" t="s">
        <v>671</v>
      </c>
      <c r="F285" t="s">
        <v>18</v>
      </c>
      <c r="G285" t="s">
        <v>2549</v>
      </c>
      <c r="H285" t="s">
        <v>2550</v>
      </c>
      <c r="I285" s="9" t="s">
        <v>3250</v>
      </c>
      <c r="J285" s="9">
        <v>51162214843</v>
      </c>
      <c r="K285" s="14" t="s">
        <v>3262</v>
      </c>
      <c r="L285" s="13" t="s">
        <v>3695</v>
      </c>
      <c r="M285" s="14">
        <v>75000</v>
      </c>
      <c r="N285" s="14">
        <v>0.17</v>
      </c>
      <c r="O285" s="10">
        <f t="shared" si="30"/>
        <v>12750.000000000002</v>
      </c>
      <c r="P285" s="11">
        <v>0</v>
      </c>
      <c r="Q285" s="11">
        <v>0</v>
      </c>
      <c r="R285" s="10">
        <f>IF(COUNTIF($J$2:J285,J285)=1,SUMIFS($O:$O,$J:$J,J285)+SUMIFS($P:$P,$J:$J,J285)+SUMIFS($Q:$Q,$J:$J,J285),"")</f>
        <v>12750.000000000002</v>
      </c>
      <c r="S285" s="10">
        <v>12750</v>
      </c>
      <c r="T285" s="11" t="str">
        <f t="shared" si="34"/>
        <v>Ok</v>
      </c>
      <c r="U285" s="12">
        <v>46045</v>
      </c>
      <c r="V285" s="10">
        <v>375</v>
      </c>
      <c r="W285" s="10" t="str">
        <f t="shared" si="31"/>
        <v>Short Paid</v>
      </c>
      <c r="X285" t="s">
        <v>476</v>
      </c>
      <c r="Y285" t="s">
        <v>28</v>
      </c>
      <c r="Z285">
        <v>100165</v>
      </c>
      <c r="AA285" t="s">
        <v>3100</v>
      </c>
      <c r="AB285" t="s">
        <v>523</v>
      </c>
      <c r="AC285" s="9">
        <f t="shared" si="32"/>
        <v>1</v>
      </c>
      <c r="AD285" s="9" t="str">
        <f t="shared" si="33"/>
        <v>Ok</v>
      </c>
      <c r="AE285" s="11">
        <f t="shared" si="29"/>
        <v>0</v>
      </c>
    </row>
    <row r="286" spans="1:31" x14ac:dyDescent="0.3">
      <c r="A286">
        <v>101</v>
      </c>
      <c r="B286">
        <v>4443734</v>
      </c>
      <c r="C286" t="s">
        <v>220</v>
      </c>
      <c r="D286">
        <v>1132830</v>
      </c>
      <c r="E286" t="s">
        <v>229</v>
      </c>
      <c r="F286" t="s">
        <v>19</v>
      </c>
      <c r="G286" t="s">
        <v>2551</v>
      </c>
      <c r="H286" t="s">
        <v>2552</v>
      </c>
      <c r="I286" s="9" t="s">
        <v>3349</v>
      </c>
      <c r="J286" s="9">
        <v>51163231032</v>
      </c>
      <c r="K286" s="14" t="s">
        <v>3180</v>
      </c>
      <c r="L286" s="13" t="s">
        <v>3734</v>
      </c>
      <c r="M286" s="14">
        <v>45000</v>
      </c>
      <c r="N286" s="14">
        <v>0.24</v>
      </c>
      <c r="O286" s="10">
        <f t="shared" si="30"/>
        <v>10800</v>
      </c>
      <c r="P286" s="11">
        <v>0</v>
      </c>
      <c r="Q286" s="11">
        <v>0</v>
      </c>
      <c r="R286" s="10">
        <f>IF(COUNTIF($J$2:J286,J286)=1,SUMIFS($O:$O,$J:$J,J286)+SUMIFS($P:$P,$J:$J,J286)+SUMIFS($Q:$Q,$J:$J,J286),"")</f>
        <v>10800</v>
      </c>
      <c r="S286" s="10">
        <v>10800</v>
      </c>
      <c r="T286" s="11" t="str">
        <f t="shared" si="34"/>
        <v>Ok</v>
      </c>
      <c r="U286" s="12">
        <v>45841</v>
      </c>
      <c r="V286" s="10">
        <v>10800</v>
      </c>
      <c r="W286" s="10" t="str">
        <f t="shared" si="31"/>
        <v>Not Paid</v>
      </c>
      <c r="X286" t="s">
        <v>470</v>
      </c>
      <c r="Y286" t="s">
        <v>28</v>
      </c>
      <c r="Z286">
        <v>100198</v>
      </c>
      <c r="AA286" t="s">
        <v>473</v>
      </c>
      <c r="AB286" t="s">
        <v>524</v>
      </c>
      <c r="AC286" s="9">
        <f t="shared" si="32"/>
        <v>1</v>
      </c>
      <c r="AD286" s="9" t="str">
        <f t="shared" si="33"/>
        <v>Ok</v>
      </c>
      <c r="AE286" s="11">
        <f t="shared" si="29"/>
        <v>0</v>
      </c>
    </row>
    <row r="287" spans="1:31" x14ac:dyDescent="0.3">
      <c r="A287">
        <v>101</v>
      </c>
      <c r="B287">
        <v>4443144</v>
      </c>
      <c r="C287" t="s">
        <v>220</v>
      </c>
      <c r="D287">
        <v>1132830</v>
      </c>
      <c r="E287" t="s">
        <v>229</v>
      </c>
      <c r="F287" t="s">
        <v>18</v>
      </c>
      <c r="G287" t="s">
        <v>2553</v>
      </c>
      <c r="H287" t="s">
        <v>2554</v>
      </c>
      <c r="I287" s="9" t="s">
        <v>3513</v>
      </c>
      <c r="J287" s="9">
        <v>51161799459</v>
      </c>
      <c r="K287" s="14" t="s">
        <v>3289</v>
      </c>
      <c r="L287" s="13" t="s">
        <v>3680</v>
      </c>
      <c r="M287" s="14">
        <v>2500</v>
      </c>
      <c r="N287" s="14">
        <v>1.67076</v>
      </c>
      <c r="O287" s="10">
        <f t="shared" si="30"/>
        <v>4176.8999999999996</v>
      </c>
      <c r="P287" s="11">
        <v>0</v>
      </c>
      <c r="Q287" s="11">
        <v>0</v>
      </c>
      <c r="R287" s="10">
        <f>IF(COUNTIF($J$2:J287,J287)=1,SUMIFS($O:$O,$J:$J,J287)+SUMIFS($P:$P,$J:$J,J287)+SUMIFS($Q:$Q,$J:$J,J287),"")</f>
        <v>4176.8999999999996</v>
      </c>
      <c r="S287" s="10">
        <v>4176.8999999999996</v>
      </c>
      <c r="T287" s="11" t="str">
        <f t="shared" si="34"/>
        <v>Ok</v>
      </c>
      <c r="U287" s="12">
        <v>45980</v>
      </c>
      <c r="V287" s="10">
        <v>4176.8999999999996</v>
      </c>
      <c r="W287" s="10" t="str">
        <f t="shared" si="31"/>
        <v>Not Paid</v>
      </c>
      <c r="X287" t="s">
        <v>470</v>
      </c>
      <c r="Y287" t="s">
        <v>28</v>
      </c>
      <c r="Z287">
        <v>100248</v>
      </c>
      <c r="AA287" t="s">
        <v>3117</v>
      </c>
      <c r="AB287" t="s">
        <v>523</v>
      </c>
      <c r="AC287" s="9">
        <f t="shared" si="32"/>
        <v>1</v>
      </c>
      <c r="AD287" s="9" t="str">
        <f t="shared" si="33"/>
        <v>Ok</v>
      </c>
      <c r="AE287" s="11">
        <f t="shared" si="29"/>
        <v>0</v>
      </c>
    </row>
    <row r="288" spans="1:31" x14ac:dyDescent="0.3">
      <c r="A288">
        <v>101</v>
      </c>
      <c r="B288">
        <v>4442954</v>
      </c>
      <c r="C288" t="s">
        <v>220</v>
      </c>
      <c r="D288">
        <v>1132830</v>
      </c>
      <c r="E288" t="s">
        <v>229</v>
      </c>
      <c r="F288" t="s">
        <v>18</v>
      </c>
      <c r="G288" t="s">
        <v>2555</v>
      </c>
      <c r="H288" t="s">
        <v>2556</v>
      </c>
      <c r="I288" s="9" t="s">
        <v>3439</v>
      </c>
      <c r="J288" s="9">
        <v>51162217630</v>
      </c>
      <c r="K288" s="14" t="s">
        <v>3289</v>
      </c>
      <c r="L288" s="13" t="s">
        <v>3696</v>
      </c>
      <c r="M288" s="14">
        <v>3000</v>
      </c>
      <c r="N288" s="14">
        <v>11.66197</v>
      </c>
      <c r="O288" s="10">
        <f t="shared" si="30"/>
        <v>34985.910000000003</v>
      </c>
      <c r="P288" s="11">
        <v>0</v>
      </c>
      <c r="Q288" s="11">
        <v>0</v>
      </c>
      <c r="R288" s="10">
        <f>IF(COUNTIF($J$2:J288,J288)=1,SUMIFS($O:$O,$J:$J,J288)+SUMIFS($P:$P,$J:$J,J288)+SUMIFS($Q:$Q,$J:$J,J288),"")</f>
        <v>34985.910000000003</v>
      </c>
      <c r="S288" s="10">
        <v>34985.910000000003</v>
      </c>
      <c r="T288" s="11" t="str">
        <f t="shared" si="34"/>
        <v>Ok</v>
      </c>
      <c r="U288" s="12">
        <v>46001</v>
      </c>
      <c r="V288" s="10">
        <v>34985.910000000003</v>
      </c>
      <c r="W288" s="10" t="str">
        <f t="shared" si="31"/>
        <v>Not Paid</v>
      </c>
      <c r="X288" t="s">
        <v>470</v>
      </c>
      <c r="Y288" t="s">
        <v>28</v>
      </c>
      <c r="Z288">
        <v>100238</v>
      </c>
      <c r="AA288" t="s">
        <v>3078</v>
      </c>
      <c r="AB288" t="s">
        <v>523</v>
      </c>
      <c r="AC288" s="9">
        <f t="shared" si="32"/>
        <v>1</v>
      </c>
      <c r="AD288" s="9" t="str">
        <f t="shared" si="33"/>
        <v>Ok</v>
      </c>
      <c r="AE288" s="11">
        <f t="shared" si="29"/>
        <v>0</v>
      </c>
    </row>
    <row r="289" spans="1:31" x14ac:dyDescent="0.3">
      <c r="A289">
        <v>99</v>
      </c>
      <c r="B289">
        <v>4443124</v>
      </c>
      <c r="C289" t="s">
        <v>160</v>
      </c>
      <c r="D289">
        <v>1435625</v>
      </c>
      <c r="E289" t="s">
        <v>672</v>
      </c>
      <c r="F289" t="s">
        <v>49</v>
      </c>
      <c r="G289" t="s">
        <v>2557</v>
      </c>
      <c r="H289" t="s">
        <v>2558</v>
      </c>
      <c r="I289" s="9" t="s">
        <v>3542</v>
      </c>
      <c r="J289" s="9">
        <v>51161740319</v>
      </c>
      <c r="K289" s="14" t="s">
        <v>3338</v>
      </c>
      <c r="L289" s="13" t="s">
        <v>3678</v>
      </c>
      <c r="M289" s="14">
        <v>160</v>
      </c>
      <c r="N289" s="14">
        <v>19.059999999999999</v>
      </c>
      <c r="O289" s="10">
        <f t="shared" si="30"/>
        <v>3049.6</v>
      </c>
      <c r="P289" s="11">
        <v>183.47</v>
      </c>
      <c r="Q289" s="11">
        <v>0</v>
      </c>
      <c r="R289" s="10">
        <f>IF(COUNTIF($J$2:J289,J289)=1,SUMIFS($O:$O,$J:$J,J289)+SUMIFS($P:$P,$J:$J,J289)+SUMIFS($Q:$Q,$J:$J,J289),"")</f>
        <v>3233.0699999999997</v>
      </c>
      <c r="S289" s="10">
        <v>3241.34</v>
      </c>
      <c r="T289" s="11" t="str">
        <f t="shared" si="34"/>
        <v>Check</v>
      </c>
      <c r="U289" s="12">
        <v>46034</v>
      </c>
      <c r="V289" s="10">
        <v>183.47</v>
      </c>
      <c r="W289" s="10" t="str">
        <f t="shared" si="31"/>
        <v>Short Paid</v>
      </c>
      <c r="X289" t="s">
        <v>468</v>
      </c>
      <c r="Y289" t="s">
        <v>29</v>
      </c>
      <c r="Z289">
        <v>100296</v>
      </c>
      <c r="AA289" t="s">
        <v>3128</v>
      </c>
      <c r="AB289" t="s">
        <v>3041</v>
      </c>
      <c r="AC289" s="9">
        <f t="shared" si="32"/>
        <v>1</v>
      </c>
      <c r="AD289" s="9" t="str">
        <f t="shared" si="33"/>
        <v>Check</v>
      </c>
      <c r="AE289" s="11">
        <f t="shared" ref="AE289:AE320" si="35">R289-S289</f>
        <v>-8.2700000000004366</v>
      </c>
    </row>
    <row r="290" spans="1:31" x14ac:dyDescent="0.3">
      <c r="A290">
        <v>99</v>
      </c>
      <c r="B290">
        <v>4443044</v>
      </c>
      <c r="C290" t="s">
        <v>160</v>
      </c>
      <c r="D290">
        <v>1963277</v>
      </c>
      <c r="E290" t="s">
        <v>250</v>
      </c>
      <c r="F290" t="s">
        <v>18</v>
      </c>
      <c r="G290" t="s">
        <v>2559</v>
      </c>
      <c r="H290" t="s">
        <v>2560</v>
      </c>
      <c r="I290" s="9" t="s">
        <v>3395</v>
      </c>
      <c r="J290" s="9">
        <v>51161721838</v>
      </c>
      <c r="K290" s="14" t="s">
        <v>3171</v>
      </c>
      <c r="L290" s="13" t="s">
        <v>3676</v>
      </c>
      <c r="M290" s="14">
        <v>1000</v>
      </c>
      <c r="N290" s="14">
        <v>74.790000000000006</v>
      </c>
      <c r="O290" s="10">
        <f t="shared" si="30"/>
        <v>74790</v>
      </c>
      <c r="P290" s="11">
        <v>0</v>
      </c>
      <c r="Q290" s="11">
        <v>0</v>
      </c>
      <c r="R290" s="10">
        <f>IF(COUNTIF($J$2:J290,J290)=1,SUMIFS($O:$O,$J:$J,J290)+SUMIFS($P:$P,$J:$J,J290)+SUMIFS($Q:$Q,$J:$J,J290),"")</f>
        <v>74790</v>
      </c>
      <c r="S290" s="10">
        <v>74790</v>
      </c>
      <c r="T290" s="11" t="str">
        <f t="shared" si="34"/>
        <v>Ok</v>
      </c>
      <c r="U290" s="12">
        <v>45980</v>
      </c>
      <c r="V290" s="10">
        <v>2751.6</v>
      </c>
      <c r="W290" s="10" t="str">
        <f t="shared" si="31"/>
        <v>Short Paid</v>
      </c>
      <c r="X290" t="s">
        <v>474</v>
      </c>
      <c r="Y290" t="s">
        <v>28</v>
      </c>
      <c r="Z290">
        <v>100279</v>
      </c>
      <c r="AA290" t="s">
        <v>485</v>
      </c>
      <c r="AB290" t="s">
        <v>523</v>
      </c>
      <c r="AC290" s="9">
        <f t="shared" si="32"/>
        <v>1</v>
      </c>
      <c r="AD290" s="9" t="str">
        <f t="shared" si="33"/>
        <v>Ok</v>
      </c>
      <c r="AE290" s="11">
        <f t="shared" si="35"/>
        <v>0</v>
      </c>
    </row>
    <row r="291" spans="1:31" x14ac:dyDescent="0.3">
      <c r="A291">
        <v>99</v>
      </c>
      <c r="B291">
        <v>4442994</v>
      </c>
      <c r="C291" t="s">
        <v>217</v>
      </c>
      <c r="D291">
        <v>1157310</v>
      </c>
      <c r="E291" t="s">
        <v>673</v>
      </c>
      <c r="F291" t="s">
        <v>20</v>
      </c>
      <c r="G291" t="s">
        <v>2561</v>
      </c>
      <c r="H291" t="s">
        <v>2562</v>
      </c>
      <c r="I291" s="9" t="s">
        <v>3462</v>
      </c>
      <c r="J291" s="9">
        <v>51162307460</v>
      </c>
      <c r="K291" s="14" t="s">
        <v>3190</v>
      </c>
      <c r="L291" s="13" t="s">
        <v>3702</v>
      </c>
      <c r="M291" s="14">
        <v>1000</v>
      </c>
      <c r="N291" s="14">
        <v>1.25</v>
      </c>
      <c r="O291" s="10">
        <f t="shared" si="30"/>
        <v>1250</v>
      </c>
      <c r="P291" s="11">
        <v>0</v>
      </c>
      <c r="Q291" s="11">
        <v>0</v>
      </c>
      <c r="R291" s="10">
        <f>IF(COUNTIF($J$2:J291,J291)=1,SUMIFS($O:$O,$J:$J,J291)+SUMIFS($P:$P,$J:$J,J291)+SUMIFS($Q:$Q,$J:$J,J291),"")</f>
        <v>1250</v>
      </c>
      <c r="S291" s="10">
        <v>1250</v>
      </c>
      <c r="T291" s="11" t="str">
        <f t="shared" si="34"/>
        <v>Ok</v>
      </c>
      <c r="U291" s="12">
        <v>46000</v>
      </c>
      <c r="V291" s="10">
        <v>1250</v>
      </c>
      <c r="W291" s="10" t="str">
        <f t="shared" si="31"/>
        <v>Not Paid</v>
      </c>
      <c r="X291" t="s">
        <v>468</v>
      </c>
      <c r="Y291" t="s">
        <v>28</v>
      </c>
      <c r="Z291">
        <v>100236</v>
      </c>
      <c r="AA291" t="s">
        <v>3059</v>
      </c>
      <c r="AB291" t="s">
        <v>521</v>
      </c>
      <c r="AC291" s="9">
        <f t="shared" si="32"/>
        <v>1</v>
      </c>
      <c r="AD291" s="9" t="str">
        <f t="shared" si="33"/>
        <v>Ok</v>
      </c>
      <c r="AE291" s="11">
        <f t="shared" si="35"/>
        <v>0</v>
      </c>
    </row>
    <row r="292" spans="1:31" x14ac:dyDescent="0.3">
      <c r="A292">
        <v>98</v>
      </c>
      <c r="B292">
        <v>4441344</v>
      </c>
      <c r="C292" t="s">
        <v>160</v>
      </c>
      <c r="D292">
        <v>1830445</v>
      </c>
      <c r="E292" t="s">
        <v>95</v>
      </c>
      <c r="F292" t="s">
        <v>49</v>
      </c>
      <c r="G292" t="s">
        <v>2563</v>
      </c>
      <c r="H292" t="s">
        <v>2564</v>
      </c>
      <c r="I292" s="9" t="s">
        <v>3395</v>
      </c>
      <c r="J292" s="9">
        <v>51160526425</v>
      </c>
      <c r="K292" s="14" t="s">
        <v>3226</v>
      </c>
      <c r="L292" s="13" t="s">
        <v>3626</v>
      </c>
      <c r="M292" s="14">
        <v>2</v>
      </c>
      <c r="N292" s="14">
        <v>15312</v>
      </c>
      <c r="O292" s="10">
        <f t="shared" si="30"/>
        <v>30624</v>
      </c>
      <c r="P292" s="11">
        <v>2679.6</v>
      </c>
      <c r="Q292" s="11">
        <v>0</v>
      </c>
      <c r="R292" s="10">
        <f>IF(COUNTIF($J$2:J292,J292)=1,SUMIFS($O:$O,$J:$J,J292)+SUMIFS($P:$P,$J:$J,J292)+SUMIFS($Q:$Q,$J:$J,J292),"")</f>
        <v>33303.599999999999</v>
      </c>
      <c r="S292" s="10">
        <v>33303.599999999999</v>
      </c>
      <c r="T292" s="11" t="str">
        <f t="shared" si="34"/>
        <v>Ok</v>
      </c>
      <c r="U292" s="12">
        <v>45981</v>
      </c>
      <c r="V292" s="10">
        <v>2679.6</v>
      </c>
      <c r="W292" s="10" t="str">
        <f t="shared" si="31"/>
        <v>Short Paid</v>
      </c>
      <c r="X292" t="s">
        <v>450</v>
      </c>
      <c r="Y292" t="s">
        <v>29</v>
      </c>
      <c r="Z292">
        <v>100297</v>
      </c>
      <c r="AA292" t="s">
        <v>3119</v>
      </c>
      <c r="AB292" t="s">
        <v>3041</v>
      </c>
      <c r="AC292" s="9">
        <f t="shared" si="32"/>
        <v>1</v>
      </c>
      <c r="AD292" s="9" t="str">
        <f t="shared" si="33"/>
        <v>Ok</v>
      </c>
      <c r="AE292" s="11">
        <f t="shared" si="35"/>
        <v>0</v>
      </c>
    </row>
    <row r="293" spans="1:31" x14ac:dyDescent="0.3">
      <c r="A293">
        <v>98</v>
      </c>
      <c r="B293">
        <v>4441444</v>
      </c>
      <c r="C293" t="s">
        <v>160</v>
      </c>
      <c r="D293">
        <v>1451086</v>
      </c>
      <c r="E293" t="s">
        <v>561</v>
      </c>
      <c r="F293" t="s">
        <v>18</v>
      </c>
      <c r="G293" t="s">
        <v>2565</v>
      </c>
      <c r="H293" t="s">
        <v>2566</v>
      </c>
      <c r="I293" s="9" t="s">
        <v>3528</v>
      </c>
      <c r="J293" s="9">
        <v>51162435824</v>
      </c>
      <c r="K293" s="14" t="s">
        <v>3351</v>
      </c>
      <c r="L293" s="13" t="s">
        <v>3708</v>
      </c>
      <c r="M293" s="14">
        <v>2500</v>
      </c>
      <c r="N293" s="14">
        <v>0.53300000000000003</v>
      </c>
      <c r="O293" s="10">
        <f t="shared" si="30"/>
        <v>1332.5</v>
      </c>
      <c r="P293" s="11">
        <v>0</v>
      </c>
      <c r="Q293" s="11">
        <v>0</v>
      </c>
      <c r="R293" s="10">
        <f>IF(COUNTIF($J$2:J293,J293)=1,SUMIFS($O:$O,$J:$J,J293)+SUMIFS($P:$P,$J:$J,J293)+SUMIFS($Q:$Q,$J:$J,J293),"")</f>
        <v>1332.5</v>
      </c>
      <c r="S293" s="10">
        <v>1332.5</v>
      </c>
      <c r="T293" s="11" t="str">
        <f t="shared" si="34"/>
        <v>Ok</v>
      </c>
      <c r="U293" s="12">
        <v>45950</v>
      </c>
      <c r="V293" s="10">
        <v>246</v>
      </c>
      <c r="W293" s="10" t="str">
        <f t="shared" si="31"/>
        <v>Short Paid</v>
      </c>
      <c r="X293" t="s">
        <v>470</v>
      </c>
      <c r="Y293" t="s">
        <v>28</v>
      </c>
      <c r="Z293">
        <v>100158</v>
      </c>
      <c r="AA293" t="s">
        <v>510</v>
      </c>
      <c r="AB293" t="s">
        <v>523</v>
      </c>
      <c r="AC293" s="9">
        <f t="shared" si="32"/>
        <v>1</v>
      </c>
      <c r="AD293" s="9" t="str">
        <f t="shared" si="33"/>
        <v>Ok</v>
      </c>
      <c r="AE293" s="11">
        <f t="shared" si="35"/>
        <v>0</v>
      </c>
    </row>
    <row r="294" spans="1:31" x14ac:dyDescent="0.3">
      <c r="A294">
        <v>98</v>
      </c>
      <c r="B294">
        <v>4444503</v>
      </c>
      <c r="C294" t="s">
        <v>160</v>
      </c>
      <c r="D294">
        <v>1451086</v>
      </c>
      <c r="E294" t="s">
        <v>561</v>
      </c>
      <c r="F294" t="s">
        <v>18</v>
      </c>
      <c r="G294" t="s">
        <v>2567</v>
      </c>
      <c r="H294" t="s">
        <v>2568</v>
      </c>
      <c r="I294" s="9" t="s">
        <v>3188</v>
      </c>
      <c r="J294" s="9">
        <v>54108024212</v>
      </c>
      <c r="K294" s="14" t="s">
        <v>3209</v>
      </c>
      <c r="L294" s="13" t="s">
        <v>3790</v>
      </c>
      <c r="M294" s="14">
        <v>624</v>
      </c>
      <c r="N294" s="14">
        <v>5.4669999999999996</v>
      </c>
      <c r="O294" s="10">
        <f t="shared" si="30"/>
        <v>3411.4079999999999</v>
      </c>
      <c r="P294" s="11">
        <v>0</v>
      </c>
      <c r="Q294" s="11">
        <v>0</v>
      </c>
      <c r="R294" s="10">
        <f>IF(COUNTIF($J$2:J294,J294)=1,SUMIFS($O:$O,$J:$J,J294)+SUMIFS($P:$P,$J:$J,J294)+SUMIFS($Q:$Q,$J:$J,J294),"")</f>
        <v>3411.4079999999999</v>
      </c>
      <c r="S294" s="10">
        <v>3411.41</v>
      </c>
      <c r="T294" s="11" t="str">
        <f t="shared" si="34"/>
        <v>Check</v>
      </c>
      <c r="U294" s="12">
        <v>45953</v>
      </c>
      <c r="V294" s="10">
        <v>2886.63</v>
      </c>
      <c r="W294" s="10" t="str">
        <f t="shared" si="31"/>
        <v>Short Paid</v>
      </c>
      <c r="X294" t="s">
        <v>470</v>
      </c>
      <c r="Y294" t="s">
        <v>28</v>
      </c>
      <c r="Z294">
        <v>100198</v>
      </c>
      <c r="AA294" t="s">
        <v>473</v>
      </c>
      <c r="AB294" t="s">
        <v>523</v>
      </c>
      <c r="AC294" s="9">
        <f t="shared" si="32"/>
        <v>1</v>
      </c>
      <c r="AD294" s="9" t="str">
        <f t="shared" si="33"/>
        <v>Check</v>
      </c>
      <c r="AE294" s="11">
        <f t="shared" si="35"/>
        <v>-1.9999999999527063E-3</v>
      </c>
    </row>
    <row r="295" spans="1:31" x14ac:dyDescent="0.3">
      <c r="A295">
        <v>98</v>
      </c>
      <c r="B295">
        <v>4444553</v>
      </c>
      <c r="C295" t="s">
        <v>160</v>
      </c>
      <c r="D295">
        <v>1451086</v>
      </c>
      <c r="E295" t="s">
        <v>561</v>
      </c>
      <c r="F295" t="s">
        <v>18</v>
      </c>
      <c r="G295" t="s">
        <v>2569</v>
      </c>
      <c r="H295" t="s">
        <v>2570</v>
      </c>
      <c r="I295" s="9" t="s">
        <v>3200</v>
      </c>
      <c r="J295" s="9">
        <v>51158848711</v>
      </c>
      <c r="K295" s="14" t="s">
        <v>3209</v>
      </c>
      <c r="L295" s="13" t="s">
        <v>3593</v>
      </c>
      <c r="M295" s="14">
        <v>300</v>
      </c>
      <c r="N295" s="14">
        <v>0.92</v>
      </c>
      <c r="O295" s="10">
        <f t="shared" si="30"/>
        <v>276</v>
      </c>
      <c r="P295" s="11">
        <v>0</v>
      </c>
      <c r="Q295" s="11">
        <v>39.47</v>
      </c>
      <c r="R295" s="10">
        <f>IF(COUNTIF($J$2:J295,J295)=1,SUMIFS($O:$O,$J:$J,J295)+SUMIFS($P:$P,$J:$J,J295)+SUMIFS($Q:$Q,$J:$J,J295),"")</f>
        <v>315.47000000000003</v>
      </c>
      <c r="S295" s="10">
        <v>315.47000000000003</v>
      </c>
      <c r="T295" s="11" t="str">
        <f t="shared" si="34"/>
        <v>Ok</v>
      </c>
      <c r="U295" s="12">
        <v>45950</v>
      </c>
      <c r="V295" s="10">
        <v>187.35</v>
      </c>
      <c r="W295" s="10" t="str">
        <f t="shared" si="31"/>
        <v>Short Paid</v>
      </c>
      <c r="X295" t="s">
        <v>470</v>
      </c>
      <c r="Y295" t="s">
        <v>28</v>
      </c>
      <c r="Z295">
        <v>100208</v>
      </c>
      <c r="AA295" t="s">
        <v>3098</v>
      </c>
      <c r="AB295" t="s">
        <v>523</v>
      </c>
      <c r="AC295" s="9">
        <f t="shared" si="32"/>
        <v>1</v>
      </c>
      <c r="AD295" s="9" t="str">
        <f t="shared" si="33"/>
        <v>Ok</v>
      </c>
      <c r="AE295" s="11">
        <f t="shared" si="35"/>
        <v>0</v>
      </c>
    </row>
    <row r="296" spans="1:31" x14ac:dyDescent="0.3">
      <c r="A296">
        <v>98</v>
      </c>
      <c r="B296">
        <v>4441493</v>
      </c>
      <c r="C296" t="s">
        <v>56</v>
      </c>
      <c r="D296">
        <v>1588891</v>
      </c>
      <c r="E296" t="s">
        <v>61</v>
      </c>
      <c r="F296" t="s">
        <v>19</v>
      </c>
      <c r="G296" t="s">
        <v>2571</v>
      </c>
      <c r="H296" t="s">
        <v>2572</v>
      </c>
      <c r="I296" s="9" t="s">
        <v>3316</v>
      </c>
      <c r="J296" s="9">
        <v>51163880510</v>
      </c>
      <c r="K296" s="14" t="s">
        <v>3180</v>
      </c>
      <c r="L296" s="13" t="s">
        <v>3179</v>
      </c>
      <c r="M296" s="14">
        <v>1000</v>
      </c>
      <c r="N296" s="14">
        <v>0.78369999999999995</v>
      </c>
      <c r="O296" s="10">
        <f t="shared" si="30"/>
        <v>783.69999999999993</v>
      </c>
      <c r="P296" s="11">
        <v>0</v>
      </c>
      <c r="Q296" s="11">
        <v>0</v>
      </c>
      <c r="R296" s="10">
        <f>IF(COUNTIF($J$2:J296,J296)=1,SUMIFS($O:$O,$J:$J,J296)+SUMIFS($P:$P,$J:$J,J296)+SUMIFS($Q:$Q,$J:$J,J296),"")</f>
        <v>783.69999999999993</v>
      </c>
      <c r="S296" s="10">
        <v>783.7</v>
      </c>
      <c r="T296" s="11" t="str">
        <f t="shared" si="34"/>
        <v>Ok</v>
      </c>
      <c r="U296" s="12">
        <v>44653</v>
      </c>
      <c r="V296" s="10">
        <v>783.7</v>
      </c>
      <c r="W296" s="10" t="str">
        <f t="shared" si="31"/>
        <v>Not Paid</v>
      </c>
      <c r="X296" t="s">
        <v>438</v>
      </c>
      <c r="Y296" t="s">
        <v>28</v>
      </c>
      <c r="Z296">
        <v>100233</v>
      </c>
      <c r="AA296" t="s">
        <v>448</v>
      </c>
      <c r="AB296" t="s">
        <v>524</v>
      </c>
      <c r="AC296" s="9">
        <f t="shared" si="32"/>
        <v>1</v>
      </c>
      <c r="AD296" s="9" t="str">
        <f t="shared" si="33"/>
        <v>Ok</v>
      </c>
      <c r="AE296" s="11">
        <f t="shared" si="35"/>
        <v>0</v>
      </c>
    </row>
    <row r="297" spans="1:31" x14ac:dyDescent="0.3">
      <c r="A297">
        <v>98</v>
      </c>
      <c r="B297">
        <v>4443473</v>
      </c>
      <c r="C297" t="s">
        <v>56</v>
      </c>
      <c r="D297">
        <v>1588891</v>
      </c>
      <c r="E297" t="s">
        <v>61</v>
      </c>
      <c r="F297" t="s">
        <v>18</v>
      </c>
      <c r="G297" t="s">
        <v>2573</v>
      </c>
      <c r="H297" t="s">
        <v>2574</v>
      </c>
      <c r="I297" s="9" t="s">
        <v>3414</v>
      </c>
      <c r="J297" s="9">
        <v>51164097648</v>
      </c>
      <c r="K297" s="14" t="s">
        <v>3351</v>
      </c>
      <c r="L297" s="13" t="s">
        <v>3384</v>
      </c>
      <c r="M297" s="14">
        <v>2500</v>
      </c>
      <c r="N297" s="14">
        <v>1.0817000000000001</v>
      </c>
      <c r="O297" s="10">
        <f t="shared" si="30"/>
        <v>2704.2500000000005</v>
      </c>
      <c r="P297" s="11">
        <v>0</v>
      </c>
      <c r="Q297" s="11">
        <v>0</v>
      </c>
      <c r="R297" s="10">
        <f>IF(COUNTIF($J$2:J297,J297)=1,SUMIFS($O:$O,$J:$J,J297)+SUMIFS($P:$P,$J:$J,J297)+SUMIFS($Q:$Q,$J:$J,J297),"")</f>
        <v>2704.2500000000005</v>
      </c>
      <c r="S297" s="10">
        <v>2704.25</v>
      </c>
      <c r="T297" s="11" t="str">
        <f t="shared" si="34"/>
        <v>Ok</v>
      </c>
      <c r="U297" s="12">
        <v>44956</v>
      </c>
      <c r="V297" s="10">
        <v>352.75</v>
      </c>
      <c r="W297" s="10" t="str">
        <f t="shared" si="31"/>
        <v>Short Paid</v>
      </c>
      <c r="X297" t="s">
        <v>438</v>
      </c>
      <c r="Y297" t="s">
        <v>28</v>
      </c>
      <c r="Z297">
        <v>100273</v>
      </c>
      <c r="AA297" t="s">
        <v>444</v>
      </c>
      <c r="AB297" t="s">
        <v>523</v>
      </c>
      <c r="AC297" s="9">
        <f t="shared" si="32"/>
        <v>1</v>
      </c>
      <c r="AD297" s="9" t="str">
        <f t="shared" si="33"/>
        <v>Ok</v>
      </c>
      <c r="AE297" s="11">
        <f t="shared" si="35"/>
        <v>0</v>
      </c>
    </row>
    <row r="298" spans="1:31" x14ac:dyDescent="0.3">
      <c r="A298">
        <v>98</v>
      </c>
      <c r="B298">
        <v>4443463</v>
      </c>
      <c r="C298" t="s">
        <v>56</v>
      </c>
      <c r="D298">
        <v>1588891</v>
      </c>
      <c r="E298" t="s">
        <v>61</v>
      </c>
      <c r="F298" t="s">
        <v>18</v>
      </c>
      <c r="G298" t="s">
        <v>2575</v>
      </c>
      <c r="H298" t="s">
        <v>2576</v>
      </c>
      <c r="I298" s="9" t="s">
        <v>3322</v>
      </c>
      <c r="J298" s="9">
        <v>51165255936</v>
      </c>
      <c r="K298" s="14" t="s">
        <v>3375</v>
      </c>
      <c r="L298" s="13" t="s">
        <v>3481</v>
      </c>
      <c r="M298" s="14">
        <v>20000</v>
      </c>
      <c r="N298" s="14">
        <v>0.1047</v>
      </c>
      <c r="O298" s="10">
        <f t="shared" si="30"/>
        <v>2094</v>
      </c>
      <c r="P298" s="11">
        <v>0</v>
      </c>
      <c r="Q298" s="11">
        <v>0</v>
      </c>
      <c r="R298" s="10">
        <f>IF(COUNTIF($J$2:J298,J298)=1,SUMIFS($O:$O,$J:$J,J298)+SUMIFS($P:$P,$J:$J,J298)+SUMIFS($Q:$Q,$J:$J,J298),"")</f>
        <v>2094</v>
      </c>
      <c r="S298" s="10">
        <v>2094</v>
      </c>
      <c r="T298" s="11" t="str">
        <f t="shared" si="34"/>
        <v>Ok</v>
      </c>
      <c r="U298" s="12">
        <v>45146</v>
      </c>
      <c r="V298" s="10">
        <v>2094</v>
      </c>
      <c r="W298" s="10" t="str">
        <f t="shared" si="31"/>
        <v>Not Paid</v>
      </c>
      <c r="X298" t="s">
        <v>438</v>
      </c>
      <c r="Y298" t="s">
        <v>28</v>
      </c>
      <c r="Z298">
        <v>100113</v>
      </c>
      <c r="AA298" t="s">
        <v>449</v>
      </c>
      <c r="AB298" t="s">
        <v>523</v>
      </c>
      <c r="AC298" s="9">
        <f t="shared" si="32"/>
        <v>1</v>
      </c>
      <c r="AD298" s="9" t="str">
        <f t="shared" si="33"/>
        <v>Ok</v>
      </c>
      <c r="AE298" s="11">
        <f t="shared" si="35"/>
        <v>0</v>
      </c>
    </row>
    <row r="299" spans="1:31" x14ac:dyDescent="0.3">
      <c r="A299">
        <v>98</v>
      </c>
      <c r="B299">
        <v>4444063</v>
      </c>
      <c r="C299" t="s">
        <v>56</v>
      </c>
      <c r="D299">
        <v>1588891</v>
      </c>
      <c r="E299" t="s">
        <v>61</v>
      </c>
      <c r="F299" t="s">
        <v>50</v>
      </c>
      <c r="G299" t="s">
        <v>2577</v>
      </c>
      <c r="H299" t="s">
        <v>2578</v>
      </c>
      <c r="I299" s="9" t="s">
        <v>3242</v>
      </c>
      <c r="J299" s="9">
        <v>50118119355</v>
      </c>
      <c r="K299" s="14" t="s">
        <v>3165</v>
      </c>
      <c r="L299" s="13" t="s">
        <v>3311</v>
      </c>
      <c r="M299" s="14">
        <v>1</v>
      </c>
      <c r="N299" s="14">
        <v>150</v>
      </c>
      <c r="O299" s="10">
        <f t="shared" si="30"/>
        <v>150</v>
      </c>
      <c r="P299" s="11">
        <v>0</v>
      </c>
      <c r="Q299" s="11">
        <v>0</v>
      </c>
      <c r="R299" s="10">
        <f>IF(COUNTIF($J$2:J299,J299)=1,SUMIFS($O:$O,$J:$J,J299)+SUMIFS($P:$P,$J:$J,J299)+SUMIFS($Q:$Q,$J:$J,J299),"")</f>
        <v>150</v>
      </c>
      <c r="S299" s="10">
        <v>150</v>
      </c>
      <c r="T299" s="11" t="str">
        <f t="shared" si="34"/>
        <v>Ok</v>
      </c>
      <c r="U299" s="12">
        <v>44687</v>
      </c>
      <c r="V299" s="10">
        <v>150</v>
      </c>
      <c r="W299" s="10" t="str">
        <f t="shared" si="31"/>
        <v>Not Paid</v>
      </c>
      <c r="X299" t="s">
        <v>438</v>
      </c>
      <c r="Y299" t="s">
        <v>436</v>
      </c>
      <c r="Z299">
        <v>100173</v>
      </c>
      <c r="AA299" t="s">
        <v>3088</v>
      </c>
      <c r="AB299" t="s">
        <v>3042</v>
      </c>
      <c r="AC299" s="9">
        <f t="shared" si="32"/>
        <v>1</v>
      </c>
      <c r="AD299" s="9" t="str">
        <f t="shared" si="33"/>
        <v>Ok</v>
      </c>
      <c r="AE299" s="11">
        <f t="shared" si="35"/>
        <v>0</v>
      </c>
    </row>
    <row r="300" spans="1:31" x14ac:dyDescent="0.3">
      <c r="A300">
        <v>98</v>
      </c>
      <c r="B300">
        <v>4444193</v>
      </c>
      <c r="C300" t="s">
        <v>56</v>
      </c>
      <c r="D300">
        <v>1588891</v>
      </c>
      <c r="E300" t="s">
        <v>61</v>
      </c>
      <c r="F300" t="s">
        <v>50</v>
      </c>
      <c r="G300" t="s">
        <v>2579</v>
      </c>
      <c r="H300" t="s">
        <v>2580</v>
      </c>
      <c r="I300" s="9" t="s">
        <v>3307</v>
      </c>
      <c r="J300" s="9">
        <v>51162262684</v>
      </c>
      <c r="K300" s="14" t="s">
        <v>3630</v>
      </c>
      <c r="L300" s="13" t="s">
        <v>3699</v>
      </c>
      <c r="M300" s="14">
        <v>1</v>
      </c>
      <c r="N300" s="14">
        <v>441</v>
      </c>
      <c r="O300" s="10">
        <f t="shared" si="30"/>
        <v>441</v>
      </c>
      <c r="P300" s="11">
        <v>0</v>
      </c>
      <c r="Q300" s="11">
        <v>0</v>
      </c>
      <c r="R300" s="10">
        <f>IF(COUNTIF($J$2:J300,J300)=1,SUMIFS($O:$O,$J:$J,J300)+SUMIFS($P:$P,$J:$J,J300)+SUMIFS($Q:$Q,$J:$J,J300),"")</f>
        <v>441</v>
      </c>
      <c r="S300" s="10">
        <v>441</v>
      </c>
      <c r="T300" s="11" t="str">
        <f t="shared" si="34"/>
        <v>Ok</v>
      </c>
      <c r="U300" s="12">
        <v>44959</v>
      </c>
      <c r="V300" s="10">
        <v>441</v>
      </c>
      <c r="W300" s="10" t="str">
        <f t="shared" si="31"/>
        <v>Not Paid</v>
      </c>
      <c r="X300" t="s">
        <v>438</v>
      </c>
      <c r="Y300" t="s">
        <v>436</v>
      </c>
      <c r="Z300">
        <v>100213</v>
      </c>
      <c r="AA300" t="s">
        <v>3085</v>
      </c>
      <c r="AB300" t="s">
        <v>3042</v>
      </c>
      <c r="AC300" s="9">
        <f t="shared" si="32"/>
        <v>1</v>
      </c>
      <c r="AD300" s="9" t="str">
        <f t="shared" si="33"/>
        <v>Ok</v>
      </c>
      <c r="AE300" s="11">
        <f t="shared" si="35"/>
        <v>0</v>
      </c>
    </row>
    <row r="301" spans="1:31" x14ac:dyDescent="0.3">
      <c r="A301">
        <v>98</v>
      </c>
      <c r="B301">
        <v>4443783</v>
      </c>
      <c r="C301" t="s">
        <v>167</v>
      </c>
      <c r="D301">
        <v>1212379</v>
      </c>
      <c r="E301" t="s">
        <v>535</v>
      </c>
      <c r="F301" t="s">
        <v>19</v>
      </c>
      <c r="G301" t="s">
        <v>2581</v>
      </c>
      <c r="H301" t="s">
        <v>2582</v>
      </c>
      <c r="I301" s="9" t="s">
        <v>3421</v>
      </c>
      <c r="J301" s="9">
        <v>51164844303</v>
      </c>
      <c r="K301" s="14" t="s">
        <v>3165</v>
      </c>
      <c r="L301" s="13" t="s">
        <v>3784</v>
      </c>
      <c r="M301" s="14">
        <v>1</v>
      </c>
      <c r="N301" s="14">
        <v>880</v>
      </c>
      <c r="O301" s="10">
        <f t="shared" si="30"/>
        <v>880</v>
      </c>
      <c r="P301" s="11">
        <v>0</v>
      </c>
      <c r="Q301" s="11">
        <v>0</v>
      </c>
      <c r="R301" s="10">
        <f>IF(COUNTIF($J$2:J301,J301)=1,SUMIFS($O:$O,$J:$J,J301)+SUMIFS($P:$P,$J:$J,J301)+SUMIFS($Q:$Q,$J:$J,J301),"")</f>
        <v>880</v>
      </c>
      <c r="S301" s="10">
        <v>880</v>
      </c>
      <c r="T301" s="11" t="str">
        <f t="shared" si="34"/>
        <v>Ok</v>
      </c>
      <c r="U301" s="12">
        <v>46050</v>
      </c>
      <c r="V301" s="10">
        <v>880</v>
      </c>
      <c r="W301" s="10" t="str">
        <f t="shared" si="31"/>
        <v>Not Paid</v>
      </c>
      <c r="X301" t="s">
        <v>455</v>
      </c>
      <c r="Y301" t="s">
        <v>28</v>
      </c>
      <c r="Z301">
        <v>100160</v>
      </c>
      <c r="AA301" t="s">
        <v>457</v>
      </c>
      <c r="AB301" t="s">
        <v>524</v>
      </c>
      <c r="AC301" s="9">
        <f t="shared" si="32"/>
        <v>1</v>
      </c>
      <c r="AD301" s="9" t="str">
        <f t="shared" si="33"/>
        <v>Ok</v>
      </c>
      <c r="AE301" s="11">
        <f t="shared" si="35"/>
        <v>0</v>
      </c>
    </row>
    <row r="302" spans="1:31" x14ac:dyDescent="0.3">
      <c r="A302">
        <v>97</v>
      </c>
      <c r="B302">
        <v>4441483</v>
      </c>
      <c r="C302" t="s">
        <v>56</v>
      </c>
      <c r="D302">
        <v>1588891</v>
      </c>
      <c r="E302" t="s">
        <v>61</v>
      </c>
      <c r="F302" t="s">
        <v>18</v>
      </c>
      <c r="G302" t="s">
        <v>2583</v>
      </c>
      <c r="H302" t="s">
        <v>2584</v>
      </c>
      <c r="I302" s="9" t="s">
        <v>3524</v>
      </c>
      <c r="J302" s="9">
        <v>51163580351</v>
      </c>
      <c r="K302" s="14" t="s">
        <v>3266</v>
      </c>
      <c r="L302" s="13" t="s">
        <v>3464</v>
      </c>
      <c r="M302" s="14">
        <v>3000</v>
      </c>
      <c r="N302" s="14">
        <v>1.056</v>
      </c>
      <c r="O302" s="10">
        <f t="shared" si="30"/>
        <v>3168</v>
      </c>
      <c r="P302" s="11">
        <v>0</v>
      </c>
      <c r="Q302" s="11">
        <v>0</v>
      </c>
      <c r="R302" s="10">
        <f>IF(COUNTIF($J$2:J302,J302)=1,SUMIFS($O:$O,$J:$J,J302)+SUMIFS($P:$P,$J:$J,J302)+SUMIFS($Q:$Q,$J:$J,J302),"")</f>
        <v>3168</v>
      </c>
      <c r="S302" s="10">
        <v>3168</v>
      </c>
      <c r="T302" s="11" t="str">
        <f t="shared" si="34"/>
        <v>Ok</v>
      </c>
      <c r="U302" s="12">
        <v>44720</v>
      </c>
      <c r="V302" s="10">
        <v>1614.6</v>
      </c>
      <c r="W302" s="10" t="str">
        <f t="shared" si="31"/>
        <v>Short Paid</v>
      </c>
      <c r="X302" t="s">
        <v>438</v>
      </c>
      <c r="Y302" t="s">
        <v>28</v>
      </c>
      <c r="Z302">
        <v>100203</v>
      </c>
      <c r="AA302" t="s">
        <v>441</v>
      </c>
      <c r="AB302" t="s">
        <v>523</v>
      </c>
      <c r="AC302" s="9">
        <f t="shared" si="32"/>
        <v>1</v>
      </c>
      <c r="AD302" s="9" t="str">
        <f t="shared" si="33"/>
        <v>Ok</v>
      </c>
      <c r="AE302" s="11">
        <f t="shared" si="35"/>
        <v>0</v>
      </c>
    </row>
    <row r="303" spans="1:31" x14ac:dyDescent="0.3">
      <c r="A303">
        <v>97</v>
      </c>
      <c r="B303">
        <v>4444303</v>
      </c>
      <c r="C303" t="s">
        <v>217</v>
      </c>
      <c r="D303">
        <v>1200599</v>
      </c>
      <c r="E303" t="s">
        <v>656</v>
      </c>
      <c r="F303" t="s">
        <v>19</v>
      </c>
      <c r="G303" t="s">
        <v>2585</v>
      </c>
      <c r="H303" t="s">
        <v>2586</v>
      </c>
      <c r="I303" s="9" t="s">
        <v>3355</v>
      </c>
      <c r="J303" s="9">
        <v>51162262690</v>
      </c>
      <c r="K303" s="14" t="s">
        <v>3370</v>
      </c>
      <c r="L303" s="13" t="s">
        <v>3700</v>
      </c>
      <c r="M303" s="14">
        <v>100000</v>
      </c>
      <c r="N303" s="14">
        <v>5.7680000000000002E-2</v>
      </c>
      <c r="O303" s="10">
        <f t="shared" si="30"/>
        <v>5768</v>
      </c>
      <c r="P303" s="11">
        <v>0</v>
      </c>
      <c r="Q303" s="11">
        <v>3287.76</v>
      </c>
      <c r="R303" s="10">
        <f>IF(COUNTIF($J$2:J303,J303)=1,SUMIFS($O:$O,$J:$J,J303)+SUMIFS($P:$P,$J:$J,J303)+SUMIFS($Q:$Q,$J:$J,J303),"")</f>
        <v>9055.76</v>
      </c>
      <c r="S303" s="10">
        <v>9055.76</v>
      </c>
      <c r="T303" s="11" t="str">
        <f t="shared" si="34"/>
        <v>Ok</v>
      </c>
      <c r="U303" s="12">
        <v>46031</v>
      </c>
      <c r="V303" s="10">
        <v>6105.76</v>
      </c>
      <c r="W303" s="10" t="str">
        <f t="shared" si="31"/>
        <v>Short Paid</v>
      </c>
      <c r="X303" t="s">
        <v>450</v>
      </c>
      <c r="Y303" t="s">
        <v>28</v>
      </c>
      <c r="Z303">
        <v>100237</v>
      </c>
      <c r="AA303" t="s">
        <v>3094</v>
      </c>
      <c r="AB303" t="s">
        <v>524</v>
      </c>
      <c r="AC303" s="9">
        <f t="shared" si="32"/>
        <v>1</v>
      </c>
      <c r="AD303" s="9" t="str">
        <f t="shared" si="33"/>
        <v>Ok</v>
      </c>
      <c r="AE303" s="11">
        <f t="shared" si="35"/>
        <v>0</v>
      </c>
    </row>
    <row r="304" spans="1:31" x14ac:dyDescent="0.3">
      <c r="A304">
        <v>95</v>
      </c>
      <c r="B304">
        <v>4444333</v>
      </c>
      <c r="C304" t="s">
        <v>160</v>
      </c>
      <c r="D304">
        <v>1443616</v>
      </c>
      <c r="E304" t="s">
        <v>285</v>
      </c>
      <c r="F304" t="s">
        <v>50</v>
      </c>
      <c r="G304" t="s">
        <v>2587</v>
      </c>
      <c r="H304" t="s">
        <v>2588</v>
      </c>
      <c r="I304" s="9" t="s">
        <v>3303</v>
      </c>
      <c r="J304" s="9">
        <v>51162262627</v>
      </c>
      <c r="K304" s="14" t="s">
        <v>3611</v>
      </c>
      <c r="L304" s="13" t="s">
        <v>3693</v>
      </c>
      <c r="M304" s="14">
        <v>600000</v>
      </c>
      <c r="N304" s="14">
        <v>4.53E-2</v>
      </c>
      <c r="O304" s="10">
        <f t="shared" si="30"/>
        <v>27180</v>
      </c>
      <c r="P304" s="11">
        <v>0</v>
      </c>
      <c r="Q304" s="11">
        <v>0</v>
      </c>
      <c r="R304" s="10">
        <f>IF(COUNTIF($J$2:J304,J304)=1,SUMIFS($O:$O,$J:$J,J304)+SUMIFS($P:$P,$J:$J,J304)+SUMIFS($Q:$Q,$J:$J,J304),"")</f>
        <v>27180</v>
      </c>
      <c r="S304" s="10">
        <v>27522.81</v>
      </c>
      <c r="T304" s="11" t="str">
        <f t="shared" si="34"/>
        <v>Check</v>
      </c>
      <c r="U304" s="12">
        <v>46066</v>
      </c>
      <c r="V304" s="10">
        <v>27522.81</v>
      </c>
      <c r="W304" s="10" t="str">
        <f t="shared" si="31"/>
        <v>Not Paid</v>
      </c>
      <c r="X304" t="s">
        <v>435</v>
      </c>
      <c r="Y304" t="s">
        <v>436</v>
      </c>
      <c r="Z304">
        <v>100171</v>
      </c>
      <c r="AA304" t="s">
        <v>437</v>
      </c>
      <c r="AB304" t="s">
        <v>3042</v>
      </c>
      <c r="AC304" s="9">
        <f t="shared" si="32"/>
        <v>1</v>
      </c>
      <c r="AD304" s="9" t="str">
        <f t="shared" si="33"/>
        <v>Check</v>
      </c>
      <c r="AE304" s="11">
        <f t="shared" si="35"/>
        <v>-342.81000000000131</v>
      </c>
    </row>
    <row r="305" spans="1:31" x14ac:dyDescent="0.3">
      <c r="A305">
        <v>95</v>
      </c>
      <c r="B305">
        <v>4444203</v>
      </c>
      <c r="C305" t="s">
        <v>160</v>
      </c>
      <c r="D305">
        <v>1443616</v>
      </c>
      <c r="E305" t="s">
        <v>285</v>
      </c>
      <c r="F305" t="s">
        <v>20</v>
      </c>
      <c r="G305" t="s">
        <v>2589</v>
      </c>
      <c r="H305" t="s">
        <v>2590</v>
      </c>
      <c r="I305" s="9" t="s">
        <v>3195</v>
      </c>
      <c r="J305" s="9">
        <v>51162262646</v>
      </c>
      <c r="K305" s="14" t="s">
        <v>3168</v>
      </c>
      <c r="L305" s="13" t="s">
        <v>3282</v>
      </c>
      <c r="M305" s="14">
        <v>12000</v>
      </c>
      <c r="N305" s="14">
        <v>4.5809999999999997E-2</v>
      </c>
      <c r="O305" s="10">
        <f t="shared" si="30"/>
        <v>549.71999999999991</v>
      </c>
      <c r="P305" s="11">
        <v>0</v>
      </c>
      <c r="Q305" s="11">
        <v>0</v>
      </c>
      <c r="R305" s="10">
        <f>IF(COUNTIF($J$2:J305,J305)=1,SUMIFS($O:$O,$J:$J,J305)+SUMIFS($P:$P,$J:$J,J305)+SUMIFS($Q:$Q,$J:$J,J305),"")</f>
        <v>549.71999999999991</v>
      </c>
      <c r="S305" s="10">
        <v>549.72</v>
      </c>
      <c r="T305" s="11" t="str">
        <f t="shared" si="34"/>
        <v>Ok</v>
      </c>
      <c r="U305" s="12">
        <v>46071</v>
      </c>
      <c r="V305" s="10">
        <v>549.72</v>
      </c>
      <c r="W305" s="10" t="str">
        <f t="shared" si="31"/>
        <v>Not Paid</v>
      </c>
      <c r="X305" t="s">
        <v>435</v>
      </c>
      <c r="Y305" t="s">
        <v>28</v>
      </c>
      <c r="Z305">
        <v>100121</v>
      </c>
      <c r="AA305" t="s">
        <v>3056</v>
      </c>
      <c r="AB305" t="s">
        <v>521</v>
      </c>
      <c r="AC305" s="9">
        <f t="shared" si="32"/>
        <v>1</v>
      </c>
      <c r="AD305" s="9" t="str">
        <f t="shared" si="33"/>
        <v>Ok</v>
      </c>
      <c r="AE305" s="11">
        <f t="shared" si="35"/>
        <v>0</v>
      </c>
    </row>
    <row r="306" spans="1:31" x14ac:dyDescent="0.3">
      <c r="A306">
        <v>95</v>
      </c>
      <c r="B306">
        <v>4444313</v>
      </c>
      <c r="C306" t="s">
        <v>160</v>
      </c>
      <c r="D306">
        <v>1443616</v>
      </c>
      <c r="E306" t="s">
        <v>285</v>
      </c>
      <c r="F306" t="s">
        <v>20</v>
      </c>
      <c r="G306" t="s">
        <v>2591</v>
      </c>
      <c r="H306" t="s">
        <v>2592</v>
      </c>
      <c r="I306" s="9" t="s">
        <v>3210</v>
      </c>
      <c r="J306" s="9">
        <v>51162262655</v>
      </c>
      <c r="K306" s="14" t="s">
        <v>3168</v>
      </c>
      <c r="L306" s="13" t="s">
        <v>3608</v>
      </c>
      <c r="M306" s="14">
        <v>33000</v>
      </c>
      <c r="N306" s="14">
        <v>0.64949999999999997</v>
      </c>
      <c r="O306" s="10">
        <f t="shared" si="30"/>
        <v>21433.5</v>
      </c>
      <c r="P306" s="11">
        <v>0</v>
      </c>
      <c r="Q306" s="11">
        <v>0</v>
      </c>
      <c r="R306" s="10">
        <f>IF(COUNTIF($J$2:J306,J306)=1,SUMIFS($O:$O,$J:$J,J306)+SUMIFS($P:$P,$J:$J,J306)+SUMIFS($Q:$Q,$J:$J,J306),"")</f>
        <v>21433.5</v>
      </c>
      <c r="S306" s="10">
        <v>21433.5</v>
      </c>
      <c r="T306" s="11" t="str">
        <f t="shared" si="34"/>
        <v>Ok</v>
      </c>
      <c r="U306" s="12">
        <v>46073</v>
      </c>
      <c r="V306" s="10">
        <v>21433.5</v>
      </c>
      <c r="W306" s="10" t="str">
        <f t="shared" si="31"/>
        <v>Not Paid</v>
      </c>
      <c r="X306" t="s">
        <v>435</v>
      </c>
      <c r="Y306" t="s">
        <v>28</v>
      </c>
      <c r="Z306">
        <v>100151</v>
      </c>
      <c r="AA306" t="s">
        <v>3057</v>
      </c>
      <c r="AB306" t="s">
        <v>521</v>
      </c>
      <c r="AC306" s="9">
        <f t="shared" si="32"/>
        <v>1</v>
      </c>
      <c r="AD306" s="9" t="str">
        <f t="shared" si="33"/>
        <v>Ok</v>
      </c>
      <c r="AE306" s="11">
        <f t="shared" si="35"/>
        <v>0</v>
      </c>
    </row>
    <row r="307" spans="1:31" x14ac:dyDescent="0.3">
      <c r="A307">
        <v>95</v>
      </c>
      <c r="B307">
        <v>4445932</v>
      </c>
      <c r="C307" t="s">
        <v>160</v>
      </c>
      <c r="D307">
        <v>1443616</v>
      </c>
      <c r="E307" t="s">
        <v>285</v>
      </c>
      <c r="F307" t="s">
        <v>50</v>
      </c>
      <c r="G307" t="s">
        <v>2593</v>
      </c>
      <c r="H307" t="s">
        <v>2594</v>
      </c>
      <c r="I307" s="9" t="s">
        <v>3581</v>
      </c>
      <c r="J307" s="9">
        <v>55113555103</v>
      </c>
      <c r="K307" s="14" t="s">
        <v>3611</v>
      </c>
      <c r="L307" s="13" t="s">
        <v>3802</v>
      </c>
      <c r="M307" s="14">
        <v>134058</v>
      </c>
      <c r="N307" s="14">
        <v>0.26900000000000002</v>
      </c>
      <c r="O307" s="10">
        <f t="shared" si="30"/>
        <v>36061.601999999999</v>
      </c>
      <c r="P307" s="11">
        <v>0</v>
      </c>
      <c r="Q307" s="11">
        <v>0</v>
      </c>
      <c r="R307" s="10">
        <f>IF(COUNTIF($J$2:J307,J307)=1,SUMIFS($O:$O,$J:$J,J307)+SUMIFS($P:$P,$J:$J,J307)+SUMIFS($Q:$Q,$J:$J,J307),"")</f>
        <v>36061.601999999999</v>
      </c>
      <c r="S307" s="10">
        <v>36405.089999999997</v>
      </c>
      <c r="T307" s="11" t="str">
        <f t="shared" si="34"/>
        <v>Check</v>
      </c>
      <c r="U307" s="12">
        <v>46072</v>
      </c>
      <c r="V307" s="10">
        <v>343.49</v>
      </c>
      <c r="W307" s="10" t="str">
        <f t="shared" si="31"/>
        <v>Short Paid</v>
      </c>
      <c r="X307" t="s">
        <v>435</v>
      </c>
      <c r="Y307" t="s">
        <v>436</v>
      </c>
      <c r="Z307">
        <v>100211</v>
      </c>
      <c r="AA307" t="s">
        <v>3047</v>
      </c>
      <c r="AB307" t="s">
        <v>3042</v>
      </c>
      <c r="AC307" s="9">
        <f t="shared" si="32"/>
        <v>1</v>
      </c>
      <c r="AD307" s="9" t="str">
        <f t="shared" si="33"/>
        <v>Check</v>
      </c>
      <c r="AE307" s="11">
        <f t="shared" si="35"/>
        <v>-343.48799999999756</v>
      </c>
    </row>
    <row r="308" spans="1:31" x14ac:dyDescent="0.3">
      <c r="A308">
        <v>94</v>
      </c>
      <c r="B308">
        <v>4445692</v>
      </c>
      <c r="C308" t="s">
        <v>220</v>
      </c>
      <c r="D308">
        <v>1118223</v>
      </c>
      <c r="E308" t="s">
        <v>640</v>
      </c>
      <c r="F308" t="s">
        <v>18</v>
      </c>
      <c r="G308" t="s">
        <v>2595</v>
      </c>
      <c r="H308" t="s">
        <v>2596</v>
      </c>
      <c r="I308" s="9" t="s">
        <v>3524</v>
      </c>
      <c r="J308" s="9">
        <v>51161027202</v>
      </c>
      <c r="K308" s="14" t="s">
        <v>3201</v>
      </c>
      <c r="L308" s="13" t="s">
        <v>3640</v>
      </c>
      <c r="M308" s="14">
        <v>1000</v>
      </c>
      <c r="N308" s="14">
        <v>1.1859999999999999</v>
      </c>
      <c r="O308" s="10">
        <f t="shared" si="30"/>
        <v>1186</v>
      </c>
      <c r="P308" s="11">
        <v>154.18</v>
      </c>
      <c r="Q308" s="11">
        <v>0</v>
      </c>
      <c r="R308" s="10">
        <f>IF(COUNTIF($J$2:J308,J308)=1,SUMIFS($O:$O,$J:$J,J308)+SUMIFS($P:$P,$J:$J,J308)+SUMIFS($Q:$Q,$J:$J,J308),"")</f>
        <v>1340.18</v>
      </c>
      <c r="S308" s="10">
        <v>1340.18</v>
      </c>
      <c r="T308" s="11" t="str">
        <f t="shared" si="34"/>
        <v>Ok</v>
      </c>
      <c r="U308" s="12">
        <v>46085</v>
      </c>
      <c r="V308" s="10">
        <v>1340.18</v>
      </c>
      <c r="W308" s="10" t="str">
        <f t="shared" si="31"/>
        <v>Not Paid</v>
      </c>
      <c r="X308" t="s">
        <v>470</v>
      </c>
      <c r="Y308" t="s">
        <v>28</v>
      </c>
      <c r="Z308">
        <v>100198</v>
      </c>
      <c r="AA308" t="s">
        <v>473</v>
      </c>
      <c r="AB308" t="s">
        <v>523</v>
      </c>
      <c r="AC308" s="9">
        <f t="shared" si="32"/>
        <v>1</v>
      </c>
      <c r="AD308" s="9" t="str">
        <f t="shared" si="33"/>
        <v>Ok</v>
      </c>
      <c r="AE308" s="11">
        <f t="shared" si="35"/>
        <v>0</v>
      </c>
    </row>
    <row r="309" spans="1:31" x14ac:dyDescent="0.3">
      <c r="A309">
        <v>94</v>
      </c>
      <c r="B309">
        <v>4445562</v>
      </c>
      <c r="C309" t="s">
        <v>239</v>
      </c>
      <c r="D309">
        <v>1099088</v>
      </c>
      <c r="E309" t="s">
        <v>674</v>
      </c>
      <c r="F309" t="s">
        <v>27</v>
      </c>
      <c r="G309" t="s">
        <v>2597</v>
      </c>
      <c r="H309" t="s">
        <v>2598</v>
      </c>
      <c r="I309" s="9" t="s">
        <v>3410</v>
      </c>
      <c r="J309" s="9">
        <v>51164753811</v>
      </c>
      <c r="K309" s="14" t="s">
        <v>3377</v>
      </c>
      <c r="L309" s="13" t="s">
        <v>3782</v>
      </c>
      <c r="M309" s="14">
        <v>100</v>
      </c>
      <c r="N309" s="14">
        <v>4.83</v>
      </c>
      <c r="O309" s="10">
        <f t="shared" si="30"/>
        <v>483</v>
      </c>
      <c r="P309" s="11">
        <v>0</v>
      </c>
      <c r="Q309" s="11">
        <v>0</v>
      </c>
      <c r="R309" s="10">
        <f>IF(COUNTIF($J$2:J309,J309)=1,SUMIFS($O:$O,$J:$J,J309)+SUMIFS($P:$P,$J:$J,J309)+SUMIFS($Q:$Q,$J:$J,J309),"")</f>
        <v>483</v>
      </c>
      <c r="S309" s="10">
        <v>483</v>
      </c>
      <c r="T309" s="11" t="str">
        <f t="shared" si="34"/>
        <v>Ok</v>
      </c>
      <c r="U309" s="12">
        <v>45861</v>
      </c>
      <c r="V309" s="10">
        <v>483</v>
      </c>
      <c r="W309" s="10" t="str">
        <f t="shared" si="31"/>
        <v>Not Paid</v>
      </c>
      <c r="X309" t="s">
        <v>476</v>
      </c>
      <c r="Y309" t="s">
        <v>436</v>
      </c>
      <c r="Z309">
        <v>100175</v>
      </c>
      <c r="AA309" t="s">
        <v>3081</v>
      </c>
      <c r="AB309" t="s">
        <v>3034</v>
      </c>
      <c r="AC309" s="9">
        <f t="shared" si="32"/>
        <v>1</v>
      </c>
      <c r="AD309" s="9" t="str">
        <f t="shared" si="33"/>
        <v>Ok</v>
      </c>
      <c r="AE309" s="11">
        <f t="shared" si="35"/>
        <v>0</v>
      </c>
    </row>
    <row r="310" spans="1:31" x14ac:dyDescent="0.3">
      <c r="A310">
        <v>94</v>
      </c>
      <c r="B310">
        <v>4445672</v>
      </c>
      <c r="C310" t="s">
        <v>239</v>
      </c>
      <c r="D310">
        <v>1099088</v>
      </c>
      <c r="E310" t="s">
        <v>674</v>
      </c>
      <c r="F310" t="s">
        <v>27</v>
      </c>
      <c r="G310" t="s">
        <v>2599</v>
      </c>
      <c r="H310" t="s">
        <v>2600</v>
      </c>
      <c r="I310" s="9" t="s">
        <v>3236</v>
      </c>
      <c r="J310" s="9">
        <v>51161447740</v>
      </c>
      <c r="K310" s="14" t="s">
        <v>3266</v>
      </c>
      <c r="L310" s="13" t="s">
        <v>3659</v>
      </c>
      <c r="M310" s="14">
        <v>805</v>
      </c>
      <c r="N310" s="14">
        <v>0.32400000000000001</v>
      </c>
      <c r="O310" s="10">
        <f t="shared" si="30"/>
        <v>260.82</v>
      </c>
      <c r="P310" s="11">
        <v>0</v>
      </c>
      <c r="Q310" s="11">
        <v>0</v>
      </c>
      <c r="R310" s="10">
        <f>IF(COUNTIF($J$2:J310,J310)=1,SUMIFS($O:$O,$J:$J,J310)+SUMIFS($P:$P,$J:$J,J310)+SUMIFS($Q:$Q,$J:$J,J310),"")</f>
        <v>260.82</v>
      </c>
      <c r="S310" s="10">
        <v>260.82</v>
      </c>
      <c r="T310" s="11" t="str">
        <f t="shared" si="34"/>
        <v>Ok</v>
      </c>
      <c r="U310" s="12">
        <v>45891</v>
      </c>
      <c r="V310" s="10">
        <v>260.82</v>
      </c>
      <c r="W310" s="10" t="str">
        <f t="shared" si="31"/>
        <v>Not Paid</v>
      </c>
      <c r="X310" t="s">
        <v>476</v>
      </c>
      <c r="Y310" t="s">
        <v>436</v>
      </c>
      <c r="Z310">
        <v>100215</v>
      </c>
      <c r="AA310" t="s">
        <v>3091</v>
      </c>
      <c r="AB310" t="s">
        <v>3034</v>
      </c>
      <c r="AC310" s="9">
        <f t="shared" si="32"/>
        <v>1</v>
      </c>
      <c r="AD310" s="9" t="str">
        <f t="shared" si="33"/>
        <v>Ok</v>
      </c>
      <c r="AE310" s="11">
        <f t="shared" si="35"/>
        <v>0</v>
      </c>
    </row>
    <row r="311" spans="1:31" x14ac:dyDescent="0.3">
      <c r="A311">
        <v>94</v>
      </c>
      <c r="B311">
        <v>4445922</v>
      </c>
      <c r="C311" t="s">
        <v>160</v>
      </c>
      <c r="D311">
        <v>1452935</v>
      </c>
      <c r="E311" t="s">
        <v>534</v>
      </c>
      <c r="F311" t="s">
        <v>20</v>
      </c>
      <c r="G311" t="s">
        <v>2601</v>
      </c>
      <c r="H311" t="s">
        <v>2602</v>
      </c>
      <c r="I311" s="9" t="s">
        <v>3355</v>
      </c>
      <c r="J311" s="9">
        <v>51161171069</v>
      </c>
      <c r="K311" s="14" t="s">
        <v>3177</v>
      </c>
      <c r="L311" s="13" t="s">
        <v>3651</v>
      </c>
      <c r="M311" s="14">
        <v>1</v>
      </c>
      <c r="N311" s="14">
        <v>6000</v>
      </c>
      <c r="O311" s="10">
        <f t="shared" si="30"/>
        <v>6000</v>
      </c>
      <c r="P311" s="11">
        <v>0</v>
      </c>
      <c r="Q311" s="11">
        <v>1428</v>
      </c>
      <c r="R311" s="10">
        <f>IF(COUNTIF($J$2:J311,J311)=1,SUMIFS($O:$O,$J:$J,J311)+SUMIFS($P:$P,$J:$J,J311)+SUMIFS($Q:$Q,$J:$J,J311),"")</f>
        <v>7428</v>
      </c>
      <c r="S311" s="10">
        <v>7428</v>
      </c>
      <c r="T311" s="11" t="str">
        <f t="shared" si="34"/>
        <v>Ok</v>
      </c>
      <c r="U311" s="12">
        <v>45983</v>
      </c>
      <c r="V311" s="10">
        <v>7428</v>
      </c>
      <c r="W311" s="10" t="str">
        <f t="shared" si="31"/>
        <v>Not Paid</v>
      </c>
      <c r="X311" t="s">
        <v>455</v>
      </c>
      <c r="Y311" t="s">
        <v>28</v>
      </c>
      <c r="Z311">
        <v>100240</v>
      </c>
      <c r="AA311" t="s">
        <v>459</v>
      </c>
      <c r="AB311" t="s">
        <v>521</v>
      </c>
      <c r="AC311" s="9">
        <f t="shared" si="32"/>
        <v>1</v>
      </c>
      <c r="AD311" s="9" t="str">
        <f t="shared" si="33"/>
        <v>Ok</v>
      </c>
      <c r="AE311" s="11">
        <f t="shared" si="35"/>
        <v>0</v>
      </c>
    </row>
    <row r="312" spans="1:31" x14ac:dyDescent="0.3">
      <c r="A312">
        <v>94</v>
      </c>
      <c r="B312">
        <v>4445682</v>
      </c>
      <c r="C312" t="s">
        <v>56</v>
      </c>
      <c r="D312">
        <v>1588891</v>
      </c>
      <c r="E312" t="s">
        <v>61</v>
      </c>
      <c r="F312" t="s">
        <v>18</v>
      </c>
      <c r="G312" t="s">
        <v>2603</v>
      </c>
      <c r="H312" t="s">
        <v>2604</v>
      </c>
      <c r="I312" s="9" t="s">
        <v>3169</v>
      </c>
      <c r="J312" s="9">
        <v>51161151558</v>
      </c>
      <c r="K312" s="14" t="s">
        <v>3379</v>
      </c>
      <c r="L312" s="13" t="s">
        <v>3461</v>
      </c>
      <c r="M312" s="14">
        <v>30000</v>
      </c>
      <c r="N312" s="14">
        <v>2.7E-2</v>
      </c>
      <c r="O312" s="10">
        <f t="shared" si="30"/>
        <v>810</v>
      </c>
      <c r="P312" s="11">
        <v>0</v>
      </c>
      <c r="Q312" s="11">
        <v>0</v>
      </c>
      <c r="R312" s="10">
        <f>IF(COUNTIF($J$2:J312,J312)=1,SUMIFS($O:$O,$J:$J,J312)+SUMIFS($P:$P,$J:$J,J312)+SUMIFS($Q:$Q,$J:$J,J312),"")</f>
        <v>810</v>
      </c>
      <c r="S312" s="10">
        <v>810</v>
      </c>
      <c r="T312" s="11" t="str">
        <f t="shared" si="34"/>
        <v>Ok</v>
      </c>
      <c r="U312" s="12">
        <v>45684</v>
      </c>
      <c r="V312" s="10">
        <v>560.51</v>
      </c>
      <c r="W312" s="10" t="str">
        <f t="shared" si="31"/>
        <v>Short Paid</v>
      </c>
      <c r="X312" t="s">
        <v>438</v>
      </c>
      <c r="Y312" t="s">
        <v>28</v>
      </c>
      <c r="Z312">
        <v>100273</v>
      </c>
      <c r="AA312" t="s">
        <v>444</v>
      </c>
      <c r="AB312" t="s">
        <v>523</v>
      </c>
      <c r="AC312" s="9">
        <f t="shared" si="32"/>
        <v>1</v>
      </c>
      <c r="AD312" s="9" t="str">
        <f t="shared" si="33"/>
        <v>Ok</v>
      </c>
      <c r="AE312" s="11">
        <f t="shared" si="35"/>
        <v>0</v>
      </c>
    </row>
    <row r="313" spans="1:31" x14ac:dyDescent="0.3">
      <c r="A313">
        <v>94</v>
      </c>
      <c r="B313">
        <v>4445702</v>
      </c>
      <c r="C313" t="s">
        <v>56</v>
      </c>
      <c r="D313">
        <v>1588891</v>
      </c>
      <c r="E313" t="s">
        <v>61</v>
      </c>
      <c r="F313" t="s">
        <v>18</v>
      </c>
      <c r="G313" t="s">
        <v>2605</v>
      </c>
      <c r="H313" t="s">
        <v>2606</v>
      </c>
      <c r="I313" s="9" t="s">
        <v>3273</v>
      </c>
      <c r="J313" s="9">
        <v>51161059035</v>
      </c>
      <c r="K313" s="14" t="s">
        <v>3203</v>
      </c>
      <c r="L313" s="13" t="s">
        <v>3642</v>
      </c>
      <c r="M313" s="14">
        <v>20000</v>
      </c>
      <c r="N313" s="14">
        <v>0.28159000000000001</v>
      </c>
      <c r="O313" s="10">
        <f t="shared" si="30"/>
        <v>5631.8</v>
      </c>
      <c r="P313" s="11">
        <v>0</v>
      </c>
      <c r="Q313" s="11">
        <v>0</v>
      </c>
      <c r="R313" s="10">
        <f>IF(COUNTIF($J$2:J313,J313)=1,SUMIFS($O:$O,$J:$J,J313)+SUMIFS($P:$P,$J:$J,J313)+SUMIFS($Q:$Q,$J:$J,J313),"")</f>
        <v>5631.8</v>
      </c>
      <c r="S313" s="10">
        <v>5631.8</v>
      </c>
      <c r="T313" s="11" t="str">
        <f t="shared" si="34"/>
        <v>Ok</v>
      </c>
      <c r="U313" s="12">
        <v>45953</v>
      </c>
      <c r="V313" s="10">
        <v>662.2</v>
      </c>
      <c r="W313" s="10" t="str">
        <f t="shared" si="31"/>
        <v>Short Paid</v>
      </c>
      <c r="X313" t="s">
        <v>438</v>
      </c>
      <c r="Y313" t="s">
        <v>28</v>
      </c>
      <c r="Z313">
        <v>100123</v>
      </c>
      <c r="AA313" t="s">
        <v>447</v>
      </c>
      <c r="AB313" t="s">
        <v>523</v>
      </c>
      <c r="AC313" s="9">
        <f t="shared" si="32"/>
        <v>1</v>
      </c>
      <c r="AD313" s="9" t="str">
        <f t="shared" si="33"/>
        <v>Ok</v>
      </c>
      <c r="AE313" s="11">
        <f t="shared" si="35"/>
        <v>0</v>
      </c>
    </row>
    <row r="314" spans="1:31" x14ac:dyDescent="0.3">
      <c r="A314">
        <v>93</v>
      </c>
      <c r="B314">
        <v>4567275</v>
      </c>
      <c r="C314" t="s">
        <v>56</v>
      </c>
      <c r="D314">
        <v>1588891</v>
      </c>
      <c r="E314" t="s">
        <v>61</v>
      </c>
      <c r="F314" t="s">
        <v>19</v>
      </c>
      <c r="G314" t="s">
        <v>2609</v>
      </c>
      <c r="H314" t="s">
        <v>2610</v>
      </c>
      <c r="I314" s="9" t="s">
        <v>3257</v>
      </c>
      <c r="J314" s="9">
        <v>51120144716</v>
      </c>
      <c r="K314" s="14" t="s">
        <v>3320</v>
      </c>
      <c r="L314" s="13" t="s">
        <v>3319</v>
      </c>
      <c r="M314" s="14">
        <v>55</v>
      </c>
      <c r="N314" s="14">
        <v>15.171290000000001</v>
      </c>
      <c r="O314" s="10">
        <f t="shared" si="30"/>
        <v>834.42095000000006</v>
      </c>
      <c r="P314" s="11">
        <v>0</v>
      </c>
      <c r="Q314" s="11">
        <v>0</v>
      </c>
      <c r="R314" s="10">
        <f>IF(COUNTIF($J$2:J314,J314)=1,SUMIFS($O:$O,$J:$J,J314)+SUMIFS($P:$P,$J:$J,J314)+SUMIFS($Q:$Q,$J:$J,J314),"")</f>
        <v>834.42095000000006</v>
      </c>
      <c r="S314" s="10">
        <v>834.42</v>
      </c>
      <c r="T314" s="11" t="str">
        <f t="shared" si="34"/>
        <v>Check</v>
      </c>
      <c r="U314" s="12">
        <v>45881</v>
      </c>
      <c r="V314" s="10">
        <v>834.42</v>
      </c>
      <c r="W314" s="10" t="str">
        <f t="shared" si="31"/>
        <v>Not Paid</v>
      </c>
      <c r="X314" t="s">
        <v>438</v>
      </c>
      <c r="Y314" t="s">
        <v>28</v>
      </c>
      <c r="Z314">
        <v>100163</v>
      </c>
      <c r="AA314" t="s">
        <v>443</v>
      </c>
      <c r="AB314" t="s">
        <v>524</v>
      </c>
      <c r="AC314" s="9">
        <f t="shared" si="32"/>
        <v>1</v>
      </c>
      <c r="AD314" s="9" t="str">
        <f t="shared" si="33"/>
        <v>Check</v>
      </c>
      <c r="AE314" s="11">
        <f t="shared" si="35"/>
        <v>9.50000000102591E-4</v>
      </c>
    </row>
    <row r="315" spans="1:31" x14ac:dyDescent="0.3">
      <c r="A315">
        <v>93</v>
      </c>
      <c r="B315">
        <v>4566996</v>
      </c>
      <c r="C315" t="s">
        <v>56</v>
      </c>
      <c r="D315">
        <v>1588891</v>
      </c>
      <c r="E315" t="s">
        <v>61</v>
      </c>
      <c r="F315" t="s">
        <v>19</v>
      </c>
      <c r="G315" t="s">
        <v>235</v>
      </c>
      <c r="H315" t="s">
        <v>236</v>
      </c>
      <c r="I315" s="9" t="s">
        <v>3217</v>
      </c>
      <c r="J315" s="9">
        <v>50113014327</v>
      </c>
      <c r="K315" s="14" t="s">
        <v>3165</v>
      </c>
      <c r="L315" s="13" t="s">
        <v>4916</v>
      </c>
      <c r="M315" s="14">
        <v>25</v>
      </c>
      <c r="N315" s="14">
        <v>27.41</v>
      </c>
      <c r="O315" s="10">
        <f t="shared" si="30"/>
        <v>685.25</v>
      </c>
      <c r="P315" s="11">
        <v>147.66</v>
      </c>
      <c r="Q315" s="11">
        <v>1.6099999999999999</v>
      </c>
      <c r="R315" s="10">
        <f>IF(COUNTIF($J$2:J315,J315)=1,SUMIFS($O:$O,$J:$J,J315)+SUMIFS($P:$P,$J:$J,J315)+SUMIFS($Q:$Q,$J:$J,J315),"")</f>
        <v>834.52</v>
      </c>
      <c r="S315">
        <v>2409.52</v>
      </c>
      <c r="T315" s="11" t="str">
        <f t="shared" si="34"/>
        <v>Check</v>
      </c>
      <c r="U315" s="12">
        <v>45723</v>
      </c>
      <c r="V315" s="10">
        <v>686.86</v>
      </c>
      <c r="W315" s="10" t="str">
        <f t="shared" si="31"/>
        <v>Short Paid</v>
      </c>
      <c r="X315" t="s">
        <v>438</v>
      </c>
      <c r="Y315" t="s">
        <v>28</v>
      </c>
      <c r="Z315">
        <v>100153</v>
      </c>
      <c r="AA315" t="s">
        <v>445</v>
      </c>
      <c r="AB315" t="s">
        <v>524</v>
      </c>
      <c r="AC315" s="9">
        <f t="shared" si="32"/>
        <v>1</v>
      </c>
      <c r="AD315" s="9" t="str">
        <f t="shared" si="33"/>
        <v>Check</v>
      </c>
      <c r="AE315" s="11">
        <f t="shared" si="35"/>
        <v>-1575</v>
      </c>
    </row>
    <row r="316" spans="1:31" x14ac:dyDescent="0.3">
      <c r="A316">
        <v>93</v>
      </c>
      <c r="B316">
        <v>4577293</v>
      </c>
      <c r="C316" t="s">
        <v>56</v>
      </c>
      <c r="D316">
        <v>1588891</v>
      </c>
      <c r="E316" t="s">
        <v>61</v>
      </c>
      <c r="F316" t="s">
        <v>19</v>
      </c>
      <c r="G316" t="s">
        <v>237</v>
      </c>
      <c r="H316" t="s">
        <v>238</v>
      </c>
      <c r="I316" s="9" t="s">
        <v>3411</v>
      </c>
      <c r="J316" s="9">
        <v>51130944910</v>
      </c>
      <c r="K316" s="14" t="s">
        <v>3165</v>
      </c>
      <c r="L316" s="13" t="s">
        <v>4917</v>
      </c>
      <c r="M316" s="14">
        <v>1029</v>
      </c>
      <c r="N316" s="14">
        <v>0.94</v>
      </c>
      <c r="O316" s="10">
        <f t="shared" si="30"/>
        <v>967.26</v>
      </c>
      <c r="P316" s="11">
        <v>0</v>
      </c>
      <c r="Q316" s="11">
        <v>0</v>
      </c>
      <c r="R316" s="10">
        <f>IF(COUNTIF($J$2:J316,J316)=1,SUMIFS($O:$O,$J:$J,J316)+SUMIFS($P:$P,$J:$J,J316)+SUMIFS($Q:$Q,$J:$J,J316),"")</f>
        <v>967.26</v>
      </c>
      <c r="S316">
        <v>14862.26</v>
      </c>
      <c r="T316" s="11" t="str">
        <f t="shared" si="34"/>
        <v>Check</v>
      </c>
      <c r="U316" s="12">
        <v>45727</v>
      </c>
      <c r="V316" s="10">
        <v>967.26</v>
      </c>
      <c r="W316" s="10" t="str">
        <f t="shared" si="31"/>
        <v>Short Paid</v>
      </c>
      <c r="X316" t="s">
        <v>438</v>
      </c>
      <c r="Y316" t="s">
        <v>28</v>
      </c>
      <c r="Z316">
        <v>100283</v>
      </c>
      <c r="AA316" t="s">
        <v>439</v>
      </c>
      <c r="AB316" t="s">
        <v>524</v>
      </c>
      <c r="AC316" s="9">
        <f t="shared" si="32"/>
        <v>1</v>
      </c>
      <c r="AD316" s="9" t="str">
        <f t="shared" si="33"/>
        <v>Check</v>
      </c>
      <c r="AE316" s="11">
        <f t="shared" si="35"/>
        <v>-13895</v>
      </c>
    </row>
    <row r="317" spans="1:31" x14ac:dyDescent="0.3">
      <c r="A317">
        <v>93</v>
      </c>
      <c r="B317">
        <v>4575901</v>
      </c>
      <c r="C317" t="s">
        <v>56</v>
      </c>
      <c r="D317">
        <v>1588891</v>
      </c>
      <c r="E317" t="s">
        <v>61</v>
      </c>
      <c r="F317" t="s">
        <v>19</v>
      </c>
      <c r="G317" t="s">
        <v>246</v>
      </c>
      <c r="H317" t="s">
        <v>247</v>
      </c>
      <c r="I317" s="9" t="s">
        <v>3328</v>
      </c>
      <c r="J317" s="9">
        <v>50114143685</v>
      </c>
      <c r="K317" s="14" t="s">
        <v>3165</v>
      </c>
      <c r="L317" s="13" t="s">
        <v>4917</v>
      </c>
      <c r="M317" s="14">
        <v>987</v>
      </c>
      <c r="N317" s="14">
        <v>0.94</v>
      </c>
      <c r="O317" s="10">
        <f t="shared" si="30"/>
        <v>927.78</v>
      </c>
      <c r="P317" s="11">
        <v>0</v>
      </c>
      <c r="Q317" s="11">
        <v>0</v>
      </c>
      <c r="R317" s="10">
        <f>IF(COUNTIF($J$2:J317,J317)=1,SUMIFS($O:$O,$J:$J,J317)+SUMIFS($P:$P,$J:$J,J317)+SUMIFS($Q:$Q,$J:$J,J317),"")</f>
        <v>927.78</v>
      </c>
      <c r="S317">
        <v>7552.78</v>
      </c>
      <c r="T317" s="11" t="str">
        <f t="shared" si="34"/>
        <v>Check</v>
      </c>
      <c r="U317" s="12">
        <v>45748</v>
      </c>
      <c r="V317" s="10">
        <v>927.78</v>
      </c>
      <c r="W317" s="10" t="str">
        <f t="shared" si="31"/>
        <v>Short Paid</v>
      </c>
      <c r="X317" t="s">
        <v>438</v>
      </c>
      <c r="Y317" t="s">
        <v>28</v>
      </c>
      <c r="Z317">
        <v>100193</v>
      </c>
      <c r="AA317" t="s">
        <v>442</v>
      </c>
      <c r="AB317" t="s">
        <v>524</v>
      </c>
      <c r="AC317" s="9">
        <f t="shared" si="32"/>
        <v>1</v>
      </c>
      <c r="AD317" s="9" t="str">
        <f t="shared" si="33"/>
        <v>Check</v>
      </c>
      <c r="AE317" s="11">
        <f t="shared" si="35"/>
        <v>-6625</v>
      </c>
    </row>
    <row r="318" spans="1:31" x14ac:dyDescent="0.3">
      <c r="A318">
        <v>93</v>
      </c>
      <c r="B318">
        <v>4576736</v>
      </c>
      <c r="C318" t="s">
        <v>56</v>
      </c>
      <c r="D318">
        <v>1588891</v>
      </c>
      <c r="E318" t="s">
        <v>61</v>
      </c>
      <c r="F318" t="s">
        <v>19</v>
      </c>
      <c r="G318" t="s">
        <v>248</v>
      </c>
      <c r="H318" t="s">
        <v>249</v>
      </c>
      <c r="I318" s="9" t="s">
        <v>3204</v>
      </c>
      <c r="J318" s="9">
        <v>51128055842</v>
      </c>
      <c r="K318" s="14" t="s">
        <v>3165</v>
      </c>
      <c r="L318" s="13" t="s">
        <v>4917</v>
      </c>
      <c r="M318" s="14">
        <v>1029</v>
      </c>
      <c r="N318" s="14">
        <v>0.94</v>
      </c>
      <c r="O318" s="10">
        <f t="shared" si="30"/>
        <v>967.26</v>
      </c>
      <c r="P318" s="11">
        <v>0</v>
      </c>
      <c r="Q318" s="11">
        <v>0</v>
      </c>
      <c r="R318" s="10">
        <f>IF(COUNTIF($J$2:J318,J318)=1,SUMIFS($O:$O,$J:$J,J318)+SUMIFS($P:$P,$J:$J,J318)+SUMIFS($Q:$Q,$J:$J,J318),"")</f>
        <v>967.26</v>
      </c>
      <c r="S318">
        <v>2659.34</v>
      </c>
      <c r="T318" s="11" t="str">
        <f t="shared" si="34"/>
        <v>Check</v>
      </c>
      <c r="U318" s="12">
        <v>45755</v>
      </c>
      <c r="V318" s="10">
        <v>967.26</v>
      </c>
      <c r="W318" s="10" t="str">
        <f t="shared" si="31"/>
        <v>Short Paid</v>
      </c>
      <c r="X318" t="s">
        <v>438</v>
      </c>
      <c r="Y318" t="s">
        <v>28</v>
      </c>
      <c r="Z318">
        <v>100243</v>
      </c>
      <c r="AA318" t="s">
        <v>446</v>
      </c>
      <c r="AB318" t="s">
        <v>524</v>
      </c>
      <c r="AC318" s="9">
        <f t="shared" si="32"/>
        <v>1</v>
      </c>
      <c r="AD318" s="9" t="str">
        <f t="shared" si="33"/>
        <v>Check</v>
      </c>
      <c r="AE318" s="11">
        <f t="shared" si="35"/>
        <v>-1692.0800000000002</v>
      </c>
    </row>
    <row r="319" spans="1:31" x14ac:dyDescent="0.3">
      <c r="A319">
        <v>93</v>
      </c>
      <c r="B319">
        <v>4574788</v>
      </c>
      <c r="C319" t="s">
        <v>56</v>
      </c>
      <c r="D319">
        <v>1588891</v>
      </c>
      <c r="E319" t="s">
        <v>61</v>
      </c>
      <c r="F319" t="s">
        <v>19</v>
      </c>
      <c r="G319" t="s">
        <v>277</v>
      </c>
      <c r="H319" t="s">
        <v>278</v>
      </c>
      <c r="I319" s="9" t="s">
        <v>3411</v>
      </c>
      <c r="J319" s="9">
        <v>51126816369</v>
      </c>
      <c r="K319" s="14" t="s">
        <v>3165</v>
      </c>
      <c r="L319" s="13" t="s">
        <v>4928</v>
      </c>
      <c r="M319" s="14">
        <v>4843</v>
      </c>
      <c r="N319" s="14">
        <v>1.2297</v>
      </c>
      <c r="O319" s="10">
        <f t="shared" si="30"/>
        <v>5955.4371000000001</v>
      </c>
      <c r="P319" s="11">
        <v>0</v>
      </c>
      <c r="Q319" s="11">
        <v>0</v>
      </c>
      <c r="R319" s="10">
        <f>IF(COUNTIF($J$2:J319,J319)=1,SUMIFS($O:$O,$J:$J,J319)+SUMIFS($P:$P,$J:$J,J319)+SUMIFS($Q:$Q,$J:$J,J319),"")</f>
        <v>5955.4371000000001</v>
      </c>
      <c r="S319">
        <v>5955.44</v>
      </c>
      <c r="T319" s="11" t="str">
        <f t="shared" si="34"/>
        <v>Check</v>
      </c>
      <c r="U319" s="12">
        <v>45841</v>
      </c>
      <c r="V319" s="10">
        <v>5955.44</v>
      </c>
      <c r="W319" s="10" t="str">
        <f t="shared" si="31"/>
        <v>Not Paid</v>
      </c>
      <c r="X319" t="s">
        <v>438</v>
      </c>
      <c r="Y319" t="s">
        <v>28</v>
      </c>
      <c r="Z319">
        <v>100113</v>
      </c>
      <c r="AA319" t="s">
        <v>449</v>
      </c>
      <c r="AB319" t="s">
        <v>524</v>
      </c>
      <c r="AC319" s="9">
        <f t="shared" si="32"/>
        <v>1</v>
      </c>
      <c r="AD319" s="9" t="str">
        <f t="shared" si="33"/>
        <v>Check</v>
      </c>
      <c r="AE319" s="11">
        <f t="shared" si="35"/>
        <v>-2.8999999994994141E-3</v>
      </c>
    </row>
    <row r="320" spans="1:31" x14ac:dyDescent="0.3">
      <c r="A320">
        <v>92</v>
      </c>
      <c r="B320">
        <v>4582302</v>
      </c>
      <c r="C320" t="s">
        <v>167</v>
      </c>
      <c r="D320">
        <v>1236114</v>
      </c>
      <c r="E320" t="s">
        <v>170</v>
      </c>
      <c r="F320" t="s">
        <v>20</v>
      </c>
      <c r="G320" t="s">
        <v>171</v>
      </c>
      <c r="H320" t="s">
        <v>172</v>
      </c>
      <c r="I320" s="9" t="s">
        <v>3381</v>
      </c>
      <c r="J320" s="9">
        <v>51134786532</v>
      </c>
      <c r="K320" s="14" t="s">
        <v>3165</v>
      </c>
      <c r="L320" s="13" t="s">
        <v>4929</v>
      </c>
      <c r="M320" s="14">
        <v>9</v>
      </c>
      <c r="N320" s="14">
        <v>1041.69</v>
      </c>
      <c r="O320" s="10">
        <f t="shared" si="30"/>
        <v>9375.2100000000009</v>
      </c>
      <c r="P320" s="11">
        <v>0</v>
      </c>
      <c r="Q320" s="11" t="s">
        <v>5006</v>
      </c>
      <c r="R320" s="10">
        <f>IF(COUNTIF($J$2:J320,J320)=1,SUMIFS($O:$O,$J:$J,J320)+SUMIFS($P:$P,$J:$J,J320)+SUMIFS($Q:$Q,$J:$J,J320),"")</f>
        <v>9375.2100000000009</v>
      </c>
      <c r="S320">
        <v>66216.759999999995</v>
      </c>
      <c r="T320" s="11" t="str">
        <f t="shared" si="34"/>
        <v>Check</v>
      </c>
      <c r="U320" s="12">
        <v>45440</v>
      </c>
      <c r="V320" s="10">
        <v>37500.839999999997</v>
      </c>
      <c r="W320" s="10" t="str">
        <f t="shared" si="31"/>
        <v>Short Paid</v>
      </c>
      <c r="X320" t="s">
        <v>455</v>
      </c>
      <c r="Y320" t="s">
        <v>28</v>
      </c>
      <c r="Z320">
        <v>100240</v>
      </c>
      <c r="AA320" t="s">
        <v>459</v>
      </c>
      <c r="AB320" t="s">
        <v>521</v>
      </c>
      <c r="AC320" s="9">
        <f t="shared" si="32"/>
        <v>1</v>
      </c>
      <c r="AD320" s="9" t="str">
        <f t="shared" si="33"/>
        <v>Check</v>
      </c>
      <c r="AE320" s="11">
        <f t="shared" si="35"/>
        <v>-56841.549999999996</v>
      </c>
    </row>
    <row r="321" spans="1:31" x14ac:dyDescent="0.3">
      <c r="A321">
        <v>92</v>
      </c>
      <c r="B321">
        <v>4588146</v>
      </c>
      <c r="C321" t="s">
        <v>167</v>
      </c>
      <c r="D321">
        <v>1235549</v>
      </c>
      <c r="E321" t="s">
        <v>168</v>
      </c>
      <c r="F321" t="s">
        <v>20</v>
      </c>
      <c r="G321" t="s">
        <v>177</v>
      </c>
      <c r="H321" t="s">
        <v>178</v>
      </c>
      <c r="I321" s="9" t="s">
        <v>3421</v>
      </c>
      <c r="J321" s="9">
        <v>51132203401</v>
      </c>
      <c r="K321" s="14" t="s">
        <v>3165</v>
      </c>
      <c r="L321" s="13" t="s">
        <v>3358</v>
      </c>
      <c r="M321" s="14">
        <v>1</v>
      </c>
      <c r="N321" s="14">
        <v>104.05</v>
      </c>
      <c r="O321" s="10">
        <f t="shared" si="30"/>
        <v>104.05</v>
      </c>
      <c r="P321" s="11">
        <v>0</v>
      </c>
      <c r="Q321" s="11" t="s">
        <v>5006</v>
      </c>
      <c r="R321" s="10">
        <f>IF(COUNTIF($J$2:J321,J321)=1,SUMIFS($O:$O,$J:$J,J321)+SUMIFS($P:$P,$J:$J,J321)+SUMIFS($Q:$Q,$J:$J,J321),"")</f>
        <v>104.05</v>
      </c>
      <c r="S321">
        <v>13540.65</v>
      </c>
      <c r="T321" s="11" t="str">
        <f t="shared" si="34"/>
        <v>Check</v>
      </c>
      <c r="U321" s="12">
        <v>45450</v>
      </c>
      <c r="V321" s="10">
        <v>104.05</v>
      </c>
      <c r="W321" s="10" t="str">
        <f t="shared" si="31"/>
        <v>Short Paid</v>
      </c>
      <c r="X321" t="s">
        <v>455</v>
      </c>
      <c r="Y321" t="s">
        <v>28</v>
      </c>
      <c r="Z321">
        <v>100270</v>
      </c>
      <c r="AA321" t="s">
        <v>464</v>
      </c>
      <c r="AB321" t="s">
        <v>521</v>
      </c>
      <c r="AC321" s="9">
        <f t="shared" si="32"/>
        <v>1</v>
      </c>
      <c r="AD321" s="9" t="str">
        <f t="shared" si="33"/>
        <v>Check</v>
      </c>
      <c r="AE321" s="11">
        <f t="shared" ref="AE321:AE329" si="36">R321-S321</f>
        <v>-13436.6</v>
      </c>
    </row>
    <row r="322" spans="1:31" x14ac:dyDescent="0.3">
      <c r="A322">
        <v>88</v>
      </c>
      <c r="B322">
        <v>4595660</v>
      </c>
      <c r="C322" t="s">
        <v>239</v>
      </c>
      <c r="D322">
        <v>1062540</v>
      </c>
      <c r="E322" t="s">
        <v>564</v>
      </c>
      <c r="F322" t="s">
        <v>17</v>
      </c>
      <c r="G322" t="s">
        <v>2621</v>
      </c>
      <c r="H322" t="s">
        <v>2622</v>
      </c>
      <c r="I322" s="9" t="s">
        <v>3323</v>
      </c>
      <c r="J322" s="9">
        <v>51138580554</v>
      </c>
      <c r="K322" s="14" t="s">
        <v>3190</v>
      </c>
      <c r="L322" s="13" t="s">
        <v>3392</v>
      </c>
      <c r="M322" s="14">
        <v>5</v>
      </c>
      <c r="N322" s="14">
        <v>893.47500000000002</v>
      </c>
      <c r="O322" s="10">
        <f t="shared" ref="O322:O385" si="37">M322*N322</f>
        <v>4467.375</v>
      </c>
      <c r="P322" s="11">
        <v>0</v>
      </c>
      <c r="Q322" s="11">
        <v>0</v>
      </c>
      <c r="R322" s="10">
        <f>IF(COUNTIF($J$2:J322,J322)=1,SUMIFS($O:$O,$J:$J,J322)+SUMIFS($P:$P,$J:$J,J322)+SUMIFS($Q:$Q,$J:$J,J322),"")</f>
        <v>4467.375</v>
      </c>
      <c r="S322" s="10">
        <v>4467.38</v>
      </c>
      <c r="T322" s="11" t="str">
        <f t="shared" si="34"/>
        <v>Check</v>
      </c>
      <c r="U322" s="12">
        <v>45985</v>
      </c>
      <c r="V322" s="10">
        <v>4467.38</v>
      </c>
      <c r="W322" s="10" t="str">
        <f t="shared" ref="W322:W385" si="38">IF(OR(S322="",V322=""),"N/A",IF(S322&lt;&gt;V322,"Short Paid","Not Paid"))</f>
        <v>Not Paid</v>
      </c>
      <c r="X322" t="s">
        <v>476</v>
      </c>
      <c r="Y322" t="s">
        <v>436</v>
      </c>
      <c r="Z322">
        <v>100175</v>
      </c>
      <c r="AA322" t="s">
        <v>3081</v>
      </c>
      <c r="AB322" t="s">
        <v>528</v>
      </c>
      <c r="AC322" s="9">
        <f t="shared" ref="AC322:AC385" si="39">COUNTIF(J:J,J322)</f>
        <v>1</v>
      </c>
      <c r="AD322" s="9" t="str">
        <f t="shared" ref="AD322:AD385" si="40">IF(AND(R322="",S322=""),"N/A",IF(R322=S322,"Ok","Check"))</f>
        <v>Check</v>
      </c>
      <c r="AE322" s="11">
        <f t="shared" si="36"/>
        <v>-5.0000000001091394E-3</v>
      </c>
    </row>
    <row r="323" spans="1:31" x14ac:dyDescent="0.3">
      <c r="A323">
        <v>87</v>
      </c>
      <c r="B323">
        <v>4562544</v>
      </c>
      <c r="C323" t="s">
        <v>160</v>
      </c>
      <c r="D323">
        <v>1469829</v>
      </c>
      <c r="E323" t="s">
        <v>224</v>
      </c>
      <c r="F323" t="s">
        <v>20</v>
      </c>
      <c r="G323" t="s">
        <v>2623</v>
      </c>
      <c r="H323" t="s">
        <v>2624</v>
      </c>
      <c r="I323" s="9" t="s">
        <v>3166</v>
      </c>
      <c r="J323" s="9">
        <v>50111827683</v>
      </c>
      <c r="K323" s="14" t="s">
        <v>3168</v>
      </c>
      <c r="L323" s="13" t="s">
        <v>3167</v>
      </c>
      <c r="M323" s="14">
        <v>8000</v>
      </c>
      <c r="N323" s="14">
        <v>0.1094</v>
      </c>
      <c r="O323" s="10">
        <f t="shared" si="37"/>
        <v>875.19999999999993</v>
      </c>
      <c r="P323" s="11">
        <v>0</v>
      </c>
      <c r="Q323" s="11">
        <v>133.47</v>
      </c>
      <c r="R323" s="10">
        <f>IF(COUNTIF($J$2:J323,J323)=1,SUMIFS($O:$O,$J:$J,J323)+SUMIFS($P:$P,$J:$J,J323)+SUMIFS($Q:$Q,$J:$J,J323),"")</f>
        <v>1008.67</v>
      </c>
      <c r="S323" s="10">
        <v>1008.67</v>
      </c>
      <c r="T323" s="11" t="str">
        <f t="shared" ref="T323:T386" si="41">IFERROR(INDEX(AD:AD,MATCH(J323,J:J,0)),"")</f>
        <v>Ok</v>
      </c>
      <c r="U323" s="12">
        <v>46022</v>
      </c>
      <c r="V323" s="10">
        <v>853.47</v>
      </c>
      <c r="W323" s="10" t="str">
        <f t="shared" si="38"/>
        <v>Short Paid</v>
      </c>
      <c r="X323" t="s">
        <v>470</v>
      </c>
      <c r="Y323" t="s">
        <v>28</v>
      </c>
      <c r="Z323">
        <v>100238</v>
      </c>
      <c r="AA323" t="s">
        <v>3078</v>
      </c>
      <c r="AB323" t="s">
        <v>521</v>
      </c>
      <c r="AC323" s="9">
        <f t="shared" si="39"/>
        <v>1</v>
      </c>
      <c r="AD323" s="9" t="str">
        <f t="shared" si="40"/>
        <v>Ok</v>
      </c>
      <c r="AE323" s="11">
        <f t="shared" si="36"/>
        <v>0</v>
      </c>
    </row>
    <row r="324" spans="1:31" x14ac:dyDescent="0.3">
      <c r="A324">
        <v>87</v>
      </c>
      <c r="B324">
        <v>4563100</v>
      </c>
      <c r="C324" t="s">
        <v>160</v>
      </c>
      <c r="D324">
        <v>1963277</v>
      </c>
      <c r="E324" t="s">
        <v>250</v>
      </c>
      <c r="F324" t="s">
        <v>18</v>
      </c>
      <c r="G324" t="s">
        <v>296</v>
      </c>
      <c r="H324" t="s">
        <v>297</v>
      </c>
      <c r="I324" s="9" t="s">
        <v>3202</v>
      </c>
      <c r="J324" s="9">
        <v>51099605481</v>
      </c>
      <c r="K324" s="14" t="s">
        <v>3165</v>
      </c>
      <c r="L324" s="13" t="s">
        <v>4924</v>
      </c>
      <c r="M324" s="14">
        <v>2052</v>
      </c>
      <c r="N324" s="14">
        <v>0.56000000000000005</v>
      </c>
      <c r="O324" s="10">
        <f t="shared" si="37"/>
        <v>1149.1200000000001</v>
      </c>
      <c r="P324" s="11">
        <v>0</v>
      </c>
      <c r="Q324" s="11">
        <v>0</v>
      </c>
      <c r="R324" s="10">
        <f>IF(COUNTIF($J$2:J324,J324)=1,SUMIFS($O:$O,$J:$J,J324)+SUMIFS($P:$P,$J:$J,J324)+SUMIFS($Q:$Q,$J:$J,J324),"")</f>
        <v>1149.1200000000001</v>
      </c>
      <c r="S324">
        <v>105316.12</v>
      </c>
      <c r="T324" s="11" t="str">
        <f t="shared" si="41"/>
        <v>Check</v>
      </c>
      <c r="U324" s="12">
        <v>45995</v>
      </c>
      <c r="V324" s="10">
        <v>572.75</v>
      </c>
      <c r="W324" s="10" t="str">
        <f t="shared" si="38"/>
        <v>Short Paid</v>
      </c>
      <c r="X324" t="s">
        <v>474</v>
      </c>
      <c r="Y324" t="s">
        <v>28</v>
      </c>
      <c r="Z324">
        <v>100279</v>
      </c>
      <c r="AA324" t="s">
        <v>485</v>
      </c>
      <c r="AB324" t="s">
        <v>523</v>
      </c>
      <c r="AC324" s="9">
        <f t="shared" si="39"/>
        <v>1</v>
      </c>
      <c r="AD324" s="9" t="str">
        <f t="shared" si="40"/>
        <v>Check</v>
      </c>
      <c r="AE324" s="11">
        <f t="shared" si="36"/>
        <v>-104167</v>
      </c>
    </row>
    <row r="325" spans="1:31" x14ac:dyDescent="0.3">
      <c r="A325">
        <v>87</v>
      </c>
      <c r="B325">
        <v>4563657</v>
      </c>
      <c r="C325" t="s">
        <v>160</v>
      </c>
      <c r="D325">
        <v>1963277</v>
      </c>
      <c r="E325" t="s">
        <v>250</v>
      </c>
      <c r="F325" t="s">
        <v>18</v>
      </c>
      <c r="G325" t="s">
        <v>2625</v>
      </c>
      <c r="H325" t="s">
        <v>2626</v>
      </c>
      <c r="I325" s="9" t="s">
        <v>3312</v>
      </c>
      <c r="J325" s="9">
        <v>51112141849</v>
      </c>
      <c r="K325" s="14" t="s">
        <v>3314</v>
      </c>
      <c r="L325" s="13" t="s">
        <v>3313</v>
      </c>
      <c r="M325" s="14">
        <v>25</v>
      </c>
      <c r="N325" s="14">
        <v>44.44</v>
      </c>
      <c r="O325" s="10">
        <f t="shared" si="37"/>
        <v>1111</v>
      </c>
      <c r="P325" s="11">
        <v>0</v>
      </c>
      <c r="Q325" s="11">
        <v>0</v>
      </c>
      <c r="R325" s="10">
        <f>IF(COUNTIF($J$2:J325,J325)=1,SUMIFS($O:$O,$J:$J,J325)+SUMIFS($P:$P,$J:$J,J325)+SUMIFS($Q:$Q,$J:$J,J325),"")</f>
        <v>1111</v>
      </c>
      <c r="S325" s="10">
        <v>1111</v>
      </c>
      <c r="T325" s="11" t="str">
        <f t="shared" si="41"/>
        <v>Ok</v>
      </c>
      <c r="U325" s="12">
        <v>45999</v>
      </c>
      <c r="V325" s="10">
        <v>197.15</v>
      </c>
      <c r="W325" s="10" t="str">
        <f t="shared" si="38"/>
        <v>Short Paid</v>
      </c>
      <c r="X325" t="s">
        <v>474</v>
      </c>
      <c r="Y325" t="s">
        <v>28</v>
      </c>
      <c r="Z325">
        <v>100119</v>
      </c>
      <c r="AA325" t="s">
        <v>491</v>
      </c>
      <c r="AB325" t="s">
        <v>523</v>
      </c>
      <c r="AC325" s="9">
        <f t="shared" si="39"/>
        <v>1</v>
      </c>
      <c r="AD325" s="9" t="str">
        <f t="shared" si="40"/>
        <v>Ok</v>
      </c>
      <c r="AE325" s="11">
        <f t="shared" si="36"/>
        <v>0</v>
      </c>
    </row>
    <row r="326" spans="1:31" x14ac:dyDescent="0.3">
      <c r="A326">
        <v>87</v>
      </c>
      <c r="B326">
        <v>4563935</v>
      </c>
      <c r="C326" t="s">
        <v>160</v>
      </c>
      <c r="D326">
        <v>1963277</v>
      </c>
      <c r="E326" t="s">
        <v>250</v>
      </c>
      <c r="F326" t="s">
        <v>18</v>
      </c>
      <c r="G326" t="s">
        <v>292</v>
      </c>
      <c r="H326" t="s">
        <v>293</v>
      </c>
      <c r="I326" s="9" t="s">
        <v>3206</v>
      </c>
      <c r="J326" s="9">
        <v>51113002478</v>
      </c>
      <c r="K326" s="14" t="s">
        <v>3165</v>
      </c>
      <c r="L326" s="13" t="s">
        <v>4922</v>
      </c>
      <c r="M326" s="14">
        <v>660</v>
      </c>
      <c r="N326" s="14">
        <v>0.39</v>
      </c>
      <c r="O326" s="10">
        <f t="shared" si="37"/>
        <v>257.40000000000003</v>
      </c>
      <c r="P326" s="11">
        <v>0</v>
      </c>
      <c r="Q326" s="11">
        <v>0</v>
      </c>
      <c r="R326" s="10">
        <f>IF(COUNTIF($J$2:J326,J326)=1,SUMIFS($O:$O,$J:$J,J326)+SUMIFS($P:$P,$J:$J,J326)+SUMIFS($Q:$Q,$J:$J,J326),"")</f>
        <v>257.40000000000003</v>
      </c>
      <c r="S326">
        <v>1393.45</v>
      </c>
      <c r="T326" s="11" t="str">
        <f t="shared" si="41"/>
        <v>Check</v>
      </c>
      <c r="U326" s="12">
        <v>45995</v>
      </c>
      <c r="V326" s="10">
        <v>169.89</v>
      </c>
      <c r="W326" s="10" t="str">
        <f t="shared" si="38"/>
        <v>Short Paid</v>
      </c>
      <c r="X326" t="s">
        <v>474</v>
      </c>
      <c r="Y326" t="s">
        <v>28</v>
      </c>
      <c r="Z326">
        <v>100129</v>
      </c>
      <c r="AA326" t="s">
        <v>495</v>
      </c>
      <c r="AB326" t="s">
        <v>523</v>
      </c>
      <c r="AC326" s="9">
        <f t="shared" si="39"/>
        <v>1</v>
      </c>
      <c r="AD326" s="9" t="str">
        <f t="shared" si="40"/>
        <v>Check</v>
      </c>
      <c r="AE326" s="11">
        <f t="shared" si="36"/>
        <v>-1136.05</v>
      </c>
    </row>
    <row r="327" spans="1:31" x14ac:dyDescent="0.3">
      <c r="A327">
        <v>86</v>
      </c>
      <c r="B327">
        <v>4566718</v>
      </c>
      <c r="C327" t="s">
        <v>160</v>
      </c>
      <c r="D327">
        <v>1142492</v>
      </c>
      <c r="E327" t="s">
        <v>548</v>
      </c>
      <c r="F327" t="s">
        <v>20</v>
      </c>
      <c r="G327" t="s">
        <v>2627</v>
      </c>
      <c r="H327" t="s">
        <v>2628</v>
      </c>
      <c r="I327" s="9" t="s">
        <v>3172</v>
      </c>
      <c r="J327" s="9">
        <v>50112882938</v>
      </c>
      <c r="K327" s="14" t="s">
        <v>3174</v>
      </c>
      <c r="L327" s="13" t="s">
        <v>3173</v>
      </c>
      <c r="M327" s="14">
        <v>50</v>
      </c>
      <c r="N327" s="14">
        <v>0.19</v>
      </c>
      <c r="O327" s="10">
        <f t="shared" si="37"/>
        <v>9.5</v>
      </c>
      <c r="P327" s="11">
        <v>0</v>
      </c>
      <c r="Q327" s="11">
        <v>0</v>
      </c>
      <c r="R327" s="10">
        <f>IF(COUNTIF($J$2:J327,J327)=1,SUMIFS($O:$O,$J:$J,J327)+SUMIFS($P:$P,$J:$J,J327)+SUMIFS($Q:$Q,$J:$J,J327),"")</f>
        <v>9.5</v>
      </c>
      <c r="S327" s="10">
        <v>9.5</v>
      </c>
      <c r="T327" s="11" t="str">
        <f t="shared" si="41"/>
        <v>Ok</v>
      </c>
      <c r="U327" s="12">
        <v>46021</v>
      </c>
      <c r="V327" s="10">
        <v>9.5</v>
      </c>
      <c r="W327" s="10" t="str">
        <f t="shared" si="38"/>
        <v>Not Paid</v>
      </c>
      <c r="X327" t="s">
        <v>470</v>
      </c>
      <c r="Y327" t="s">
        <v>28</v>
      </c>
      <c r="Z327">
        <v>100128</v>
      </c>
      <c r="AA327" t="s">
        <v>508</v>
      </c>
      <c r="AB327" t="s">
        <v>521</v>
      </c>
      <c r="AC327" s="9">
        <f t="shared" si="39"/>
        <v>1</v>
      </c>
      <c r="AD327" s="9" t="str">
        <f t="shared" si="40"/>
        <v>Ok</v>
      </c>
      <c r="AE327" s="11">
        <f t="shared" si="36"/>
        <v>0</v>
      </c>
    </row>
    <row r="328" spans="1:31" x14ac:dyDescent="0.3">
      <c r="A328">
        <v>86</v>
      </c>
      <c r="B328">
        <v>4568666</v>
      </c>
      <c r="C328" t="s">
        <v>56</v>
      </c>
      <c r="D328">
        <v>1588891</v>
      </c>
      <c r="E328" t="s">
        <v>61</v>
      </c>
      <c r="F328" t="s">
        <v>19</v>
      </c>
      <c r="G328" t="s">
        <v>2631</v>
      </c>
      <c r="H328" t="s">
        <v>2632</v>
      </c>
      <c r="I328" s="9" t="s">
        <v>3202</v>
      </c>
      <c r="J328" s="9">
        <v>51120924361</v>
      </c>
      <c r="K328" s="14" t="s">
        <v>3177</v>
      </c>
      <c r="L328" s="13" t="s">
        <v>3176</v>
      </c>
      <c r="M328" s="14">
        <v>6000</v>
      </c>
      <c r="N328" s="14">
        <v>6.5799999999999997E-2</v>
      </c>
      <c r="O328" s="10">
        <f t="shared" si="37"/>
        <v>394.8</v>
      </c>
      <c r="P328" s="11">
        <v>0</v>
      </c>
      <c r="Q328" s="11">
        <v>0</v>
      </c>
      <c r="R328" s="10">
        <f>IF(COUNTIF($J$2:J328,J328)=1,SUMIFS($O:$O,$J:$J,J328)+SUMIFS($P:$P,$J:$J,J328)+SUMIFS($Q:$Q,$J:$J,J328),"")</f>
        <v>394.8</v>
      </c>
      <c r="S328" s="10">
        <v>394.8</v>
      </c>
      <c r="T328" s="11" t="str">
        <f t="shared" si="41"/>
        <v>Ok</v>
      </c>
      <c r="U328" s="12">
        <v>45695</v>
      </c>
      <c r="V328" s="10">
        <v>394.8</v>
      </c>
      <c r="W328" s="10" t="str">
        <f t="shared" si="38"/>
        <v>Not Paid</v>
      </c>
      <c r="X328" t="s">
        <v>438</v>
      </c>
      <c r="Y328" t="s">
        <v>28</v>
      </c>
      <c r="Z328">
        <v>100273</v>
      </c>
      <c r="AA328" t="s">
        <v>444</v>
      </c>
      <c r="AB328" t="s">
        <v>524</v>
      </c>
      <c r="AC328" s="9">
        <f t="shared" si="39"/>
        <v>1</v>
      </c>
      <c r="AD328" s="9" t="str">
        <f t="shared" si="40"/>
        <v>Ok</v>
      </c>
      <c r="AE328" s="11">
        <f t="shared" si="36"/>
        <v>0</v>
      </c>
    </row>
    <row r="329" spans="1:31" x14ac:dyDescent="0.3">
      <c r="A329">
        <v>86</v>
      </c>
      <c r="B329">
        <v>4570057</v>
      </c>
      <c r="C329" t="s">
        <v>56</v>
      </c>
      <c r="D329">
        <v>1588891</v>
      </c>
      <c r="E329" t="s">
        <v>61</v>
      </c>
      <c r="F329" t="s">
        <v>19</v>
      </c>
      <c r="G329" t="s">
        <v>2633</v>
      </c>
      <c r="H329" t="s">
        <v>2634</v>
      </c>
      <c r="I329" s="9" t="s">
        <v>3242</v>
      </c>
      <c r="J329" s="9">
        <v>51122003446</v>
      </c>
      <c r="K329" s="14" t="s">
        <v>3177</v>
      </c>
      <c r="L329" s="13" t="s">
        <v>3176</v>
      </c>
      <c r="M329" s="14">
        <v>4000</v>
      </c>
      <c r="N329" s="14">
        <v>6.5799999999999997E-2</v>
      </c>
      <c r="O329" s="10">
        <f t="shared" si="37"/>
        <v>263.2</v>
      </c>
      <c r="P329" s="11">
        <v>0</v>
      </c>
      <c r="Q329" s="11">
        <v>0</v>
      </c>
      <c r="R329" s="10">
        <f>IF(COUNTIF($J$2:J329,J329)=1,SUMIFS($O:$O,$J:$J,J329)+SUMIFS($P:$P,$J:$J,J329)+SUMIFS($Q:$Q,$J:$J,J329),"")</f>
        <v>263.2</v>
      </c>
      <c r="S329" s="10">
        <v>263.2</v>
      </c>
      <c r="T329" s="11" t="str">
        <f t="shared" si="41"/>
        <v>Ok</v>
      </c>
      <c r="U329" s="12">
        <v>45755</v>
      </c>
      <c r="V329" s="10">
        <v>263.2</v>
      </c>
      <c r="W329" s="10" t="str">
        <f t="shared" si="38"/>
        <v>Not Paid</v>
      </c>
      <c r="X329" t="s">
        <v>438</v>
      </c>
      <c r="Y329" t="s">
        <v>28</v>
      </c>
      <c r="Z329">
        <v>100163</v>
      </c>
      <c r="AA329" t="s">
        <v>443</v>
      </c>
      <c r="AB329" t="s">
        <v>524</v>
      </c>
      <c r="AC329" s="9">
        <f t="shared" si="39"/>
        <v>1</v>
      </c>
      <c r="AD329" s="9" t="str">
        <f t="shared" si="40"/>
        <v>Ok</v>
      </c>
      <c r="AE329" s="11">
        <f t="shared" si="36"/>
        <v>0</v>
      </c>
    </row>
    <row r="330" spans="1:31" x14ac:dyDescent="0.3">
      <c r="A330">
        <v>86</v>
      </c>
      <c r="B330">
        <v>4570614</v>
      </c>
      <c r="C330" t="s">
        <v>56</v>
      </c>
      <c r="D330">
        <v>1588891</v>
      </c>
      <c r="E330" t="s">
        <v>61</v>
      </c>
      <c r="F330" t="s">
        <v>19</v>
      </c>
      <c r="G330" t="s">
        <v>2635</v>
      </c>
      <c r="H330" t="s">
        <v>2636</v>
      </c>
      <c r="I330" s="9" t="s">
        <v>3175</v>
      </c>
      <c r="J330" s="9">
        <v>50113414254</v>
      </c>
      <c r="K330" s="14" t="s">
        <v>3177</v>
      </c>
      <c r="L330" s="13" t="s">
        <v>3176</v>
      </c>
      <c r="M330" s="14">
        <v>8000</v>
      </c>
      <c r="N330" s="14">
        <v>6.5799999999999997E-2</v>
      </c>
      <c r="O330" s="10">
        <f t="shared" si="37"/>
        <v>526.4</v>
      </c>
      <c r="P330" s="11">
        <v>0</v>
      </c>
      <c r="Q330" s="11">
        <v>0</v>
      </c>
      <c r="R330" s="10">
        <f>IF(COUNTIF($J$2:J330,J330)=1,SUMIFS($O:$O,$J:$J,J330)+SUMIFS($P:$P,$J:$J,J330)+SUMIFS($Q:$Q,$J:$J,J330),"")</f>
        <v>526.4</v>
      </c>
      <c r="S330" s="10">
        <v>526.4</v>
      </c>
      <c r="T330" s="11" t="str">
        <f t="shared" si="41"/>
        <v>Ok</v>
      </c>
      <c r="U330" s="12">
        <v>45849</v>
      </c>
      <c r="V330" s="10">
        <v>526.4</v>
      </c>
      <c r="W330" s="10" t="str">
        <f t="shared" si="38"/>
        <v>Not Paid</v>
      </c>
      <c r="X330" t="s">
        <v>438</v>
      </c>
      <c r="Y330" t="s">
        <v>28</v>
      </c>
      <c r="Z330">
        <v>100203</v>
      </c>
      <c r="AA330" t="s">
        <v>441</v>
      </c>
      <c r="AB330" t="s">
        <v>524</v>
      </c>
      <c r="AC330" s="9">
        <f t="shared" si="39"/>
        <v>1</v>
      </c>
      <c r="AD330" s="9" t="str">
        <f t="shared" si="40"/>
        <v>Ok</v>
      </c>
      <c r="AE330" s="11">
        <f t="shared" ref="AE330:AE342" si="42">R330-S330</f>
        <v>0</v>
      </c>
    </row>
    <row r="331" spans="1:31" x14ac:dyDescent="0.3">
      <c r="A331">
        <v>86</v>
      </c>
      <c r="B331">
        <v>4570892</v>
      </c>
      <c r="C331" t="s">
        <v>56</v>
      </c>
      <c r="D331">
        <v>1588891</v>
      </c>
      <c r="E331" t="s">
        <v>61</v>
      </c>
      <c r="F331" t="s">
        <v>19</v>
      </c>
      <c r="G331" t="s">
        <v>2637</v>
      </c>
      <c r="H331" t="s">
        <v>2638</v>
      </c>
      <c r="I331" s="9" t="s">
        <v>3305</v>
      </c>
      <c r="J331" s="9">
        <v>51123760953</v>
      </c>
      <c r="K331" s="14" t="s">
        <v>3168</v>
      </c>
      <c r="L331" s="13" t="s">
        <v>3321</v>
      </c>
      <c r="M331" s="14">
        <v>63000</v>
      </c>
      <c r="N331" s="14">
        <v>1.418E-2</v>
      </c>
      <c r="O331" s="10">
        <f t="shared" si="37"/>
        <v>893.34</v>
      </c>
      <c r="P331" s="11">
        <v>0</v>
      </c>
      <c r="Q331" s="11">
        <v>0</v>
      </c>
      <c r="R331" s="10">
        <f>IF(COUNTIF($J$2:J331,J331)=1,SUMIFS($O:$O,$J:$J,J331)+SUMIFS($P:$P,$J:$J,J331)+SUMIFS($Q:$Q,$J:$J,J331),"")</f>
        <v>893.34</v>
      </c>
      <c r="S331" s="10">
        <v>893.34</v>
      </c>
      <c r="T331" s="11" t="str">
        <f t="shared" si="41"/>
        <v>Ok</v>
      </c>
      <c r="U331" s="12">
        <v>45730</v>
      </c>
      <c r="V331" s="10">
        <v>893.34</v>
      </c>
      <c r="W331" s="10" t="str">
        <f t="shared" si="38"/>
        <v>Not Paid</v>
      </c>
      <c r="X331" t="s">
        <v>438</v>
      </c>
      <c r="Y331" t="s">
        <v>28</v>
      </c>
      <c r="Z331">
        <v>100233</v>
      </c>
      <c r="AA331" t="s">
        <v>448</v>
      </c>
      <c r="AB331" t="s">
        <v>524</v>
      </c>
      <c r="AC331" s="9">
        <f t="shared" si="39"/>
        <v>1</v>
      </c>
      <c r="AD331" s="9" t="str">
        <f t="shared" si="40"/>
        <v>Ok</v>
      </c>
      <c r="AE331" s="11">
        <f t="shared" si="42"/>
        <v>0</v>
      </c>
    </row>
    <row r="332" spans="1:31" x14ac:dyDescent="0.3">
      <c r="A332">
        <v>86</v>
      </c>
      <c r="B332">
        <v>4575623</v>
      </c>
      <c r="C332" t="s">
        <v>56</v>
      </c>
      <c r="D332">
        <v>1588891</v>
      </c>
      <c r="E332" t="s">
        <v>61</v>
      </c>
      <c r="F332" t="s">
        <v>19</v>
      </c>
      <c r="G332" t="s">
        <v>2639</v>
      </c>
      <c r="H332" t="s">
        <v>2640</v>
      </c>
      <c r="I332" s="9" t="s">
        <v>3344</v>
      </c>
      <c r="J332" s="9">
        <v>51129178086</v>
      </c>
      <c r="K332" s="14" t="s">
        <v>3209</v>
      </c>
      <c r="L332" s="13" t="s">
        <v>3345</v>
      </c>
      <c r="M332" s="14">
        <v>1</v>
      </c>
      <c r="N332" s="14">
        <v>650</v>
      </c>
      <c r="O332" s="10">
        <f t="shared" si="37"/>
        <v>650</v>
      </c>
      <c r="P332" s="11">
        <v>0</v>
      </c>
      <c r="Q332" s="11">
        <v>0</v>
      </c>
      <c r="R332" s="10">
        <f>IF(COUNTIF($J$2:J332,J332)=1,SUMIFS($O:$O,$J:$J,J332)+SUMIFS($P:$P,$J:$J,J332)+SUMIFS($Q:$Q,$J:$J,J332),"")</f>
        <v>650</v>
      </c>
      <c r="S332" s="10">
        <v>650</v>
      </c>
      <c r="T332" s="11" t="str">
        <f t="shared" si="41"/>
        <v>Ok</v>
      </c>
      <c r="U332" s="12">
        <v>45770</v>
      </c>
      <c r="V332" s="10">
        <v>650</v>
      </c>
      <c r="W332" s="10" t="str">
        <f t="shared" si="38"/>
        <v>Not Paid</v>
      </c>
      <c r="X332" t="s">
        <v>438</v>
      </c>
      <c r="Y332" t="s">
        <v>28</v>
      </c>
      <c r="Z332">
        <v>100163</v>
      </c>
      <c r="AA332" t="s">
        <v>443</v>
      </c>
      <c r="AB332" t="s">
        <v>524</v>
      </c>
      <c r="AC332" s="9">
        <f t="shared" si="39"/>
        <v>1</v>
      </c>
      <c r="AD332" s="9" t="str">
        <f t="shared" si="40"/>
        <v>Ok</v>
      </c>
      <c r="AE332" s="11">
        <f t="shared" si="42"/>
        <v>0</v>
      </c>
    </row>
    <row r="333" spans="1:31" x14ac:dyDescent="0.3">
      <c r="A333">
        <v>86</v>
      </c>
      <c r="B333">
        <v>4576458</v>
      </c>
      <c r="C333" t="s">
        <v>56</v>
      </c>
      <c r="D333">
        <v>1588891</v>
      </c>
      <c r="E333" t="s">
        <v>61</v>
      </c>
      <c r="F333" t="s">
        <v>19</v>
      </c>
      <c r="G333" t="s">
        <v>2641</v>
      </c>
      <c r="H333" t="s">
        <v>2642</v>
      </c>
      <c r="I333" s="9" t="s">
        <v>3178</v>
      </c>
      <c r="J333" s="9">
        <v>50114196653</v>
      </c>
      <c r="K333" s="14" t="s">
        <v>3180</v>
      </c>
      <c r="L333" s="13" t="s">
        <v>3179</v>
      </c>
      <c r="M333" s="14">
        <v>16000</v>
      </c>
      <c r="N333" s="14">
        <v>1.0660000000000001</v>
      </c>
      <c r="O333" s="10">
        <f t="shared" si="37"/>
        <v>17056</v>
      </c>
      <c r="P333" s="11">
        <v>0</v>
      </c>
      <c r="Q333" s="11">
        <v>0</v>
      </c>
      <c r="R333" s="10">
        <f>IF(COUNTIF($J$2:J333,J333)=1,SUMIFS($O:$O,$J:$J,J333)+SUMIFS($P:$P,$J:$J,J333)+SUMIFS($Q:$Q,$J:$J,J333),"")</f>
        <v>17056</v>
      </c>
      <c r="S333" s="10">
        <v>17056</v>
      </c>
      <c r="T333" s="11" t="str">
        <f t="shared" si="41"/>
        <v>Ok</v>
      </c>
      <c r="U333" s="12">
        <v>45822</v>
      </c>
      <c r="V333" s="10">
        <v>17056</v>
      </c>
      <c r="W333" s="10" t="str">
        <f t="shared" si="38"/>
        <v>Not Paid</v>
      </c>
      <c r="X333" t="s">
        <v>438</v>
      </c>
      <c r="Y333" t="s">
        <v>28</v>
      </c>
      <c r="Z333">
        <v>100233</v>
      </c>
      <c r="AA333" t="s">
        <v>448</v>
      </c>
      <c r="AB333" t="s">
        <v>524</v>
      </c>
      <c r="AC333" s="9">
        <f t="shared" si="39"/>
        <v>1</v>
      </c>
      <c r="AD333" s="9" t="str">
        <f t="shared" si="40"/>
        <v>Ok</v>
      </c>
      <c r="AE333" s="11">
        <f t="shared" si="42"/>
        <v>0</v>
      </c>
    </row>
    <row r="334" spans="1:31" x14ac:dyDescent="0.3">
      <c r="A334">
        <v>86</v>
      </c>
      <c r="B334">
        <v>4577015</v>
      </c>
      <c r="C334" t="s">
        <v>56</v>
      </c>
      <c r="D334">
        <v>1588891</v>
      </c>
      <c r="E334" t="s">
        <v>61</v>
      </c>
      <c r="F334" t="s">
        <v>19</v>
      </c>
      <c r="G334" t="s">
        <v>2643</v>
      </c>
      <c r="H334" t="s">
        <v>2644</v>
      </c>
      <c r="I334" s="9" t="s">
        <v>3347</v>
      </c>
      <c r="J334" s="9">
        <v>51129897971</v>
      </c>
      <c r="K334" s="14" t="s">
        <v>3168</v>
      </c>
      <c r="L334" s="13" t="s">
        <v>3321</v>
      </c>
      <c r="M334" s="14">
        <v>15000</v>
      </c>
      <c r="N334" s="14">
        <v>1.09E-2</v>
      </c>
      <c r="O334" s="10">
        <f t="shared" si="37"/>
        <v>163.5</v>
      </c>
      <c r="P334" s="11">
        <v>0</v>
      </c>
      <c r="Q334" s="11">
        <v>0</v>
      </c>
      <c r="R334" s="10">
        <f>IF(COUNTIF($J$2:J334,J334)=1,SUMIFS($O:$O,$J:$J,J334)+SUMIFS($P:$P,$J:$J,J334)+SUMIFS($Q:$Q,$J:$J,J334),"")</f>
        <v>163.5</v>
      </c>
      <c r="S334" s="10">
        <v>163.5</v>
      </c>
      <c r="T334" s="11" t="str">
        <f t="shared" si="41"/>
        <v>Ok</v>
      </c>
      <c r="U334" s="12">
        <v>45678</v>
      </c>
      <c r="V334" s="10">
        <v>163.5</v>
      </c>
      <c r="W334" s="10" t="str">
        <f t="shared" si="38"/>
        <v>Not Paid</v>
      </c>
      <c r="X334" t="s">
        <v>438</v>
      </c>
      <c r="Y334" t="s">
        <v>28</v>
      </c>
      <c r="Z334">
        <v>100273</v>
      </c>
      <c r="AA334" t="s">
        <v>444</v>
      </c>
      <c r="AB334" t="s">
        <v>524</v>
      </c>
      <c r="AC334" s="9">
        <f t="shared" si="39"/>
        <v>1</v>
      </c>
      <c r="AD334" s="9" t="str">
        <f t="shared" si="40"/>
        <v>Ok</v>
      </c>
      <c r="AE334" s="11">
        <f t="shared" si="42"/>
        <v>0</v>
      </c>
    </row>
    <row r="335" spans="1:31" x14ac:dyDescent="0.3">
      <c r="A335">
        <v>85</v>
      </c>
      <c r="B335">
        <v>4578963</v>
      </c>
      <c r="C335" t="s">
        <v>239</v>
      </c>
      <c r="D335">
        <v>1508228</v>
      </c>
      <c r="E335" t="s">
        <v>675</v>
      </c>
      <c r="F335" t="s">
        <v>20</v>
      </c>
      <c r="G335" t="s">
        <v>2647</v>
      </c>
      <c r="H335" t="s">
        <v>2648</v>
      </c>
      <c r="I335" s="9" t="s">
        <v>3169</v>
      </c>
      <c r="J335" s="9">
        <v>51128896174</v>
      </c>
      <c r="K335" s="14" t="s">
        <v>3341</v>
      </c>
      <c r="L335" s="13" t="s">
        <v>3340</v>
      </c>
      <c r="M335" s="14">
        <v>288</v>
      </c>
      <c r="N335" s="14">
        <v>1.5</v>
      </c>
      <c r="O335" s="10">
        <f t="shared" si="37"/>
        <v>432</v>
      </c>
      <c r="P335" s="11">
        <v>0</v>
      </c>
      <c r="Q335" s="11">
        <v>369.79</v>
      </c>
      <c r="R335" s="10">
        <f>IF(COUNTIF($J$2:J335,J335)=1,SUMIFS($O:$O,$J:$J,J335)+SUMIFS($P:$P,$J:$J,J335)+SUMIFS($Q:$Q,$J:$J,J335),"")</f>
        <v>801.79</v>
      </c>
      <c r="S335" s="10">
        <v>801.79</v>
      </c>
      <c r="T335" s="11" t="str">
        <f t="shared" si="41"/>
        <v>Ok</v>
      </c>
      <c r="U335" s="12">
        <v>46038</v>
      </c>
      <c r="V335" s="10">
        <v>801.79</v>
      </c>
      <c r="W335" s="10" t="str">
        <f t="shared" si="38"/>
        <v>Not Paid</v>
      </c>
      <c r="X335" t="s">
        <v>476</v>
      </c>
      <c r="Y335" t="s">
        <v>28</v>
      </c>
      <c r="Z335">
        <v>100205</v>
      </c>
      <c r="AA335" t="s">
        <v>3075</v>
      </c>
      <c r="AB335" t="s">
        <v>521</v>
      </c>
      <c r="AC335" s="9">
        <f t="shared" si="39"/>
        <v>1</v>
      </c>
      <c r="AD335" s="9" t="str">
        <f t="shared" si="40"/>
        <v>Ok</v>
      </c>
      <c r="AE335" s="11">
        <f t="shared" si="42"/>
        <v>0</v>
      </c>
    </row>
    <row r="336" spans="1:31" x14ac:dyDescent="0.3">
      <c r="A336">
        <v>85</v>
      </c>
      <c r="B336">
        <v>4580076</v>
      </c>
      <c r="C336" t="s">
        <v>160</v>
      </c>
      <c r="D336">
        <v>1470631</v>
      </c>
      <c r="E336" t="s">
        <v>214</v>
      </c>
      <c r="F336" t="s">
        <v>20</v>
      </c>
      <c r="G336" t="s">
        <v>2649</v>
      </c>
      <c r="H336" t="s">
        <v>2650</v>
      </c>
      <c r="I336" s="9" t="s">
        <v>3359</v>
      </c>
      <c r="J336" s="9">
        <v>51133735390</v>
      </c>
      <c r="K336" s="14" t="s">
        <v>3209</v>
      </c>
      <c r="L336" s="13" t="s">
        <v>3360</v>
      </c>
      <c r="M336" s="14">
        <v>10000</v>
      </c>
      <c r="N336" s="14">
        <v>6.1000000000000004E-3</v>
      </c>
      <c r="O336" s="10">
        <f t="shared" si="37"/>
        <v>61.000000000000007</v>
      </c>
      <c r="P336" s="11">
        <v>0</v>
      </c>
      <c r="Q336" s="11">
        <v>0</v>
      </c>
      <c r="R336" s="10">
        <f>IF(COUNTIF($J$2:J336,J336)=1,SUMIFS($O:$O,$J:$J,J336)+SUMIFS($P:$P,$J:$J,J336)+SUMIFS($Q:$Q,$J:$J,J336),"")</f>
        <v>61.000000000000007</v>
      </c>
      <c r="S336" s="10">
        <v>61</v>
      </c>
      <c r="T336" s="11" t="str">
        <f t="shared" si="41"/>
        <v>Ok</v>
      </c>
      <c r="U336" s="12">
        <v>45659</v>
      </c>
      <c r="V336" s="10">
        <v>61</v>
      </c>
      <c r="W336" s="10" t="str">
        <f t="shared" si="38"/>
        <v>Not Paid</v>
      </c>
      <c r="X336" t="s">
        <v>450</v>
      </c>
      <c r="Y336" t="s">
        <v>28</v>
      </c>
      <c r="Z336">
        <v>100287</v>
      </c>
      <c r="AA336" t="s">
        <v>503</v>
      </c>
      <c r="AB336" t="s">
        <v>521</v>
      </c>
      <c r="AC336" s="9">
        <f t="shared" si="39"/>
        <v>1</v>
      </c>
      <c r="AD336" s="9" t="str">
        <f t="shared" si="40"/>
        <v>Ok</v>
      </c>
      <c r="AE336" s="11">
        <f t="shared" si="42"/>
        <v>0</v>
      </c>
    </row>
    <row r="337" spans="1:31" x14ac:dyDescent="0.3">
      <c r="A337">
        <v>85</v>
      </c>
      <c r="B337">
        <v>4580354</v>
      </c>
      <c r="C337" t="s">
        <v>160</v>
      </c>
      <c r="D337">
        <v>1470631</v>
      </c>
      <c r="E337" t="s">
        <v>214</v>
      </c>
      <c r="F337" t="s">
        <v>20</v>
      </c>
      <c r="G337" t="s">
        <v>2651</v>
      </c>
      <c r="H337" t="s">
        <v>2652</v>
      </c>
      <c r="I337" s="9" t="s">
        <v>3250</v>
      </c>
      <c r="J337" s="9">
        <v>51133813969</v>
      </c>
      <c r="K337" s="14" t="s">
        <v>3364</v>
      </c>
      <c r="L337" s="13" t="s">
        <v>3363</v>
      </c>
      <c r="M337" s="14">
        <v>12</v>
      </c>
      <c r="N337" s="14">
        <v>3.78</v>
      </c>
      <c r="O337" s="10">
        <f t="shared" si="37"/>
        <v>45.36</v>
      </c>
      <c r="P337" s="11">
        <v>0</v>
      </c>
      <c r="Q337" s="11">
        <v>0</v>
      </c>
      <c r="R337" s="10">
        <f>IF(COUNTIF($J$2:J337,J337)=1,SUMIFS($O:$O,$J:$J,J337)+SUMIFS($P:$P,$J:$J,J337)+SUMIFS($Q:$Q,$J:$J,J337),"")</f>
        <v>45.36</v>
      </c>
      <c r="S337" s="10">
        <v>90.72</v>
      </c>
      <c r="T337" s="11" t="str">
        <f t="shared" si="41"/>
        <v>Check</v>
      </c>
      <c r="U337" s="12">
        <v>45659</v>
      </c>
      <c r="V337" s="10">
        <v>90.72</v>
      </c>
      <c r="W337" s="10" t="str">
        <f t="shared" si="38"/>
        <v>Not Paid</v>
      </c>
      <c r="X337" t="s">
        <v>450</v>
      </c>
      <c r="Y337" t="s">
        <v>28</v>
      </c>
      <c r="Z337">
        <v>100117</v>
      </c>
      <c r="AA337" t="s">
        <v>451</v>
      </c>
      <c r="AB337" t="s">
        <v>521</v>
      </c>
      <c r="AC337" s="9">
        <f t="shared" si="39"/>
        <v>1</v>
      </c>
      <c r="AD337" s="9" t="str">
        <f t="shared" si="40"/>
        <v>Check</v>
      </c>
      <c r="AE337" s="11">
        <f t="shared" si="42"/>
        <v>-45.36</v>
      </c>
    </row>
    <row r="338" spans="1:31" x14ac:dyDescent="0.3">
      <c r="A338">
        <v>85</v>
      </c>
      <c r="B338">
        <v>4609017</v>
      </c>
      <c r="C338" t="s">
        <v>217</v>
      </c>
      <c r="D338">
        <v>1208231</v>
      </c>
      <c r="E338" t="s">
        <v>288</v>
      </c>
      <c r="F338" t="s">
        <v>19</v>
      </c>
      <c r="G338" t="s">
        <v>289</v>
      </c>
      <c r="H338" t="s">
        <v>290</v>
      </c>
      <c r="I338" s="9" t="s">
        <v>3446</v>
      </c>
      <c r="J338" s="9">
        <v>51137561136</v>
      </c>
      <c r="K338" s="14" t="s">
        <v>3165</v>
      </c>
      <c r="L338" s="13" t="s">
        <v>4935</v>
      </c>
      <c r="M338" s="14">
        <v>1500</v>
      </c>
      <c r="N338" s="14">
        <v>7.984</v>
      </c>
      <c r="O338" s="10">
        <f t="shared" si="37"/>
        <v>11976</v>
      </c>
      <c r="P338" s="11">
        <v>453.65000000000003</v>
      </c>
      <c r="Q338" s="11">
        <v>56.43</v>
      </c>
      <c r="R338" s="10">
        <f>IF(COUNTIF($J$2:J338,J338)=1,SUMIFS($O:$O,$J:$J,J338)+SUMIFS($P:$P,$J:$J,J338)+SUMIFS($Q:$Q,$J:$J,J338),"")</f>
        <v>12486.08</v>
      </c>
      <c r="S338">
        <v>14138.48</v>
      </c>
      <c r="T338" s="11" t="str">
        <f t="shared" si="41"/>
        <v>Check</v>
      </c>
      <c r="U338" s="12">
        <v>45924</v>
      </c>
      <c r="V338" s="10">
        <v>12486.08</v>
      </c>
      <c r="W338" s="10" t="str">
        <f t="shared" si="38"/>
        <v>Short Paid</v>
      </c>
      <c r="X338" t="s">
        <v>450</v>
      </c>
      <c r="Y338" t="s">
        <v>28</v>
      </c>
      <c r="Z338">
        <v>100167</v>
      </c>
      <c r="AA338" t="s">
        <v>499</v>
      </c>
      <c r="AB338" t="s">
        <v>524</v>
      </c>
      <c r="AC338" s="9">
        <f t="shared" si="39"/>
        <v>1</v>
      </c>
      <c r="AD338" s="9" t="str">
        <f t="shared" si="40"/>
        <v>Check</v>
      </c>
      <c r="AE338" s="11">
        <f t="shared" si="42"/>
        <v>-1652.3999999999996</v>
      </c>
    </row>
    <row r="339" spans="1:31" x14ac:dyDescent="0.3">
      <c r="A339">
        <v>84</v>
      </c>
      <c r="B339">
        <v>4590094</v>
      </c>
      <c r="C339" t="s">
        <v>167</v>
      </c>
      <c r="D339">
        <v>1235549</v>
      </c>
      <c r="E339" t="s">
        <v>168</v>
      </c>
      <c r="F339" t="s">
        <v>20</v>
      </c>
      <c r="G339" t="s">
        <v>2662</v>
      </c>
      <c r="H339" t="s">
        <v>2663</v>
      </c>
      <c r="I339" s="9" t="s">
        <v>3357</v>
      </c>
      <c r="J339" s="9">
        <v>51133609324</v>
      </c>
      <c r="K339" s="14" t="s">
        <v>3165</v>
      </c>
      <c r="L339" s="13" t="s">
        <v>3358</v>
      </c>
      <c r="M339" s="14">
        <v>3</v>
      </c>
      <c r="N339" s="14">
        <v>104.05</v>
      </c>
      <c r="O339" s="10">
        <f t="shared" si="37"/>
        <v>312.14999999999998</v>
      </c>
      <c r="P339" s="11">
        <v>0</v>
      </c>
      <c r="Q339" s="11">
        <v>0</v>
      </c>
      <c r="R339" s="10">
        <f>IF(COUNTIF($J$2:J339,J339)=1,SUMIFS($O:$O,$J:$J,J339)+SUMIFS($P:$P,$J:$J,J339)+SUMIFS($Q:$Q,$J:$J,J339),"")</f>
        <v>312.14999999999998</v>
      </c>
      <c r="S339" s="10">
        <v>312.14999999999998</v>
      </c>
      <c r="T339" s="11" t="str">
        <f t="shared" si="41"/>
        <v>Ok</v>
      </c>
      <c r="U339" s="12">
        <v>45496</v>
      </c>
      <c r="V339" s="10">
        <v>312.14999999999998</v>
      </c>
      <c r="W339" s="10" t="str">
        <f t="shared" si="38"/>
        <v>Not Paid</v>
      </c>
      <c r="X339" t="s">
        <v>455</v>
      </c>
      <c r="Y339" t="s">
        <v>28</v>
      </c>
      <c r="Z339">
        <v>100200</v>
      </c>
      <c r="AA339" t="s">
        <v>461</v>
      </c>
      <c r="AB339" t="s">
        <v>521</v>
      </c>
      <c r="AC339" s="9">
        <f t="shared" si="39"/>
        <v>1</v>
      </c>
      <c r="AD339" s="9" t="str">
        <f t="shared" si="40"/>
        <v>Ok</v>
      </c>
      <c r="AE339" s="11">
        <f t="shared" si="42"/>
        <v>0</v>
      </c>
    </row>
    <row r="340" spans="1:31" x14ac:dyDescent="0.3">
      <c r="A340">
        <v>84</v>
      </c>
      <c r="B340">
        <v>4590372</v>
      </c>
      <c r="C340" t="s">
        <v>167</v>
      </c>
      <c r="D340">
        <v>1235549</v>
      </c>
      <c r="E340" t="s">
        <v>168</v>
      </c>
      <c r="F340" t="s">
        <v>20</v>
      </c>
      <c r="G340" t="s">
        <v>2664</v>
      </c>
      <c r="H340" t="s">
        <v>2665</v>
      </c>
      <c r="I340" s="9" t="s">
        <v>3242</v>
      </c>
      <c r="J340" s="9">
        <v>51133796393</v>
      </c>
      <c r="K340" s="14" t="s">
        <v>3165</v>
      </c>
      <c r="L340" s="13" t="s">
        <v>3358</v>
      </c>
      <c r="M340" s="14">
        <v>3</v>
      </c>
      <c r="N340" s="14">
        <v>104.05</v>
      </c>
      <c r="O340" s="10">
        <f t="shared" si="37"/>
        <v>312.14999999999998</v>
      </c>
      <c r="P340" s="11">
        <v>0</v>
      </c>
      <c r="Q340" s="11">
        <v>0</v>
      </c>
      <c r="R340" s="10">
        <f>IF(COUNTIF($J$2:J340,J340)=1,SUMIFS($O:$O,$J:$J,J340)+SUMIFS($P:$P,$J:$J,J340)+SUMIFS($Q:$Q,$J:$J,J340),"")</f>
        <v>312.14999999999998</v>
      </c>
      <c r="S340" s="10">
        <v>312.14999999999998</v>
      </c>
      <c r="T340" s="11" t="str">
        <f t="shared" si="41"/>
        <v>Ok</v>
      </c>
      <c r="U340" s="12">
        <v>45496</v>
      </c>
      <c r="V340" s="10">
        <v>312.14999999999998</v>
      </c>
      <c r="W340" s="10" t="str">
        <f t="shared" si="38"/>
        <v>Not Paid</v>
      </c>
      <c r="X340" t="s">
        <v>455</v>
      </c>
      <c r="Y340" t="s">
        <v>28</v>
      </c>
      <c r="Z340">
        <v>100230</v>
      </c>
      <c r="AA340" t="s">
        <v>462</v>
      </c>
      <c r="AB340" t="s">
        <v>521</v>
      </c>
      <c r="AC340" s="9">
        <f t="shared" si="39"/>
        <v>1</v>
      </c>
      <c r="AD340" s="9" t="str">
        <f t="shared" si="40"/>
        <v>Ok</v>
      </c>
      <c r="AE340" s="11">
        <f t="shared" si="42"/>
        <v>0</v>
      </c>
    </row>
    <row r="341" spans="1:31" x14ac:dyDescent="0.3">
      <c r="A341">
        <v>84</v>
      </c>
      <c r="B341">
        <v>4589816</v>
      </c>
      <c r="C341" t="s">
        <v>167</v>
      </c>
      <c r="D341">
        <v>1235549</v>
      </c>
      <c r="E341" t="s">
        <v>168</v>
      </c>
      <c r="F341" t="s">
        <v>20</v>
      </c>
      <c r="G341" t="s">
        <v>2668</v>
      </c>
      <c r="H341" t="s">
        <v>2669</v>
      </c>
      <c r="I341" s="9" t="s">
        <v>3336</v>
      </c>
      <c r="J341" s="9">
        <v>51137782005</v>
      </c>
      <c r="K341" s="14" t="s">
        <v>3165</v>
      </c>
      <c r="L341" s="13" t="s">
        <v>3366</v>
      </c>
      <c r="M341" s="14">
        <v>1</v>
      </c>
      <c r="N341" s="14">
        <v>109.95</v>
      </c>
      <c r="O341" s="10">
        <f t="shared" si="37"/>
        <v>109.95</v>
      </c>
      <c r="P341" s="11">
        <v>0</v>
      </c>
      <c r="Q341" s="11">
        <v>0</v>
      </c>
      <c r="R341" s="10">
        <f>IF(COUNTIF($J$2:J341,J341)=1,SUMIFS($O:$O,$J:$J,J341)+SUMIFS($P:$P,$J:$J,J341)+SUMIFS($Q:$Q,$J:$J,J341),"")</f>
        <v>109.95</v>
      </c>
      <c r="S341" s="10">
        <v>109.95</v>
      </c>
      <c r="T341" s="11" t="str">
        <f t="shared" si="41"/>
        <v>Ok</v>
      </c>
      <c r="U341" s="12">
        <v>45610</v>
      </c>
      <c r="V341" s="10">
        <v>109.95</v>
      </c>
      <c r="W341" s="10" t="str">
        <f t="shared" si="38"/>
        <v>Not Paid</v>
      </c>
      <c r="X341" t="s">
        <v>455</v>
      </c>
      <c r="Y341" t="s">
        <v>28</v>
      </c>
      <c r="Z341">
        <v>100190</v>
      </c>
      <c r="AA341" t="s">
        <v>456</v>
      </c>
      <c r="AB341" t="s">
        <v>521</v>
      </c>
      <c r="AC341" s="9">
        <f t="shared" si="39"/>
        <v>1</v>
      </c>
      <c r="AD341" s="9" t="str">
        <f t="shared" si="40"/>
        <v>Ok</v>
      </c>
      <c r="AE341" s="11">
        <f t="shared" si="42"/>
        <v>0</v>
      </c>
    </row>
    <row r="342" spans="1:31" x14ac:dyDescent="0.3">
      <c r="A342">
        <v>84</v>
      </c>
      <c r="B342">
        <v>4592599</v>
      </c>
      <c r="C342" t="s">
        <v>167</v>
      </c>
      <c r="D342">
        <v>1235549</v>
      </c>
      <c r="E342" t="s">
        <v>168</v>
      </c>
      <c r="F342" t="s">
        <v>20</v>
      </c>
      <c r="G342" t="s">
        <v>2670</v>
      </c>
      <c r="H342" t="s">
        <v>2671</v>
      </c>
      <c r="I342" s="9" t="s">
        <v>3365</v>
      </c>
      <c r="J342" s="9">
        <v>51134600075</v>
      </c>
      <c r="K342" s="14" t="s">
        <v>3165</v>
      </c>
      <c r="L342" s="13" t="s">
        <v>3366</v>
      </c>
      <c r="M342" s="14">
        <v>2</v>
      </c>
      <c r="N342" s="14">
        <v>109.95</v>
      </c>
      <c r="O342" s="10">
        <f t="shared" si="37"/>
        <v>219.9</v>
      </c>
      <c r="P342" s="11">
        <v>0</v>
      </c>
      <c r="Q342" s="11">
        <v>0</v>
      </c>
      <c r="R342" s="10">
        <f>IF(COUNTIF($J$2:J342,J342)=1,SUMIFS($O:$O,$J:$J,J342)+SUMIFS($P:$P,$J:$J,J342)+SUMIFS($Q:$Q,$J:$J,J342),"")</f>
        <v>219.9</v>
      </c>
      <c r="S342" s="10">
        <v>219.9</v>
      </c>
      <c r="T342" s="11" t="str">
        <f t="shared" si="41"/>
        <v>Ok</v>
      </c>
      <c r="U342" s="12">
        <v>45610</v>
      </c>
      <c r="V342" s="10">
        <v>219.9</v>
      </c>
      <c r="W342" s="10" t="str">
        <f t="shared" si="38"/>
        <v>Not Paid</v>
      </c>
      <c r="X342" t="s">
        <v>455</v>
      </c>
      <c r="Y342" t="s">
        <v>28</v>
      </c>
      <c r="Z342">
        <v>100190</v>
      </c>
      <c r="AA342" t="s">
        <v>456</v>
      </c>
      <c r="AB342" t="s">
        <v>521</v>
      </c>
      <c r="AC342" s="9">
        <f t="shared" si="39"/>
        <v>1</v>
      </c>
      <c r="AD342" s="9" t="str">
        <f t="shared" si="40"/>
        <v>Ok</v>
      </c>
      <c r="AE342" s="11">
        <f t="shared" si="42"/>
        <v>0</v>
      </c>
    </row>
    <row r="343" spans="1:31" x14ac:dyDescent="0.3">
      <c r="A343">
        <v>81</v>
      </c>
      <c r="B343">
        <v>4595381</v>
      </c>
      <c r="C343" t="s">
        <v>239</v>
      </c>
      <c r="D343">
        <v>1062540</v>
      </c>
      <c r="E343" t="s">
        <v>564</v>
      </c>
      <c r="F343" t="s">
        <v>47</v>
      </c>
      <c r="G343" t="s">
        <v>2672</v>
      </c>
      <c r="H343" t="s">
        <v>2673</v>
      </c>
      <c r="I343" s="9" t="s">
        <v>3175</v>
      </c>
      <c r="J343" s="9">
        <v>51135916375</v>
      </c>
      <c r="K343" s="14" t="s">
        <v>3279</v>
      </c>
      <c r="L343" s="13" t="s">
        <v>3371</v>
      </c>
      <c r="M343" s="14">
        <v>100</v>
      </c>
      <c r="N343" s="14">
        <v>6.1920000000000002</v>
      </c>
      <c r="O343" s="10">
        <f t="shared" si="37"/>
        <v>619.20000000000005</v>
      </c>
      <c r="P343" s="11">
        <v>0</v>
      </c>
      <c r="Q343" s="11">
        <v>323.83999999999997</v>
      </c>
      <c r="R343" s="10">
        <f>IF(COUNTIF($J$2:J343,J343)=1,SUMIFS($O:$O,$J:$J,J343)+SUMIFS($P:$P,$J:$J,J343)+SUMIFS($Q:$Q,$J:$J,J343),"")</f>
        <v>943.04</v>
      </c>
      <c r="S343" s="10">
        <v>943.04</v>
      </c>
      <c r="T343" s="11" t="str">
        <f t="shared" si="41"/>
        <v>Ok</v>
      </c>
      <c r="U343" s="12">
        <v>45975</v>
      </c>
      <c r="V343" s="10">
        <v>943.04</v>
      </c>
      <c r="W343" s="10" t="str">
        <f t="shared" si="38"/>
        <v>Not Paid</v>
      </c>
      <c r="X343" t="s">
        <v>476</v>
      </c>
      <c r="Y343" t="s">
        <v>28</v>
      </c>
      <c r="Z343">
        <v>100195</v>
      </c>
      <c r="AA343" t="s">
        <v>3070</v>
      </c>
      <c r="AB343" t="s">
        <v>3039</v>
      </c>
      <c r="AC343" s="9">
        <f t="shared" si="39"/>
        <v>1</v>
      </c>
      <c r="AD343" s="9" t="str">
        <f t="shared" si="40"/>
        <v>Ok</v>
      </c>
      <c r="AE343" s="11">
        <f t="shared" ref="AE343:AE364" si="43">R343-S343</f>
        <v>0</v>
      </c>
    </row>
    <row r="344" spans="1:31" x14ac:dyDescent="0.3">
      <c r="A344">
        <v>81</v>
      </c>
      <c r="B344">
        <v>4597886</v>
      </c>
      <c r="C344" t="s">
        <v>167</v>
      </c>
      <c r="D344">
        <v>1531708</v>
      </c>
      <c r="E344" t="s">
        <v>677</v>
      </c>
      <c r="F344" t="s">
        <v>51</v>
      </c>
      <c r="G344" t="s">
        <v>2676</v>
      </c>
      <c r="H344" t="s">
        <v>2677</v>
      </c>
      <c r="I344" s="9" t="s">
        <v>3172</v>
      </c>
      <c r="J344" s="9">
        <v>50115241786</v>
      </c>
      <c r="K344" s="14" t="s">
        <v>3165</v>
      </c>
      <c r="L344" s="13" t="s">
        <v>3191</v>
      </c>
      <c r="M344" s="14">
        <v>1</v>
      </c>
      <c r="N344" s="14">
        <v>913.23</v>
      </c>
      <c r="O344" s="10">
        <f t="shared" si="37"/>
        <v>913.23</v>
      </c>
      <c r="P344" s="11">
        <v>57.08</v>
      </c>
      <c r="Q344" s="11">
        <v>0</v>
      </c>
      <c r="R344" s="10">
        <f>IF(COUNTIF($J$2:J344,J344)=1,SUMIFS($O:$O,$J:$J,J344)+SUMIFS($P:$P,$J:$J,J344)+SUMIFS($Q:$Q,$J:$J,J344),"")</f>
        <v>970.31000000000006</v>
      </c>
      <c r="S344" s="10">
        <v>970.31</v>
      </c>
      <c r="T344" s="11" t="str">
        <f t="shared" si="41"/>
        <v>Ok</v>
      </c>
      <c r="U344" s="12">
        <v>45530</v>
      </c>
      <c r="V344" s="10">
        <v>970.31</v>
      </c>
      <c r="W344" s="10" t="str">
        <f t="shared" si="38"/>
        <v>Not Paid</v>
      </c>
      <c r="X344" t="s">
        <v>474</v>
      </c>
      <c r="Y344" t="s">
        <v>436</v>
      </c>
      <c r="Z344">
        <v>100259</v>
      </c>
      <c r="AA344" t="s">
        <v>3132</v>
      </c>
      <c r="AB344" t="s">
        <v>3043</v>
      </c>
      <c r="AC344" s="9">
        <f t="shared" si="39"/>
        <v>1</v>
      </c>
      <c r="AD344" s="9" t="str">
        <f t="shared" si="40"/>
        <v>Ok</v>
      </c>
      <c r="AE344" s="11">
        <f t="shared" si="43"/>
        <v>0</v>
      </c>
    </row>
    <row r="345" spans="1:31" x14ac:dyDescent="0.3">
      <c r="A345">
        <v>81</v>
      </c>
      <c r="B345">
        <v>4598164</v>
      </c>
      <c r="C345" t="s">
        <v>167</v>
      </c>
      <c r="D345">
        <v>1531708</v>
      </c>
      <c r="E345" t="s">
        <v>677</v>
      </c>
      <c r="F345" t="s">
        <v>51</v>
      </c>
      <c r="G345" t="s">
        <v>2678</v>
      </c>
      <c r="H345" t="s">
        <v>2679</v>
      </c>
      <c r="I345" s="9" t="s">
        <v>3198</v>
      </c>
      <c r="J345" s="9">
        <v>51127489015</v>
      </c>
      <c r="K345" s="14" t="s">
        <v>3165</v>
      </c>
      <c r="L345" s="13" t="s">
        <v>3191</v>
      </c>
      <c r="M345" s="14">
        <v>2</v>
      </c>
      <c r="N345" s="14">
        <v>913.23</v>
      </c>
      <c r="O345" s="10">
        <f t="shared" si="37"/>
        <v>1826.46</v>
      </c>
      <c r="P345" s="11">
        <v>0</v>
      </c>
      <c r="Q345" s="11">
        <v>0</v>
      </c>
      <c r="R345" s="10">
        <f>IF(COUNTIF($J$2:J345,J345)=1,SUMIFS($O:$O,$J:$J,J345)+SUMIFS($P:$P,$J:$J,J345)+SUMIFS($Q:$Q,$J:$J,J345),"")</f>
        <v>1826.46</v>
      </c>
      <c r="S345" s="10">
        <v>1826.46</v>
      </c>
      <c r="T345" s="11" t="str">
        <f t="shared" si="41"/>
        <v>Ok</v>
      </c>
      <c r="U345" s="12">
        <v>45530</v>
      </c>
      <c r="V345" s="10">
        <v>1826.46</v>
      </c>
      <c r="W345" s="10" t="str">
        <f t="shared" si="38"/>
        <v>Not Paid</v>
      </c>
      <c r="X345" t="s">
        <v>474</v>
      </c>
      <c r="Y345" t="s">
        <v>436</v>
      </c>
      <c r="Z345">
        <v>100139</v>
      </c>
      <c r="AA345" t="s">
        <v>3133</v>
      </c>
      <c r="AB345" t="s">
        <v>3043</v>
      </c>
      <c r="AC345" s="9">
        <f t="shared" si="39"/>
        <v>1</v>
      </c>
      <c r="AD345" s="9" t="str">
        <f t="shared" si="40"/>
        <v>Ok</v>
      </c>
      <c r="AE345" s="11">
        <f t="shared" si="43"/>
        <v>0</v>
      </c>
    </row>
    <row r="346" spans="1:31" x14ac:dyDescent="0.3">
      <c r="A346">
        <v>81</v>
      </c>
      <c r="B346">
        <v>4598721</v>
      </c>
      <c r="C346" t="s">
        <v>167</v>
      </c>
      <c r="D346">
        <v>1531708</v>
      </c>
      <c r="E346" t="s">
        <v>677</v>
      </c>
      <c r="F346" t="s">
        <v>51</v>
      </c>
      <c r="G346" t="s">
        <v>2680</v>
      </c>
      <c r="H346" t="s">
        <v>2681</v>
      </c>
      <c r="I346" s="9" t="s">
        <v>3206</v>
      </c>
      <c r="J346" s="9">
        <v>51136029373</v>
      </c>
      <c r="K346" s="14" t="s">
        <v>3165</v>
      </c>
      <c r="L346" s="13" t="s">
        <v>3191</v>
      </c>
      <c r="M346" s="14">
        <v>1</v>
      </c>
      <c r="N346" s="14">
        <v>2223.7800000000002</v>
      </c>
      <c r="O346" s="10">
        <f t="shared" si="37"/>
        <v>2223.7800000000002</v>
      </c>
      <c r="P346" s="11">
        <v>131.19999999999999</v>
      </c>
      <c r="Q346" s="11">
        <v>0</v>
      </c>
      <c r="R346" s="10">
        <f>IF(COUNTIF($J$2:J346,J346)=1,SUMIFS($O:$O,$J:$J,J346)+SUMIFS($P:$P,$J:$J,J346)+SUMIFS($Q:$Q,$J:$J,J346),"")</f>
        <v>2354.98</v>
      </c>
      <c r="S346" s="10">
        <v>2354.98</v>
      </c>
      <c r="T346" s="11" t="str">
        <f t="shared" si="41"/>
        <v>Ok</v>
      </c>
      <c r="U346" s="12">
        <v>45581</v>
      </c>
      <c r="V346" s="10">
        <v>2354.98</v>
      </c>
      <c r="W346" s="10" t="str">
        <f t="shared" si="38"/>
        <v>Not Paid</v>
      </c>
      <c r="X346" t="s">
        <v>474</v>
      </c>
      <c r="Y346" t="s">
        <v>436</v>
      </c>
      <c r="Z346">
        <v>100179</v>
      </c>
      <c r="AA346" t="s">
        <v>3130</v>
      </c>
      <c r="AB346" t="s">
        <v>3043</v>
      </c>
      <c r="AC346" s="9">
        <f t="shared" si="39"/>
        <v>1</v>
      </c>
      <c r="AD346" s="9" t="str">
        <f t="shared" si="40"/>
        <v>Ok</v>
      </c>
      <c r="AE346" s="11">
        <f t="shared" si="43"/>
        <v>0</v>
      </c>
    </row>
    <row r="347" spans="1:31" x14ac:dyDescent="0.3">
      <c r="A347">
        <v>80</v>
      </c>
      <c r="B347">
        <v>4599556</v>
      </c>
      <c r="C347" t="s">
        <v>167</v>
      </c>
      <c r="D347">
        <v>1098309</v>
      </c>
      <c r="E347" t="s">
        <v>544</v>
      </c>
      <c r="F347" t="s">
        <v>49</v>
      </c>
      <c r="G347" t="s">
        <v>66</v>
      </c>
      <c r="H347" t="s">
        <v>67</v>
      </c>
      <c r="I347" s="9" t="s">
        <v>3188</v>
      </c>
      <c r="J347" s="9">
        <v>51136101260</v>
      </c>
      <c r="K347" s="14" t="s">
        <v>3165</v>
      </c>
      <c r="L347" s="13" t="s">
        <v>4930</v>
      </c>
      <c r="M347" s="14">
        <v>6000</v>
      </c>
      <c r="N347" s="14">
        <v>1.66</v>
      </c>
      <c r="O347" s="10">
        <f t="shared" si="37"/>
        <v>9960</v>
      </c>
      <c r="P347" s="11">
        <v>42.55</v>
      </c>
      <c r="Q347" s="11">
        <v>291.39</v>
      </c>
      <c r="R347" s="10">
        <f>IF(COUNTIF($J$2:J347,J347)=1,SUMIFS($O:$O,$J:$J,J347)+SUMIFS($P:$P,$J:$J,J347)+SUMIFS($Q:$Q,$J:$J,J347),"")</f>
        <v>10293.939999999999</v>
      </c>
      <c r="S347">
        <v>10974.74</v>
      </c>
      <c r="T347" s="11" t="str">
        <f t="shared" si="41"/>
        <v>Check</v>
      </c>
      <c r="U347" s="12">
        <v>46044</v>
      </c>
      <c r="V347" s="10">
        <v>291.39</v>
      </c>
      <c r="W347" s="10" t="str">
        <f t="shared" si="38"/>
        <v>Short Paid</v>
      </c>
      <c r="X347" t="s">
        <v>476</v>
      </c>
      <c r="Y347" t="s">
        <v>29</v>
      </c>
      <c r="Z347">
        <v>100295</v>
      </c>
      <c r="AA347" t="s">
        <v>3127</v>
      </c>
      <c r="AB347" t="s">
        <v>3041</v>
      </c>
      <c r="AC347" s="9">
        <f t="shared" si="39"/>
        <v>1</v>
      </c>
      <c r="AD347" s="9" t="str">
        <f t="shared" si="40"/>
        <v>Check</v>
      </c>
      <c r="AE347" s="11">
        <f t="shared" si="43"/>
        <v>-680.80000000000109</v>
      </c>
    </row>
    <row r="348" spans="1:31" x14ac:dyDescent="0.3">
      <c r="A348">
        <v>80</v>
      </c>
      <c r="B348">
        <v>4599834</v>
      </c>
      <c r="C348" t="s">
        <v>160</v>
      </c>
      <c r="D348">
        <v>1648570</v>
      </c>
      <c r="E348" t="s">
        <v>208</v>
      </c>
      <c r="F348" t="s">
        <v>19</v>
      </c>
      <c r="G348" t="s">
        <v>64</v>
      </c>
      <c r="H348" t="s">
        <v>65</v>
      </c>
      <c r="I348" s="9" t="s">
        <v>3316</v>
      </c>
      <c r="J348" s="9">
        <v>51136029399</v>
      </c>
      <c r="K348" s="14" t="s">
        <v>3165</v>
      </c>
      <c r="L348" s="13" t="s">
        <v>4930</v>
      </c>
      <c r="M348" s="14">
        <v>2000</v>
      </c>
      <c r="N348" s="14">
        <v>1.66</v>
      </c>
      <c r="O348" s="10">
        <f t="shared" si="37"/>
        <v>3320</v>
      </c>
      <c r="P348" s="11">
        <v>0</v>
      </c>
      <c r="Q348" s="11">
        <v>0</v>
      </c>
      <c r="R348" s="10">
        <f>IF(COUNTIF($J$2:J348,J348)=1,SUMIFS($O:$O,$J:$J,J348)+SUMIFS($P:$P,$J:$J,J348)+SUMIFS($Q:$Q,$J:$J,J348),"")</f>
        <v>3320</v>
      </c>
      <c r="S348">
        <v>4630</v>
      </c>
      <c r="T348" s="11" t="str">
        <f t="shared" si="41"/>
        <v>Check</v>
      </c>
      <c r="U348" s="12">
        <v>45980</v>
      </c>
      <c r="V348" s="10">
        <v>170</v>
      </c>
      <c r="W348" s="10" t="str">
        <f t="shared" si="38"/>
        <v>Short Paid</v>
      </c>
      <c r="X348" t="s">
        <v>453</v>
      </c>
      <c r="Y348" t="s">
        <v>28</v>
      </c>
      <c r="Z348">
        <v>100114</v>
      </c>
      <c r="AA348" t="s">
        <v>498</v>
      </c>
      <c r="AB348" t="s">
        <v>524</v>
      </c>
      <c r="AC348" s="9">
        <f t="shared" si="39"/>
        <v>1</v>
      </c>
      <c r="AD348" s="9" t="str">
        <f t="shared" si="40"/>
        <v>Check</v>
      </c>
      <c r="AE348" s="11">
        <f t="shared" si="43"/>
        <v>-1310</v>
      </c>
    </row>
    <row r="349" spans="1:31" x14ac:dyDescent="0.3">
      <c r="A349">
        <v>79</v>
      </c>
      <c r="B349">
        <v>4602060</v>
      </c>
      <c r="C349" t="s">
        <v>240</v>
      </c>
      <c r="D349">
        <v>1550193</v>
      </c>
      <c r="E349" t="s">
        <v>679</v>
      </c>
      <c r="F349" t="s">
        <v>19</v>
      </c>
      <c r="G349" t="s">
        <v>2682</v>
      </c>
      <c r="H349" t="s">
        <v>2683</v>
      </c>
      <c r="I349" s="9" t="s">
        <v>3267</v>
      </c>
      <c r="J349" s="9">
        <v>51135816411</v>
      </c>
      <c r="K349" s="14" t="s">
        <v>3370</v>
      </c>
      <c r="L349" s="13" t="s">
        <v>3369</v>
      </c>
      <c r="M349" s="14">
        <v>12000</v>
      </c>
      <c r="N349" s="14">
        <v>7.0809999999999998E-2</v>
      </c>
      <c r="O349" s="10">
        <f t="shared" si="37"/>
        <v>849.72</v>
      </c>
      <c r="P349" s="11">
        <v>0</v>
      </c>
      <c r="Q349" s="11">
        <v>484.34</v>
      </c>
      <c r="R349" s="10">
        <f>IF(COUNTIF($J$2:J349,J349)=1,SUMIFS($O:$O,$J:$J,J349)+SUMIFS($P:$P,$J:$J,J349)+SUMIFS($Q:$Q,$J:$J,J349),"")</f>
        <v>1334.06</v>
      </c>
      <c r="S349" s="10">
        <v>1334.06</v>
      </c>
      <c r="T349" s="11" t="str">
        <f t="shared" si="41"/>
        <v>Ok</v>
      </c>
      <c r="U349" s="12">
        <v>46037</v>
      </c>
      <c r="V349" s="10">
        <v>1334.06</v>
      </c>
      <c r="W349" s="10" t="str">
        <f t="shared" si="38"/>
        <v>Not Paid</v>
      </c>
      <c r="X349" t="s">
        <v>476</v>
      </c>
      <c r="Y349" t="s">
        <v>28</v>
      </c>
      <c r="Z349">
        <v>100275</v>
      </c>
      <c r="AA349" t="s">
        <v>492</v>
      </c>
      <c r="AB349" t="s">
        <v>524</v>
      </c>
      <c r="AC349" s="9">
        <f t="shared" si="39"/>
        <v>1</v>
      </c>
      <c r="AD349" s="9" t="str">
        <f t="shared" si="40"/>
        <v>Ok</v>
      </c>
      <c r="AE349" s="11">
        <f t="shared" si="43"/>
        <v>0</v>
      </c>
    </row>
    <row r="350" spans="1:31" x14ac:dyDescent="0.3">
      <c r="A350">
        <v>79</v>
      </c>
      <c r="B350">
        <v>4602338</v>
      </c>
      <c r="C350" t="s">
        <v>160</v>
      </c>
      <c r="D350">
        <v>1963277</v>
      </c>
      <c r="E350" t="s">
        <v>250</v>
      </c>
      <c r="F350" t="s">
        <v>18</v>
      </c>
      <c r="G350" t="s">
        <v>300</v>
      </c>
      <c r="H350" t="s">
        <v>301</v>
      </c>
      <c r="I350" s="9" t="s">
        <v>3198</v>
      </c>
      <c r="J350" s="9">
        <v>51135705510</v>
      </c>
      <c r="K350" s="14" t="s">
        <v>3165</v>
      </c>
      <c r="L350" s="13" t="s">
        <v>4931</v>
      </c>
      <c r="M350" s="14">
        <v>1600</v>
      </c>
      <c r="N350" s="14">
        <v>0.5</v>
      </c>
      <c r="O350" s="10">
        <f t="shared" si="37"/>
        <v>800</v>
      </c>
      <c r="P350" s="11">
        <v>0</v>
      </c>
      <c r="Q350" s="11">
        <v>0</v>
      </c>
      <c r="R350" s="10">
        <f>IF(COUNTIF($J$2:J350,J350)=1,SUMIFS($O:$O,$J:$J,J350)+SUMIFS($P:$P,$J:$J,J350)+SUMIFS($Q:$Q,$J:$J,J350),"")</f>
        <v>800</v>
      </c>
      <c r="S350">
        <v>2374.8599999999997</v>
      </c>
      <c r="T350" s="11" t="str">
        <f t="shared" si="41"/>
        <v>Check</v>
      </c>
      <c r="U350" s="12">
        <v>46000</v>
      </c>
      <c r="V350" s="10">
        <v>428.72</v>
      </c>
      <c r="W350" s="10" t="str">
        <f t="shared" si="38"/>
        <v>Short Paid</v>
      </c>
      <c r="X350" t="s">
        <v>474</v>
      </c>
      <c r="Y350" t="s">
        <v>28</v>
      </c>
      <c r="Z350">
        <v>100289</v>
      </c>
      <c r="AA350" t="s">
        <v>475</v>
      </c>
      <c r="AB350" t="s">
        <v>523</v>
      </c>
      <c r="AC350" s="9">
        <f t="shared" si="39"/>
        <v>1</v>
      </c>
      <c r="AD350" s="9" t="str">
        <f t="shared" si="40"/>
        <v>Check</v>
      </c>
      <c r="AE350" s="11">
        <f t="shared" si="43"/>
        <v>-1574.8599999999997</v>
      </c>
    </row>
    <row r="351" spans="1:31" x14ac:dyDescent="0.3">
      <c r="A351">
        <v>79</v>
      </c>
      <c r="B351">
        <v>4602617</v>
      </c>
      <c r="C351" t="s">
        <v>160</v>
      </c>
      <c r="D351">
        <v>1963277</v>
      </c>
      <c r="E351" t="s">
        <v>250</v>
      </c>
      <c r="F351" t="s">
        <v>18</v>
      </c>
      <c r="G351" t="s">
        <v>298</v>
      </c>
      <c r="H351" t="s">
        <v>299</v>
      </c>
      <c r="I351" s="9" t="s">
        <v>3305</v>
      </c>
      <c r="J351" s="9">
        <v>51136008189</v>
      </c>
      <c r="K351" s="14" t="s">
        <v>3165</v>
      </c>
      <c r="L351" s="13" t="s">
        <v>4932</v>
      </c>
      <c r="M351" s="14">
        <v>477</v>
      </c>
      <c r="N351" s="14">
        <v>20.239999999999998</v>
      </c>
      <c r="O351" s="10">
        <f t="shared" si="37"/>
        <v>9654.48</v>
      </c>
      <c r="P351" s="11">
        <v>0</v>
      </c>
      <c r="Q351" s="11">
        <v>0</v>
      </c>
      <c r="R351" s="10">
        <f>IF(COUNTIF($J$2:J351,J351)=1,SUMIFS($O:$O,$J:$J,J351)+SUMIFS($P:$P,$J:$J,J351)+SUMIFS($Q:$Q,$J:$J,J351),"")</f>
        <v>9654.48</v>
      </c>
      <c r="S351">
        <v>14341.98</v>
      </c>
      <c r="T351" s="11" t="str">
        <f t="shared" si="41"/>
        <v>Check</v>
      </c>
      <c r="U351" s="12">
        <v>46000</v>
      </c>
      <c r="V351" s="10">
        <v>152.63999999999999</v>
      </c>
      <c r="W351" s="10" t="str">
        <f t="shared" si="38"/>
        <v>Short Paid</v>
      </c>
      <c r="X351" t="s">
        <v>474</v>
      </c>
      <c r="Y351" t="s">
        <v>28</v>
      </c>
      <c r="Z351">
        <v>100119</v>
      </c>
      <c r="AA351" t="s">
        <v>491</v>
      </c>
      <c r="AB351" t="s">
        <v>523</v>
      </c>
      <c r="AC351" s="9">
        <f t="shared" si="39"/>
        <v>1</v>
      </c>
      <c r="AD351" s="9" t="str">
        <f t="shared" si="40"/>
        <v>Check</v>
      </c>
      <c r="AE351" s="11">
        <f t="shared" si="43"/>
        <v>-4687.5</v>
      </c>
    </row>
    <row r="352" spans="1:31" x14ac:dyDescent="0.3">
      <c r="A352">
        <v>79</v>
      </c>
      <c r="B352">
        <v>4603452</v>
      </c>
      <c r="C352" t="s">
        <v>160</v>
      </c>
      <c r="D352">
        <v>1963277</v>
      </c>
      <c r="E352" t="s">
        <v>250</v>
      </c>
      <c r="F352" t="s">
        <v>18</v>
      </c>
      <c r="G352" t="s">
        <v>302</v>
      </c>
      <c r="H352" t="s">
        <v>303</v>
      </c>
      <c r="I352" s="9" t="s">
        <v>3169</v>
      </c>
      <c r="J352" s="9">
        <v>51137375916</v>
      </c>
      <c r="K352" s="14" t="s">
        <v>3165</v>
      </c>
      <c r="L352" s="13" t="s">
        <v>4934</v>
      </c>
      <c r="M352" s="14">
        <v>1000</v>
      </c>
      <c r="N352" s="14">
        <v>35.869999999999997</v>
      </c>
      <c r="O352" s="10">
        <f t="shared" si="37"/>
        <v>35870</v>
      </c>
      <c r="P352" s="11">
        <v>0</v>
      </c>
      <c r="Q352" s="11">
        <v>0</v>
      </c>
      <c r="R352" s="10">
        <f>IF(COUNTIF($J$2:J352,J352)=1,SUMIFS($O:$O,$J:$J,J352)+SUMIFS($P:$P,$J:$J,J352)+SUMIFS($Q:$Q,$J:$J,J352),"")</f>
        <v>35870</v>
      </c>
      <c r="S352">
        <v>48750</v>
      </c>
      <c r="T352" s="11" t="str">
        <f t="shared" si="41"/>
        <v>Check</v>
      </c>
      <c r="U352" s="12">
        <v>46007</v>
      </c>
      <c r="V352" s="10">
        <v>2752.2</v>
      </c>
      <c r="W352" s="10" t="str">
        <f t="shared" si="38"/>
        <v>Short Paid</v>
      </c>
      <c r="X352" t="s">
        <v>474</v>
      </c>
      <c r="Y352" t="s">
        <v>28</v>
      </c>
      <c r="Z352">
        <v>100169</v>
      </c>
      <c r="AA352" t="s">
        <v>489</v>
      </c>
      <c r="AB352" t="s">
        <v>523</v>
      </c>
      <c r="AC352" s="9">
        <f t="shared" si="39"/>
        <v>1</v>
      </c>
      <c r="AD352" s="9" t="str">
        <f t="shared" si="40"/>
        <v>Check</v>
      </c>
      <c r="AE352" s="11">
        <f t="shared" si="43"/>
        <v>-12880</v>
      </c>
    </row>
    <row r="353" spans="1:31" x14ac:dyDescent="0.3">
      <c r="A353">
        <v>79</v>
      </c>
      <c r="B353">
        <v>4603730</v>
      </c>
      <c r="C353" t="s">
        <v>160</v>
      </c>
      <c r="D353">
        <v>1963277</v>
      </c>
      <c r="E353" t="s">
        <v>250</v>
      </c>
      <c r="F353" t="s">
        <v>18</v>
      </c>
      <c r="G353" t="s">
        <v>2687</v>
      </c>
      <c r="H353" t="s">
        <v>2688</v>
      </c>
      <c r="I353" s="9" t="s">
        <v>3202</v>
      </c>
      <c r="J353" s="9">
        <v>51137319015</v>
      </c>
      <c r="K353" s="14" t="s">
        <v>3171</v>
      </c>
      <c r="L353" s="13" t="s">
        <v>3170</v>
      </c>
      <c r="M353" s="14">
        <v>54</v>
      </c>
      <c r="N353" s="14">
        <v>20.82</v>
      </c>
      <c r="O353" s="10">
        <f t="shared" si="37"/>
        <v>1124.28</v>
      </c>
      <c r="P353" s="11">
        <v>0</v>
      </c>
      <c r="Q353" s="11">
        <v>0</v>
      </c>
      <c r="R353" s="10">
        <f>IF(COUNTIF($J$2:J353,J353)=1,SUMIFS($O:$O,$J:$J,J353)+SUMIFS($P:$P,$J:$J,J353)+SUMIFS($Q:$Q,$J:$J,J353),"")</f>
        <v>1124.28</v>
      </c>
      <c r="S353" s="10">
        <v>1124.28</v>
      </c>
      <c r="T353" s="11" t="str">
        <f t="shared" si="41"/>
        <v>Ok</v>
      </c>
      <c r="U353" s="12">
        <v>46007</v>
      </c>
      <c r="V353" s="10">
        <v>133.54</v>
      </c>
      <c r="W353" s="10" t="str">
        <f t="shared" si="38"/>
        <v>Short Paid</v>
      </c>
      <c r="X353" t="s">
        <v>474</v>
      </c>
      <c r="Y353" t="s">
        <v>28</v>
      </c>
      <c r="Z353">
        <v>100199</v>
      </c>
      <c r="AA353" t="s">
        <v>481</v>
      </c>
      <c r="AB353" t="s">
        <v>523</v>
      </c>
      <c r="AC353" s="9">
        <f t="shared" si="39"/>
        <v>1</v>
      </c>
      <c r="AD353" s="9" t="str">
        <f t="shared" si="40"/>
        <v>Ok</v>
      </c>
      <c r="AE353" s="11">
        <f t="shared" si="43"/>
        <v>0</v>
      </c>
    </row>
    <row r="354" spans="1:31" x14ac:dyDescent="0.3">
      <c r="A354">
        <v>79</v>
      </c>
      <c r="B354">
        <v>4604286</v>
      </c>
      <c r="C354" t="s">
        <v>160</v>
      </c>
      <c r="D354">
        <v>1963277</v>
      </c>
      <c r="E354" t="s">
        <v>250</v>
      </c>
      <c r="F354" t="s">
        <v>18</v>
      </c>
      <c r="G354" t="s">
        <v>80</v>
      </c>
      <c r="H354" t="s">
        <v>81</v>
      </c>
      <c r="I354" s="9" t="s">
        <v>3469</v>
      </c>
      <c r="J354" s="9">
        <v>51137131383</v>
      </c>
      <c r="K354" s="14" t="s">
        <v>3165</v>
      </c>
      <c r="L354" s="13" t="s">
        <v>4933</v>
      </c>
      <c r="M354" s="14">
        <v>3000</v>
      </c>
      <c r="N354" s="14">
        <v>1.6245000000000001</v>
      </c>
      <c r="O354" s="10">
        <f t="shared" si="37"/>
        <v>4873.5</v>
      </c>
      <c r="P354" s="11">
        <v>0</v>
      </c>
      <c r="Q354" s="11">
        <v>0</v>
      </c>
      <c r="R354" s="10">
        <f>IF(COUNTIF($J$2:J354,J354)=1,SUMIFS($O:$O,$J:$J,J354)+SUMIFS($P:$P,$J:$J,J354)+SUMIFS($Q:$Q,$J:$J,J354),"")</f>
        <v>4873.5</v>
      </c>
      <c r="S354">
        <v>5583</v>
      </c>
      <c r="T354" s="11" t="str">
        <f t="shared" si="41"/>
        <v>Check</v>
      </c>
      <c r="U354" s="12">
        <v>45999</v>
      </c>
      <c r="V354" s="10">
        <v>529.5</v>
      </c>
      <c r="W354" s="10" t="str">
        <f t="shared" si="38"/>
        <v>Short Paid</v>
      </c>
      <c r="X354" t="s">
        <v>474</v>
      </c>
      <c r="Y354" t="s">
        <v>28</v>
      </c>
      <c r="Z354">
        <v>100239</v>
      </c>
      <c r="AA354" t="s">
        <v>482</v>
      </c>
      <c r="AB354" t="s">
        <v>523</v>
      </c>
      <c r="AC354" s="9">
        <f t="shared" si="39"/>
        <v>1</v>
      </c>
      <c r="AD354" s="9" t="str">
        <f t="shared" si="40"/>
        <v>Check</v>
      </c>
      <c r="AE354" s="11">
        <f t="shared" si="43"/>
        <v>-709.5</v>
      </c>
    </row>
    <row r="355" spans="1:31" x14ac:dyDescent="0.3">
      <c r="A355">
        <v>79</v>
      </c>
      <c r="B355">
        <v>4607069</v>
      </c>
      <c r="C355" t="s">
        <v>220</v>
      </c>
      <c r="D355">
        <v>1118223</v>
      </c>
      <c r="E355" t="s">
        <v>640</v>
      </c>
      <c r="F355" t="s">
        <v>18</v>
      </c>
      <c r="G355" t="s">
        <v>82</v>
      </c>
      <c r="H355" t="s">
        <v>83</v>
      </c>
      <c r="I355" s="9" t="s">
        <v>3423</v>
      </c>
      <c r="J355" s="9">
        <v>51137826963</v>
      </c>
      <c r="K355" s="14" t="s">
        <v>3165</v>
      </c>
      <c r="L355" s="13" t="s">
        <v>4933</v>
      </c>
      <c r="M355" s="14">
        <v>1500</v>
      </c>
      <c r="N355" s="14">
        <v>1.1845000000000001</v>
      </c>
      <c r="O355" s="10">
        <f t="shared" si="37"/>
        <v>1776.7500000000002</v>
      </c>
      <c r="P355" s="11">
        <v>0</v>
      </c>
      <c r="Q355" s="11">
        <v>1125.73</v>
      </c>
      <c r="R355" s="10">
        <f>IF(COUNTIF($J$2:J355,J355)=1,SUMIFS($O:$O,$J:$J,J355)+SUMIFS($P:$P,$J:$J,J355)+SUMIFS($Q:$Q,$J:$J,J355),"")</f>
        <v>2902.4800000000005</v>
      </c>
      <c r="S355">
        <v>9121.98</v>
      </c>
      <c r="T355" s="11" t="str">
        <f t="shared" si="41"/>
        <v>Check</v>
      </c>
      <c r="U355" s="12">
        <v>45951</v>
      </c>
      <c r="V355" s="10">
        <v>7345.23</v>
      </c>
      <c r="W355" s="10" t="str">
        <f t="shared" si="38"/>
        <v>Short Paid</v>
      </c>
      <c r="X355" t="s">
        <v>470</v>
      </c>
      <c r="Y355" t="s">
        <v>28</v>
      </c>
      <c r="Z355">
        <v>100238</v>
      </c>
      <c r="AA355" t="s">
        <v>3078</v>
      </c>
      <c r="AB355" t="s">
        <v>523</v>
      </c>
      <c r="AC355" s="9">
        <f t="shared" si="39"/>
        <v>1</v>
      </c>
      <c r="AD355" s="9" t="str">
        <f t="shared" si="40"/>
        <v>Check</v>
      </c>
      <c r="AE355" s="11">
        <f t="shared" si="43"/>
        <v>-6219.4999999999991</v>
      </c>
    </row>
    <row r="356" spans="1:31" x14ac:dyDescent="0.3">
      <c r="A356">
        <v>78</v>
      </c>
      <c r="B356">
        <v>4607904</v>
      </c>
      <c r="C356" t="s">
        <v>160</v>
      </c>
      <c r="D356">
        <v>1963277</v>
      </c>
      <c r="E356" t="s">
        <v>250</v>
      </c>
      <c r="F356" t="s">
        <v>18</v>
      </c>
      <c r="G356" t="s">
        <v>86</v>
      </c>
      <c r="H356" t="s">
        <v>87</v>
      </c>
      <c r="I356" s="9" t="s">
        <v>3198</v>
      </c>
      <c r="J356" s="9">
        <v>51137871300</v>
      </c>
      <c r="K356" s="14" t="s">
        <v>3165</v>
      </c>
      <c r="L356" s="13" t="s">
        <v>4933</v>
      </c>
      <c r="M356" s="14">
        <v>1500</v>
      </c>
      <c r="N356" s="14">
        <v>1.1845000000000001</v>
      </c>
      <c r="O356" s="10">
        <f t="shared" si="37"/>
        <v>1776.7500000000002</v>
      </c>
      <c r="P356" s="11">
        <v>0</v>
      </c>
      <c r="Q356" s="11">
        <v>0</v>
      </c>
      <c r="R356" s="10">
        <f>IF(COUNTIF($J$2:J356,J356)=1,SUMIFS($O:$O,$J:$J,J356)+SUMIFS($P:$P,$J:$J,J356)+SUMIFS($Q:$Q,$J:$J,J356),"")</f>
        <v>6381.1200000000008</v>
      </c>
      <c r="S356">
        <v>4604.37</v>
      </c>
      <c r="T356" s="11" t="str">
        <f t="shared" si="41"/>
        <v>Check</v>
      </c>
      <c r="U356" s="12">
        <v>46015</v>
      </c>
      <c r="V356" s="10">
        <v>1147.44</v>
      </c>
      <c r="W356" s="10" t="str">
        <f t="shared" si="38"/>
        <v>Short Paid</v>
      </c>
      <c r="X356" t="s">
        <v>474</v>
      </c>
      <c r="Y356" t="s">
        <v>28</v>
      </c>
      <c r="Z356">
        <v>100289</v>
      </c>
      <c r="AA356" t="s">
        <v>475</v>
      </c>
      <c r="AB356" t="s">
        <v>523</v>
      </c>
      <c r="AC356" s="9">
        <f t="shared" si="39"/>
        <v>3</v>
      </c>
      <c r="AD356" s="9" t="str">
        <f t="shared" si="40"/>
        <v>Check</v>
      </c>
      <c r="AE356" s="11">
        <f t="shared" si="43"/>
        <v>1776.7500000000009</v>
      </c>
    </row>
    <row r="357" spans="1:31" x14ac:dyDescent="0.3">
      <c r="A357">
        <v>78</v>
      </c>
      <c r="B357">
        <v>4608182</v>
      </c>
      <c r="C357" t="s">
        <v>160</v>
      </c>
      <c r="D357">
        <v>1963277</v>
      </c>
      <c r="E357" t="s">
        <v>250</v>
      </c>
      <c r="F357" t="s">
        <v>18</v>
      </c>
      <c r="G357" t="s">
        <v>310</v>
      </c>
      <c r="H357" t="s">
        <v>311</v>
      </c>
      <c r="I357" s="9" t="s">
        <v>3446</v>
      </c>
      <c r="J357" s="9">
        <v>51137879489</v>
      </c>
      <c r="K357" s="14" t="s">
        <v>3165</v>
      </c>
      <c r="L357" s="13" t="s">
        <v>4932</v>
      </c>
      <c r="M357" s="14">
        <v>314</v>
      </c>
      <c r="N357" s="14">
        <v>20.239999999999998</v>
      </c>
      <c r="O357" s="10">
        <f t="shared" si="37"/>
        <v>6355.36</v>
      </c>
      <c r="P357" s="11">
        <v>0</v>
      </c>
      <c r="Q357" s="11">
        <v>0</v>
      </c>
      <c r="R357" s="10">
        <f>IF(COUNTIF($J$2:J357,J357)=1,SUMIFS($O:$O,$J:$J,J357)+SUMIFS($P:$P,$J:$J,J357)+SUMIFS($Q:$Q,$J:$J,J357),"")</f>
        <v>6355.36</v>
      </c>
      <c r="S357">
        <v>7684.5599999999995</v>
      </c>
      <c r="T357" s="11" t="str">
        <f t="shared" si="41"/>
        <v>Check</v>
      </c>
      <c r="U357" s="12">
        <v>46014</v>
      </c>
      <c r="V357" s="10">
        <v>100.48</v>
      </c>
      <c r="W357" s="10" t="str">
        <f t="shared" si="38"/>
        <v>Short Paid</v>
      </c>
      <c r="X357" t="s">
        <v>474</v>
      </c>
      <c r="Y357" t="s">
        <v>28</v>
      </c>
      <c r="Z357">
        <v>100119</v>
      </c>
      <c r="AA357" t="s">
        <v>491</v>
      </c>
      <c r="AB357" t="s">
        <v>523</v>
      </c>
      <c r="AC357" s="9">
        <f t="shared" si="39"/>
        <v>1</v>
      </c>
      <c r="AD357" s="9" t="str">
        <f t="shared" si="40"/>
        <v>Check</v>
      </c>
      <c r="AE357" s="11">
        <f t="shared" si="43"/>
        <v>-1329.1999999999998</v>
      </c>
    </row>
    <row r="358" spans="1:31" x14ac:dyDescent="0.3">
      <c r="A358">
        <v>78</v>
      </c>
      <c r="B358">
        <v>4608461</v>
      </c>
      <c r="C358" t="s">
        <v>160</v>
      </c>
      <c r="D358">
        <v>1963277</v>
      </c>
      <c r="E358" t="s">
        <v>250</v>
      </c>
      <c r="F358" t="s">
        <v>18</v>
      </c>
      <c r="G358" t="s">
        <v>84</v>
      </c>
      <c r="H358" t="s">
        <v>85</v>
      </c>
      <c r="I358" s="9" t="s">
        <v>3287</v>
      </c>
      <c r="J358" s="9">
        <v>51137561188</v>
      </c>
      <c r="K358" s="14" t="s">
        <v>3165</v>
      </c>
      <c r="L358" s="13" t="s">
        <v>4933</v>
      </c>
      <c r="M358" s="14">
        <v>1500</v>
      </c>
      <c r="N358" s="14">
        <v>1.1845000000000001</v>
      </c>
      <c r="O358" s="10">
        <f t="shared" si="37"/>
        <v>1776.7500000000002</v>
      </c>
      <c r="P358" s="11">
        <v>0</v>
      </c>
      <c r="Q358" s="11">
        <v>0</v>
      </c>
      <c r="R358" s="10">
        <f>IF(COUNTIF($J$2:J358,J358)=1,SUMIFS($O:$O,$J:$J,J358)+SUMIFS($P:$P,$J:$J,J358)+SUMIFS($Q:$Q,$J:$J,J358),"")</f>
        <v>1776.7500000000002</v>
      </c>
      <c r="S358">
        <v>17440.53</v>
      </c>
      <c r="T358" s="11" t="str">
        <f t="shared" si="41"/>
        <v>Check</v>
      </c>
      <c r="U358" s="12">
        <v>46013</v>
      </c>
      <c r="V358" s="10">
        <v>1304.6400000000001</v>
      </c>
      <c r="W358" s="10" t="str">
        <f t="shared" si="38"/>
        <v>Short Paid</v>
      </c>
      <c r="X358" t="s">
        <v>474</v>
      </c>
      <c r="Y358" t="s">
        <v>28</v>
      </c>
      <c r="Z358">
        <v>100129</v>
      </c>
      <c r="AA358" t="s">
        <v>495</v>
      </c>
      <c r="AB358" t="s">
        <v>523</v>
      </c>
      <c r="AC358" s="9">
        <f t="shared" si="39"/>
        <v>1</v>
      </c>
      <c r="AD358" s="9" t="str">
        <f t="shared" si="40"/>
        <v>Check</v>
      </c>
      <c r="AE358" s="11">
        <f t="shared" si="43"/>
        <v>-15663.779999999999</v>
      </c>
    </row>
    <row r="359" spans="1:31" x14ac:dyDescent="0.3">
      <c r="A359">
        <v>78</v>
      </c>
      <c r="B359">
        <v>4608739</v>
      </c>
      <c r="C359" t="s">
        <v>160</v>
      </c>
      <c r="D359">
        <v>1963277</v>
      </c>
      <c r="E359" t="s">
        <v>250</v>
      </c>
      <c r="F359" t="s">
        <v>18</v>
      </c>
      <c r="G359" t="s">
        <v>308</v>
      </c>
      <c r="H359" t="s">
        <v>309</v>
      </c>
      <c r="I359" s="9" t="s">
        <v>3236</v>
      </c>
      <c r="J359" s="9">
        <v>51137914147</v>
      </c>
      <c r="K359" s="14" t="s">
        <v>3165</v>
      </c>
      <c r="L359" s="13" t="s">
        <v>4926</v>
      </c>
      <c r="M359" s="14">
        <v>646</v>
      </c>
      <c r="N359" s="14">
        <v>0.46</v>
      </c>
      <c r="O359" s="10">
        <f t="shared" si="37"/>
        <v>297.16000000000003</v>
      </c>
      <c r="P359" s="11">
        <v>0</v>
      </c>
      <c r="Q359" s="11">
        <v>0</v>
      </c>
      <c r="R359" s="10">
        <f>IF(COUNTIF($J$2:J359,J359)=1,SUMIFS($O:$O,$J:$J,J359)+SUMIFS($P:$P,$J:$J,J359)+SUMIFS($Q:$Q,$J:$J,J359),"")</f>
        <v>297.16000000000003</v>
      </c>
      <c r="S359">
        <v>1515.16</v>
      </c>
      <c r="T359" s="11" t="str">
        <f t="shared" si="41"/>
        <v>Check</v>
      </c>
      <c r="U359" s="12">
        <v>46014</v>
      </c>
      <c r="V359" s="10">
        <v>180.88</v>
      </c>
      <c r="W359" s="10" t="str">
        <f t="shared" si="38"/>
        <v>Short Paid</v>
      </c>
      <c r="X359" t="s">
        <v>474</v>
      </c>
      <c r="Y359" t="s">
        <v>28</v>
      </c>
      <c r="Z359">
        <v>100159</v>
      </c>
      <c r="AA359" t="s">
        <v>488</v>
      </c>
      <c r="AB359" t="s">
        <v>523</v>
      </c>
      <c r="AC359" s="9">
        <f t="shared" si="39"/>
        <v>1</v>
      </c>
      <c r="AD359" s="9" t="str">
        <f t="shared" si="40"/>
        <v>Check</v>
      </c>
      <c r="AE359" s="11">
        <f t="shared" si="43"/>
        <v>-1218</v>
      </c>
    </row>
    <row r="360" spans="1:31" x14ac:dyDescent="0.3">
      <c r="A360">
        <v>78</v>
      </c>
      <c r="B360">
        <v>4612357</v>
      </c>
      <c r="C360" t="s">
        <v>94</v>
      </c>
      <c r="D360">
        <v>1004994</v>
      </c>
      <c r="E360" t="s">
        <v>550</v>
      </c>
      <c r="F360" t="s">
        <v>18</v>
      </c>
      <c r="G360" t="s">
        <v>70</v>
      </c>
      <c r="H360" t="s">
        <v>71</v>
      </c>
      <c r="I360" s="9" t="s">
        <v>3453</v>
      </c>
      <c r="J360" s="9">
        <v>51137169694</v>
      </c>
      <c r="K360" s="14" t="s">
        <v>3165</v>
      </c>
      <c r="L360" s="13" t="s">
        <v>4930</v>
      </c>
      <c r="M360" s="14">
        <v>7000</v>
      </c>
      <c r="N360" s="14">
        <v>1.9414</v>
      </c>
      <c r="O360" s="10">
        <f t="shared" si="37"/>
        <v>13589.8</v>
      </c>
      <c r="P360" s="11">
        <v>0</v>
      </c>
      <c r="Q360" s="11">
        <v>0</v>
      </c>
      <c r="R360" s="10">
        <f>IF(COUNTIF($J$2:J360,J360)=1,SUMIFS($O:$O,$J:$J,J360)+SUMIFS($P:$P,$J:$J,J360)+SUMIFS($Q:$Q,$J:$J,J360),"")</f>
        <v>13589.8</v>
      </c>
      <c r="S360">
        <v>15394.8</v>
      </c>
      <c r="T360" s="11" t="str">
        <f t="shared" si="41"/>
        <v>Check</v>
      </c>
      <c r="U360" s="12">
        <v>46071</v>
      </c>
      <c r="V360" s="10">
        <v>1805</v>
      </c>
      <c r="W360" s="10" t="str">
        <f t="shared" si="38"/>
        <v>Short Paid</v>
      </c>
      <c r="X360" t="s">
        <v>438</v>
      </c>
      <c r="Y360" t="s">
        <v>28</v>
      </c>
      <c r="Z360">
        <v>100203</v>
      </c>
      <c r="AA360" t="s">
        <v>441</v>
      </c>
      <c r="AB360" t="s">
        <v>523</v>
      </c>
      <c r="AC360" s="9">
        <f t="shared" si="39"/>
        <v>1</v>
      </c>
      <c r="AD360" s="9" t="str">
        <f t="shared" si="40"/>
        <v>Check</v>
      </c>
      <c r="AE360" s="11">
        <f t="shared" si="43"/>
        <v>-1805</v>
      </c>
    </row>
    <row r="361" spans="1:31" x14ac:dyDescent="0.3">
      <c r="A361">
        <v>78</v>
      </c>
      <c r="B361">
        <v>4612635</v>
      </c>
      <c r="C361" t="s">
        <v>94</v>
      </c>
      <c r="D361">
        <v>1004994</v>
      </c>
      <c r="E361" t="s">
        <v>550</v>
      </c>
      <c r="F361" t="s">
        <v>23</v>
      </c>
      <c r="G361" t="s">
        <v>74</v>
      </c>
      <c r="H361" t="s">
        <v>75</v>
      </c>
      <c r="I361" s="9" t="s">
        <v>3420</v>
      </c>
      <c r="J361" s="9">
        <v>51137195293</v>
      </c>
      <c r="K361" s="14" t="s">
        <v>3165</v>
      </c>
      <c r="L361" s="13" t="s">
        <v>4930</v>
      </c>
      <c r="M361" s="14">
        <v>4000</v>
      </c>
      <c r="N361" s="14">
        <v>1.9414</v>
      </c>
      <c r="O361" s="10">
        <f t="shared" si="37"/>
        <v>7765.6</v>
      </c>
      <c r="P361" s="11">
        <v>0</v>
      </c>
      <c r="Q361" s="11">
        <v>0</v>
      </c>
      <c r="R361" s="10">
        <f>IF(COUNTIF($J$2:J361,J361)=1,SUMIFS($O:$O,$J:$J,J361)+SUMIFS($P:$P,$J:$J,J361)+SUMIFS($Q:$Q,$J:$J,J361),"")</f>
        <v>7765.6</v>
      </c>
      <c r="S361">
        <v>10371.85</v>
      </c>
      <c r="T361" s="11" t="str">
        <f t="shared" si="41"/>
        <v>Check</v>
      </c>
      <c r="U361" s="12">
        <v>46045</v>
      </c>
      <c r="V361" s="10">
        <v>2606.25</v>
      </c>
      <c r="W361" s="10" t="str">
        <f t="shared" si="38"/>
        <v>Short Paid</v>
      </c>
      <c r="X361" t="s">
        <v>438</v>
      </c>
      <c r="Y361" t="s">
        <v>436</v>
      </c>
      <c r="Z361">
        <v>100253</v>
      </c>
      <c r="AA361" t="s">
        <v>3086</v>
      </c>
      <c r="AB361" t="s">
        <v>520</v>
      </c>
      <c r="AC361" s="9">
        <f t="shared" si="39"/>
        <v>1</v>
      </c>
      <c r="AD361" s="9" t="str">
        <f t="shared" si="40"/>
        <v>Check</v>
      </c>
      <c r="AE361" s="11">
        <f t="shared" si="43"/>
        <v>-2606.25</v>
      </c>
    </row>
    <row r="362" spans="1:31" x14ac:dyDescent="0.3">
      <c r="A362">
        <v>78</v>
      </c>
      <c r="B362">
        <v>4612913</v>
      </c>
      <c r="C362" t="s">
        <v>94</v>
      </c>
      <c r="D362">
        <v>1004994</v>
      </c>
      <c r="E362" t="s">
        <v>550</v>
      </c>
      <c r="F362" t="s">
        <v>19</v>
      </c>
      <c r="G362" t="s">
        <v>76</v>
      </c>
      <c r="H362" t="s">
        <v>77</v>
      </c>
      <c r="I362" s="9" t="s">
        <v>3393</v>
      </c>
      <c r="J362" s="9">
        <v>51137296252</v>
      </c>
      <c r="K362" s="14" t="s">
        <v>3165</v>
      </c>
      <c r="L362" s="13" t="s">
        <v>4930</v>
      </c>
      <c r="M362" s="14">
        <v>5000</v>
      </c>
      <c r="N362" s="14">
        <v>1.9414</v>
      </c>
      <c r="O362" s="10">
        <f t="shared" si="37"/>
        <v>9707</v>
      </c>
      <c r="P362" s="11">
        <v>0</v>
      </c>
      <c r="Q362" s="11">
        <v>0</v>
      </c>
      <c r="R362" s="10">
        <f>IF(COUNTIF($J$2:J362,J362)=1,SUMIFS($O:$O,$J:$J,J362)+SUMIFS($P:$P,$J:$J,J362)+SUMIFS($Q:$Q,$J:$J,J362),"")</f>
        <v>9707</v>
      </c>
      <c r="S362">
        <v>15962</v>
      </c>
      <c r="T362" s="11" t="str">
        <f t="shared" si="41"/>
        <v>Check</v>
      </c>
      <c r="U362" s="12">
        <v>46045</v>
      </c>
      <c r="V362" s="10">
        <v>6255</v>
      </c>
      <c r="W362" s="10" t="str">
        <f t="shared" si="38"/>
        <v>Short Paid</v>
      </c>
      <c r="X362" t="s">
        <v>438</v>
      </c>
      <c r="Y362" t="s">
        <v>28</v>
      </c>
      <c r="Z362">
        <v>100243</v>
      </c>
      <c r="AA362" t="s">
        <v>446</v>
      </c>
      <c r="AB362" t="s">
        <v>524</v>
      </c>
      <c r="AC362" s="9">
        <f t="shared" si="39"/>
        <v>1</v>
      </c>
      <c r="AD362" s="9" t="str">
        <f t="shared" si="40"/>
        <v>Check</v>
      </c>
      <c r="AE362" s="11">
        <f t="shared" si="43"/>
        <v>-6255</v>
      </c>
    </row>
    <row r="363" spans="1:31" x14ac:dyDescent="0.3">
      <c r="A363">
        <v>78</v>
      </c>
      <c r="B363">
        <v>4613192</v>
      </c>
      <c r="C363" t="s">
        <v>94</v>
      </c>
      <c r="D363">
        <v>1004994</v>
      </c>
      <c r="E363" t="s">
        <v>550</v>
      </c>
      <c r="F363" t="s">
        <v>23</v>
      </c>
      <c r="G363" t="s">
        <v>78</v>
      </c>
      <c r="H363" t="s">
        <v>79</v>
      </c>
      <c r="I363" s="9" t="s">
        <v>3309</v>
      </c>
      <c r="J363" s="9">
        <v>51137285241</v>
      </c>
      <c r="K363" s="14" t="s">
        <v>3165</v>
      </c>
      <c r="L363" s="13" t="s">
        <v>4930</v>
      </c>
      <c r="M363" s="14">
        <v>4000</v>
      </c>
      <c r="N363" s="14">
        <v>1.9414</v>
      </c>
      <c r="O363" s="10">
        <f t="shared" si="37"/>
        <v>7765.6</v>
      </c>
      <c r="P363" s="11">
        <v>0</v>
      </c>
      <c r="Q363" s="11">
        <v>0</v>
      </c>
      <c r="R363" s="10">
        <f>IF(COUNTIF($J$2:J363,J363)=1,SUMIFS($O:$O,$J:$J,J363)+SUMIFS($P:$P,$J:$J,J363)+SUMIFS($Q:$Q,$J:$J,J363),"")</f>
        <v>7765.6</v>
      </c>
      <c r="S363">
        <v>18061.599999999999</v>
      </c>
      <c r="T363" s="11" t="str">
        <f t="shared" si="41"/>
        <v>Check</v>
      </c>
      <c r="U363" s="12">
        <v>46045</v>
      </c>
      <c r="V363" s="10">
        <v>10296</v>
      </c>
      <c r="W363" s="10" t="str">
        <f t="shared" si="38"/>
        <v>Short Paid</v>
      </c>
      <c r="X363" t="s">
        <v>438</v>
      </c>
      <c r="Y363" t="s">
        <v>436</v>
      </c>
      <c r="Z363">
        <v>100133</v>
      </c>
      <c r="AA363" t="s">
        <v>3087</v>
      </c>
      <c r="AB363" t="s">
        <v>520</v>
      </c>
      <c r="AC363" s="9">
        <f t="shared" si="39"/>
        <v>1</v>
      </c>
      <c r="AD363" s="9" t="str">
        <f t="shared" si="40"/>
        <v>Check</v>
      </c>
      <c r="AE363" s="11">
        <f t="shared" si="43"/>
        <v>-10295.999999999998</v>
      </c>
    </row>
    <row r="364" spans="1:31" x14ac:dyDescent="0.3">
      <c r="A364">
        <v>77</v>
      </c>
      <c r="B364">
        <v>4623210</v>
      </c>
      <c r="C364" t="s">
        <v>239</v>
      </c>
      <c r="D364">
        <v>1028314</v>
      </c>
      <c r="E364" t="s">
        <v>552</v>
      </c>
      <c r="F364" t="s">
        <v>18</v>
      </c>
      <c r="G364" t="s">
        <v>2691</v>
      </c>
      <c r="H364" t="s">
        <v>2692</v>
      </c>
      <c r="I364" s="9" t="s">
        <v>3420</v>
      </c>
      <c r="J364" s="9">
        <v>54107044125</v>
      </c>
      <c r="K364" s="14" t="s">
        <v>3266</v>
      </c>
      <c r="L364" s="13" t="s">
        <v>3788</v>
      </c>
      <c r="M364" s="14">
        <v>1250</v>
      </c>
      <c r="N364" s="14">
        <v>1.0459799999999999</v>
      </c>
      <c r="O364" s="10">
        <f t="shared" si="37"/>
        <v>1307.4749999999999</v>
      </c>
      <c r="P364" s="11">
        <v>0</v>
      </c>
      <c r="Q364" s="11">
        <v>0</v>
      </c>
      <c r="R364" s="10">
        <f>IF(COUNTIF($J$2:J364,J364)=1,SUMIFS($O:$O,$J:$J,J364)+SUMIFS($P:$P,$J:$J,J364)+SUMIFS($Q:$Q,$J:$J,J364),"")</f>
        <v>1307.4749999999999</v>
      </c>
      <c r="S364" s="10">
        <v>2614.96</v>
      </c>
      <c r="T364" s="11" t="str">
        <f t="shared" si="41"/>
        <v>Check</v>
      </c>
      <c r="U364" s="12">
        <v>46018</v>
      </c>
      <c r="V364" s="10">
        <v>236.73</v>
      </c>
      <c r="W364" s="10" t="str">
        <f t="shared" si="38"/>
        <v>Short Paid</v>
      </c>
      <c r="X364" t="s">
        <v>476</v>
      </c>
      <c r="Y364" t="s">
        <v>28</v>
      </c>
      <c r="Z364">
        <v>100195</v>
      </c>
      <c r="AA364" t="s">
        <v>3070</v>
      </c>
      <c r="AB364" t="s">
        <v>523</v>
      </c>
      <c r="AC364" s="9">
        <f t="shared" si="39"/>
        <v>1</v>
      </c>
      <c r="AD364" s="9" t="str">
        <f t="shared" si="40"/>
        <v>Check</v>
      </c>
      <c r="AE364" s="11">
        <f t="shared" si="43"/>
        <v>-1307.4850000000001</v>
      </c>
    </row>
    <row r="365" spans="1:31" x14ac:dyDescent="0.3">
      <c r="A365">
        <v>73</v>
      </c>
      <c r="B365">
        <v>4615974</v>
      </c>
      <c r="C365" t="s">
        <v>220</v>
      </c>
      <c r="D365">
        <v>1115546</v>
      </c>
      <c r="E365" t="s">
        <v>572</v>
      </c>
      <c r="F365" t="s">
        <v>19</v>
      </c>
      <c r="G365" t="s">
        <v>68</v>
      </c>
      <c r="H365" t="s">
        <v>69</v>
      </c>
      <c r="I365" s="9" t="s">
        <v>3344</v>
      </c>
      <c r="J365" s="9">
        <v>51137296511</v>
      </c>
      <c r="K365" s="14" t="s">
        <v>3165</v>
      </c>
      <c r="L365" s="13" t="s">
        <v>4930</v>
      </c>
      <c r="M365" s="14">
        <v>2000</v>
      </c>
      <c r="N365" s="14">
        <v>1.9414</v>
      </c>
      <c r="O365" s="10">
        <f t="shared" si="37"/>
        <v>3882.8</v>
      </c>
      <c r="P365" s="11">
        <v>0</v>
      </c>
      <c r="Q365" s="11">
        <v>0</v>
      </c>
      <c r="R365" s="10">
        <f>IF(COUNTIF($J$2:J365,J365)=1,SUMIFS($O:$O,$J:$J,J365)+SUMIFS($P:$P,$J:$J,J365)+SUMIFS($Q:$Q,$J:$J,J365),"")</f>
        <v>3882.8</v>
      </c>
      <c r="S365">
        <v>5348.8</v>
      </c>
      <c r="T365" s="11" t="str">
        <f t="shared" si="41"/>
        <v>Check</v>
      </c>
      <c r="U365" s="12">
        <v>46002</v>
      </c>
      <c r="V365" s="10">
        <v>1466</v>
      </c>
      <c r="W365" s="10" t="str">
        <f t="shared" si="38"/>
        <v>Short Paid</v>
      </c>
      <c r="X365" t="s">
        <v>470</v>
      </c>
      <c r="Y365" t="s">
        <v>28</v>
      </c>
      <c r="Z365">
        <v>100278</v>
      </c>
      <c r="AA365" t="s">
        <v>3114</v>
      </c>
      <c r="AB365" t="s">
        <v>524</v>
      </c>
      <c r="AC365" s="9">
        <f t="shared" si="39"/>
        <v>1</v>
      </c>
      <c r="AD365" s="9" t="str">
        <f t="shared" si="40"/>
        <v>Check</v>
      </c>
      <c r="AE365" s="11">
        <f t="shared" ref="AE365:AE377" si="44">R365-S365</f>
        <v>-1466</v>
      </c>
    </row>
    <row r="366" spans="1:31" x14ac:dyDescent="0.3">
      <c r="A366">
        <v>73</v>
      </c>
      <c r="B366">
        <v>4616253</v>
      </c>
      <c r="C366" t="s">
        <v>220</v>
      </c>
      <c r="D366">
        <v>1115546</v>
      </c>
      <c r="E366" t="s">
        <v>572</v>
      </c>
      <c r="F366" t="s">
        <v>19</v>
      </c>
      <c r="G366" t="s">
        <v>2693</v>
      </c>
      <c r="H366" t="s">
        <v>72</v>
      </c>
      <c r="I366" s="9" t="s">
        <v>3331</v>
      </c>
      <c r="J366" s="9">
        <v>51142313020</v>
      </c>
      <c r="K366" s="14" t="s">
        <v>3165</v>
      </c>
      <c r="L366" s="13" t="s">
        <v>4930</v>
      </c>
      <c r="M366" s="14">
        <v>2000</v>
      </c>
      <c r="N366" s="14">
        <v>1.9414</v>
      </c>
      <c r="O366" s="10">
        <f t="shared" si="37"/>
        <v>3882.8</v>
      </c>
      <c r="P366" s="11">
        <v>0</v>
      </c>
      <c r="Q366" s="11">
        <v>0</v>
      </c>
      <c r="R366" s="10">
        <f>IF(COUNTIF($J$2:J366,J366)=1,SUMIFS($O:$O,$J:$J,J366)+SUMIFS($P:$P,$J:$J,J366)+SUMIFS($Q:$Q,$J:$J,J366),"")</f>
        <v>3882.8</v>
      </c>
      <c r="S366">
        <v>4140.8</v>
      </c>
      <c r="T366" s="11" t="str">
        <f t="shared" si="41"/>
        <v>Check</v>
      </c>
      <c r="U366" s="12">
        <v>46014</v>
      </c>
      <c r="V366" s="10">
        <v>258</v>
      </c>
      <c r="W366" s="10" t="str">
        <f t="shared" si="38"/>
        <v>Short Paid</v>
      </c>
      <c r="X366" t="s">
        <v>470</v>
      </c>
      <c r="Y366" t="s">
        <v>28</v>
      </c>
      <c r="Z366">
        <v>100288</v>
      </c>
      <c r="AA366" t="s">
        <v>471</v>
      </c>
      <c r="AB366" t="s">
        <v>524</v>
      </c>
      <c r="AC366" s="9">
        <f t="shared" si="39"/>
        <v>1</v>
      </c>
      <c r="AD366" s="9" t="str">
        <f t="shared" si="40"/>
        <v>Check</v>
      </c>
      <c r="AE366" s="11">
        <f t="shared" si="44"/>
        <v>-258</v>
      </c>
    </row>
    <row r="367" spans="1:31" x14ac:dyDescent="0.3">
      <c r="A367">
        <v>73</v>
      </c>
      <c r="B367">
        <v>4616531</v>
      </c>
      <c r="C367" t="s">
        <v>94</v>
      </c>
      <c r="D367">
        <v>1560352</v>
      </c>
      <c r="E367" t="s">
        <v>680</v>
      </c>
      <c r="F367" t="s">
        <v>48</v>
      </c>
      <c r="G367" t="s">
        <v>2694</v>
      </c>
      <c r="H367" t="s">
        <v>73</v>
      </c>
      <c r="I367" s="9" t="s">
        <v>3513</v>
      </c>
      <c r="J367" s="9">
        <v>51132785309</v>
      </c>
      <c r="K367" s="14" t="s">
        <v>3165</v>
      </c>
      <c r="L367" s="13" t="s">
        <v>4930</v>
      </c>
      <c r="M367" s="14">
        <v>1000</v>
      </c>
      <c r="N367" s="14">
        <v>1.9414</v>
      </c>
      <c r="O367" s="10">
        <f t="shared" si="37"/>
        <v>1941.4</v>
      </c>
      <c r="P367" s="11">
        <v>0</v>
      </c>
      <c r="Q367" s="11">
        <v>0</v>
      </c>
      <c r="R367" s="10">
        <f>IF(COUNTIF($J$2:J367,J367)=1,SUMIFS($O:$O,$J:$J,J367)+SUMIFS($P:$P,$J:$J,J367)+SUMIFS($Q:$Q,$J:$J,J367),"")</f>
        <v>1941.4</v>
      </c>
      <c r="S367">
        <v>8424.7999999999993</v>
      </c>
      <c r="T367" s="11" t="str">
        <f t="shared" si="41"/>
        <v>Check</v>
      </c>
      <c r="U367" s="12">
        <v>45972</v>
      </c>
      <c r="V367" s="10">
        <v>4542</v>
      </c>
      <c r="W367" s="10" t="str">
        <f t="shared" si="38"/>
        <v>Short Paid</v>
      </c>
      <c r="X367" t="s">
        <v>450</v>
      </c>
      <c r="Y367" t="s">
        <v>28</v>
      </c>
      <c r="Z367">
        <v>100117</v>
      </c>
      <c r="AA367" t="s">
        <v>451</v>
      </c>
      <c r="AB367" t="s">
        <v>3040</v>
      </c>
      <c r="AC367" s="9">
        <f t="shared" si="39"/>
        <v>1</v>
      </c>
      <c r="AD367" s="9" t="str">
        <f t="shared" si="40"/>
        <v>Check</v>
      </c>
      <c r="AE367" s="11">
        <f t="shared" si="44"/>
        <v>-6483.4</v>
      </c>
    </row>
    <row r="368" spans="1:31" x14ac:dyDescent="0.3">
      <c r="A368">
        <v>72</v>
      </c>
      <c r="B368">
        <v>4619314</v>
      </c>
      <c r="C368" t="s">
        <v>160</v>
      </c>
      <c r="D368">
        <v>1443616</v>
      </c>
      <c r="E368" t="s">
        <v>285</v>
      </c>
      <c r="F368" t="s">
        <v>19</v>
      </c>
      <c r="G368" t="s">
        <v>2699</v>
      </c>
      <c r="H368" t="s">
        <v>2700</v>
      </c>
      <c r="I368" s="9" t="s">
        <v>3195</v>
      </c>
      <c r="J368" s="9">
        <v>50115471639</v>
      </c>
      <c r="K368" s="14" t="s">
        <v>3197</v>
      </c>
      <c r="L368" s="13" t="s">
        <v>3196</v>
      </c>
      <c r="M368" s="14">
        <v>146</v>
      </c>
      <c r="N368" s="14">
        <v>68.2</v>
      </c>
      <c r="O368" s="10">
        <f t="shared" si="37"/>
        <v>9957.2000000000007</v>
      </c>
      <c r="P368" s="11">
        <v>0</v>
      </c>
      <c r="Q368" s="11">
        <v>0</v>
      </c>
      <c r="R368" s="10">
        <f>IF(COUNTIF($J$2:J368,J368)=1,SUMIFS($O:$O,$J:$J,J368)+SUMIFS($P:$P,$J:$J,J368)+SUMIFS($Q:$Q,$J:$J,J368),"")</f>
        <v>9957.2000000000007</v>
      </c>
      <c r="S368" s="10">
        <v>10277.19</v>
      </c>
      <c r="T368" s="11" t="str">
        <f t="shared" si="41"/>
        <v>Check</v>
      </c>
      <c r="U368" s="12">
        <v>46084</v>
      </c>
      <c r="V368" s="10">
        <v>39270</v>
      </c>
      <c r="W368" s="10" t="str">
        <f t="shared" si="38"/>
        <v>Short Paid</v>
      </c>
      <c r="X368" t="s">
        <v>435</v>
      </c>
      <c r="Y368" t="s">
        <v>28</v>
      </c>
      <c r="Z368">
        <v>100271</v>
      </c>
      <c r="AA368" t="s">
        <v>3067</v>
      </c>
      <c r="AB368" t="s">
        <v>524</v>
      </c>
      <c r="AC368" s="9">
        <f t="shared" si="39"/>
        <v>1</v>
      </c>
      <c r="AD368" s="9" t="str">
        <f t="shared" si="40"/>
        <v>Check</v>
      </c>
      <c r="AE368" s="11">
        <f t="shared" si="44"/>
        <v>-319.98999999999978</v>
      </c>
    </row>
    <row r="369" spans="1:31" x14ac:dyDescent="0.3">
      <c r="A369">
        <v>72</v>
      </c>
      <c r="B369">
        <v>4620149</v>
      </c>
      <c r="C369" t="s">
        <v>217</v>
      </c>
      <c r="D369">
        <v>1150978</v>
      </c>
      <c r="E369" t="s">
        <v>553</v>
      </c>
      <c r="F369" t="s">
        <v>18</v>
      </c>
      <c r="G369" t="s">
        <v>2701</v>
      </c>
      <c r="H369" t="s">
        <v>2702</v>
      </c>
      <c r="I369" s="9" t="s">
        <v>3328</v>
      </c>
      <c r="J369" s="9">
        <v>51138790776</v>
      </c>
      <c r="K369" s="14" t="s">
        <v>3165</v>
      </c>
      <c r="L369" s="13" t="s">
        <v>3394</v>
      </c>
      <c r="M369" s="14">
        <v>600</v>
      </c>
      <c r="N369" s="14">
        <v>3.54</v>
      </c>
      <c r="O369" s="10">
        <f t="shared" si="37"/>
        <v>2124</v>
      </c>
      <c r="P369" s="11">
        <v>0</v>
      </c>
      <c r="Q369" s="11">
        <v>0</v>
      </c>
      <c r="R369" s="10">
        <f>IF(COUNTIF($J$2:J369,J369)=1,SUMIFS($O:$O,$J:$J,J369)+SUMIFS($P:$P,$J:$J,J369)+SUMIFS($Q:$Q,$J:$J,J369),"")</f>
        <v>2124</v>
      </c>
      <c r="S369" s="10">
        <v>10145.76</v>
      </c>
      <c r="T369" s="11" t="str">
        <f t="shared" si="41"/>
        <v>Check</v>
      </c>
      <c r="U369" s="12">
        <v>45993</v>
      </c>
      <c r="V369" s="10">
        <v>180.09</v>
      </c>
      <c r="W369" s="10" t="str">
        <f t="shared" si="38"/>
        <v>Short Paid</v>
      </c>
      <c r="X369" t="s">
        <v>468</v>
      </c>
      <c r="Y369" t="s">
        <v>28</v>
      </c>
      <c r="Z369">
        <v>100166</v>
      </c>
      <c r="AA369" t="s">
        <v>3069</v>
      </c>
      <c r="AB369" t="s">
        <v>523</v>
      </c>
      <c r="AC369" s="9">
        <f t="shared" si="39"/>
        <v>1</v>
      </c>
      <c r="AD369" s="9" t="str">
        <f t="shared" si="40"/>
        <v>Check</v>
      </c>
      <c r="AE369" s="11">
        <f t="shared" si="44"/>
        <v>-8021.76</v>
      </c>
    </row>
    <row r="370" spans="1:31" x14ac:dyDescent="0.3">
      <c r="A370">
        <v>72</v>
      </c>
      <c r="B370">
        <v>4632950</v>
      </c>
      <c r="C370" t="s">
        <v>217</v>
      </c>
      <c r="D370">
        <v>1161112</v>
      </c>
      <c r="E370" t="s">
        <v>566</v>
      </c>
      <c r="F370" t="s">
        <v>20</v>
      </c>
      <c r="G370" t="s">
        <v>2704</v>
      </c>
      <c r="H370" t="s">
        <v>2705</v>
      </c>
      <c r="I370" s="9" t="s">
        <v>3416</v>
      </c>
      <c r="J370" s="9">
        <v>51141079730</v>
      </c>
      <c r="K370" s="14" t="s">
        <v>3375</v>
      </c>
      <c r="L370" s="13" t="s">
        <v>3417</v>
      </c>
      <c r="M370" s="14">
        <v>2500</v>
      </c>
      <c r="N370" s="14">
        <v>9.1289999999999996E-2</v>
      </c>
      <c r="O370" s="10">
        <f t="shared" si="37"/>
        <v>228.22499999999999</v>
      </c>
      <c r="P370" s="11">
        <v>0</v>
      </c>
      <c r="Q370" s="11">
        <v>0</v>
      </c>
      <c r="R370" s="10">
        <f>IF(COUNTIF($J$2:J370,J370)=1,SUMIFS($O:$O,$J:$J,J370)+SUMIFS($P:$P,$J:$J,J370)+SUMIFS($Q:$Q,$J:$J,J370),"")</f>
        <v>228.22499999999999</v>
      </c>
      <c r="S370" s="10">
        <v>456.46</v>
      </c>
      <c r="T370" s="11" t="str">
        <f t="shared" si="41"/>
        <v>Check</v>
      </c>
      <c r="U370" s="12">
        <v>46057</v>
      </c>
      <c r="V370" s="10">
        <v>456.46</v>
      </c>
      <c r="W370" s="10" t="str">
        <f t="shared" si="38"/>
        <v>Not Paid</v>
      </c>
      <c r="X370" t="s">
        <v>468</v>
      </c>
      <c r="Y370" t="s">
        <v>28</v>
      </c>
      <c r="Z370">
        <v>100286</v>
      </c>
      <c r="AA370" t="s">
        <v>3061</v>
      </c>
      <c r="AB370" t="s">
        <v>521</v>
      </c>
      <c r="AC370" s="9">
        <f t="shared" si="39"/>
        <v>1</v>
      </c>
      <c r="AD370" s="9" t="str">
        <f t="shared" si="40"/>
        <v>Check</v>
      </c>
      <c r="AE370" s="11">
        <f t="shared" si="44"/>
        <v>-228.23499999999999</v>
      </c>
    </row>
    <row r="371" spans="1:31" x14ac:dyDescent="0.3">
      <c r="A371">
        <v>71</v>
      </c>
      <c r="B371">
        <v>4622097</v>
      </c>
      <c r="C371" t="s">
        <v>160</v>
      </c>
      <c r="D371">
        <v>1507117</v>
      </c>
      <c r="E371" t="s">
        <v>161</v>
      </c>
      <c r="F371" t="s">
        <v>20</v>
      </c>
      <c r="G371" t="s">
        <v>88</v>
      </c>
      <c r="H371" t="s">
        <v>89</v>
      </c>
      <c r="I371" s="9" t="s">
        <v>3298</v>
      </c>
      <c r="J371" s="9">
        <v>51138541149</v>
      </c>
      <c r="K371" s="14" t="s">
        <v>3165</v>
      </c>
      <c r="L371" s="13" t="s">
        <v>4933</v>
      </c>
      <c r="M371" s="14">
        <v>1500</v>
      </c>
      <c r="N371" s="14">
        <v>1.1845000000000001</v>
      </c>
      <c r="O371" s="10">
        <f t="shared" si="37"/>
        <v>1776.7500000000002</v>
      </c>
      <c r="P371" s="11">
        <v>0</v>
      </c>
      <c r="Q371" s="11">
        <v>68.239999999999995</v>
      </c>
      <c r="R371" s="10">
        <f>IF(COUNTIF($J$2:J371,J371)=1,SUMIFS($O:$O,$J:$J,J371)+SUMIFS($P:$P,$J:$J,J371)+SUMIFS($Q:$Q,$J:$J,J371),"")</f>
        <v>1844.9900000000002</v>
      </c>
      <c r="S371">
        <v>2322.2200000000003</v>
      </c>
      <c r="T371" s="11" t="str">
        <f t="shared" si="41"/>
        <v>Check</v>
      </c>
      <c r="U371" s="12">
        <v>46020</v>
      </c>
      <c r="V371" s="10">
        <v>350.47</v>
      </c>
      <c r="W371" s="10" t="str">
        <f t="shared" si="38"/>
        <v>Short Paid</v>
      </c>
      <c r="X371" t="s">
        <v>453</v>
      </c>
      <c r="Y371" t="s">
        <v>28</v>
      </c>
      <c r="Z371">
        <v>100114</v>
      </c>
      <c r="AA371" t="s">
        <v>498</v>
      </c>
      <c r="AB371" t="s">
        <v>521</v>
      </c>
      <c r="AC371" s="9">
        <f t="shared" si="39"/>
        <v>1</v>
      </c>
      <c r="AD371" s="9" t="str">
        <f t="shared" si="40"/>
        <v>Check</v>
      </c>
      <c r="AE371" s="11">
        <f t="shared" si="44"/>
        <v>-477.23</v>
      </c>
    </row>
    <row r="372" spans="1:31" x14ac:dyDescent="0.3">
      <c r="A372">
        <v>70</v>
      </c>
      <c r="B372">
        <v>4622932</v>
      </c>
      <c r="C372" t="s">
        <v>239</v>
      </c>
      <c r="D372">
        <v>1080749</v>
      </c>
      <c r="E372" t="s">
        <v>683</v>
      </c>
      <c r="F372" t="s">
        <v>18</v>
      </c>
      <c r="G372" t="s">
        <v>90</v>
      </c>
      <c r="H372" t="s">
        <v>91</v>
      </c>
      <c r="I372" s="9" t="s">
        <v>3414</v>
      </c>
      <c r="J372" s="9">
        <v>51143135576</v>
      </c>
      <c r="K372" s="14" t="s">
        <v>3165</v>
      </c>
      <c r="L372" s="13" t="s">
        <v>4933</v>
      </c>
      <c r="M372" s="14">
        <v>1500</v>
      </c>
      <c r="N372" s="14">
        <v>1.1845000000000001</v>
      </c>
      <c r="O372" s="10">
        <f t="shared" si="37"/>
        <v>1776.7500000000002</v>
      </c>
      <c r="P372" s="11">
        <v>0</v>
      </c>
      <c r="Q372" s="11">
        <v>0</v>
      </c>
      <c r="R372" s="10">
        <f>IF(COUNTIF($J$2:J372,J372)=1,SUMIFS($O:$O,$J:$J,J372)+SUMIFS($P:$P,$J:$J,J372)+SUMIFS($Q:$Q,$J:$J,J372),"")</f>
        <v>1776.7500000000002</v>
      </c>
      <c r="S372">
        <v>367476.75</v>
      </c>
      <c r="T372" s="11" t="str">
        <f t="shared" si="41"/>
        <v>Check</v>
      </c>
      <c r="U372" s="12">
        <v>46034</v>
      </c>
      <c r="V372" s="10">
        <v>26600</v>
      </c>
      <c r="W372" s="10" t="str">
        <f t="shared" si="38"/>
        <v>Short Paid</v>
      </c>
      <c r="X372" t="s">
        <v>476</v>
      </c>
      <c r="Y372" t="s">
        <v>28</v>
      </c>
      <c r="Z372">
        <v>100165</v>
      </c>
      <c r="AA372" t="s">
        <v>3100</v>
      </c>
      <c r="AB372" t="s">
        <v>523</v>
      </c>
      <c r="AC372" s="9">
        <f t="shared" si="39"/>
        <v>1</v>
      </c>
      <c r="AD372" s="9" t="str">
        <f t="shared" si="40"/>
        <v>Check</v>
      </c>
      <c r="AE372" s="11">
        <f t="shared" si="44"/>
        <v>-365700</v>
      </c>
    </row>
    <row r="373" spans="1:31" x14ac:dyDescent="0.3">
      <c r="A373">
        <v>70</v>
      </c>
      <c r="B373">
        <v>4638515</v>
      </c>
      <c r="C373" t="s">
        <v>167</v>
      </c>
      <c r="D373">
        <v>1651785</v>
      </c>
      <c r="E373" t="s">
        <v>568</v>
      </c>
      <c r="F373" t="s">
        <v>20</v>
      </c>
      <c r="G373" t="s">
        <v>100</v>
      </c>
      <c r="H373" t="s">
        <v>101</v>
      </c>
      <c r="I373" s="9" t="s">
        <v>3390</v>
      </c>
      <c r="J373" s="9">
        <v>51140171550</v>
      </c>
      <c r="K373" s="14" t="s">
        <v>3165</v>
      </c>
      <c r="L373" s="13" t="s">
        <v>4942</v>
      </c>
      <c r="M373" s="14">
        <v>1000</v>
      </c>
      <c r="N373" s="14">
        <v>1.4039999999999999</v>
      </c>
      <c r="O373" s="10">
        <f t="shared" si="37"/>
        <v>1404</v>
      </c>
      <c r="P373" s="11">
        <v>0</v>
      </c>
      <c r="Q373" s="11">
        <v>0</v>
      </c>
      <c r="R373" s="10">
        <f>IF(COUNTIF($J$2:J373,J373)=1,SUMIFS($O:$O,$J:$J,J373)+SUMIFS($P:$P,$J:$J,J373)+SUMIFS($Q:$Q,$J:$J,J373),"")</f>
        <v>1404</v>
      </c>
      <c r="S373">
        <v>45004.05</v>
      </c>
      <c r="T373" s="11" t="str">
        <f t="shared" si="41"/>
        <v>Check</v>
      </c>
      <c r="U373" s="12">
        <v>46092</v>
      </c>
      <c r="V373" s="10">
        <v>43600.05</v>
      </c>
      <c r="W373" s="10" t="str">
        <f t="shared" si="38"/>
        <v>Short Paid</v>
      </c>
      <c r="X373" t="s">
        <v>470</v>
      </c>
      <c r="Y373" t="s">
        <v>28</v>
      </c>
      <c r="Z373">
        <v>100288</v>
      </c>
      <c r="AA373" t="s">
        <v>471</v>
      </c>
      <c r="AB373" t="s">
        <v>521</v>
      </c>
      <c r="AC373" s="9">
        <f t="shared" si="39"/>
        <v>1</v>
      </c>
      <c r="AD373" s="9" t="str">
        <f t="shared" si="40"/>
        <v>Check</v>
      </c>
      <c r="AE373" s="11">
        <f t="shared" si="44"/>
        <v>-43600.05</v>
      </c>
    </row>
    <row r="374" spans="1:31" x14ac:dyDescent="0.3">
      <c r="A374">
        <v>66</v>
      </c>
      <c r="B374">
        <v>4647421</v>
      </c>
      <c r="C374" t="s">
        <v>220</v>
      </c>
      <c r="D374">
        <v>1006248</v>
      </c>
      <c r="E374" t="s">
        <v>129</v>
      </c>
      <c r="F374" t="s">
        <v>19</v>
      </c>
      <c r="G374" t="s">
        <v>349</v>
      </c>
      <c r="H374" t="s">
        <v>350</v>
      </c>
      <c r="I374" s="9" t="s">
        <v>3198</v>
      </c>
      <c r="J374" s="9">
        <v>51125154798</v>
      </c>
      <c r="K374" s="14" t="s">
        <v>3165</v>
      </c>
      <c r="L374" s="13" t="s">
        <v>4927</v>
      </c>
      <c r="M374" s="14">
        <v>1500</v>
      </c>
      <c r="N374" s="14">
        <v>0.95</v>
      </c>
      <c r="O374" s="10">
        <f t="shared" si="37"/>
        <v>1425</v>
      </c>
      <c r="P374" s="11">
        <v>0</v>
      </c>
      <c r="Q374" s="11">
        <v>0</v>
      </c>
      <c r="R374" s="10">
        <f>IF(COUNTIF($J$2:J374,J374)=1,SUMIFS($O:$O,$J:$J,J374)+SUMIFS($P:$P,$J:$J,J374)+SUMIFS($Q:$Q,$J:$J,J374),"")</f>
        <v>1425</v>
      </c>
      <c r="S374">
        <v>1425</v>
      </c>
      <c r="T374" s="11" t="str">
        <f t="shared" si="41"/>
        <v>Ok</v>
      </c>
      <c r="U374" s="12">
        <v>46063</v>
      </c>
      <c r="V374" s="10">
        <v>1425</v>
      </c>
      <c r="W374" s="10" t="str">
        <f t="shared" si="38"/>
        <v>Not Paid</v>
      </c>
      <c r="X374" t="s">
        <v>438</v>
      </c>
      <c r="Y374" t="s">
        <v>28</v>
      </c>
      <c r="Z374">
        <v>100123</v>
      </c>
      <c r="AA374" t="s">
        <v>447</v>
      </c>
      <c r="AB374" t="s">
        <v>524</v>
      </c>
      <c r="AC374" s="9">
        <f t="shared" si="39"/>
        <v>1</v>
      </c>
      <c r="AD374" s="9" t="str">
        <f t="shared" si="40"/>
        <v>Ok</v>
      </c>
      <c r="AE374" s="11">
        <f t="shared" si="44"/>
        <v>0</v>
      </c>
    </row>
    <row r="375" spans="1:31" x14ac:dyDescent="0.3">
      <c r="A375">
        <v>65</v>
      </c>
      <c r="B375">
        <v>4629889</v>
      </c>
      <c r="C375" t="s">
        <v>160</v>
      </c>
      <c r="D375">
        <v>1632939</v>
      </c>
      <c r="E375" t="s">
        <v>685</v>
      </c>
      <c r="F375" t="s">
        <v>17</v>
      </c>
      <c r="G375" t="s">
        <v>96</v>
      </c>
      <c r="H375" t="s">
        <v>97</v>
      </c>
      <c r="I375" s="9" t="s">
        <v>3305</v>
      </c>
      <c r="J375" s="9">
        <v>51139337541</v>
      </c>
      <c r="K375" s="14" t="s">
        <v>3165</v>
      </c>
      <c r="L375" s="13" t="s">
        <v>4938</v>
      </c>
      <c r="M375" s="14">
        <v>500</v>
      </c>
      <c r="N375" s="14">
        <v>4.0999999999999996</v>
      </c>
      <c r="O375" s="10">
        <f t="shared" si="37"/>
        <v>2050</v>
      </c>
      <c r="P375" s="11">
        <v>0</v>
      </c>
      <c r="Q375" s="11">
        <v>363.66</v>
      </c>
      <c r="R375" s="10">
        <f>IF(COUNTIF($J$2:J375,J375)=1,SUMIFS($O:$O,$J:$J,J375)+SUMIFS($P:$P,$J:$J,J375)+SUMIFS($Q:$Q,$J:$J,J375),"")</f>
        <v>2413.66</v>
      </c>
      <c r="S375">
        <v>6241.66</v>
      </c>
      <c r="T375" s="11" t="str">
        <f t="shared" si="41"/>
        <v>Check</v>
      </c>
      <c r="U375" s="12">
        <v>46045</v>
      </c>
      <c r="V375" s="10">
        <v>4191.66</v>
      </c>
      <c r="W375" s="10" t="str">
        <f t="shared" si="38"/>
        <v>Short Paid</v>
      </c>
      <c r="X375" t="s">
        <v>476</v>
      </c>
      <c r="Y375" t="s">
        <v>436</v>
      </c>
      <c r="Z375">
        <v>100215</v>
      </c>
      <c r="AA375" t="s">
        <v>3091</v>
      </c>
      <c r="AB375" t="s">
        <v>528</v>
      </c>
      <c r="AC375" s="9">
        <f t="shared" si="39"/>
        <v>1</v>
      </c>
      <c r="AD375" s="9" t="str">
        <f t="shared" si="40"/>
        <v>Check</v>
      </c>
      <c r="AE375" s="11">
        <f t="shared" si="44"/>
        <v>-3828</v>
      </c>
    </row>
    <row r="376" spans="1:31" x14ac:dyDescent="0.3">
      <c r="A376">
        <v>65</v>
      </c>
      <c r="B376">
        <v>4630167</v>
      </c>
      <c r="C376" t="s">
        <v>160</v>
      </c>
      <c r="D376">
        <v>1830445</v>
      </c>
      <c r="E376" t="s">
        <v>95</v>
      </c>
      <c r="F376" t="s">
        <v>19</v>
      </c>
      <c r="G376" t="s">
        <v>356</v>
      </c>
      <c r="H376" t="s">
        <v>357</v>
      </c>
      <c r="I376" s="9" t="s">
        <v>3227</v>
      </c>
      <c r="J376" s="9">
        <v>51139913440</v>
      </c>
      <c r="K376" s="14" t="s">
        <v>3165</v>
      </c>
      <c r="L376" s="13" t="s">
        <v>4941</v>
      </c>
      <c r="M376" s="14">
        <v>276</v>
      </c>
      <c r="N376" s="14">
        <v>46.31</v>
      </c>
      <c r="O376" s="10">
        <f t="shared" si="37"/>
        <v>12781.560000000001</v>
      </c>
      <c r="P376" s="11">
        <v>0</v>
      </c>
      <c r="Q376" s="11">
        <v>0</v>
      </c>
      <c r="R376" s="10">
        <f>IF(COUNTIF($J$2:J376,J376)=1,SUMIFS($O:$O,$J:$J,J376)+SUMIFS($P:$P,$J:$J,J376)+SUMIFS($Q:$Q,$J:$J,J376),"")</f>
        <v>12781.560000000001</v>
      </c>
      <c r="S376">
        <v>26463.61</v>
      </c>
      <c r="T376" s="11" t="str">
        <f t="shared" si="41"/>
        <v>Check</v>
      </c>
      <c r="U376" s="12">
        <v>46071</v>
      </c>
      <c r="V376" s="10">
        <v>1463.2</v>
      </c>
      <c r="W376" s="10" t="str">
        <f t="shared" si="38"/>
        <v>Short Paid</v>
      </c>
      <c r="X376" t="s">
        <v>450</v>
      </c>
      <c r="Y376" t="s">
        <v>28</v>
      </c>
      <c r="Z376">
        <v>100287</v>
      </c>
      <c r="AA376" t="s">
        <v>503</v>
      </c>
      <c r="AB376" t="s">
        <v>524</v>
      </c>
      <c r="AC376" s="9">
        <f t="shared" si="39"/>
        <v>1</v>
      </c>
      <c r="AD376" s="9" t="str">
        <f t="shared" si="40"/>
        <v>Check</v>
      </c>
      <c r="AE376" s="11">
        <f t="shared" si="44"/>
        <v>-13682.05</v>
      </c>
    </row>
    <row r="377" spans="1:31" x14ac:dyDescent="0.3">
      <c r="A377">
        <v>65</v>
      </c>
      <c r="B377">
        <v>4632115</v>
      </c>
      <c r="C377" t="s">
        <v>239</v>
      </c>
      <c r="D377">
        <v>1029060</v>
      </c>
      <c r="E377" t="s">
        <v>554</v>
      </c>
      <c r="F377" t="s">
        <v>18</v>
      </c>
      <c r="G377" t="s">
        <v>2707</v>
      </c>
      <c r="H377" t="s">
        <v>2708</v>
      </c>
      <c r="I377" s="9" t="s">
        <v>3451</v>
      </c>
      <c r="J377" s="9">
        <v>51144896553</v>
      </c>
      <c r="K377" s="14" t="s">
        <v>3375</v>
      </c>
      <c r="L377" s="13" t="s">
        <v>3452</v>
      </c>
      <c r="M377" s="14">
        <v>1000</v>
      </c>
      <c r="N377" s="14">
        <v>0.66520000000000001</v>
      </c>
      <c r="O377" s="10">
        <f t="shared" si="37"/>
        <v>665.2</v>
      </c>
      <c r="P377" s="11">
        <v>0</v>
      </c>
      <c r="Q377" s="11">
        <v>0</v>
      </c>
      <c r="R377" s="10">
        <f>IF(COUNTIF($J$2:J377,J377)=1,SUMIFS($O:$O,$J:$J,J377)+SUMIFS($P:$P,$J:$J,J377)+SUMIFS($Q:$Q,$J:$J,J377),"")</f>
        <v>665.2</v>
      </c>
      <c r="S377" s="10">
        <v>665.2</v>
      </c>
      <c r="T377" s="11" t="str">
        <f t="shared" si="41"/>
        <v>Ok</v>
      </c>
      <c r="U377" s="12">
        <v>46017</v>
      </c>
      <c r="V377" s="10">
        <v>120.1</v>
      </c>
      <c r="W377" s="10" t="str">
        <f t="shared" si="38"/>
        <v>Short Paid</v>
      </c>
      <c r="X377" t="s">
        <v>476</v>
      </c>
      <c r="Y377" t="s">
        <v>28</v>
      </c>
      <c r="Z377">
        <v>100235</v>
      </c>
      <c r="AA377" t="s">
        <v>509</v>
      </c>
      <c r="AB377" t="s">
        <v>523</v>
      </c>
      <c r="AC377" s="9">
        <f t="shared" si="39"/>
        <v>1</v>
      </c>
      <c r="AD377" s="9" t="str">
        <f t="shared" si="40"/>
        <v>Ok</v>
      </c>
      <c r="AE377" s="11">
        <f t="shared" si="44"/>
        <v>0</v>
      </c>
    </row>
    <row r="378" spans="1:31" x14ac:dyDescent="0.3">
      <c r="A378">
        <v>64</v>
      </c>
      <c r="B378">
        <v>4636567</v>
      </c>
      <c r="C378" t="s">
        <v>160</v>
      </c>
      <c r="D378">
        <v>1963277</v>
      </c>
      <c r="E378" t="s">
        <v>250</v>
      </c>
      <c r="F378" t="s">
        <v>18</v>
      </c>
      <c r="G378" t="s">
        <v>2710</v>
      </c>
      <c r="H378" t="s">
        <v>2711</v>
      </c>
      <c r="I378" s="9" t="s">
        <v>3257</v>
      </c>
      <c r="J378" s="9">
        <v>51140494777</v>
      </c>
      <c r="K378" s="14" t="s">
        <v>3351</v>
      </c>
      <c r="L378" s="13" t="s">
        <v>3407</v>
      </c>
      <c r="M378" s="14">
        <v>152</v>
      </c>
      <c r="N378" s="14">
        <v>53.46</v>
      </c>
      <c r="O378" s="10">
        <f t="shared" si="37"/>
        <v>8125.92</v>
      </c>
      <c r="P378" s="11">
        <v>0</v>
      </c>
      <c r="Q378" s="11">
        <v>0</v>
      </c>
      <c r="R378" s="10">
        <f>IF(COUNTIF($J$2:J378,J378)=1,SUMIFS($O:$O,$J:$J,J378)+SUMIFS($P:$P,$J:$J,J378)+SUMIFS($Q:$Q,$J:$J,J378),"")</f>
        <v>8125.92</v>
      </c>
      <c r="S378" s="10">
        <v>8125.92</v>
      </c>
      <c r="T378" s="11" t="str">
        <f t="shared" si="41"/>
        <v>Ok</v>
      </c>
      <c r="U378" s="12">
        <v>46022</v>
      </c>
      <c r="V378" s="10">
        <v>676.81</v>
      </c>
      <c r="W378" s="10" t="str">
        <f t="shared" si="38"/>
        <v>Short Paid</v>
      </c>
      <c r="X378" t="s">
        <v>474</v>
      </c>
      <c r="Y378" t="s">
        <v>28</v>
      </c>
      <c r="Z378">
        <v>100159</v>
      </c>
      <c r="AA378" t="s">
        <v>488</v>
      </c>
      <c r="AB378" t="s">
        <v>523</v>
      </c>
      <c r="AC378" s="9">
        <f t="shared" si="39"/>
        <v>1</v>
      </c>
      <c r="AD378" s="9" t="str">
        <f t="shared" si="40"/>
        <v>Ok</v>
      </c>
      <c r="AE378" s="11">
        <f t="shared" ref="AE378:AE387" si="45">R378-S378</f>
        <v>0</v>
      </c>
    </row>
    <row r="379" spans="1:31" x14ac:dyDescent="0.3">
      <c r="A379">
        <v>63</v>
      </c>
      <c r="B379">
        <v>4637402</v>
      </c>
      <c r="C379" t="s">
        <v>239</v>
      </c>
      <c r="D379">
        <v>1098309</v>
      </c>
      <c r="E379" t="s">
        <v>544</v>
      </c>
      <c r="F379" t="s">
        <v>20</v>
      </c>
      <c r="G379" t="s">
        <v>108</v>
      </c>
      <c r="H379" t="s">
        <v>109</v>
      </c>
      <c r="I379" s="9" t="s">
        <v>3402</v>
      </c>
      <c r="J379" s="9">
        <v>51141054434</v>
      </c>
      <c r="K379" s="14" t="s">
        <v>3165</v>
      </c>
      <c r="L379" s="13" t="s">
        <v>4945</v>
      </c>
      <c r="M379" s="14">
        <v>500</v>
      </c>
      <c r="N379" s="14">
        <v>9.3140000000000001</v>
      </c>
      <c r="O379" s="10">
        <f t="shared" si="37"/>
        <v>4657</v>
      </c>
      <c r="P379" s="11">
        <v>85</v>
      </c>
      <c r="Q379" s="11">
        <v>0</v>
      </c>
      <c r="R379" s="10">
        <f>IF(COUNTIF($J$2:J379,J379)=1,SUMIFS($O:$O,$J:$J,J379)+SUMIFS($P:$P,$J:$J,J379)+SUMIFS($Q:$Q,$J:$J,J379),"")</f>
        <v>4742</v>
      </c>
      <c r="S379">
        <v>6102</v>
      </c>
      <c r="T379" s="11" t="str">
        <f t="shared" si="41"/>
        <v>Check</v>
      </c>
      <c r="U379" s="12">
        <v>46043</v>
      </c>
      <c r="V379" s="10">
        <v>1445</v>
      </c>
      <c r="W379" s="10" t="str">
        <f t="shared" si="38"/>
        <v>Short Paid</v>
      </c>
      <c r="X379" t="s">
        <v>476</v>
      </c>
      <c r="Y379" t="s">
        <v>28</v>
      </c>
      <c r="Z379">
        <v>100205</v>
      </c>
      <c r="AA379" t="s">
        <v>3075</v>
      </c>
      <c r="AB379" t="s">
        <v>521</v>
      </c>
      <c r="AC379" s="9">
        <f t="shared" si="39"/>
        <v>1</v>
      </c>
      <c r="AD379" s="9" t="str">
        <f t="shared" si="40"/>
        <v>Check</v>
      </c>
      <c r="AE379" s="11">
        <f t="shared" si="45"/>
        <v>-1360</v>
      </c>
    </row>
    <row r="380" spans="1:31" x14ac:dyDescent="0.3">
      <c r="A380">
        <v>63</v>
      </c>
      <c r="B380">
        <v>4637681</v>
      </c>
      <c r="C380" t="s">
        <v>239</v>
      </c>
      <c r="D380">
        <v>1582229</v>
      </c>
      <c r="E380" t="s">
        <v>686</v>
      </c>
      <c r="F380" t="s">
        <v>18</v>
      </c>
      <c r="G380" t="s">
        <v>110</v>
      </c>
      <c r="H380" t="s">
        <v>111</v>
      </c>
      <c r="I380" s="9" t="s">
        <v>3219</v>
      </c>
      <c r="J380" s="9">
        <v>51141054383</v>
      </c>
      <c r="K380" s="14" t="s">
        <v>3165</v>
      </c>
      <c r="L380" s="13" t="s">
        <v>4945</v>
      </c>
      <c r="M380" s="14">
        <v>500</v>
      </c>
      <c r="N380" s="14">
        <v>9.3140000000000001</v>
      </c>
      <c r="O380" s="10">
        <f t="shared" si="37"/>
        <v>4657</v>
      </c>
      <c r="P380" s="11">
        <v>0</v>
      </c>
      <c r="Q380" s="11">
        <v>2720.5699999999997</v>
      </c>
      <c r="R380" s="10">
        <f>IF(COUNTIF($J$2:J380,J380)=1,SUMIFS($O:$O,$J:$J,J380)+SUMIFS($P:$P,$J:$J,J380)+SUMIFS($Q:$Q,$J:$J,J380),"")</f>
        <v>7377.57</v>
      </c>
      <c r="S380">
        <v>13734.05</v>
      </c>
      <c r="T380" s="11" t="str">
        <f t="shared" si="41"/>
        <v>Check</v>
      </c>
      <c r="U380" s="12">
        <v>46056</v>
      </c>
      <c r="V380" s="10">
        <v>1655.68</v>
      </c>
      <c r="W380" s="10" t="str">
        <f t="shared" si="38"/>
        <v>Short Paid</v>
      </c>
      <c r="X380" t="s">
        <v>474</v>
      </c>
      <c r="Y380" t="s">
        <v>28</v>
      </c>
      <c r="Z380">
        <v>100239</v>
      </c>
      <c r="AA380" t="s">
        <v>482</v>
      </c>
      <c r="AB380" t="s">
        <v>523</v>
      </c>
      <c r="AC380" s="9">
        <f t="shared" si="39"/>
        <v>1</v>
      </c>
      <c r="AD380" s="9" t="str">
        <f t="shared" si="40"/>
        <v>Check</v>
      </c>
      <c r="AE380" s="11">
        <f t="shared" si="45"/>
        <v>-6356.48</v>
      </c>
    </row>
    <row r="381" spans="1:31" x14ac:dyDescent="0.3">
      <c r="A381">
        <v>63</v>
      </c>
      <c r="B381">
        <v>4637959</v>
      </c>
      <c r="C381" t="s">
        <v>239</v>
      </c>
      <c r="D381">
        <v>1582229</v>
      </c>
      <c r="E381" t="s">
        <v>686</v>
      </c>
      <c r="F381" t="s">
        <v>18</v>
      </c>
      <c r="G381" t="s">
        <v>112</v>
      </c>
      <c r="H381" t="s">
        <v>113</v>
      </c>
      <c r="I381" s="9" t="s">
        <v>3312</v>
      </c>
      <c r="J381" s="9">
        <v>51140889262</v>
      </c>
      <c r="K381" s="14" t="s">
        <v>3165</v>
      </c>
      <c r="L381" s="13" t="s">
        <v>4945</v>
      </c>
      <c r="M381" s="14">
        <v>500</v>
      </c>
      <c r="N381" s="14">
        <v>9.3140000000000001</v>
      </c>
      <c r="O381" s="10">
        <f t="shared" si="37"/>
        <v>4657</v>
      </c>
      <c r="P381" s="11">
        <v>0</v>
      </c>
      <c r="Q381" s="11">
        <v>3139.13</v>
      </c>
      <c r="R381" s="10">
        <f>IF(COUNTIF($J$2:J381,J381)=1,SUMIFS($O:$O,$J:$J,J381)+SUMIFS($P:$P,$J:$J,J381)+SUMIFS($Q:$Q,$J:$J,J381),"")</f>
        <v>7796.13</v>
      </c>
      <c r="S381">
        <v>15130.53</v>
      </c>
      <c r="T381" s="11" t="str">
        <f t="shared" si="41"/>
        <v>Check</v>
      </c>
      <c r="U381" s="12">
        <v>46049</v>
      </c>
      <c r="V381" s="10">
        <v>1910.4</v>
      </c>
      <c r="W381" s="10" t="str">
        <f t="shared" si="38"/>
        <v>Short Paid</v>
      </c>
      <c r="X381" t="s">
        <v>474</v>
      </c>
      <c r="Y381" t="s">
        <v>28</v>
      </c>
      <c r="Z381">
        <v>100249</v>
      </c>
      <c r="AA381" t="s">
        <v>484</v>
      </c>
      <c r="AB381" t="s">
        <v>523</v>
      </c>
      <c r="AC381" s="9">
        <f t="shared" si="39"/>
        <v>1</v>
      </c>
      <c r="AD381" s="9" t="str">
        <f t="shared" si="40"/>
        <v>Check</v>
      </c>
      <c r="AE381" s="11">
        <f t="shared" si="45"/>
        <v>-7334.4000000000005</v>
      </c>
    </row>
    <row r="382" spans="1:31" x14ac:dyDescent="0.3">
      <c r="A382">
        <v>63</v>
      </c>
      <c r="B382">
        <v>4638237</v>
      </c>
      <c r="C382" t="s">
        <v>217</v>
      </c>
      <c r="D382">
        <v>1643707</v>
      </c>
      <c r="E382" t="s">
        <v>687</v>
      </c>
      <c r="F382" t="s">
        <v>18</v>
      </c>
      <c r="G382" t="s">
        <v>102</v>
      </c>
      <c r="H382" t="s">
        <v>103</v>
      </c>
      <c r="I382" s="9" t="s">
        <v>3421</v>
      </c>
      <c r="J382" s="9">
        <v>51140405261</v>
      </c>
      <c r="K382" s="14" t="s">
        <v>3165</v>
      </c>
      <c r="L382" s="13" t="s">
        <v>4943</v>
      </c>
      <c r="M382" s="14">
        <v>1000</v>
      </c>
      <c r="N382" s="14">
        <v>8.91</v>
      </c>
      <c r="O382" s="10">
        <f t="shared" si="37"/>
        <v>8910</v>
      </c>
      <c r="P382" s="11">
        <v>0</v>
      </c>
      <c r="Q382" s="11">
        <v>0</v>
      </c>
      <c r="R382" s="10">
        <f>IF(COUNTIF($J$2:J382,J382)=1,SUMIFS($O:$O,$J:$J,J382)+SUMIFS($P:$P,$J:$J,J382)+SUMIFS($Q:$Q,$J:$J,J382),"")</f>
        <v>8910</v>
      </c>
      <c r="S382">
        <v>24660</v>
      </c>
      <c r="T382" s="11" t="str">
        <f t="shared" si="41"/>
        <v>Check</v>
      </c>
      <c r="U382" s="12">
        <v>46027</v>
      </c>
      <c r="V382" s="10">
        <v>350</v>
      </c>
      <c r="W382" s="10" t="str">
        <f t="shared" si="38"/>
        <v>Short Paid</v>
      </c>
      <c r="X382" t="s">
        <v>450</v>
      </c>
      <c r="Y382" t="s">
        <v>28</v>
      </c>
      <c r="Z382">
        <v>100277</v>
      </c>
      <c r="AA382" t="s">
        <v>467</v>
      </c>
      <c r="AB382" t="s">
        <v>523</v>
      </c>
      <c r="AC382" s="9">
        <f t="shared" si="39"/>
        <v>1</v>
      </c>
      <c r="AD382" s="9" t="str">
        <f t="shared" si="40"/>
        <v>Check</v>
      </c>
      <c r="AE382" s="11">
        <f t="shared" si="45"/>
        <v>-15750</v>
      </c>
    </row>
    <row r="383" spans="1:31" x14ac:dyDescent="0.3">
      <c r="A383">
        <v>62</v>
      </c>
      <c r="B383">
        <v>4660222</v>
      </c>
      <c r="C383" t="s">
        <v>239</v>
      </c>
      <c r="D383">
        <v>1664364</v>
      </c>
      <c r="E383" t="s">
        <v>569</v>
      </c>
      <c r="F383" t="s">
        <v>18</v>
      </c>
      <c r="G383" t="s">
        <v>2712</v>
      </c>
      <c r="H383" t="s">
        <v>2713</v>
      </c>
      <c r="I383" s="9" t="s">
        <v>3416</v>
      </c>
      <c r="J383" s="9">
        <v>51141237562</v>
      </c>
      <c r="K383" s="14" t="s">
        <v>3168</v>
      </c>
      <c r="L383" s="13" t="s">
        <v>3426</v>
      </c>
      <c r="M383" s="14">
        <v>183000</v>
      </c>
      <c r="N383" s="14">
        <v>1.6199999999999996E-2</v>
      </c>
      <c r="O383" s="10">
        <f t="shared" si="37"/>
        <v>2964.599999999999</v>
      </c>
      <c r="P383" s="11">
        <v>809.04</v>
      </c>
      <c r="Q383" s="11">
        <v>928.78</v>
      </c>
      <c r="R383" s="10">
        <f>IF(COUNTIF($J$2:J383,J383)=1,SUMIFS($O:$O,$J:$J,J383)+SUMIFS($P:$P,$J:$J,J383)+SUMIFS($Q:$Q,$J:$J,J383),"")</f>
        <v>4702.4199999999992</v>
      </c>
      <c r="S383" s="10">
        <v>13361.25</v>
      </c>
      <c r="T383" s="11" t="str">
        <f t="shared" si="41"/>
        <v>Check</v>
      </c>
      <c r="U383" s="12">
        <v>46035</v>
      </c>
      <c r="V383" s="10">
        <v>530.17999999999995</v>
      </c>
      <c r="W383" s="10" t="str">
        <f t="shared" si="38"/>
        <v>Short Paid</v>
      </c>
      <c r="X383" t="s">
        <v>474</v>
      </c>
      <c r="Y383" t="s">
        <v>28</v>
      </c>
      <c r="Z383">
        <v>100249</v>
      </c>
      <c r="AA383" t="s">
        <v>484</v>
      </c>
      <c r="AB383" t="s">
        <v>523</v>
      </c>
      <c r="AC383" s="9">
        <f t="shared" si="39"/>
        <v>1</v>
      </c>
      <c r="AD383" s="9" t="str">
        <f t="shared" si="40"/>
        <v>Check</v>
      </c>
      <c r="AE383" s="11">
        <f t="shared" si="45"/>
        <v>-8658.8300000000017</v>
      </c>
    </row>
    <row r="384" spans="1:31" x14ac:dyDescent="0.3">
      <c r="A384">
        <v>60</v>
      </c>
      <c r="B384">
        <v>4640463</v>
      </c>
      <c r="C384" t="s">
        <v>160</v>
      </c>
      <c r="D384">
        <v>1443616</v>
      </c>
      <c r="E384" t="s">
        <v>285</v>
      </c>
      <c r="F384" t="s">
        <v>19</v>
      </c>
      <c r="G384" t="s">
        <v>98</v>
      </c>
      <c r="H384" t="s">
        <v>99</v>
      </c>
      <c r="I384" s="9" t="s">
        <v>3263</v>
      </c>
      <c r="J384" s="9">
        <v>51139880723</v>
      </c>
      <c r="K384" s="14" t="s">
        <v>3165</v>
      </c>
      <c r="L384" s="13" t="s">
        <v>4940</v>
      </c>
      <c r="M384" s="14">
        <v>3000</v>
      </c>
      <c r="N384" s="14">
        <v>4.3499999999999996</v>
      </c>
      <c r="O384" s="10">
        <f t="shared" si="37"/>
        <v>13049.999999999998</v>
      </c>
      <c r="P384" s="11">
        <v>0</v>
      </c>
      <c r="Q384" s="11">
        <v>0</v>
      </c>
      <c r="R384" s="10">
        <f>IF(COUNTIF($J$2:J384,J384)=1,SUMIFS($O:$O,$J:$J,J384)+SUMIFS($P:$P,$J:$J,J384)+SUMIFS($Q:$Q,$J:$J,J384),"")</f>
        <v>13049.999999999998</v>
      </c>
      <c r="S384">
        <v>13050</v>
      </c>
      <c r="T384" s="11" t="str">
        <f t="shared" si="41"/>
        <v>Ok</v>
      </c>
      <c r="U384" s="12">
        <v>46084</v>
      </c>
      <c r="V384" s="10">
        <v>3570</v>
      </c>
      <c r="W384" s="10" t="str">
        <f t="shared" si="38"/>
        <v>Short Paid</v>
      </c>
      <c r="X384" t="s">
        <v>435</v>
      </c>
      <c r="Y384" t="s">
        <v>28</v>
      </c>
      <c r="Z384">
        <v>100281</v>
      </c>
      <c r="AA384" t="s">
        <v>3068</v>
      </c>
      <c r="AB384" t="s">
        <v>524</v>
      </c>
      <c r="AC384" s="9">
        <f t="shared" si="39"/>
        <v>1</v>
      </c>
      <c r="AD384" s="9" t="str">
        <f t="shared" si="40"/>
        <v>Ok</v>
      </c>
      <c r="AE384" s="11">
        <f t="shared" si="45"/>
        <v>0</v>
      </c>
    </row>
    <row r="385" spans="1:31" x14ac:dyDescent="0.3">
      <c r="A385">
        <v>60</v>
      </c>
      <c r="B385">
        <v>4641855</v>
      </c>
      <c r="C385" t="s">
        <v>160</v>
      </c>
      <c r="D385">
        <v>1443616</v>
      </c>
      <c r="E385" t="s">
        <v>285</v>
      </c>
      <c r="F385" t="s">
        <v>19</v>
      </c>
      <c r="G385" t="s">
        <v>2714</v>
      </c>
      <c r="H385" t="s">
        <v>2715</v>
      </c>
      <c r="I385" s="9" t="s">
        <v>3242</v>
      </c>
      <c r="J385" s="9">
        <v>51141333538</v>
      </c>
      <c r="K385" s="14" t="s">
        <v>3229</v>
      </c>
      <c r="L385" s="13" t="s">
        <v>3427</v>
      </c>
      <c r="M385" s="14">
        <v>7500</v>
      </c>
      <c r="N385" s="14">
        <v>2.6249999999999999E-2</v>
      </c>
      <c r="O385" s="10">
        <f t="shared" si="37"/>
        <v>196.875</v>
      </c>
      <c r="P385" s="11">
        <v>0</v>
      </c>
      <c r="Q385" s="11">
        <v>0</v>
      </c>
      <c r="R385" s="10">
        <f>IF(COUNTIF($J$2:J385,J385)=1,SUMIFS($O:$O,$J:$J,J385)+SUMIFS($P:$P,$J:$J,J385)+SUMIFS($Q:$Q,$J:$J,J385),"")</f>
        <v>196.875</v>
      </c>
      <c r="S385" s="10">
        <v>393.76</v>
      </c>
      <c r="T385" s="11" t="str">
        <f t="shared" si="41"/>
        <v>Check</v>
      </c>
      <c r="U385" s="12">
        <v>46084</v>
      </c>
      <c r="V385" s="10">
        <v>35700</v>
      </c>
      <c r="W385" s="10" t="str">
        <f t="shared" si="38"/>
        <v>Short Paid</v>
      </c>
      <c r="X385" t="s">
        <v>435</v>
      </c>
      <c r="Y385" t="s">
        <v>28</v>
      </c>
      <c r="Z385">
        <v>100191</v>
      </c>
      <c r="AA385" t="s">
        <v>497</v>
      </c>
      <c r="AB385" t="s">
        <v>524</v>
      </c>
      <c r="AC385" s="9">
        <f t="shared" si="39"/>
        <v>1</v>
      </c>
      <c r="AD385" s="9" t="str">
        <f t="shared" si="40"/>
        <v>Check</v>
      </c>
      <c r="AE385" s="11">
        <f t="shared" si="45"/>
        <v>-196.88499999999999</v>
      </c>
    </row>
    <row r="386" spans="1:31" x14ac:dyDescent="0.3">
      <c r="A386">
        <v>60</v>
      </c>
      <c r="B386">
        <v>4644638</v>
      </c>
      <c r="C386" t="s">
        <v>160</v>
      </c>
      <c r="D386">
        <v>1443616</v>
      </c>
      <c r="E386" t="s">
        <v>285</v>
      </c>
      <c r="F386" t="s">
        <v>19</v>
      </c>
      <c r="G386" t="s">
        <v>2716</v>
      </c>
      <c r="H386" t="s">
        <v>2717</v>
      </c>
      <c r="I386" s="9" t="s">
        <v>3198</v>
      </c>
      <c r="J386" s="9">
        <v>50115671428</v>
      </c>
      <c r="K386" s="14" t="s">
        <v>3168</v>
      </c>
      <c r="L386" s="13" t="s">
        <v>3199</v>
      </c>
      <c r="M386" s="14">
        <v>30000</v>
      </c>
      <c r="N386" s="14">
        <v>1.24</v>
      </c>
      <c r="O386" s="10">
        <f t="shared" ref="O386:O449" si="46">M386*N386</f>
        <v>37200</v>
      </c>
      <c r="P386" s="11">
        <v>0</v>
      </c>
      <c r="Q386" s="11">
        <v>0</v>
      </c>
      <c r="R386" s="10">
        <f>IF(COUNTIF($J$2:J386,J386)=1,SUMIFS($O:$O,$J:$J,J386)+SUMIFS($P:$P,$J:$J,J386)+SUMIFS($Q:$Q,$J:$J,J386),"")</f>
        <v>37200</v>
      </c>
      <c r="S386" s="10">
        <v>35700</v>
      </c>
      <c r="T386" s="11" t="str">
        <f t="shared" si="41"/>
        <v>Check</v>
      </c>
      <c r="U386" s="12">
        <v>46085</v>
      </c>
      <c r="V386" s="10">
        <v>35700</v>
      </c>
      <c r="W386" s="10" t="str">
        <f t="shared" ref="W386:W449" si="47">IF(OR(S386="",V386=""),"N/A",IF(S386&lt;&gt;V386,"Short Paid","Not Paid"))</f>
        <v>Not Paid</v>
      </c>
      <c r="X386" t="s">
        <v>435</v>
      </c>
      <c r="Y386" t="s">
        <v>28</v>
      </c>
      <c r="Z386">
        <v>100191</v>
      </c>
      <c r="AA386" t="s">
        <v>497</v>
      </c>
      <c r="AB386" t="s">
        <v>524</v>
      </c>
      <c r="AC386" s="9">
        <f t="shared" ref="AC386:AC449" si="48">COUNTIF(J:J,J386)</f>
        <v>1</v>
      </c>
      <c r="AD386" s="9" t="str">
        <f t="shared" ref="AD386:AD449" si="49">IF(AND(R386="",S386=""),"N/A",IF(R386=S386,"Ok","Check"))</f>
        <v>Check</v>
      </c>
      <c r="AE386" s="11">
        <f t="shared" si="45"/>
        <v>1500</v>
      </c>
    </row>
    <row r="387" spans="1:31" x14ac:dyDescent="0.3">
      <c r="A387">
        <v>59</v>
      </c>
      <c r="B387">
        <v>4646586</v>
      </c>
      <c r="C387" t="s">
        <v>160</v>
      </c>
      <c r="D387">
        <v>1963277</v>
      </c>
      <c r="E387" t="s">
        <v>250</v>
      </c>
      <c r="F387" t="s">
        <v>18</v>
      </c>
      <c r="G387" t="s">
        <v>314</v>
      </c>
      <c r="H387" t="s">
        <v>315</v>
      </c>
      <c r="I387" s="9" t="s">
        <v>3232</v>
      </c>
      <c r="J387" s="9">
        <v>51125154771</v>
      </c>
      <c r="K387" s="14" t="s">
        <v>3165</v>
      </c>
      <c r="L387" s="13" t="s">
        <v>4926</v>
      </c>
      <c r="M387" s="14">
        <v>874</v>
      </c>
      <c r="N387" s="14">
        <v>0.46</v>
      </c>
      <c r="O387" s="10">
        <f t="shared" si="46"/>
        <v>402.04</v>
      </c>
      <c r="P387" s="11">
        <v>0</v>
      </c>
      <c r="Q387" s="11">
        <v>0</v>
      </c>
      <c r="R387" s="10">
        <f>IF(COUNTIF($J$2:J387,J387)=1,SUMIFS($O:$O,$J:$J,J387)+SUMIFS($P:$P,$J:$J,J387)+SUMIFS($Q:$Q,$J:$J,J387),"")</f>
        <v>402.04</v>
      </c>
      <c r="S387">
        <v>402.04</v>
      </c>
      <c r="T387" s="11" t="str">
        <f t="shared" ref="T387:T450" si="50">IFERROR(INDEX(AD:AD,MATCH(J387,J:J,0)),"")</f>
        <v>Ok</v>
      </c>
      <c r="U387" s="12">
        <v>46027</v>
      </c>
      <c r="V387" s="10">
        <v>244.72</v>
      </c>
      <c r="W387" s="10" t="str">
        <f t="shared" si="47"/>
        <v>Short Paid</v>
      </c>
      <c r="X387" t="s">
        <v>474</v>
      </c>
      <c r="Y387" t="s">
        <v>28</v>
      </c>
      <c r="Z387">
        <v>100279</v>
      </c>
      <c r="AA387" t="s">
        <v>485</v>
      </c>
      <c r="AB387" t="s">
        <v>523</v>
      </c>
      <c r="AC387" s="9">
        <f t="shared" si="48"/>
        <v>1</v>
      </c>
      <c r="AD387" s="9" t="str">
        <f t="shared" si="49"/>
        <v>Ok</v>
      </c>
      <c r="AE387" s="11">
        <f t="shared" si="45"/>
        <v>0</v>
      </c>
    </row>
    <row r="388" spans="1:31" x14ac:dyDescent="0.3">
      <c r="A388">
        <v>58</v>
      </c>
      <c r="B388">
        <v>4651317</v>
      </c>
      <c r="C388" t="s">
        <v>160</v>
      </c>
      <c r="D388">
        <v>1443616</v>
      </c>
      <c r="E388" t="s">
        <v>285</v>
      </c>
      <c r="F388" t="s">
        <v>19</v>
      </c>
      <c r="G388" t="s">
        <v>2718</v>
      </c>
      <c r="H388" t="s">
        <v>2719</v>
      </c>
      <c r="I388" s="9" t="s">
        <v>3329</v>
      </c>
      <c r="J388" s="9">
        <v>51125154754</v>
      </c>
      <c r="K388" s="14" t="s">
        <v>3201</v>
      </c>
      <c r="L388" s="13" t="s">
        <v>3330</v>
      </c>
      <c r="M388" s="14">
        <v>27000</v>
      </c>
      <c r="N388" s="14">
        <v>8.15</v>
      </c>
      <c r="O388" s="10">
        <f t="shared" si="46"/>
        <v>220050</v>
      </c>
      <c r="P388" s="11">
        <v>0</v>
      </c>
      <c r="Q388" s="11">
        <v>0</v>
      </c>
      <c r="R388" s="10">
        <f>IF(COUNTIF($J$2:J388,J388)=1,SUMIFS($O:$O,$J:$J,J388)+SUMIFS($P:$P,$J:$J,J388)+SUMIFS($Q:$Q,$J:$J,J388),"")</f>
        <v>220050</v>
      </c>
      <c r="S388" s="10">
        <v>220050</v>
      </c>
      <c r="T388" s="11" t="str">
        <f t="shared" si="50"/>
        <v>Ok</v>
      </c>
      <c r="U388" s="12">
        <v>46086</v>
      </c>
      <c r="V388" s="10">
        <v>220050</v>
      </c>
      <c r="W388" s="10" t="str">
        <f t="shared" si="47"/>
        <v>Not Paid</v>
      </c>
      <c r="X388" t="s">
        <v>435</v>
      </c>
      <c r="Y388" t="s">
        <v>28</v>
      </c>
      <c r="Z388">
        <v>100241</v>
      </c>
      <c r="AA388" t="s">
        <v>3063</v>
      </c>
      <c r="AB388" t="s">
        <v>524</v>
      </c>
      <c r="AC388" s="9">
        <f t="shared" si="48"/>
        <v>1</v>
      </c>
      <c r="AD388" s="9" t="str">
        <f t="shared" si="49"/>
        <v>Ok</v>
      </c>
      <c r="AE388" s="11">
        <f t="shared" ref="AE388:AE404" si="51">R388-S388</f>
        <v>0</v>
      </c>
    </row>
    <row r="389" spans="1:31" x14ac:dyDescent="0.3">
      <c r="A389">
        <v>58</v>
      </c>
      <c r="B389">
        <v>4653265</v>
      </c>
      <c r="C389" t="s">
        <v>160</v>
      </c>
      <c r="D389">
        <v>1963277</v>
      </c>
      <c r="E389" t="s">
        <v>250</v>
      </c>
      <c r="F389" t="s">
        <v>18</v>
      </c>
      <c r="G389" t="s">
        <v>316</v>
      </c>
      <c r="H389" t="s">
        <v>317</v>
      </c>
      <c r="I389" s="9" t="s">
        <v>3408</v>
      </c>
      <c r="J389" s="9">
        <v>51141342447</v>
      </c>
      <c r="K389" s="14" t="s">
        <v>3165</v>
      </c>
      <c r="L389" s="13" t="s">
        <v>4926</v>
      </c>
      <c r="M389" s="14">
        <v>608</v>
      </c>
      <c r="N389" s="14">
        <v>0.4466</v>
      </c>
      <c r="O389" s="10">
        <f t="shared" si="46"/>
        <v>271.53280000000001</v>
      </c>
      <c r="P389" s="11">
        <v>0</v>
      </c>
      <c r="Q389" s="11">
        <v>0</v>
      </c>
      <c r="R389" s="10">
        <f>IF(COUNTIF($J$2:J389,J389)=1,SUMIFS($O:$O,$J:$J,J389)+SUMIFS($P:$P,$J:$J,J389)+SUMIFS($Q:$Q,$J:$J,J389),"")</f>
        <v>271.53280000000001</v>
      </c>
      <c r="S389">
        <v>4033.5299999999997</v>
      </c>
      <c r="T389" s="11" t="str">
        <f t="shared" si="50"/>
        <v>Check</v>
      </c>
      <c r="U389" s="12">
        <v>46029</v>
      </c>
      <c r="V389" s="10">
        <v>162.09</v>
      </c>
      <c r="W389" s="10" t="str">
        <f t="shared" si="47"/>
        <v>Short Paid</v>
      </c>
      <c r="X389" t="s">
        <v>474</v>
      </c>
      <c r="Y389" t="s">
        <v>28</v>
      </c>
      <c r="Z389">
        <v>100159</v>
      </c>
      <c r="AA389" t="s">
        <v>488</v>
      </c>
      <c r="AB389" t="s">
        <v>523</v>
      </c>
      <c r="AC389" s="9">
        <f t="shared" si="48"/>
        <v>1</v>
      </c>
      <c r="AD389" s="9" t="str">
        <f t="shared" si="49"/>
        <v>Check</v>
      </c>
      <c r="AE389" s="11">
        <f t="shared" si="51"/>
        <v>-3761.9971999999998</v>
      </c>
    </row>
    <row r="390" spans="1:31" x14ac:dyDescent="0.3">
      <c r="A390">
        <v>57</v>
      </c>
      <c r="B390">
        <v>4654099</v>
      </c>
      <c r="C390" t="s">
        <v>160</v>
      </c>
      <c r="D390">
        <v>1462348</v>
      </c>
      <c r="E390" t="s">
        <v>394</v>
      </c>
      <c r="F390" t="s">
        <v>24</v>
      </c>
      <c r="G390" t="s">
        <v>104</v>
      </c>
      <c r="H390" t="s">
        <v>105</v>
      </c>
      <c r="I390" s="9" t="s">
        <v>3419</v>
      </c>
      <c r="J390" s="9">
        <v>51141707374</v>
      </c>
      <c r="K390" s="14" t="s">
        <v>3165</v>
      </c>
      <c r="L390" s="13" t="s">
        <v>4946</v>
      </c>
      <c r="M390" s="14">
        <v>1500</v>
      </c>
      <c r="N390" s="14">
        <v>1.1200000000000001</v>
      </c>
      <c r="O390" s="10">
        <f t="shared" si="46"/>
        <v>1680.0000000000002</v>
      </c>
      <c r="P390" s="11">
        <v>0</v>
      </c>
      <c r="Q390" s="11">
        <v>56.3</v>
      </c>
      <c r="R390" s="10">
        <f>IF(COUNTIF($J$2:J390,J390)=1,SUMIFS($O:$O,$J:$J,J390)+SUMIFS($P:$P,$J:$J,J390)+SUMIFS($Q:$Q,$J:$J,J390),"")</f>
        <v>1736.3000000000002</v>
      </c>
      <c r="S390">
        <v>2236.3000000000002</v>
      </c>
      <c r="T390" s="11" t="str">
        <f t="shared" si="50"/>
        <v>Check</v>
      </c>
      <c r="U390" s="12">
        <v>46086</v>
      </c>
      <c r="V390" s="10">
        <v>450</v>
      </c>
      <c r="W390" s="10" t="str">
        <f t="shared" si="47"/>
        <v>Short Paid</v>
      </c>
      <c r="X390" t="s">
        <v>455</v>
      </c>
      <c r="Y390" t="s">
        <v>40</v>
      </c>
      <c r="Z390">
        <v>100260</v>
      </c>
      <c r="AA390" t="s">
        <v>3054</v>
      </c>
      <c r="AB390" t="s">
        <v>522</v>
      </c>
      <c r="AC390" s="9">
        <f t="shared" si="48"/>
        <v>1</v>
      </c>
      <c r="AD390" s="9" t="str">
        <f t="shared" si="49"/>
        <v>Check</v>
      </c>
      <c r="AE390" s="11">
        <f t="shared" si="51"/>
        <v>-500</v>
      </c>
    </row>
    <row r="391" spans="1:31" x14ac:dyDescent="0.3">
      <c r="A391">
        <v>56</v>
      </c>
      <c r="B391">
        <v>4657161</v>
      </c>
      <c r="C391" t="s">
        <v>160</v>
      </c>
      <c r="D391">
        <v>1715512</v>
      </c>
      <c r="E391" t="s">
        <v>689</v>
      </c>
      <c r="F391" t="s">
        <v>20</v>
      </c>
      <c r="G391" t="s">
        <v>106</v>
      </c>
      <c r="H391" t="s">
        <v>107</v>
      </c>
      <c r="I391" s="9" t="s">
        <v>3498</v>
      </c>
      <c r="J391" s="9">
        <v>51141501003</v>
      </c>
      <c r="K391" s="14" t="s">
        <v>3165</v>
      </c>
      <c r="L391" s="13" t="s">
        <v>4939</v>
      </c>
      <c r="M391" s="14">
        <v>1000</v>
      </c>
      <c r="N391" s="14">
        <v>2.044</v>
      </c>
      <c r="O391" s="10">
        <f t="shared" si="46"/>
        <v>2044</v>
      </c>
      <c r="P391" s="11">
        <v>0</v>
      </c>
      <c r="Q391" s="11">
        <v>0</v>
      </c>
      <c r="R391" s="10">
        <f>IF(COUNTIF($J$2:J391,J391)=1,SUMIFS($O:$O,$J:$J,J391)+SUMIFS($P:$P,$J:$J,J391)+SUMIFS($Q:$Q,$J:$J,J391),"")</f>
        <v>2044</v>
      </c>
      <c r="S391">
        <v>2297.89</v>
      </c>
      <c r="T391" s="11" t="str">
        <f t="shared" si="50"/>
        <v>Check</v>
      </c>
      <c r="U391" s="12">
        <v>46098</v>
      </c>
      <c r="V391" s="10">
        <v>253.89</v>
      </c>
      <c r="W391" s="10" t="str">
        <f t="shared" si="47"/>
        <v>Short Paid</v>
      </c>
      <c r="X391" t="s">
        <v>468</v>
      </c>
      <c r="Y391" t="s">
        <v>28</v>
      </c>
      <c r="Z391">
        <v>100236</v>
      </c>
      <c r="AA391" t="s">
        <v>3059</v>
      </c>
      <c r="AB391" t="s">
        <v>521</v>
      </c>
      <c r="AC391" s="9">
        <f t="shared" si="48"/>
        <v>1</v>
      </c>
      <c r="AD391" s="9" t="str">
        <f t="shared" si="49"/>
        <v>Check</v>
      </c>
      <c r="AE391" s="11">
        <f t="shared" si="51"/>
        <v>-253.88999999999987</v>
      </c>
    </row>
    <row r="392" spans="1:31" x14ac:dyDescent="0.3">
      <c r="A392">
        <v>53</v>
      </c>
      <c r="B392">
        <v>4662448</v>
      </c>
      <c r="C392" t="s">
        <v>217</v>
      </c>
      <c r="D392">
        <v>1104415</v>
      </c>
      <c r="E392" t="s">
        <v>538</v>
      </c>
      <c r="F392" t="s">
        <v>19</v>
      </c>
      <c r="G392" t="s">
        <v>2729</v>
      </c>
      <c r="H392" t="s">
        <v>2730</v>
      </c>
      <c r="I392" s="9" t="s">
        <v>3206</v>
      </c>
      <c r="J392" s="9">
        <v>51127664074</v>
      </c>
      <c r="K392" s="14" t="s">
        <v>3209</v>
      </c>
      <c r="L392" s="13" t="s">
        <v>3335</v>
      </c>
      <c r="M392" s="14">
        <v>500</v>
      </c>
      <c r="N392" s="14">
        <v>4.7746199999999996</v>
      </c>
      <c r="O392" s="10">
        <f t="shared" si="46"/>
        <v>2387.31</v>
      </c>
      <c r="P392" s="11">
        <v>0</v>
      </c>
      <c r="Q392" s="11">
        <v>0</v>
      </c>
      <c r="R392" s="10">
        <f>IF(COUNTIF($J$2:J392,J392)=1,SUMIFS($O:$O,$J:$J,J392)+SUMIFS($P:$P,$J:$J,J392)+SUMIFS($Q:$Q,$J:$J,J392),"")</f>
        <v>2387.31</v>
      </c>
      <c r="S392" s="10">
        <v>2387.31</v>
      </c>
      <c r="T392" s="11" t="str">
        <f t="shared" si="50"/>
        <v>Ok</v>
      </c>
      <c r="U392" s="12">
        <v>46072</v>
      </c>
      <c r="V392" s="10">
        <v>2387.31</v>
      </c>
      <c r="W392" s="10" t="str">
        <f t="shared" si="47"/>
        <v>Not Paid</v>
      </c>
      <c r="X392" t="s">
        <v>476</v>
      </c>
      <c r="Y392" t="s">
        <v>28</v>
      </c>
      <c r="Z392">
        <v>100205</v>
      </c>
      <c r="AA392" t="s">
        <v>3075</v>
      </c>
      <c r="AB392" t="s">
        <v>524</v>
      </c>
      <c r="AC392" s="9">
        <f t="shared" si="48"/>
        <v>1</v>
      </c>
      <c r="AD392" s="9" t="str">
        <f t="shared" si="49"/>
        <v>Ok</v>
      </c>
      <c r="AE392" s="11">
        <f t="shared" si="51"/>
        <v>0</v>
      </c>
    </row>
    <row r="393" spans="1:31" x14ac:dyDescent="0.3">
      <c r="A393">
        <v>52</v>
      </c>
      <c r="B393">
        <v>4664674</v>
      </c>
      <c r="C393" t="s">
        <v>160</v>
      </c>
      <c r="D393">
        <v>1748622</v>
      </c>
      <c r="E393" t="s">
        <v>318</v>
      </c>
      <c r="F393" t="s">
        <v>17</v>
      </c>
      <c r="G393" t="s">
        <v>319</v>
      </c>
      <c r="H393" t="s">
        <v>320</v>
      </c>
      <c r="I393" s="9" t="s">
        <v>3202</v>
      </c>
      <c r="J393" s="9">
        <v>51146394356</v>
      </c>
      <c r="K393" s="14" t="s">
        <v>3165</v>
      </c>
      <c r="L393" s="13" t="s">
        <v>4955</v>
      </c>
      <c r="M393" s="14">
        <v>300</v>
      </c>
      <c r="N393" s="14">
        <v>6.3586999999999998</v>
      </c>
      <c r="O393" s="10">
        <f t="shared" si="46"/>
        <v>1907.61</v>
      </c>
      <c r="P393" s="11">
        <v>0</v>
      </c>
      <c r="Q393" s="11">
        <v>239.55</v>
      </c>
      <c r="R393" s="10">
        <f>IF(COUNTIF($J$2:J393,J393)=1,SUMIFS($O:$O,$J:$J,J393)+SUMIFS($P:$P,$J:$J,J393)+SUMIFS($Q:$Q,$J:$J,J393),"")</f>
        <v>2147.16</v>
      </c>
      <c r="S393">
        <v>3725.56</v>
      </c>
      <c r="T393" s="11" t="str">
        <f t="shared" si="50"/>
        <v>Check</v>
      </c>
      <c r="U393" s="12">
        <v>46030</v>
      </c>
      <c r="V393" s="10">
        <v>2155.16</v>
      </c>
      <c r="W393" s="10" t="str">
        <f t="shared" si="47"/>
        <v>Short Paid</v>
      </c>
      <c r="X393" t="s">
        <v>453</v>
      </c>
      <c r="Y393" t="s">
        <v>436</v>
      </c>
      <c r="Z393">
        <v>100254</v>
      </c>
      <c r="AA393" t="s">
        <v>505</v>
      </c>
      <c r="AB393" t="s">
        <v>528</v>
      </c>
      <c r="AC393" s="9">
        <f t="shared" si="48"/>
        <v>1</v>
      </c>
      <c r="AD393" s="9" t="str">
        <f t="shared" si="49"/>
        <v>Check</v>
      </c>
      <c r="AE393" s="11">
        <f t="shared" si="51"/>
        <v>-1578.4</v>
      </c>
    </row>
    <row r="394" spans="1:31" x14ac:dyDescent="0.3">
      <c r="A394">
        <v>52</v>
      </c>
      <c r="B394">
        <v>4683598</v>
      </c>
      <c r="C394" t="s">
        <v>220</v>
      </c>
      <c r="D394">
        <v>1117216</v>
      </c>
      <c r="E394" t="s">
        <v>379</v>
      </c>
      <c r="F394" t="s">
        <v>18</v>
      </c>
      <c r="G394" t="s">
        <v>380</v>
      </c>
      <c r="H394" t="s">
        <v>381</v>
      </c>
      <c r="I394" s="9" t="s">
        <v>3254</v>
      </c>
      <c r="J394" s="9">
        <v>51143916448</v>
      </c>
      <c r="K394" s="14" t="s">
        <v>3165</v>
      </c>
      <c r="L394" s="13" t="s">
        <v>4948</v>
      </c>
      <c r="M394" s="14">
        <v>1210</v>
      </c>
      <c r="N394" s="14">
        <v>3.45</v>
      </c>
      <c r="O394" s="10">
        <f t="shared" si="46"/>
        <v>4174.5</v>
      </c>
      <c r="P394" s="11">
        <v>0</v>
      </c>
      <c r="Q394" s="11">
        <v>0</v>
      </c>
      <c r="R394" s="10">
        <f>IF(COUNTIF($J$2:J394,J394)=1,SUMIFS($O:$O,$J:$J,J394)+SUMIFS($P:$P,$J:$J,J394)+SUMIFS($Q:$Q,$J:$J,J394),"")</f>
        <v>4174.5</v>
      </c>
      <c r="S394">
        <v>7053.9</v>
      </c>
      <c r="T394" s="11" t="str">
        <f t="shared" si="50"/>
        <v>Check</v>
      </c>
      <c r="U394" s="12">
        <v>46090</v>
      </c>
      <c r="V394" s="10">
        <v>4174.5</v>
      </c>
      <c r="W394" s="10" t="str">
        <f t="shared" si="47"/>
        <v>Short Paid</v>
      </c>
      <c r="X394" t="s">
        <v>470</v>
      </c>
      <c r="Y394" t="s">
        <v>28</v>
      </c>
      <c r="Z394">
        <v>100128</v>
      </c>
      <c r="AA394" t="s">
        <v>508</v>
      </c>
      <c r="AB394" t="s">
        <v>523</v>
      </c>
      <c r="AC394" s="9">
        <f t="shared" si="48"/>
        <v>1</v>
      </c>
      <c r="AD394" s="9" t="str">
        <f t="shared" si="49"/>
        <v>Check</v>
      </c>
      <c r="AE394" s="11">
        <f t="shared" si="51"/>
        <v>-2879.3999999999996</v>
      </c>
    </row>
    <row r="395" spans="1:31" x14ac:dyDescent="0.3">
      <c r="A395">
        <v>52</v>
      </c>
      <c r="B395">
        <v>4683876</v>
      </c>
      <c r="C395" t="s">
        <v>220</v>
      </c>
      <c r="D395">
        <v>1117216</v>
      </c>
      <c r="E395" t="s">
        <v>379</v>
      </c>
      <c r="F395" t="s">
        <v>18</v>
      </c>
      <c r="G395" t="s">
        <v>386</v>
      </c>
      <c r="H395" t="s">
        <v>387</v>
      </c>
      <c r="I395" s="9" t="s">
        <v>3439</v>
      </c>
      <c r="J395" s="9">
        <v>51144289997</v>
      </c>
      <c r="K395" s="14" t="s">
        <v>3165</v>
      </c>
      <c r="L395" s="13" t="s">
        <v>4949</v>
      </c>
      <c r="M395" s="14">
        <v>605</v>
      </c>
      <c r="N395" s="14">
        <v>8.1300000000000008</v>
      </c>
      <c r="O395" s="10">
        <f t="shared" si="46"/>
        <v>4918.6500000000005</v>
      </c>
      <c r="P395" s="11">
        <v>0</v>
      </c>
      <c r="Q395" s="11">
        <v>0</v>
      </c>
      <c r="R395" s="10">
        <f>IF(COUNTIF($J$2:J395,J395)=1,SUMIFS($O:$O,$J:$J,J395)+SUMIFS($P:$P,$J:$J,J395)+SUMIFS($Q:$Q,$J:$J,J395),"")</f>
        <v>4918.6500000000005</v>
      </c>
      <c r="S395">
        <v>9538.65</v>
      </c>
      <c r="T395" s="11" t="str">
        <f t="shared" si="50"/>
        <v>Check</v>
      </c>
      <c r="U395" s="12">
        <v>46093</v>
      </c>
      <c r="V395" s="10">
        <v>4918.6499999999996</v>
      </c>
      <c r="W395" s="10" t="str">
        <f t="shared" si="47"/>
        <v>Short Paid</v>
      </c>
      <c r="X395" t="s">
        <v>470</v>
      </c>
      <c r="Y395" t="s">
        <v>28</v>
      </c>
      <c r="Z395">
        <v>100158</v>
      </c>
      <c r="AA395" t="s">
        <v>510</v>
      </c>
      <c r="AB395" t="s">
        <v>523</v>
      </c>
      <c r="AC395" s="9">
        <f t="shared" si="48"/>
        <v>1</v>
      </c>
      <c r="AD395" s="9" t="str">
        <f t="shared" si="49"/>
        <v>Check</v>
      </c>
      <c r="AE395" s="11">
        <f t="shared" si="51"/>
        <v>-4619.9999999999991</v>
      </c>
    </row>
    <row r="396" spans="1:31" x14ac:dyDescent="0.3">
      <c r="A396">
        <v>51</v>
      </c>
      <c r="B396">
        <v>4668570</v>
      </c>
      <c r="C396" t="s">
        <v>160</v>
      </c>
      <c r="D396">
        <v>1422097</v>
      </c>
      <c r="E396" t="s">
        <v>388</v>
      </c>
      <c r="F396" t="s">
        <v>49</v>
      </c>
      <c r="G396" t="s">
        <v>119</v>
      </c>
      <c r="H396" t="s">
        <v>120</v>
      </c>
      <c r="I396" s="9" t="s">
        <v>3218</v>
      </c>
      <c r="J396" s="9">
        <v>51142401952</v>
      </c>
      <c r="K396" s="14" t="s">
        <v>3165</v>
      </c>
      <c r="L396" s="13" t="s">
        <v>4944</v>
      </c>
      <c r="M396" s="14">
        <v>1200</v>
      </c>
      <c r="N396" s="14">
        <v>4.399</v>
      </c>
      <c r="O396" s="10">
        <f t="shared" si="46"/>
        <v>5278.8</v>
      </c>
      <c r="P396" s="11">
        <v>12.71</v>
      </c>
      <c r="Q396" s="11">
        <v>0</v>
      </c>
      <c r="R396" s="10">
        <f>IF(COUNTIF($J$2:J396,J396)=1,SUMIFS($O:$O,$J:$J,J396)+SUMIFS($P:$P,$J:$J,J396)+SUMIFS($Q:$Q,$J:$J,J396),"")</f>
        <v>5291.51</v>
      </c>
      <c r="S396">
        <v>5278.8</v>
      </c>
      <c r="T396" s="11" t="str">
        <f t="shared" si="50"/>
        <v>Check</v>
      </c>
      <c r="U396" s="12">
        <v>46091</v>
      </c>
      <c r="V396" s="10">
        <v>12.71</v>
      </c>
      <c r="W396" s="10" t="str">
        <f t="shared" si="47"/>
        <v>Short Paid</v>
      </c>
      <c r="X396" t="s">
        <v>453</v>
      </c>
      <c r="Y396" t="s">
        <v>29</v>
      </c>
      <c r="Z396">
        <v>100294</v>
      </c>
      <c r="AA396" t="s">
        <v>3138</v>
      </c>
      <c r="AB396" t="s">
        <v>3041</v>
      </c>
      <c r="AC396" s="9">
        <f t="shared" si="48"/>
        <v>1</v>
      </c>
      <c r="AD396" s="9" t="str">
        <f t="shared" si="49"/>
        <v>Check</v>
      </c>
      <c r="AE396" s="11">
        <f t="shared" si="51"/>
        <v>12.710000000000036</v>
      </c>
    </row>
    <row r="397" spans="1:31" x14ac:dyDescent="0.3">
      <c r="A397">
        <v>51</v>
      </c>
      <c r="B397">
        <v>4668848</v>
      </c>
      <c r="C397" t="s">
        <v>160</v>
      </c>
      <c r="D397">
        <v>1963277</v>
      </c>
      <c r="E397" t="s">
        <v>250</v>
      </c>
      <c r="F397" t="s">
        <v>18</v>
      </c>
      <c r="G397" t="s">
        <v>117</v>
      </c>
      <c r="H397" t="s">
        <v>118</v>
      </c>
      <c r="I397" s="9" t="s">
        <v>3204</v>
      </c>
      <c r="J397" s="9">
        <v>51142954261</v>
      </c>
      <c r="K397" s="14" t="s">
        <v>3165</v>
      </c>
      <c r="L397" s="13" t="s">
        <v>4944</v>
      </c>
      <c r="M397" s="14">
        <v>1260</v>
      </c>
      <c r="N397" s="14">
        <v>4.399</v>
      </c>
      <c r="O397" s="10">
        <f t="shared" si="46"/>
        <v>5542.74</v>
      </c>
      <c r="P397" s="11">
        <v>0</v>
      </c>
      <c r="Q397" s="11">
        <v>0</v>
      </c>
      <c r="R397" s="10">
        <f>IF(COUNTIF($J$2:J397,J397)=1,SUMIFS($O:$O,$J:$J,J397)+SUMIFS($P:$P,$J:$J,J397)+SUMIFS($Q:$Q,$J:$J,J397),"")</f>
        <v>5542.74</v>
      </c>
      <c r="S397">
        <v>10509.24</v>
      </c>
      <c r="T397" s="11" t="str">
        <f t="shared" si="50"/>
        <v>Check</v>
      </c>
      <c r="U397" s="12">
        <v>46035</v>
      </c>
      <c r="V397" s="10">
        <v>3706.5</v>
      </c>
      <c r="W397" s="10" t="str">
        <f t="shared" si="47"/>
        <v>Short Paid</v>
      </c>
      <c r="X397" t="s">
        <v>474</v>
      </c>
      <c r="Y397" t="s">
        <v>28</v>
      </c>
      <c r="Z397">
        <v>100279</v>
      </c>
      <c r="AA397" t="s">
        <v>485</v>
      </c>
      <c r="AB397" t="s">
        <v>523</v>
      </c>
      <c r="AC397" s="9">
        <f t="shared" si="48"/>
        <v>1</v>
      </c>
      <c r="AD397" s="9" t="str">
        <f t="shared" si="49"/>
        <v>Check</v>
      </c>
      <c r="AE397" s="11">
        <f t="shared" si="51"/>
        <v>-4966.5</v>
      </c>
    </row>
    <row r="398" spans="1:31" x14ac:dyDescent="0.3">
      <c r="A398">
        <v>51</v>
      </c>
      <c r="B398">
        <v>4669127</v>
      </c>
      <c r="C398" t="s">
        <v>160</v>
      </c>
      <c r="D398">
        <v>1963277</v>
      </c>
      <c r="E398" t="s">
        <v>250</v>
      </c>
      <c r="F398" t="s">
        <v>18</v>
      </c>
      <c r="G398" t="s">
        <v>115</v>
      </c>
      <c r="H398" t="s">
        <v>116</v>
      </c>
      <c r="I398" s="9" t="s">
        <v>3230</v>
      </c>
      <c r="J398" s="9">
        <v>51142975610</v>
      </c>
      <c r="K398" s="14" t="s">
        <v>3165</v>
      </c>
      <c r="L398" s="13" t="s">
        <v>4944</v>
      </c>
      <c r="M398" s="14">
        <v>901</v>
      </c>
      <c r="N398" s="14">
        <v>4.399</v>
      </c>
      <c r="O398" s="10">
        <f t="shared" si="46"/>
        <v>3963.4989999999998</v>
      </c>
      <c r="P398" s="11">
        <v>0</v>
      </c>
      <c r="Q398" s="11">
        <v>0</v>
      </c>
      <c r="R398" s="10">
        <f>IF(COUNTIF($J$2:J398,J398)=1,SUMIFS($O:$O,$J:$J,J398)+SUMIFS($P:$P,$J:$J,J398)+SUMIFS($Q:$Q,$J:$J,J398),"")</f>
        <v>3963.4989999999998</v>
      </c>
      <c r="S398">
        <v>6774.2</v>
      </c>
      <c r="T398" s="11" t="str">
        <f t="shared" si="50"/>
        <v>Check</v>
      </c>
      <c r="U398" s="12">
        <v>46031</v>
      </c>
      <c r="V398" s="10">
        <v>333.86</v>
      </c>
      <c r="W398" s="10" t="str">
        <f t="shared" si="47"/>
        <v>Short Paid</v>
      </c>
      <c r="X398" t="s">
        <v>474</v>
      </c>
      <c r="Y398" t="s">
        <v>28</v>
      </c>
      <c r="Z398">
        <v>100289</v>
      </c>
      <c r="AA398" t="s">
        <v>475</v>
      </c>
      <c r="AB398" t="s">
        <v>523</v>
      </c>
      <c r="AC398" s="9">
        <f t="shared" si="48"/>
        <v>1</v>
      </c>
      <c r="AD398" s="9" t="str">
        <f t="shared" si="49"/>
        <v>Check</v>
      </c>
      <c r="AE398" s="11">
        <f t="shared" si="51"/>
        <v>-2810.701</v>
      </c>
    </row>
    <row r="399" spans="1:31" x14ac:dyDescent="0.3">
      <c r="A399">
        <v>51</v>
      </c>
      <c r="B399">
        <v>4669405</v>
      </c>
      <c r="C399" t="s">
        <v>160</v>
      </c>
      <c r="D399">
        <v>1963277</v>
      </c>
      <c r="E399" t="s">
        <v>250</v>
      </c>
      <c r="F399" t="s">
        <v>18</v>
      </c>
      <c r="G399" t="s">
        <v>321</v>
      </c>
      <c r="H399" t="s">
        <v>322</v>
      </c>
      <c r="I399" s="9" t="s">
        <v>3393</v>
      </c>
      <c r="J399" s="9">
        <v>51143091939</v>
      </c>
      <c r="K399" s="14" t="s">
        <v>3165</v>
      </c>
      <c r="L399" s="13" t="s">
        <v>4947</v>
      </c>
      <c r="M399" s="14">
        <v>50</v>
      </c>
      <c r="N399" s="14">
        <v>270.95</v>
      </c>
      <c r="O399" s="10">
        <f t="shared" si="46"/>
        <v>13547.5</v>
      </c>
      <c r="P399" s="11">
        <v>0</v>
      </c>
      <c r="Q399" s="11">
        <v>0</v>
      </c>
      <c r="R399" s="10">
        <f>IF(COUNTIF($J$2:J399,J399)=1,SUMIFS($O:$O,$J:$J,J399)+SUMIFS($P:$P,$J:$J,J399)+SUMIFS($Q:$Q,$J:$J,J399),"")</f>
        <v>13547.5</v>
      </c>
      <c r="S399">
        <v>22657.8</v>
      </c>
      <c r="T399" s="11" t="str">
        <f t="shared" si="50"/>
        <v>Check</v>
      </c>
      <c r="U399" s="12">
        <v>46031</v>
      </c>
      <c r="V399" s="10">
        <v>3487</v>
      </c>
      <c r="W399" s="10" t="str">
        <f t="shared" si="47"/>
        <v>Short Paid</v>
      </c>
      <c r="X399" t="s">
        <v>474</v>
      </c>
      <c r="Y399" t="s">
        <v>28</v>
      </c>
      <c r="Z399">
        <v>100119</v>
      </c>
      <c r="AA399" t="s">
        <v>491</v>
      </c>
      <c r="AB399" t="s">
        <v>523</v>
      </c>
      <c r="AC399" s="9">
        <f t="shared" si="48"/>
        <v>1</v>
      </c>
      <c r="AD399" s="9" t="str">
        <f t="shared" si="49"/>
        <v>Check</v>
      </c>
      <c r="AE399" s="11">
        <f t="shared" si="51"/>
        <v>-9110.2999999999993</v>
      </c>
    </row>
    <row r="400" spans="1:31" x14ac:dyDescent="0.3">
      <c r="A400">
        <v>51</v>
      </c>
      <c r="B400">
        <v>4669962</v>
      </c>
      <c r="C400" t="s">
        <v>160</v>
      </c>
      <c r="D400">
        <v>1963277</v>
      </c>
      <c r="E400" t="s">
        <v>250</v>
      </c>
      <c r="F400" t="s">
        <v>18</v>
      </c>
      <c r="G400" t="s">
        <v>325</v>
      </c>
      <c r="H400" t="s">
        <v>326</v>
      </c>
      <c r="I400" s="9" t="s">
        <v>3260</v>
      </c>
      <c r="J400" s="9">
        <v>51143035627</v>
      </c>
      <c r="K400" s="14" t="s">
        <v>3165</v>
      </c>
      <c r="L400" s="13" t="s">
        <v>4932</v>
      </c>
      <c r="M400" s="14">
        <v>352</v>
      </c>
      <c r="N400" s="14">
        <v>20.239999999999998</v>
      </c>
      <c r="O400" s="10">
        <f t="shared" si="46"/>
        <v>7124.48</v>
      </c>
      <c r="P400" s="11">
        <v>0</v>
      </c>
      <c r="Q400" s="11">
        <v>0</v>
      </c>
      <c r="R400" s="10">
        <f>IF(COUNTIF($J$2:J400,J400)=1,SUMIFS($O:$O,$J:$J,J400)+SUMIFS($P:$P,$J:$J,J400)+SUMIFS($Q:$Q,$J:$J,J400),"")</f>
        <v>7124.48</v>
      </c>
      <c r="S400">
        <v>8106.98</v>
      </c>
      <c r="T400" s="11" t="str">
        <f t="shared" si="50"/>
        <v>Check</v>
      </c>
      <c r="U400" s="12">
        <v>46031</v>
      </c>
      <c r="V400" s="10">
        <v>112.64</v>
      </c>
      <c r="W400" s="10" t="str">
        <f t="shared" si="47"/>
        <v>Short Paid</v>
      </c>
      <c r="X400" t="s">
        <v>474</v>
      </c>
      <c r="Y400" t="s">
        <v>28</v>
      </c>
      <c r="Z400">
        <v>100159</v>
      </c>
      <c r="AA400" t="s">
        <v>488</v>
      </c>
      <c r="AB400" t="s">
        <v>523</v>
      </c>
      <c r="AC400" s="9">
        <f t="shared" si="48"/>
        <v>1</v>
      </c>
      <c r="AD400" s="9" t="str">
        <f t="shared" si="49"/>
        <v>Check</v>
      </c>
      <c r="AE400" s="11">
        <f t="shared" si="51"/>
        <v>-982.5</v>
      </c>
    </row>
    <row r="401" spans="1:31" x14ac:dyDescent="0.3">
      <c r="A401">
        <v>51</v>
      </c>
      <c r="B401">
        <v>4670240</v>
      </c>
      <c r="C401" t="s">
        <v>160</v>
      </c>
      <c r="D401">
        <v>1963277</v>
      </c>
      <c r="E401" t="s">
        <v>250</v>
      </c>
      <c r="F401" t="s">
        <v>18</v>
      </c>
      <c r="G401" t="s">
        <v>323</v>
      </c>
      <c r="H401" t="s">
        <v>324</v>
      </c>
      <c r="I401" s="9" t="s">
        <v>3242</v>
      </c>
      <c r="J401" s="9">
        <v>51143048706</v>
      </c>
      <c r="K401" s="14" t="s">
        <v>3165</v>
      </c>
      <c r="L401" s="13" t="s">
        <v>4936</v>
      </c>
      <c r="M401" s="14">
        <v>800</v>
      </c>
      <c r="N401" s="14">
        <v>0.68</v>
      </c>
      <c r="O401" s="10">
        <f t="shared" si="46"/>
        <v>544</v>
      </c>
      <c r="P401" s="11">
        <v>0</v>
      </c>
      <c r="Q401" s="11">
        <v>0</v>
      </c>
      <c r="R401" s="10">
        <f>IF(COUNTIF($J$2:J401,J401)=1,SUMIFS($O:$O,$J:$J,J401)+SUMIFS($P:$P,$J:$J,J401)+SUMIFS($Q:$Q,$J:$J,J401),"")</f>
        <v>544</v>
      </c>
      <c r="S401">
        <v>7673.8</v>
      </c>
      <c r="T401" s="11" t="str">
        <f t="shared" si="50"/>
        <v>Check</v>
      </c>
      <c r="U401" s="12">
        <v>46031</v>
      </c>
      <c r="V401" s="10">
        <v>216</v>
      </c>
      <c r="W401" s="10" t="str">
        <f t="shared" si="47"/>
        <v>Short Paid</v>
      </c>
      <c r="X401" t="s">
        <v>474</v>
      </c>
      <c r="Y401" t="s">
        <v>28</v>
      </c>
      <c r="Z401">
        <v>100169</v>
      </c>
      <c r="AA401" t="s">
        <v>489</v>
      </c>
      <c r="AB401" t="s">
        <v>523</v>
      </c>
      <c r="AC401" s="9">
        <f t="shared" si="48"/>
        <v>1</v>
      </c>
      <c r="AD401" s="9" t="str">
        <f t="shared" si="49"/>
        <v>Check</v>
      </c>
      <c r="AE401" s="11">
        <f t="shared" si="51"/>
        <v>-7129.8</v>
      </c>
    </row>
    <row r="402" spans="1:31" x14ac:dyDescent="0.3">
      <c r="A402">
        <v>51</v>
      </c>
      <c r="B402">
        <v>4670518</v>
      </c>
      <c r="C402" t="s">
        <v>220</v>
      </c>
      <c r="D402">
        <v>1006248</v>
      </c>
      <c r="E402" t="s">
        <v>129</v>
      </c>
      <c r="F402" t="s">
        <v>20</v>
      </c>
      <c r="G402" t="s">
        <v>2732</v>
      </c>
      <c r="H402" t="s">
        <v>114</v>
      </c>
      <c r="I402" s="9" t="s">
        <v>3395</v>
      </c>
      <c r="J402" s="9">
        <v>51145799455</v>
      </c>
      <c r="K402" s="14" t="s">
        <v>3165</v>
      </c>
      <c r="L402" s="13" t="s">
        <v>4952</v>
      </c>
      <c r="M402" s="14">
        <v>300</v>
      </c>
      <c r="N402" s="14">
        <v>6.7777000000000003</v>
      </c>
      <c r="O402" s="10">
        <f t="shared" si="46"/>
        <v>2033.3100000000002</v>
      </c>
      <c r="P402" s="11">
        <v>0</v>
      </c>
      <c r="Q402" s="11">
        <v>0</v>
      </c>
      <c r="R402" s="10">
        <f>IF(COUNTIF($J$2:J402,J402)=1,SUMIFS($O:$O,$J:$J,J402)+SUMIFS($P:$P,$J:$J,J402)+SUMIFS($Q:$Q,$J:$J,J402),"")</f>
        <v>2033.3100000000002</v>
      </c>
      <c r="S402">
        <v>10943.31</v>
      </c>
      <c r="T402" s="11" t="str">
        <f t="shared" si="50"/>
        <v>Check</v>
      </c>
      <c r="U402" s="12">
        <v>46090</v>
      </c>
      <c r="V402" s="10">
        <v>8910</v>
      </c>
      <c r="W402" s="10" t="str">
        <f t="shared" si="47"/>
        <v>Short Paid</v>
      </c>
      <c r="X402" t="s">
        <v>438</v>
      </c>
      <c r="Y402" t="s">
        <v>28</v>
      </c>
      <c r="Z402">
        <v>100193</v>
      </c>
      <c r="AA402" t="s">
        <v>442</v>
      </c>
      <c r="AB402" t="s">
        <v>521</v>
      </c>
      <c r="AC402" s="9">
        <f t="shared" si="48"/>
        <v>1</v>
      </c>
      <c r="AD402" s="9" t="str">
        <f t="shared" si="49"/>
        <v>Check</v>
      </c>
      <c r="AE402" s="11">
        <f t="shared" si="51"/>
        <v>-8910</v>
      </c>
    </row>
    <row r="403" spans="1:31" x14ac:dyDescent="0.3">
      <c r="A403">
        <v>50</v>
      </c>
      <c r="B403">
        <v>4672466</v>
      </c>
      <c r="C403" t="s">
        <v>217</v>
      </c>
      <c r="D403">
        <v>1150978</v>
      </c>
      <c r="E403" t="s">
        <v>553</v>
      </c>
      <c r="F403" t="s">
        <v>18</v>
      </c>
      <c r="G403" t="s">
        <v>2735</v>
      </c>
      <c r="H403" t="s">
        <v>2736</v>
      </c>
      <c r="I403" s="9" t="s">
        <v>3188</v>
      </c>
      <c r="J403" s="9">
        <v>51146974338</v>
      </c>
      <c r="K403" s="14" t="s">
        <v>3398</v>
      </c>
      <c r="L403" s="13" t="s">
        <v>3465</v>
      </c>
      <c r="M403" s="14">
        <v>6000</v>
      </c>
      <c r="N403" s="14">
        <v>0.63329999999999997</v>
      </c>
      <c r="O403" s="10">
        <f t="shared" si="46"/>
        <v>3799.7999999999997</v>
      </c>
      <c r="P403" s="11">
        <v>0</v>
      </c>
      <c r="Q403" s="11">
        <v>0</v>
      </c>
      <c r="R403" s="10">
        <f>IF(COUNTIF($J$2:J403,J403)=1,SUMIFS($O:$O,$J:$J,J403)+SUMIFS($P:$P,$J:$J,J403)+SUMIFS($Q:$Q,$J:$J,J403),"")</f>
        <v>3799.7999999999997</v>
      </c>
      <c r="S403" s="10">
        <v>22112.28</v>
      </c>
      <c r="T403" s="11" t="str">
        <f t="shared" si="50"/>
        <v>Check</v>
      </c>
      <c r="U403" s="12">
        <v>46013</v>
      </c>
      <c r="V403" s="10">
        <v>2861.54</v>
      </c>
      <c r="W403" s="10" t="str">
        <f t="shared" si="47"/>
        <v>Short Paid</v>
      </c>
      <c r="X403" t="s">
        <v>468</v>
      </c>
      <c r="Y403" t="s">
        <v>28</v>
      </c>
      <c r="Z403">
        <v>100126</v>
      </c>
      <c r="AA403" t="s">
        <v>3123</v>
      </c>
      <c r="AB403" t="s">
        <v>523</v>
      </c>
      <c r="AC403" s="9">
        <f t="shared" si="48"/>
        <v>1</v>
      </c>
      <c r="AD403" s="9" t="str">
        <f t="shared" si="49"/>
        <v>Check</v>
      </c>
      <c r="AE403" s="11">
        <f t="shared" si="51"/>
        <v>-18312.48</v>
      </c>
    </row>
    <row r="404" spans="1:31" x14ac:dyDescent="0.3">
      <c r="A404">
        <v>50</v>
      </c>
      <c r="B404">
        <v>4688328</v>
      </c>
      <c r="C404" t="s">
        <v>220</v>
      </c>
      <c r="D404">
        <v>1880594</v>
      </c>
      <c r="E404" t="s">
        <v>397</v>
      </c>
      <c r="F404" t="s">
        <v>24</v>
      </c>
      <c r="G404" t="s">
        <v>398</v>
      </c>
      <c r="H404" t="s">
        <v>399</v>
      </c>
      <c r="I404" s="9" t="s">
        <v>3425</v>
      </c>
      <c r="J404" s="9">
        <v>51144958601</v>
      </c>
      <c r="K404" s="14" t="s">
        <v>3165</v>
      </c>
      <c r="L404" s="13" t="s">
        <v>4951</v>
      </c>
      <c r="M404" s="14">
        <v>1000</v>
      </c>
      <c r="N404" s="14">
        <v>9.9</v>
      </c>
      <c r="O404" s="10">
        <f t="shared" si="46"/>
        <v>9900</v>
      </c>
      <c r="P404" s="11">
        <v>0</v>
      </c>
      <c r="Q404" s="11">
        <v>769.73</v>
      </c>
      <c r="R404" s="10">
        <f>IF(COUNTIF($J$2:J404,J404)=1,SUMIFS($O:$O,$J:$J,J404)+SUMIFS($P:$P,$J:$J,J404)+SUMIFS($Q:$Q,$J:$J,J404),"")</f>
        <v>10669.73</v>
      </c>
      <c r="S404">
        <v>11531.859999999999</v>
      </c>
      <c r="T404" s="11" t="str">
        <f t="shared" si="50"/>
        <v>Check</v>
      </c>
      <c r="U404" s="12">
        <v>46111</v>
      </c>
      <c r="V404" s="10">
        <v>9900</v>
      </c>
      <c r="W404" s="10" t="str">
        <f t="shared" si="47"/>
        <v>Short Paid</v>
      </c>
      <c r="X404" t="s">
        <v>435</v>
      </c>
      <c r="Y404" t="s">
        <v>40</v>
      </c>
      <c r="Z404">
        <v>100141</v>
      </c>
      <c r="AA404" t="s">
        <v>440</v>
      </c>
      <c r="AB404" t="s">
        <v>522</v>
      </c>
      <c r="AC404" s="9">
        <f t="shared" si="48"/>
        <v>1</v>
      </c>
      <c r="AD404" s="9" t="str">
        <f t="shared" si="49"/>
        <v>Check</v>
      </c>
      <c r="AE404" s="11">
        <f t="shared" si="51"/>
        <v>-862.1299999999992</v>
      </c>
    </row>
    <row r="405" spans="1:31" x14ac:dyDescent="0.3">
      <c r="A405">
        <v>46</v>
      </c>
      <c r="B405">
        <v>4678310</v>
      </c>
      <c r="C405" t="s">
        <v>160</v>
      </c>
      <c r="D405">
        <v>1507694</v>
      </c>
      <c r="E405" t="s">
        <v>351</v>
      </c>
      <c r="F405" t="s">
        <v>20</v>
      </c>
      <c r="G405" t="s">
        <v>62</v>
      </c>
      <c r="H405" t="s">
        <v>63</v>
      </c>
      <c r="I405" s="9" t="s">
        <v>3542</v>
      </c>
      <c r="J405" s="9">
        <v>51144225517</v>
      </c>
      <c r="K405" s="14" t="s">
        <v>3165</v>
      </c>
      <c r="L405" s="13" t="s">
        <v>4632</v>
      </c>
      <c r="M405" s="14">
        <v>1500</v>
      </c>
      <c r="N405" s="14">
        <v>2.4359999999999999</v>
      </c>
      <c r="O405" s="10">
        <f t="shared" si="46"/>
        <v>3654</v>
      </c>
      <c r="P405" s="11">
        <v>0</v>
      </c>
      <c r="Q405" s="11">
        <v>712.08</v>
      </c>
      <c r="R405" s="10">
        <f>IF(COUNTIF($J$2:J405,J405)=1,SUMIFS($O:$O,$J:$J,J405)+SUMIFS($P:$P,$J:$J,J405)+SUMIFS($Q:$Q,$J:$J,J405),"")</f>
        <v>4366.08</v>
      </c>
      <c r="S405">
        <v>4399.08</v>
      </c>
      <c r="T405" s="11" t="str">
        <f t="shared" si="50"/>
        <v>Check</v>
      </c>
      <c r="U405" s="12">
        <v>45413</v>
      </c>
      <c r="V405" s="10">
        <v>33</v>
      </c>
      <c r="W405" s="10" t="str">
        <f t="shared" si="47"/>
        <v>Short Paid</v>
      </c>
      <c r="X405" t="s">
        <v>438</v>
      </c>
      <c r="Y405" t="s">
        <v>28</v>
      </c>
      <c r="Z405">
        <v>100153</v>
      </c>
      <c r="AA405" t="s">
        <v>445</v>
      </c>
      <c r="AB405" t="s">
        <v>521</v>
      </c>
      <c r="AC405" s="9">
        <f t="shared" si="48"/>
        <v>1</v>
      </c>
      <c r="AD405" s="9" t="str">
        <f t="shared" si="49"/>
        <v>Check</v>
      </c>
      <c r="AE405" s="11">
        <f t="shared" ref="AE405:AE413" si="52">R405-S405</f>
        <v>-33</v>
      </c>
    </row>
    <row r="406" spans="1:31" x14ac:dyDescent="0.3">
      <c r="A406">
        <v>45</v>
      </c>
      <c r="B406">
        <v>4680815</v>
      </c>
      <c r="C406" t="s">
        <v>239</v>
      </c>
      <c r="D406">
        <v>1043711</v>
      </c>
      <c r="E406" t="s">
        <v>539</v>
      </c>
      <c r="F406" t="s">
        <v>18</v>
      </c>
      <c r="G406" t="s">
        <v>121</v>
      </c>
      <c r="H406" t="s">
        <v>122</v>
      </c>
      <c r="I406" s="9" t="s">
        <v>3328</v>
      </c>
      <c r="J406" s="9">
        <v>51144133828</v>
      </c>
      <c r="K406" s="14" t="s">
        <v>3165</v>
      </c>
      <c r="L406" s="13" t="s">
        <v>4944</v>
      </c>
      <c r="M406" s="14">
        <v>1000</v>
      </c>
      <c r="N406" s="14">
        <v>4.399</v>
      </c>
      <c r="O406" s="10">
        <f t="shared" si="46"/>
        <v>4399</v>
      </c>
      <c r="P406" s="11">
        <v>43.24</v>
      </c>
      <c r="Q406" s="11">
        <v>75.03</v>
      </c>
      <c r="R406" s="10">
        <f>IF(COUNTIF($J$2:J406,J406)=1,SUMIFS($O:$O,$J:$J,J406)+SUMIFS($P:$P,$J:$J,J406)+SUMIFS($Q:$Q,$J:$J,J406),"")</f>
        <v>4517.2699999999995</v>
      </c>
      <c r="S406">
        <v>5307.03</v>
      </c>
      <c r="T406" s="11" t="str">
        <f t="shared" si="50"/>
        <v>Check</v>
      </c>
      <c r="U406" s="12">
        <v>46059</v>
      </c>
      <c r="V406" s="10">
        <v>535.25</v>
      </c>
      <c r="W406" s="10" t="str">
        <f t="shared" si="47"/>
        <v>Short Paid</v>
      </c>
      <c r="X406" t="s">
        <v>476</v>
      </c>
      <c r="Y406" t="s">
        <v>28</v>
      </c>
      <c r="Z406">
        <v>100125</v>
      </c>
      <c r="AA406" t="s">
        <v>477</v>
      </c>
      <c r="AB406" t="s">
        <v>523</v>
      </c>
      <c r="AC406" s="9">
        <f t="shared" si="48"/>
        <v>1</v>
      </c>
      <c r="AD406" s="9" t="str">
        <f t="shared" si="49"/>
        <v>Check</v>
      </c>
      <c r="AE406" s="11">
        <f t="shared" si="52"/>
        <v>-789.76000000000022</v>
      </c>
    </row>
    <row r="407" spans="1:31" x14ac:dyDescent="0.3">
      <c r="A407">
        <v>43</v>
      </c>
      <c r="B407">
        <v>4687772</v>
      </c>
      <c r="C407" t="s">
        <v>160</v>
      </c>
      <c r="D407">
        <v>1507694</v>
      </c>
      <c r="E407" t="s">
        <v>351</v>
      </c>
      <c r="F407" t="s">
        <v>26</v>
      </c>
      <c r="G407" t="s">
        <v>411</v>
      </c>
      <c r="H407" t="s">
        <v>412</v>
      </c>
      <c r="I407" s="9" t="s">
        <v>3263</v>
      </c>
      <c r="J407" s="9">
        <v>51144586383</v>
      </c>
      <c r="K407" s="14" t="s">
        <v>3165</v>
      </c>
      <c r="L407" s="13" t="s">
        <v>4950</v>
      </c>
      <c r="M407" s="14">
        <v>1080</v>
      </c>
      <c r="N407" s="14">
        <v>23.420010000000001</v>
      </c>
      <c r="O407" s="10">
        <f t="shared" si="46"/>
        <v>25293.610800000002</v>
      </c>
      <c r="P407" s="11">
        <v>0</v>
      </c>
      <c r="Q407" s="11">
        <v>0</v>
      </c>
      <c r="R407" s="10">
        <f>IF(COUNTIF($J$2:J407,J407)=1,SUMIFS($O:$O,$J:$J,J407)+SUMIFS($P:$P,$J:$J,J407)+SUMIFS($Q:$Q,$J:$J,J407),"")</f>
        <v>25293.610800000002</v>
      </c>
      <c r="S407">
        <v>29368.649999999998</v>
      </c>
      <c r="T407" s="11" t="str">
        <f t="shared" si="50"/>
        <v>Check</v>
      </c>
      <c r="U407" s="12">
        <v>46127</v>
      </c>
      <c r="V407" s="10">
        <v>1333.45</v>
      </c>
      <c r="W407" s="10" t="str">
        <f t="shared" si="47"/>
        <v>Short Paid</v>
      </c>
      <c r="X407" t="s">
        <v>438</v>
      </c>
      <c r="Y407" t="s">
        <v>28</v>
      </c>
      <c r="Z407">
        <v>100233</v>
      </c>
      <c r="AA407" t="s">
        <v>448</v>
      </c>
      <c r="AB407" t="s">
        <v>529</v>
      </c>
      <c r="AC407" s="9">
        <f t="shared" si="48"/>
        <v>1</v>
      </c>
      <c r="AD407" s="9" t="str">
        <f t="shared" si="49"/>
        <v>Check</v>
      </c>
      <c r="AE407" s="11">
        <f t="shared" si="52"/>
        <v>-4075.0391999999956</v>
      </c>
    </row>
    <row r="408" spans="1:31" x14ac:dyDescent="0.3">
      <c r="A408">
        <v>43</v>
      </c>
      <c r="B408">
        <v>4688607</v>
      </c>
      <c r="C408" t="s">
        <v>220</v>
      </c>
      <c r="D408">
        <v>1128480</v>
      </c>
      <c r="E408" t="s">
        <v>662</v>
      </c>
      <c r="F408" t="s">
        <v>19</v>
      </c>
      <c r="G408" t="s">
        <v>123</v>
      </c>
      <c r="H408" t="s">
        <v>124</v>
      </c>
      <c r="I408" s="9" t="s">
        <v>3208</v>
      </c>
      <c r="J408" s="9">
        <v>51144956870</v>
      </c>
      <c r="K408" s="14" t="s">
        <v>3165</v>
      </c>
      <c r="L408" s="13" t="s">
        <v>4944</v>
      </c>
      <c r="M408" s="14">
        <v>964</v>
      </c>
      <c r="N408" s="14">
        <v>4.399</v>
      </c>
      <c r="O408" s="10">
        <f t="shared" si="46"/>
        <v>4240.6360000000004</v>
      </c>
      <c r="P408" s="11">
        <v>0</v>
      </c>
      <c r="Q408" s="11">
        <v>0</v>
      </c>
      <c r="R408" s="10">
        <f>IF(COUNTIF($J$2:J408,J408)=1,SUMIFS($O:$O,$J:$J,J408)+SUMIFS($P:$P,$J:$J,J408)+SUMIFS($Q:$Q,$J:$J,J408),"")</f>
        <v>4240.6360000000004</v>
      </c>
      <c r="S408">
        <v>30775.64</v>
      </c>
      <c r="T408" s="11" t="str">
        <f t="shared" si="50"/>
        <v>Check</v>
      </c>
      <c r="U408" s="12">
        <v>46102</v>
      </c>
      <c r="V408" s="10">
        <v>1061.4000000000001</v>
      </c>
      <c r="W408" s="10" t="str">
        <f t="shared" si="47"/>
        <v>Short Paid</v>
      </c>
      <c r="X408" t="s">
        <v>470</v>
      </c>
      <c r="Y408" t="s">
        <v>28</v>
      </c>
      <c r="Z408">
        <v>100288</v>
      </c>
      <c r="AA408" t="s">
        <v>471</v>
      </c>
      <c r="AB408" t="s">
        <v>524</v>
      </c>
      <c r="AC408" s="9">
        <f t="shared" si="48"/>
        <v>1</v>
      </c>
      <c r="AD408" s="9" t="str">
        <f t="shared" si="49"/>
        <v>Check</v>
      </c>
      <c r="AE408" s="11">
        <f t="shared" si="52"/>
        <v>-26535.004000000001</v>
      </c>
    </row>
    <row r="409" spans="1:31" x14ac:dyDescent="0.3">
      <c r="A409">
        <v>42</v>
      </c>
      <c r="B409">
        <v>4709200</v>
      </c>
      <c r="C409" t="s">
        <v>56</v>
      </c>
      <c r="D409">
        <v>1588891</v>
      </c>
      <c r="E409" t="s">
        <v>61</v>
      </c>
      <c r="F409" t="s">
        <v>18</v>
      </c>
      <c r="G409" t="s">
        <v>136</v>
      </c>
      <c r="H409" t="s">
        <v>137</v>
      </c>
      <c r="I409" s="9" t="s">
        <v>3307</v>
      </c>
      <c r="J409" s="9">
        <v>51146407256</v>
      </c>
      <c r="K409" s="14" t="s">
        <v>3165</v>
      </c>
      <c r="L409" s="13" t="s">
        <v>4918</v>
      </c>
      <c r="M409" s="14">
        <v>1070</v>
      </c>
      <c r="N409" s="14">
        <v>7.6859999999999999</v>
      </c>
      <c r="O409" s="10">
        <f t="shared" si="46"/>
        <v>8224.02</v>
      </c>
      <c r="P409" s="11">
        <v>0</v>
      </c>
      <c r="Q409" s="11">
        <v>0</v>
      </c>
      <c r="R409" s="10">
        <f>IF(COUNTIF($J$2:J409,J409)=1,SUMIFS($O:$O,$J:$J,J409)+SUMIFS($P:$P,$J:$J,J409)+SUMIFS($Q:$Q,$J:$J,J409),"")</f>
        <v>8224.02</v>
      </c>
      <c r="S409">
        <v>8288.68</v>
      </c>
      <c r="T409" s="11" t="str">
        <f t="shared" si="50"/>
        <v>Check</v>
      </c>
      <c r="U409" s="12">
        <v>45986</v>
      </c>
      <c r="V409" s="10">
        <v>-27.04</v>
      </c>
      <c r="W409" s="10" t="str">
        <f t="shared" si="47"/>
        <v>Short Paid</v>
      </c>
      <c r="X409" t="s">
        <v>438</v>
      </c>
      <c r="Y409" t="s">
        <v>28</v>
      </c>
      <c r="Z409">
        <v>100163</v>
      </c>
      <c r="AA409" t="s">
        <v>443</v>
      </c>
      <c r="AB409" t="s">
        <v>523</v>
      </c>
      <c r="AC409" s="9">
        <f t="shared" si="48"/>
        <v>1</v>
      </c>
      <c r="AD409" s="9" t="str">
        <f t="shared" si="49"/>
        <v>Check</v>
      </c>
      <c r="AE409" s="11">
        <f t="shared" si="52"/>
        <v>-64.659999999999854</v>
      </c>
    </row>
    <row r="410" spans="1:31" x14ac:dyDescent="0.3">
      <c r="A410">
        <v>42</v>
      </c>
      <c r="B410">
        <v>4709478</v>
      </c>
      <c r="C410" t="s">
        <v>56</v>
      </c>
      <c r="D410">
        <v>1588891</v>
      </c>
      <c r="E410" t="s">
        <v>61</v>
      </c>
      <c r="F410" t="s">
        <v>18</v>
      </c>
      <c r="G410" t="s">
        <v>138</v>
      </c>
      <c r="H410" t="s">
        <v>139</v>
      </c>
      <c r="I410" s="9" t="s">
        <v>3528</v>
      </c>
      <c r="J410" s="9">
        <v>51147192345</v>
      </c>
      <c r="K410" s="14" t="s">
        <v>3165</v>
      </c>
      <c r="L410" s="13" t="s">
        <v>4918</v>
      </c>
      <c r="M410" s="14">
        <v>33000</v>
      </c>
      <c r="N410" s="14">
        <v>7.6859999999999999</v>
      </c>
      <c r="O410" s="10">
        <f t="shared" si="46"/>
        <v>253638</v>
      </c>
      <c r="P410" s="11">
        <v>0</v>
      </c>
      <c r="Q410" s="11">
        <v>0</v>
      </c>
      <c r="R410" s="10">
        <f>IF(COUNTIF($J$2:J410,J410)=1,SUMIFS($O:$O,$J:$J,J410)+SUMIFS($P:$P,$J:$J,J410)+SUMIFS($Q:$Q,$J:$J,J410),"")</f>
        <v>253638</v>
      </c>
      <c r="S410">
        <v>254200.81</v>
      </c>
      <c r="T410" s="11" t="str">
        <f t="shared" si="50"/>
        <v>Check</v>
      </c>
      <c r="U410" s="12">
        <v>45987</v>
      </c>
      <c r="V410" s="10">
        <v>-546.79</v>
      </c>
      <c r="W410" s="10" t="str">
        <f t="shared" si="47"/>
        <v>Short Paid</v>
      </c>
      <c r="X410" t="s">
        <v>438</v>
      </c>
      <c r="Y410" t="s">
        <v>28</v>
      </c>
      <c r="Z410">
        <v>100193</v>
      </c>
      <c r="AA410" t="s">
        <v>442</v>
      </c>
      <c r="AB410" t="s">
        <v>523</v>
      </c>
      <c r="AC410" s="9">
        <f t="shared" si="48"/>
        <v>1</v>
      </c>
      <c r="AD410" s="9" t="str">
        <f t="shared" si="49"/>
        <v>Check</v>
      </c>
      <c r="AE410" s="11">
        <f t="shared" si="52"/>
        <v>-562.80999999999767</v>
      </c>
    </row>
    <row r="411" spans="1:31" x14ac:dyDescent="0.3">
      <c r="A411">
        <v>42</v>
      </c>
      <c r="B411">
        <v>4711704</v>
      </c>
      <c r="C411" t="s">
        <v>56</v>
      </c>
      <c r="D411">
        <v>1588891</v>
      </c>
      <c r="E411" t="s">
        <v>61</v>
      </c>
      <c r="F411" t="s">
        <v>18</v>
      </c>
      <c r="G411" t="s">
        <v>142</v>
      </c>
      <c r="H411" t="s">
        <v>143</v>
      </c>
      <c r="I411" s="9" t="s">
        <v>3184</v>
      </c>
      <c r="J411" s="9">
        <v>55112678197</v>
      </c>
      <c r="K411" s="14" t="s">
        <v>3165</v>
      </c>
      <c r="L411" s="13" t="s">
        <v>4933</v>
      </c>
      <c r="M411" s="14">
        <v>1500</v>
      </c>
      <c r="N411" s="14">
        <v>1.65</v>
      </c>
      <c r="O411" s="10">
        <f t="shared" si="46"/>
        <v>2475</v>
      </c>
      <c r="P411" s="11">
        <v>0</v>
      </c>
      <c r="Q411" s="11">
        <v>0</v>
      </c>
      <c r="R411" s="10">
        <f>IF(COUNTIF($J$2:J411,J411)=1,SUMIFS($O:$O,$J:$J,J411)+SUMIFS($P:$P,$J:$J,J411)+SUMIFS($Q:$Q,$J:$J,J411),"")</f>
        <v>2475</v>
      </c>
      <c r="S411">
        <v>2964.61</v>
      </c>
      <c r="T411" s="11" t="str">
        <f t="shared" si="50"/>
        <v>Check</v>
      </c>
      <c r="U411" s="12">
        <v>45994</v>
      </c>
      <c r="V411" s="10">
        <v>-174.52</v>
      </c>
      <c r="W411" s="10" t="str">
        <f t="shared" si="47"/>
        <v>Short Paid</v>
      </c>
      <c r="X411" t="s">
        <v>438</v>
      </c>
      <c r="Y411" t="s">
        <v>28</v>
      </c>
      <c r="Z411">
        <v>100153</v>
      </c>
      <c r="AA411" t="s">
        <v>445</v>
      </c>
      <c r="AB411" t="s">
        <v>523</v>
      </c>
      <c r="AC411" s="9">
        <f t="shared" si="48"/>
        <v>1</v>
      </c>
      <c r="AD411" s="9" t="str">
        <f t="shared" si="49"/>
        <v>Check</v>
      </c>
      <c r="AE411" s="11">
        <f t="shared" si="52"/>
        <v>-489.61000000000013</v>
      </c>
    </row>
    <row r="412" spans="1:31" x14ac:dyDescent="0.3">
      <c r="A412">
        <v>42</v>
      </c>
      <c r="B412">
        <v>4710591</v>
      </c>
      <c r="C412" t="s">
        <v>56</v>
      </c>
      <c r="D412">
        <v>1588891</v>
      </c>
      <c r="E412" t="s">
        <v>61</v>
      </c>
      <c r="F412" t="s">
        <v>18</v>
      </c>
      <c r="G412" t="s">
        <v>146</v>
      </c>
      <c r="H412" t="s">
        <v>147</v>
      </c>
      <c r="I412" s="9" t="s">
        <v>3256</v>
      </c>
      <c r="J412" s="9">
        <v>51141262941</v>
      </c>
      <c r="K412" s="14" t="s">
        <v>3165</v>
      </c>
      <c r="L412" s="13" t="s">
        <v>4919</v>
      </c>
      <c r="M412" s="14">
        <v>500</v>
      </c>
      <c r="N412" s="14">
        <v>4.4455999999999998</v>
      </c>
      <c r="O412" s="10">
        <f t="shared" si="46"/>
        <v>2222.7999999999997</v>
      </c>
      <c r="P412" s="11">
        <v>0</v>
      </c>
      <c r="Q412" s="11">
        <v>0</v>
      </c>
      <c r="R412" s="10">
        <f>IF(COUNTIF($J$2:J412,J412)=1,SUMIFS($O:$O,$J:$J,J412)+SUMIFS($P:$P,$J:$J,J412)+SUMIFS($Q:$Q,$J:$J,J412),"")</f>
        <v>2222.7999999999997</v>
      </c>
      <c r="S412">
        <v>2487.88</v>
      </c>
      <c r="T412" s="11" t="str">
        <f t="shared" si="50"/>
        <v>Check</v>
      </c>
      <c r="U412" s="12">
        <v>45994</v>
      </c>
      <c r="V412" s="10">
        <v>-94.48</v>
      </c>
      <c r="W412" s="10" t="str">
        <f t="shared" si="47"/>
        <v>Short Paid</v>
      </c>
      <c r="X412" t="s">
        <v>438</v>
      </c>
      <c r="Y412" t="s">
        <v>28</v>
      </c>
      <c r="Z412">
        <v>100273</v>
      </c>
      <c r="AA412" t="s">
        <v>444</v>
      </c>
      <c r="AB412" t="s">
        <v>523</v>
      </c>
      <c r="AC412" s="9">
        <f t="shared" si="48"/>
        <v>1</v>
      </c>
      <c r="AD412" s="9" t="str">
        <f t="shared" si="49"/>
        <v>Check</v>
      </c>
      <c r="AE412" s="11">
        <f t="shared" si="52"/>
        <v>-265.08000000000038</v>
      </c>
    </row>
    <row r="413" spans="1:31" x14ac:dyDescent="0.3">
      <c r="A413">
        <v>42</v>
      </c>
      <c r="B413">
        <v>4711426</v>
      </c>
      <c r="C413" t="s">
        <v>56</v>
      </c>
      <c r="D413">
        <v>1588891</v>
      </c>
      <c r="E413" t="s">
        <v>61</v>
      </c>
      <c r="F413" t="s">
        <v>18</v>
      </c>
      <c r="G413" t="s">
        <v>140</v>
      </c>
      <c r="H413" t="s">
        <v>141</v>
      </c>
      <c r="I413" s="9" t="s">
        <v>3169</v>
      </c>
      <c r="J413" s="9">
        <v>51147109668</v>
      </c>
      <c r="K413" s="14" t="s">
        <v>3165</v>
      </c>
      <c r="L413" s="13" t="s">
        <v>3603</v>
      </c>
      <c r="M413" s="14">
        <v>500</v>
      </c>
      <c r="N413" s="14">
        <v>4.3540000000000001</v>
      </c>
      <c r="O413" s="10">
        <f t="shared" si="46"/>
        <v>2177</v>
      </c>
      <c r="P413" s="11">
        <v>0</v>
      </c>
      <c r="Q413" s="11">
        <v>0</v>
      </c>
      <c r="R413" s="10">
        <f>IF(COUNTIF($J$2:J413,J413)=1,SUMIFS($O:$O,$J:$J,J413)+SUMIFS($P:$P,$J:$J,J413)+SUMIFS($Q:$Q,$J:$J,J413),"")</f>
        <v>2177</v>
      </c>
      <c r="S413">
        <v>2663.4</v>
      </c>
      <c r="T413" s="11" t="str">
        <f t="shared" si="50"/>
        <v>Check</v>
      </c>
      <c r="U413" s="12">
        <v>45986</v>
      </c>
      <c r="V413" s="10">
        <v>-154.24</v>
      </c>
      <c r="W413" s="10" t="str">
        <f t="shared" si="47"/>
        <v>Short Paid</v>
      </c>
      <c r="X413" t="s">
        <v>438</v>
      </c>
      <c r="Y413" t="s">
        <v>28</v>
      </c>
      <c r="Z413">
        <v>100123</v>
      </c>
      <c r="AA413" t="s">
        <v>447</v>
      </c>
      <c r="AB413" t="s">
        <v>523</v>
      </c>
      <c r="AC413" s="9">
        <f t="shared" si="48"/>
        <v>1</v>
      </c>
      <c r="AD413" s="9" t="str">
        <f t="shared" si="49"/>
        <v>Check</v>
      </c>
      <c r="AE413" s="11">
        <f t="shared" si="52"/>
        <v>-486.40000000000009</v>
      </c>
    </row>
    <row r="414" spans="1:31" x14ac:dyDescent="0.3">
      <c r="A414">
        <v>42</v>
      </c>
      <c r="B414">
        <v>4709756</v>
      </c>
      <c r="C414" t="s">
        <v>56</v>
      </c>
      <c r="D414">
        <v>1588891</v>
      </c>
      <c r="E414" t="s">
        <v>61</v>
      </c>
      <c r="F414" t="s">
        <v>18</v>
      </c>
      <c r="G414" t="s">
        <v>150</v>
      </c>
      <c r="H414" t="s">
        <v>151</v>
      </c>
      <c r="I414" s="9" t="s">
        <v>3327</v>
      </c>
      <c r="J414" s="9">
        <v>51145509554</v>
      </c>
      <c r="K414" s="14" t="s">
        <v>3165</v>
      </c>
      <c r="L414" s="13" t="s">
        <v>4944</v>
      </c>
      <c r="M414" s="14">
        <v>982</v>
      </c>
      <c r="N414" s="14">
        <v>4.399</v>
      </c>
      <c r="O414" s="10">
        <f t="shared" si="46"/>
        <v>4319.8180000000002</v>
      </c>
      <c r="P414" s="11">
        <v>0</v>
      </c>
      <c r="Q414" s="11">
        <v>0</v>
      </c>
      <c r="R414" s="10">
        <f>IF(COUNTIF($J$2:J414,J414)=1,SUMIFS($O:$O,$J:$J,J414)+SUMIFS($P:$P,$J:$J,J414)+SUMIFS($Q:$Q,$J:$J,J414),"")</f>
        <v>4319.8180000000002</v>
      </c>
      <c r="S414">
        <v>4754.38</v>
      </c>
      <c r="T414" s="11" t="str">
        <f t="shared" si="50"/>
        <v>Check</v>
      </c>
      <c r="U414" s="12">
        <v>45986</v>
      </c>
      <c r="V414" s="10">
        <v>-121.63</v>
      </c>
      <c r="W414" s="10" t="str">
        <f t="shared" si="47"/>
        <v>Short Paid</v>
      </c>
      <c r="X414" t="s">
        <v>438</v>
      </c>
      <c r="Y414" t="s">
        <v>28</v>
      </c>
      <c r="Z414">
        <v>100203</v>
      </c>
      <c r="AA414" t="s">
        <v>441</v>
      </c>
      <c r="AB414" t="s">
        <v>523</v>
      </c>
      <c r="AC414" s="9">
        <f t="shared" si="48"/>
        <v>1</v>
      </c>
      <c r="AD414" s="9" t="str">
        <f t="shared" si="49"/>
        <v>Check</v>
      </c>
      <c r="AE414" s="11">
        <f t="shared" ref="AE414:AE429" si="53">R414-S414</f>
        <v>-434.5619999999999</v>
      </c>
    </row>
    <row r="415" spans="1:31" x14ac:dyDescent="0.3">
      <c r="A415">
        <v>41</v>
      </c>
      <c r="B415">
        <v>4716992</v>
      </c>
      <c r="C415" t="s">
        <v>94</v>
      </c>
      <c r="D415">
        <v>1006248</v>
      </c>
      <c r="E415" t="s">
        <v>129</v>
      </c>
      <c r="F415" t="s">
        <v>19</v>
      </c>
      <c r="G415" t="s">
        <v>372</v>
      </c>
      <c r="H415" t="s">
        <v>373</v>
      </c>
      <c r="I415" s="9" t="s">
        <v>3221</v>
      </c>
      <c r="J415" s="9">
        <v>51147495058</v>
      </c>
      <c r="K415" s="14" t="s">
        <v>3165</v>
      </c>
      <c r="L415" s="13" t="s">
        <v>4956</v>
      </c>
      <c r="M415" s="14">
        <v>6998</v>
      </c>
      <c r="N415" s="14">
        <v>0.77</v>
      </c>
      <c r="O415" s="10">
        <f t="shared" si="46"/>
        <v>5388.46</v>
      </c>
      <c r="P415" s="11">
        <v>0</v>
      </c>
      <c r="Q415" s="11">
        <v>0</v>
      </c>
      <c r="R415" s="10">
        <f>IF(COUNTIF($J$2:J415,J415)=1,SUMIFS($O:$O,$J:$J,J415)+SUMIFS($P:$P,$J:$J,J415)+SUMIFS($Q:$Q,$J:$J,J415),"")</f>
        <v>5388.46</v>
      </c>
      <c r="S415">
        <v>67276.460000000006</v>
      </c>
      <c r="T415" s="11" t="str">
        <f t="shared" si="50"/>
        <v>Check</v>
      </c>
      <c r="U415" s="12">
        <v>46092</v>
      </c>
      <c r="V415" s="10">
        <v>5388.46</v>
      </c>
      <c r="W415" s="10" t="str">
        <f t="shared" si="47"/>
        <v>Short Paid</v>
      </c>
      <c r="X415" t="s">
        <v>438</v>
      </c>
      <c r="Y415" t="s">
        <v>28</v>
      </c>
      <c r="Z415">
        <v>100123</v>
      </c>
      <c r="AA415" t="s">
        <v>447</v>
      </c>
      <c r="AB415" t="s">
        <v>524</v>
      </c>
      <c r="AC415" s="9">
        <f t="shared" si="48"/>
        <v>1</v>
      </c>
      <c r="AD415" s="9" t="str">
        <f t="shared" si="49"/>
        <v>Check</v>
      </c>
      <c r="AE415" s="11">
        <f t="shared" si="53"/>
        <v>-61888.000000000007</v>
      </c>
    </row>
    <row r="416" spans="1:31" x14ac:dyDescent="0.3">
      <c r="A416">
        <v>38</v>
      </c>
      <c r="B416">
        <v>4694729</v>
      </c>
      <c r="C416" t="s">
        <v>160</v>
      </c>
      <c r="D416">
        <v>1469829</v>
      </c>
      <c r="E416" t="s">
        <v>224</v>
      </c>
      <c r="F416" t="s">
        <v>20</v>
      </c>
      <c r="G416" t="s">
        <v>125</v>
      </c>
      <c r="H416" t="s">
        <v>126</v>
      </c>
      <c r="I416" s="9" t="s">
        <v>3219</v>
      </c>
      <c r="J416" s="9">
        <v>51146506938</v>
      </c>
      <c r="K416" s="14" t="s">
        <v>3165</v>
      </c>
      <c r="L416" s="13" t="s">
        <v>4953</v>
      </c>
      <c r="M416" s="14">
        <v>376</v>
      </c>
      <c r="N416" s="14">
        <v>3.69625</v>
      </c>
      <c r="O416" s="10">
        <f t="shared" si="46"/>
        <v>1389.79</v>
      </c>
      <c r="P416" s="11">
        <v>0</v>
      </c>
      <c r="Q416" s="11">
        <v>229.4</v>
      </c>
      <c r="R416" s="10">
        <f>IF(COUNTIF($J$2:J416,J416)=1,SUMIFS($O:$O,$J:$J,J416)+SUMIFS($P:$P,$J:$J,J416)+SUMIFS($Q:$Q,$J:$J,J416),"")</f>
        <v>1619.19</v>
      </c>
      <c r="S416">
        <v>4033.89</v>
      </c>
      <c r="T416" s="11" t="str">
        <f t="shared" si="50"/>
        <v>Check</v>
      </c>
      <c r="U416" s="12">
        <v>46106</v>
      </c>
      <c r="V416" s="10">
        <v>2173.23</v>
      </c>
      <c r="W416" s="10" t="str">
        <f t="shared" si="47"/>
        <v>Short Paid</v>
      </c>
      <c r="X416" t="s">
        <v>470</v>
      </c>
      <c r="Y416" t="s">
        <v>28</v>
      </c>
      <c r="Z416">
        <v>100128</v>
      </c>
      <c r="AA416" t="s">
        <v>508</v>
      </c>
      <c r="AB416" t="s">
        <v>521</v>
      </c>
      <c r="AC416" s="9">
        <f t="shared" si="48"/>
        <v>1</v>
      </c>
      <c r="AD416" s="9" t="str">
        <f t="shared" si="49"/>
        <v>Check</v>
      </c>
      <c r="AE416" s="11">
        <f t="shared" si="53"/>
        <v>-2414.6999999999998</v>
      </c>
    </row>
    <row r="417" spans="1:31" x14ac:dyDescent="0.3">
      <c r="A417">
        <v>38</v>
      </c>
      <c r="B417">
        <v>4695286</v>
      </c>
      <c r="C417" t="s">
        <v>160</v>
      </c>
      <c r="D417">
        <v>1830445</v>
      </c>
      <c r="E417" t="s">
        <v>95</v>
      </c>
      <c r="F417" t="s">
        <v>19</v>
      </c>
      <c r="G417" t="s">
        <v>127</v>
      </c>
      <c r="H417" t="s">
        <v>128</v>
      </c>
      <c r="I417" s="9" t="s">
        <v>3395</v>
      </c>
      <c r="J417" s="9">
        <v>51144065646</v>
      </c>
      <c r="K417" s="14" t="s">
        <v>3165</v>
      </c>
      <c r="L417" s="13" t="s">
        <v>4939</v>
      </c>
      <c r="M417" s="14">
        <v>12400</v>
      </c>
      <c r="N417" s="14">
        <v>2.044</v>
      </c>
      <c r="O417" s="10">
        <f t="shared" si="46"/>
        <v>25345.600000000002</v>
      </c>
      <c r="P417" s="11">
        <v>0</v>
      </c>
      <c r="Q417" s="11">
        <v>0</v>
      </c>
      <c r="R417" s="10">
        <f>IF(COUNTIF($J$2:J417,J417)=1,SUMIFS($O:$O,$J:$J,J417)+SUMIFS($P:$P,$J:$J,J417)+SUMIFS($Q:$Q,$J:$J,J417),"")</f>
        <v>25345.600000000002</v>
      </c>
      <c r="S417">
        <v>40540.85</v>
      </c>
      <c r="T417" s="11" t="str">
        <f t="shared" si="50"/>
        <v>Check</v>
      </c>
      <c r="U417" s="12">
        <v>46009</v>
      </c>
      <c r="V417" s="10">
        <v>15195.25</v>
      </c>
      <c r="W417" s="10" t="str">
        <f t="shared" si="47"/>
        <v>Short Paid</v>
      </c>
      <c r="X417" t="s">
        <v>450</v>
      </c>
      <c r="Y417" t="s">
        <v>28</v>
      </c>
      <c r="Z417">
        <v>100167</v>
      </c>
      <c r="AA417" t="s">
        <v>499</v>
      </c>
      <c r="AB417" t="s">
        <v>524</v>
      </c>
      <c r="AC417" s="9">
        <f t="shared" si="48"/>
        <v>1</v>
      </c>
      <c r="AD417" s="9" t="str">
        <f t="shared" si="49"/>
        <v>Check</v>
      </c>
      <c r="AE417" s="11">
        <f t="shared" si="53"/>
        <v>-15195.249999999996</v>
      </c>
    </row>
    <row r="418" spans="1:31" x14ac:dyDescent="0.3">
      <c r="A418">
        <v>38</v>
      </c>
      <c r="B418">
        <v>4696677</v>
      </c>
      <c r="C418" t="s">
        <v>167</v>
      </c>
      <c r="D418">
        <v>1913708</v>
      </c>
      <c r="E418" t="s">
        <v>702</v>
      </c>
      <c r="F418" t="s">
        <v>19</v>
      </c>
      <c r="G418" t="s">
        <v>2750</v>
      </c>
      <c r="H418" t="s">
        <v>2751</v>
      </c>
      <c r="I418" s="9" t="s">
        <v>3453</v>
      </c>
      <c r="J418" s="9">
        <v>51145453711</v>
      </c>
      <c r="K418" s="14" t="s">
        <v>3168</v>
      </c>
      <c r="L418" s="13" t="s">
        <v>3413</v>
      </c>
      <c r="M418" s="14">
        <v>20000</v>
      </c>
      <c r="N418" s="14">
        <v>0.2157</v>
      </c>
      <c r="O418" s="10">
        <f t="shared" si="46"/>
        <v>4314</v>
      </c>
      <c r="P418" s="11">
        <v>0</v>
      </c>
      <c r="Q418" s="11">
        <v>0</v>
      </c>
      <c r="R418" s="10">
        <f>IF(COUNTIF($J$2:J418,J418)=1,SUMIFS($O:$O,$J:$J,J418)+SUMIFS($P:$P,$J:$J,J418)+SUMIFS($Q:$Q,$J:$J,J418),"")</f>
        <v>4314</v>
      </c>
      <c r="S418" s="10">
        <v>6902.4</v>
      </c>
      <c r="T418" s="11" t="str">
        <f t="shared" si="50"/>
        <v>Check</v>
      </c>
      <c r="U418" s="12">
        <v>46135</v>
      </c>
      <c r="V418" s="10">
        <v>300</v>
      </c>
      <c r="W418" s="10" t="str">
        <f t="shared" si="47"/>
        <v>Short Paid</v>
      </c>
      <c r="X418" t="s">
        <v>476</v>
      </c>
      <c r="Y418" t="s">
        <v>28</v>
      </c>
      <c r="Z418">
        <v>100275</v>
      </c>
      <c r="AA418" t="s">
        <v>492</v>
      </c>
      <c r="AB418" t="s">
        <v>524</v>
      </c>
      <c r="AC418" s="9">
        <f t="shared" si="48"/>
        <v>1</v>
      </c>
      <c r="AD418" s="9" t="str">
        <f t="shared" si="49"/>
        <v>Check</v>
      </c>
      <c r="AE418" s="11">
        <f t="shared" si="53"/>
        <v>-2588.3999999999996</v>
      </c>
    </row>
    <row r="419" spans="1:31" x14ac:dyDescent="0.3">
      <c r="A419">
        <v>38</v>
      </c>
      <c r="B419">
        <v>4732576</v>
      </c>
      <c r="C419" t="s">
        <v>217</v>
      </c>
      <c r="D419">
        <v>1067606</v>
      </c>
      <c r="E419" t="s">
        <v>374</v>
      </c>
      <c r="F419" t="s">
        <v>19</v>
      </c>
      <c r="G419" t="s">
        <v>375</v>
      </c>
      <c r="H419" t="s">
        <v>376</v>
      </c>
      <c r="I419" s="9" t="s">
        <v>3169</v>
      </c>
      <c r="J419" s="9">
        <v>51150897042</v>
      </c>
      <c r="K419" s="14" t="s">
        <v>3165</v>
      </c>
      <c r="L419" s="13" t="s">
        <v>4962</v>
      </c>
      <c r="M419" s="14">
        <v>1710</v>
      </c>
      <c r="N419" s="14">
        <v>4.1420000000000003</v>
      </c>
      <c r="O419" s="10">
        <f t="shared" si="46"/>
        <v>7082.8200000000006</v>
      </c>
      <c r="P419" s="11">
        <v>0</v>
      </c>
      <c r="Q419" s="11">
        <v>0</v>
      </c>
      <c r="R419" s="10">
        <f>IF(COUNTIF($J$2:J419,J419)=1,SUMIFS($O:$O,$J:$J,J419)+SUMIFS($P:$P,$J:$J,J419)+SUMIFS($Q:$Q,$J:$J,J419),"")</f>
        <v>7082.8200000000006</v>
      </c>
      <c r="S419">
        <v>16382.82</v>
      </c>
      <c r="T419" s="11" t="str">
        <f t="shared" si="50"/>
        <v>Check</v>
      </c>
      <c r="U419" s="12">
        <v>46091</v>
      </c>
      <c r="V419" s="10">
        <v>7082.82</v>
      </c>
      <c r="W419" s="10" t="str">
        <f t="shared" si="47"/>
        <v>Short Paid</v>
      </c>
      <c r="X419" t="s">
        <v>476</v>
      </c>
      <c r="Y419" t="s">
        <v>28</v>
      </c>
      <c r="Z419">
        <v>100245</v>
      </c>
      <c r="AA419" t="s">
        <v>507</v>
      </c>
      <c r="AB419" t="s">
        <v>524</v>
      </c>
      <c r="AC419" s="9">
        <f t="shared" si="48"/>
        <v>1</v>
      </c>
      <c r="AD419" s="9" t="str">
        <f t="shared" si="49"/>
        <v>Check</v>
      </c>
      <c r="AE419" s="11">
        <f t="shared" si="53"/>
        <v>-9300</v>
      </c>
    </row>
    <row r="420" spans="1:31" x14ac:dyDescent="0.3">
      <c r="A420">
        <v>38</v>
      </c>
      <c r="B420">
        <v>4732854</v>
      </c>
      <c r="C420" t="s">
        <v>217</v>
      </c>
      <c r="D420">
        <v>1067606</v>
      </c>
      <c r="E420" t="s">
        <v>374</v>
      </c>
      <c r="F420" t="s">
        <v>19</v>
      </c>
      <c r="G420" t="s">
        <v>377</v>
      </c>
      <c r="H420" t="s">
        <v>378</v>
      </c>
      <c r="I420" s="9" t="s">
        <v>3202</v>
      </c>
      <c r="J420" s="9">
        <v>51150426471</v>
      </c>
      <c r="K420" s="14" t="s">
        <v>3165</v>
      </c>
      <c r="L420" s="13" t="s">
        <v>4962</v>
      </c>
      <c r="M420" s="14">
        <v>1710</v>
      </c>
      <c r="N420" s="14">
        <v>4.1420000000000003</v>
      </c>
      <c r="O420" s="10">
        <f t="shared" si="46"/>
        <v>7082.8200000000006</v>
      </c>
      <c r="P420" s="11">
        <v>0</v>
      </c>
      <c r="Q420" s="11">
        <v>0</v>
      </c>
      <c r="R420" s="10">
        <f>IF(COUNTIF($J$2:J420,J420)=1,SUMIFS($O:$O,$J:$J,J420)+SUMIFS($P:$P,$J:$J,J420)+SUMIFS($Q:$Q,$J:$J,J420),"")</f>
        <v>7082.8200000000006</v>
      </c>
      <c r="S420">
        <v>11891.689999999999</v>
      </c>
      <c r="T420" s="11" t="str">
        <f t="shared" si="50"/>
        <v>Check</v>
      </c>
      <c r="U420" s="12">
        <v>46091</v>
      </c>
      <c r="V420" s="10">
        <v>7082.82</v>
      </c>
      <c r="W420" s="10" t="str">
        <f t="shared" si="47"/>
        <v>Short Paid</v>
      </c>
      <c r="X420" t="s">
        <v>476</v>
      </c>
      <c r="Y420" t="s">
        <v>28</v>
      </c>
      <c r="Z420">
        <v>100275</v>
      </c>
      <c r="AA420" t="s">
        <v>492</v>
      </c>
      <c r="AB420" t="s">
        <v>524</v>
      </c>
      <c r="AC420" s="9">
        <f t="shared" si="48"/>
        <v>1</v>
      </c>
      <c r="AD420" s="9" t="str">
        <f t="shared" si="49"/>
        <v>Check</v>
      </c>
      <c r="AE420" s="11">
        <f t="shared" si="53"/>
        <v>-4808.8699999999981</v>
      </c>
    </row>
    <row r="421" spans="1:31" x14ac:dyDescent="0.3">
      <c r="A421">
        <v>38</v>
      </c>
      <c r="B421">
        <v>4732297</v>
      </c>
      <c r="C421" t="s">
        <v>217</v>
      </c>
      <c r="D421">
        <v>1067606</v>
      </c>
      <c r="E421" t="s">
        <v>374</v>
      </c>
      <c r="F421" t="s">
        <v>19</v>
      </c>
      <c r="G421" t="s">
        <v>382</v>
      </c>
      <c r="H421" t="s">
        <v>383</v>
      </c>
      <c r="I421" s="9" t="s">
        <v>3551</v>
      </c>
      <c r="J421" s="9">
        <v>51150897293</v>
      </c>
      <c r="K421" s="14" t="s">
        <v>3165</v>
      </c>
      <c r="L421" s="13" t="s">
        <v>4962</v>
      </c>
      <c r="M421" s="14">
        <v>1710</v>
      </c>
      <c r="N421" s="14">
        <v>4.1420000000000003</v>
      </c>
      <c r="O421" s="10">
        <f t="shared" si="46"/>
        <v>7082.8200000000006</v>
      </c>
      <c r="P421" s="11">
        <v>0</v>
      </c>
      <c r="Q421" s="11">
        <v>0</v>
      </c>
      <c r="R421" s="10">
        <f>IF(COUNTIF($J$2:J421,J421)=1,SUMIFS($O:$O,$J:$J,J421)+SUMIFS($P:$P,$J:$J,J421)+SUMIFS($Q:$Q,$J:$J,J421),"")</f>
        <v>7082.8200000000006</v>
      </c>
      <c r="S421">
        <v>13848.099999999999</v>
      </c>
      <c r="T421" s="11" t="str">
        <f t="shared" si="50"/>
        <v>Check</v>
      </c>
      <c r="U421" s="12">
        <v>46090</v>
      </c>
      <c r="V421" s="10">
        <v>7082.82</v>
      </c>
      <c r="W421" s="10" t="str">
        <f t="shared" si="47"/>
        <v>Short Paid</v>
      </c>
      <c r="X421" t="s">
        <v>476</v>
      </c>
      <c r="Y421" t="s">
        <v>28</v>
      </c>
      <c r="Z421">
        <v>100235</v>
      </c>
      <c r="AA421" t="s">
        <v>509</v>
      </c>
      <c r="AB421" t="s">
        <v>524</v>
      </c>
      <c r="AC421" s="9">
        <f t="shared" si="48"/>
        <v>1</v>
      </c>
      <c r="AD421" s="9" t="str">
        <f t="shared" si="49"/>
        <v>Check</v>
      </c>
      <c r="AE421" s="11">
        <f t="shared" si="53"/>
        <v>-6765.2799999999979</v>
      </c>
    </row>
    <row r="422" spans="1:31" x14ac:dyDescent="0.3">
      <c r="A422">
        <v>37</v>
      </c>
      <c r="B422">
        <v>4697512</v>
      </c>
      <c r="C422" t="s">
        <v>160</v>
      </c>
      <c r="D422">
        <v>1648570</v>
      </c>
      <c r="E422" t="s">
        <v>208</v>
      </c>
      <c r="F422" t="s">
        <v>18</v>
      </c>
      <c r="G422" t="s">
        <v>339</v>
      </c>
      <c r="H422" t="s">
        <v>340</v>
      </c>
      <c r="I422" s="9" t="s">
        <v>3446</v>
      </c>
      <c r="J422" s="9">
        <v>51146276648</v>
      </c>
      <c r="K422" s="14" t="s">
        <v>3165</v>
      </c>
      <c r="L422" s="13" t="s">
        <v>4923</v>
      </c>
      <c r="M422" s="14">
        <v>210</v>
      </c>
      <c r="N422" s="14">
        <v>123.76</v>
      </c>
      <c r="O422" s="10">
        <f t="shared" si="46"/>
        <v>25989.600000000002</v>
      </c>
      <c r="P422" s="11">
        <v>0</v>
      </c>
      <c r="Q422" s="11">
        <v>0</v>
      </c>
      <c r="R422" s="10">
        <f>IF(COUNTIF($J$2:J422,J422)=1,SUMIFS($O:$O,$J:$J,J422)+SUMIFS($P:$P,$J:$J,J422)+SUMIFS($Q:$Q,$J:$J,J422),"")</f>
        <v>25989.600000000002</v>
      </c>
      <c r="S422">
        <v>29456.559999999998</v>
      </c>
      <c r="T422" s="11" t="str">
        <f t="shared" si="50"/>
        <v>Check</v>
      </c>
      <c r="U422" s="12">
        <v>46051</v>
      </c>
      <c r="V422" s="10">
        <v>5002.2</v>
      </c>
      <c r="W422" s="10" t="str">
        <f t="shared" si="47"/>
        <v>Short Paid</v>
      </c>
      <c r="X422" t="s">
        <v>453</v>
      </c>
      <c r="Y422" t="s">
        <v>28</v>
      </c>
      <c r="Z422">
        <v>100124</v>
      </c>
      <c r="AA422" t="s">
        <v>486</v>
      </c>
      <c r="AB422" t="s">
        <v>523</v>
      </c>
      <c r="AC422" s="9">
        <f t="shared" si="48"/>
        <v>1</v>
      </c>
      <c r="AD422" s="9" t="str">
        <f t="shared" si="49"/>
        <v>Check</v>
      </c>
      <c r="AE422" s="11">
        <f t="shared" si="53"/>
        <v>-3466.9599999999955</v>
      </c>
    </row>
    <row r="423" spans="1:31" x14ac:dyDescent="0.3">
      <c r="A423">
        <v>37</v>
      </c>
      <c r="B423">
        <v>4698347</v>
      </c>
      <c r="C423" t="s">
        <v>160</v>
      </c>
      <c r="D423">
        <v>1830445</v>
      </c>
      <c r="E423" t="s">
        <v>95</v>
      </c>
      <c r="F423" t="s">
        <v>52</v>
      </c>
      <c r="G423" t="s">
        <v>392</v>
      </c>
      <c r="H423" t="s">
        <v>393</v>
      </c>
      <c r="I423" s="9" t="s">
        <v>3484</v>
      </c>
      <c r="J423" s="9">
        <v>51146051375</v>
      </c>
      <c r="K423" s="14" t="s">
        <v>3165</v>
      </c>
      <c r="L423" s="13" t="s">
        <v>4941</v>
      </c>
      <c r="M423" s="14">
        <v>967</v>
      </c>
      <c r="N423" s="14">
        <v>46.31</v>
      </c>
      <c r="O423" s="10">
        <f t="shared" si="46"/>
        <v>44781.770000000004</v>
      </c>
      <c r="P423" s="11">
        <v>0</v>
      </c>
      <c r="Q423" s="11">
        <v>0</v>
      </c>
      <c r="R423" s="10">
        <f>IF(COUNTIF($J$2:J423,J423)=1,SUMIFS($O:$O,$J:$J,J423)+SUMIFS($P:$P,$J:$J,J423)+SUMIFS($Q:$Q,$J:$J,J423),"")</f>
        <v>44781.770000000004</v>
      </c>
      <c r="S423">
        <v>50509.619999999995</v>
      </c>
      <c r="T423" s="11" t="str">
        <f t="shared" si="50"/>
        <v>Check</v>
      </c>
      <c r="U423" s="12">
        <v>46105</v>
      </c>
      <c r="V423" s="10">
        <v>5126.5</v>
      </c>
      <c r="W423" s="10" t="str">
        <f t="shared" si="47"/>
        <v>Short Paid</v>
      </c>
      <c r="X423" t="s">
        <v>450</v>
      </c>
      <c r="Y423" t="s">
        <v>436</v>
      </c>
      <c r="Z423">
        <v>100137</v>
      </c>
      <c r="AA423" t="s">
        <v>513</v>
      </c>
      <c r="AB423" t="s">
        <v>530</v>
      </c>
      <c r="AC423" s="9">
        <f t="shared" si="48"/>
        <v>1</v>
      </c>
      <c r="AD423" s="9" t="str">
        <f t="shared" si="49"/>
        <v>Check</v>
      </c>
      <c r="AE423" s="11">
        <f t="shared" si="53"/>
        <v>-5727.8499999999913</v>
      </c>
    </row>
    <row r="424" spans="1:31" x14ac:dyDescent="0.3">
      <c r="A424">
        <v>35</v>
      </c>
      <c r="B424">
        <v>4704469</v>
      </c>
      <c r="C424" t="s">
        <v>160</v>
      </c>
      <c r="D424">
        <v>1422097</v>
      </c>
      <c r="E424" t="s">
        <v>388</v>
      </c>
      <c r="F424" t="s">
        <v>19</v>
      </c>
      <c r="G424" t="s">
        <v>134</v>
      </c>
      <c r="H424" t="s">
        <v>135</v>
      </c>
      <c r="I424" s="9" t="s">
        <v>3408</v>
      </c>
      <c r="J424" s="9">
        <v>51146258723</v>
      </c>
      <c r="K424" s="14" t="s">
        <v>3165</v>
      </c>
      <c r="L424" s="13" t="s">
        <v>4944</v>
      </c>
      <c r="M424" s="14">
        <v>1000</v>
      </c>
      <c r="N424" s="14">
        <v>4.399</v>
      </c>
      <c r="O424" s="10">
        <f t="shared" si="46"/>
        <v>4399</v>
      </c>
      <c r="P424" s="11">
        <v>0</v>
      </c>
      <c r="Q424" s="11">
        <v>0</v>
      </c>
      <c r="R424" s="10">
        <f>IF(COUNTIF($J$2:J424,J424)=1,SUMIFS($O:$O,$J:$J,J424)+SUMIFS($P:$P,$J:$J,J424)+SUMIFS($Q:$Q,$J:$J,J424),"")</f>
        <v>4399</v>
      </c>
      <c r="S424">
        <v>5087</v>
      </c>
      <c r="T424" s="11" t="str">
        <f t="shared" si="50"/>
        <v>Check</v>
      </c>
      <c r="U424" s="12">
        <v>46067</v>
      </c>
      <c r="V424" s="10">
        <v>688</v>
      </c>
      <c r="W424" s="10" t="str">
        <f t="shared" si="47"/>
        <v>Short Paid</v>
      </c>
      <c r="X424" t="s">
        <v>453</v>
      </c>
      <c r="Y424" t="s">
        <v>28</v>
      </c>
      <c r="Z424">
        <v>100234</v>
      </c>
      <c r="AA424" t="s">
        <v>502</v>
      </c>
      <c r="AB424" t="s">
        <v>524</v>
      </c>
      <c r="AC424" s="9">
        <f t="shared" si="48"/>
        <v>1</v>
      </c>
      <c r="AD424" s="9" t="str">
        <f t="shared" si="49"/>
        <v>Check</v>
      </c>
      <c r="AE424" s="11">
        <f t="shared" si="53"/>
        <v>-688</v>
      </c>
    </row>
    <row r="425" spans="1:31" x14ac:dyDescent="0.3">
      <c r="A425">
        <v>35</v>
      </c>
      <c r="B425">
        <v>4706417</v>
      </c>
      <c r="C425" t="s">
        <v>160</v>
      </c>
      <c r="D425">
        <v>1572746</v>
      </c>
      <c r="E425" t="s">
        <v>707</v>
      </c>
      <c r="F425" t="s">
        <v>47</v>
      </c>
      <c r="G425" t="s">
        <v>2757</v>
      </c>
      <c r="H425" t="s">
        <v>2758</v>
      </c>
      <c r="I425" s="9" t="s">
        <v>3420</v>
      </c>
      <c r="J425" s="9">
        <v>51146456056</v>
      </c>
      <c r="K425" s="14" t="s">
        <v>3194</v>
      </c>
      <c r="L425" s="13" t="s">
        <v>3460</v>
      </c>
      <c r="M425" s="14">
        <v>5000</v>
      </c>
      <c r="N425" s="14">
        <v>0.52249999999999996</v>
      </c>
      <c r="O425" s="10">
        <f t="shared" si="46"/>
        <v>2612.5</v>
      </c>
      <c r="P425" s="11">
        <v>0</v>
      </c>
      <c r="Q425" s="11">
        <v>0</v>
      </c>
      <c r="R425" s="10">
        <f>IF(COUNTIF($J$2:J425,J425)=1,SUMIFS($O:$O,$J:$J,J425)+SUMIFS($P:$P,$J:$J,J425)+SUMIFS($Q:$Q,$J:$J,J425),"")</f>
        <v>2612.5</v>
      </c>
      <c r="S425" s="10">
        <v>7837.5</v>
      </c>
      <c r="T425" s="11" t="str">
        <f t="shared" si="50"/>
        <v>Check</v>
      </c>
      <c r="U425" s="12">
        <v>46070</v>
      </c>
      <c r="V425" s="10">
        <v>244.11</v>
      </c>
      <c r="W425" s="10" t="str">
        <f t="shared" si="47"/>
        <v>Short Paid</v>
      </c>
      <c r="X425" t="s">
        <v>453</v>
      </c>
      <c r="Y425" t="s">
        <v>28</v>
      </c>
      <c r="Z425">
        <v>100164</v>
      </c>
      <c r="AA425" t="s">
        <v>490</v>
      </c>
      <c r="AB425" t="s">
        <v>3039</v>
      </c>
      <c r="AC425" s="9">
        <f t="shared" si="48"/>
        <v>1</v>
      </c>
      <c r="AD425" s="9" t="str">
        <f t="shared" si="49"/>
        <v>Check</v>
      </c>
      <c r="AE425" s="11">
        <f t="shared" si="53"/>
        <v>-5225</v>
      </c>
    </row>
    <row r="426" spans="1:31" x14ac:dyDescent="0.3">
      <c r="A426">
        <v>35</v>
      </c>
      <c r="B426">
        <v>4705582</v>
      </c>
      <c r="C426" t="s">
        <v>160</v>
      </c>
      <c r="D426">
        <v>1572746</v>
      </c>
      <c r="E426" t="s">
        <v>707</v>
      </c>
      <c r="F426" t="s">
        <v>47</v>
      </c>
      <c r="G426" t="s">
        <v>130</v>
      </c>
      <c r="H426" t="s">
        <v>131</v>
      </c>
      <c r="I426" s="9" t="s">
        <v>3446</v>
      </c>
      <c r="J426" s="9">
        <v>51146265779</v>
      </c>
      <c r="K426" s="14" t="s">
        <v>3165</v>
      </c>
      <c r="L426" s="13" t="s">
        <v>4954</v>
      </c>
      <c r="M426" s="14">
        <v>1500</v>
      </c>
      <c r="N426" s="14">
        <v>6.06</v>
      </c>
      <c r="O426" s="10">
        <f t="shared" si="46"/>
        <v>9090</v>
      </c>
      <c r="P426" s="11">
        <v>0</v>
      </c>
      <c r="Q426" s="11">
        <v>0</v>
      </c>
      <c r="R426" s="10">
        <f>IF(COUNTIF($J$2:J426,J426)=1,SUMIFS($O:$O,$J:$J,J426)+SUMIFS($P:$P,$J:$J,J426)+SUMIFS($Q:$Q,$J:$J,J426),"")</f>
        <v>9090</v>
      </c>
      <c r="S426">
        <v>9090</v>
      </c>
      <c r="T426" s="11" t="str">
        <f t="shared" si="50"/>
        <v>Ok</v>
      </c>
      <c r="U426" s="12">
        <v>46070</v>
      </c>
      <c r="V426" s="10">
        <v>26363.759999999998</v>
      </c>
      <c r="W426" s="10" t="str">
        <f t="shared" si="47"/>
        <v>Short Paid</v>
      </c>
      <c r="X426" t="s">
        <v>453</v>
      </c>
      <c r="Y426" t="s">
        <v>28</v>
      </c>
      <c r="Z426">
        <v>100114</v>
      </c>
      <c r="AA426" t="s">
        <v>498</v>
      </c>
      <c r="AB426" t="s">
        <v>3039</v>
      </c>
      <c r="AC426" s="9">
        <f t="shared" si="48"/>
        <v>1</v>
      </c>
      <c r="AD426" s="9" t="str">
        <f t="shared" si="49"/>
        <v>Ok</v>
      </c>
      <c r="AE426" s="11">
        <f t="shared" si="53"/>
        <v>0</v>
      </c>
    </row>
    <row r="427" spans="1:31" x14ac:dyDescent="0.3">
      <c r="A427">
        <v>35</v>
      </c>
      <c r="B427">
        <v>4705860</v>
      </c>
      <c r="C427" t="s">
        <v>160</v>
      </c>
      <c r="D427">
        <v>1572746</v>
      </c>
      <c r="E427" t="s">
        <v>707</v>
      </c>
      <c r="F427" t="s">
        <v>47</v>
      </c>
      <c r="G427" t="s">
        <v>2759</v>
      </c>
      <c r="H427" t="s">
        <v>2760</v>
      </c>
      <c r="I427" s="9" t="s">
        <v>3230</v>
      </c>
      <c r="J427" s="9">
        <v>51146300098</v>
      </c>
      <c r="K427" s="14" t="s">
        <v>3246</v>
      </c>
      <c r="L427" s="13" t="s">
        <v>3458</v>
      </c>
      <c r="M427" s="14">
        <v>6000</v>
      </c>
      <c r="N427" s="14">
        <v>0.24890000000000001</v>
      </c>
      <c r="O427" s="10">
        <f t="shared" si="46"/>
        <v>1493.4</v>
      </c>
      <c r="P427" s="11">
        <v>0</v>
      </c>
      <c r="Q427" s="11">
        <v>0</v>
      </c>
      <c r="R427" s="10">
        <f>IF(COUNTIF($J$2:J427,J427)=1,SUMIFS($O:$O,$J:$J,J427)+SUMIFS($P:$P,$J:$J,J427)+SUMIFS($Q:$Q,$J:$J,J427),"")</f>
        <v>1493.4</v>
      </c>
      <c r="S427" s="10">
        <v>1742.3</v>
      </c>
      <c r="T427" s="11" t="str">
        <f t="shared" si="50"/>
        <v>Check</v>
      </c>
      <c r="U427" s="12">
        <v>46070</v>
      </c>
      <c r="V427" s="10">
        <v>63956.52</v>
      </c>
      <c r="W427" s="10" t="str">
        <f t="shared" si="47"/>
        <v>Short Paid</v>
      </c>
      <c r="X427" t="s">
        <v>453</v>
      </c>
      <c r="Y427" t="s">
        <v>28</v>
      </c>
      <c r="Z427">
        <v>100124</v>
      </c>
      <c r="AA427" t="s">
        <v>486</v>
      </c>
      <c r="AB427" t="s">
        <v>3039</v>
      </c>
      <c r="AC427" s="9">
        <f t="shared" si="48"/>
        <v>1</v>
      </c>
      <c r="AD427" s="9" t="str">
        <f t="shared" si="49"/>
        <v>Check</v>
      </c>
      <c r="AE427" s="11">
        <f t="shared" si="53"/>
        <v>-248.89999999999986</v>
      </c>
    </row>
    <row r="428" spans="1:31" x14ac:dyDescent="0.3">
      <c r="A428">
        <v>35</v>
      </c>
      <c r="B428">
        <v>4707252</v>
      </c>
      <c r="C428" t="s">
        <v>160</v>
      </c>
      <c r="D428">
        <v>1422097</v>
      </c>
      <c r="E428" t="s">
        <v>388</v>
      </c>
      <c r="F428" t="s">
        <v>19</v>
      </c>
      <c r="G428" t="s">
        <v>2763</v>
      </c>
      <c r="H428" t="s">
        <v>2764</v>
      </c>
      <c r="I428" s="9" t="s">
        <v>3367</v>
      </c>
      <c r="J428" s="9">
        <v>51146789873</v>
      </c>
      <c r="K428" s="14" t="s">
        <v>3168</v>
      </c>
      <c r="L428" s="13" t="s">
        <v>3413</v>
      </c>
      <c r="M428" s="14">
        <v>4000</v>
      </c>
      <c r="N428" s="14">
        <v>0.2157</v>
      </c>
      <c r="O428" s="10">
        <f t="shared" si="46"/>
        <v>862.8</v>
      </c>
      <c r="P428" s="11">
        <v>7747.68</v>
      </c>
      <c r="Q428" s="11">
        <v>0</v>
      </c>
      <c r="R428" s="10">
        <f>IF(COUNTIF($J$2:J428,J428)=1,SUMIFS($O:$O,$J:$J,J428)+SUMIFS($P:$P,$J:$J,J428)+SUMIFS($Q:$Q,$J:$J,J428),"")</f>
        <v>8610.48</v>
      </c>
      <c r="S428" s="10">
        <v>7765.2</v>
      </c>
      <c r="T428" s="11" t="str">
        <f t="shared" si="50"/>
        <v>Check</v>
      </c>
      <c r="U428" s="12">
        <v>46073</v>
      </c>
      <c r="V428" s="10">
        <v>7747.68</v>
      </c>
      <c r="W428" s="10" t="str">
        <f t="shared" si="47"/>
        <v>Short Paid</v>
      </c>
      <c r="X428" t="s">
        <v>453</v>
      </c>
      <c r="Y428" t="s">
        <v>28</v>
      </c>
      <c r="Z428">
        <v>100234</v>
      </c>
      <c r="AA428" t="s">
        <v>502</v>
      </c>
      <c r="AB428" t="s">
        <v>524</v>
      </c>
      <c r="AC428" s="9">
        <f t="shared" si="48"/>
        <v>1</v>
      </c>
      <c r="AD428" s="9" t="str">
        <f t="shared" si="49"/>
        <v>Check</v>
      </c>
      <c r="AE428" s="11">
        <f t="shared" si="53"/>
        <v>845.27999999999975</v>
      </c>
    </row>
    <row r="429" spans="1:31" x14ac:dyDescent="0.3">
      <c r="A429">
        <v>35</v>
      </c>
      <c r="B429">
        <v>4710313</v>
      </c>
      <c r="C429" t="s">
        <v>56</v>
      </c>
      <c r="D429">
        <v>1588891</v>
      </c>
      <c r="E429" t="s">
        <v>61</v>
      </c>
      <c r="F429" t="s">
        <v>18</v>
      </c>
      <c r="G429" t="s">
        <v>2765</v>
      </c>
      <c r="H429" t="s">
        <v>2766</v>
      </c>
      <c r="I429" s="9" t="s">
        <v>3399</v>
      </c>
      <c r="J429" s="9">
        <v>51139595772</v>
      </c>
      <c r="K429" s="14" t="s">
        <v>3401</v>
      </c>
      <c r="L429" s="13" t="s">
        <v>3400</v>
      </c>
      <c r="M429" s="14">
        <v>1500</v>
      </c>
      <c r="N429" s="14">
        <v>0.20899999999999999</v>
      </c>
      <c r="O429" s="10">
        <f t="shared" si="46"/>
        <v>313.5</v>
      </c>
      <c r="P429" s="11">
        <v>0</v>
      </c>
      <c r="Q429" s="11">
        <v>0</v>
      </c>
      <c r="R429" s="10">
        <f>IF(COUNTIF($J$2:J429,J429)=1,SUMIFS($O:$O,$J:$J,J429)+SUMIFS($P:$P,$J:$J,J429)+SUMIFS($Q:$Q,$J:$J,J429),"")</f>
        <v>313.5</v>
      </c>
      <c r="S429" s="10">
        <v>313.5</v>
      </c>
      <c r="T429" s="11" t="str">
        <f t="shared" si="50"/>
        <v>Ok</v>
      </c>
      <c r="U429" s="12">
        <v>45993</v>
      </c>
      <c r="V429" s="10">
        <v>-363.66</v>
      </c>
      <c r="W429" s="10" t="str">
        <f t="shared" si="47"/>
        <v>Short Paid</v>
      </c>
      <c r="X429" t="s">
        <v>438</v>
      </c>
      <c r="Y429" t="s">
        <v>28</v>
      </c>
      <c r="Z429">
        <v>100243</v>
      </c>
      <c r="AA429" t="s">
        <v>446</v>
      </c>
      <c r="AB429" t="s">
        <v>523</v>
      </c>
      <c r="AC429" s="9">
        <f t="shared" si="48"/>
        <v>1</v>
      </c>
      <c r="AD429" s="9" t="str">
        <f t="shared" si="49"/>
        <v>Ok</v>
      </c>
      <c r="AE429" s="11">
        <f t="shared" si="53"/>
        <v>0</v>
      </c>
    </row>
    <row r="430" spans="1:31" x14ac:dyDescent="0.3">
      <c r="A430">
        <v>32</v>
      </c>
      <c r="B430">
        <v>4719496</v>
      </c>
      <c r="C430" t="s">
        <v>240</v>
      </c>
      <c r="D430">
        <v>1130746</v>
      </c>
      <c r="E430" t="s">
        <v>596</v>
      </c>
      <c r="F430" t="s">
        <v>20</v>
      </c>
      <c r="G430" t="s">
        <v>2771</v>
      </c>
      <c r="H430" t="s">
        <v>2772</v>
      </c>
      <c r="I430" s="9" t="s">
        <v>3444</v>
      </c>
      <c r="J430" s="9">
        <v>51151939589</v>
      </c>
      <c r="K430" s="14" t="s">
        <v>3289</v>
      </c>
      <c r="L430" s="13" t="s">
        <v>3515</v>
      </c>
      <c r="M430" s="14">
        <v>1248</v>
      </c>
      <c r="N430" s="14">
        <v>462.88659999999999</v>
      </c>
      <c r="O430" s="10">
        <f t="shared" si="46"/>
        <v>577682.47679999995</v>
      </c>
      <c r="P430" s="11">
        <v>0</v>
      </c>
      <c r="Q430" s="11">
        <v>0</v>
      </c>
      <c r="R430" s="10">
        <f>IF(COUNTIF($J$2:J430,J430)=1,SUMIFS($O:$O,$J:$J,J430)+SUMIFS($P:$P,$J:$J,J430)+SUMIFS($Q:$Q,$J:$J,J430),"")</f>
        <v>577682.47679999995</v>
      </c>
      <c r="S430" s="10">
        <v>577682.47</v>
      </c>
      <c r="T430" s="11" t="str">
        <f t="shared" si="50"/>
        <v>Check</v>
      </c>
      <c r="U430" s="12">
        <v>46093</v>
      </c>
      <c r="V430" s="10">
        <v>577682.47</v>
      </c>
      <c r="W430" s="10" t="str">
        <f t="shared" si="47"/>
        <v>Not Paid</v>
      </c>
      <c r="X430" t="s">
        <v>438</v>
      </c>
      <c r="Y430" t="s">
        <v>28</v>
      </c>
      <c r="Z430">
        <v>100113</v>
      </c>
      <c r="AA430" t="s">
        <v>449</v>
      </c>
      <c r="AB430" t="s">
        <v>521</v>
      </c>
      <c r="AC430" s="9">
        <f t="shared" si="48"/>
        <v>1</v>
      </c>
      <c r="AD430" s="9" t="str">
        <f t="shared" si="49"/>
        <v>Check</v>
      </c>
      <c r="AE430" s="11">
        <f t="shared" ref="AE430:AE440" si="54">R430-S430</f>
        <v>6.7999999737367034E-3</v>
      </c>
    </row>
    <row r="431" spans="1:31" x14ac:dyDescent="0.3">
      <c r="A431">
        <v>32</v>
      </c>
      <c r="B431">
        <v>4720609</v>
      </c>
      <c r="C431" t="s">
        <v>217</v>
      </c>
      <c r="D431">
        <v>1079286</v>
      </c>
      <c r="E431" t="s">
        <v>629</v>
      </c>
      <c r="F431" t="s">
        <v>20</v>
      </c>
      <c r="G431" t="s">
        <v>2775</v>
      </c>
      <c r="H431" t="s">
        <v>2776</v>
      </c>
      <c r="I431" s="9" t="s">
        <v>3323</v>
      </c>
      <c r="J431" s="9">
        <v>51148049335</v>
      </c>
      <c r="K431" s="14" t="s">
        <v>3168</v>
      </c>
      <c r="L431" s="13" t="s">
        <v>3471</v>
      </c>
      <c r="M431" s="14">
        <v>20000</v>
      </c>
      <c r="N431" s="14">
        <v>2.8500000000000001E-2</v>
      </c>
      <c r="O431" s="10">
        <f t="shared" si="46"/>
        <v>570</v>
      </c>
      <c r="P431" s="11">
        <v>0</v>
      </c>
      <c r="Q431" s="11">
        <v>108.3</v>
      </c>
      <c r="R431" s="10">
        <f>IF(COUNTIF($J$2:J431,J431)=1,SUMIFS($O:$O,$J:$J,J431)+SUMIFS($P:$P,$J:$J,J431)+SUMIFS($Q:$Q,$J:$J,J431),"")</f>
        <v>678.3</v>
      </c>
      <c r="S431" s="10">
        <v>678.3</v>
      </c>
      <c r="T431" s="11" t="str">
        <f t="shared" si="50"/>
        <v>Ok</v>
      </c>
      <c r="U431" s="12">
        <v>45978</v>
      </c>
      <c r="V431" s="10">
        <v>108.3</v>
      </c>
      <c r="W431" s="10" t="str">
        <f t="shared" si="47"/>
        <v>Short Paid</v>
      </c>
      <c r="X431" t="s">
        <v>476</v>
      </c>
      <c r="Y431" t="s">
        <v>28</v>
      </c>
      <c r="Z431">
        <v>100195</v>
      </c>
      <c r="AA431" t="s">
        <v>3070</v>
      </c>
      <c r="AB431" t="s">
        <v>521</v>
      </c>
      <c r="AC431" s="9">
        <f t="shared" si="48"/>
        <v>1</v>
      </c>
      <c r="AD431" s="9" t="str">
        <f t="shared" si="49"/>
        <v>Ok</v>
      </c>
      <c r="AE431" s="11">
        <f t="shared" si="54"/>
        <v>0</v>
      </c>
    </row>
    <row r="432" spans="1:31" x14ac:dyDescent="0.3">
      <c r="A432">
        <v>32</v>
      </c>
      <c r="B432">
        <v>4720888</v>
      </c>
      <c r="C432" t="s">
        <v>217</v>
      </c>
      <c r="D432">
        <v>1079286</v>
      </c>
      <c r="E432" t="s">
        <v>629</v>
      </c>
      <c r="F432" t="s">
        <v>20</v>
      </c>
      <c r="G432" t="s">
        <v>2777</v>
      </c>
      <c r="H432" t="s">
        <v>2778</v>
      </c>
      <c r="I432" s="9" t="s">
        <v>3242</v>
      </c>
      <c r="J432" s="9">
        <v>51148123324</v>
      </c>
      <c r="K432" s="14" t="s">
        <v>3475</v>
      </c>
      <c r="L432" s="13" t="s">
        <v>3474</v>
      </c>
      <c r="M432" s="14">
        <v>577781</v>
      </c>
      <c r="N432" s="14">
        <v>7.889999999999997</v>
      </c>
      <c r="O432" s="10">
        <f t="shared" si="46"/>
        <v>4558692.089999998</v>
      </c>
      <c r="P432" s="11">
        <v>0</v>
      </c>
      <c r="Q432" s="11">
        <v>93.92</v>
      </c>
      <c r="R432" s="10">
        <f>IF(COUNTIF($J$2:J432,J432)=1,SUMIFS($O:$O,$J:$J,J432)+SUMIFS($P:$P,$J:$J,J432)+SUMIFS($Q:$Q,$J:$J,J432),"")</f>
        <v>4558786.0099999979</v>
      </c>
      <c r="S432" s="10">
        <v>5593185.9500000002</v>
      </c>
      <c r="T432" s="11" t="str">
        <f t="shared" si="50"/>
        <v>Check</v>
      </c>
      <c r="U432" s="12">
        <v>45993</v>
      </c>
      <c r="V432" s="10">
        <v>588.26</v>
      </c>
      <c r="W432" s="10" t="str">
        <f t="shared" si="47"/>
        <v>Short Paid</v>
      </c>
      <c r="X432" t="s">
        <v>476</v>
      </c>
      <c r="Y432" t="s">
        <v>28</v>
      </c>
      <c r="Z432">
        <v>100205</v>
      </c>
      <c r="AA432" t="s">
        <v>3075</v>
      </c>
      <c r="AB432" t="s">
        <v>521</v>
      </c>
      <c r="AC432" s="9">
        <f t="shared" si="48"/>
        <v>1</v>
      </c>
      <c r="AD432" s="9" t="str">
        <f t="shared" si="49"/>
        <v>Check</v>
      </c>
      <c r="AE432" s="11">
        <f t="shared" si="54"/>
        <v>-1034399.9400000023</v>
      </c>
    </row>
    <row r="433" spans="1:31" x14ac:dyDescent="0.3">
      <c r="A433">
        <v>32</v>
      </c>
      <c r="B433">
        <v>4721723</v>
      </c>
      <c r="C433" t="s">
        <v>217</v>
      </c>
      <c r="D433">
        <v>1079286</v>
      </c>
      <c r="E433" t="s">
        <v>629</v>
      </c>
      <c r="F433" t="s">
        <v>20</v>
      </c>
      <c r="G433" t="s">
        <v>2779</v>
      </c>
      <c r="H433" t="s">
        <v>2780</v>
      </c>
      <c r="I433" s="9" t="s">
        <v>3344</v>
      </c>
      <c r="J433" s="9">
        <v>51148881671</v>
      </c>
      <c r="K433" s="14" t="s">
        <v>3289</v>
      </c>
      <c r="L433" s="13" t="s">
        <v>3486</v>
      </c>
      <c r="M433" s="14">
        <v>12000</v>
      </c>
      <c r="N433" s="14">
        <v>0.17599999999999999</v>
      </c>
      <c r="O433" s="10">
        <f t="shared" si="46"/>
        <v>2112</v>
      </c>
      <c r="P433" s="11">
        <v>0</v>
      </c>
      <c r="Q433" s="11">
        <v>0</v>
      </c>
      <c r="R433" s="10">
        <f>IF(COUNTIF($J$2:J433,J433)=1,SUMIFS($O:$O,$J:$J,J433)+SUMIFS($P:$P,$J:$J,J433)+SUMIFS($Q:$Q,$J:$J,J433),"")</f>
        <v>2112</v>
      </c>
      <c r="S433" s="10">
        <v>2112</v>
      </c>
      <c r="T433" s="11" t="str">
        <f t="shared" si="50"/>
        <v>Ok</v>
      </c>
      <c r="U433" s="12">
        <v>46056</v>
      </c>
      <c r="V433" s="10">
        <v>2112</v>
      </c>
      <c r="W433" s="10" t="str">
        <f t="shared" si="47"/>
        <v>Not Paid</v>
      </c>
      <c r="X433" t="s">
        <v>476</v>
      </c>
      <c r="Y433" t="s">
        <v>28</v>
      </c>
      <c r="Z433">
        <v>100275</v>
      </c>
      <c r="AA433" t="s">
        <v>492</v>
      </c>
      <c r="AB433" t="s">
        <v>521</v>
      </c>
      <c r="AC433" s="9">
        <f t="shared" si="48"/>
        <v>1</v>
      </c>
      <c r="AD433" s="9" t="str">
        <f t="shared" si="49"/>
        <v>Ok</v>
      </c>
      <c r="AE433" s="11">
        <f t="shared" si="54"/>
        <v>0</v>
      </c>
    </row>
    <row r="434" spans="1:31" x14ac:dyDescent="0.3">
      <c r="A434">
        <v>32</v>
      </c>
      <c r="B434">
        <v>4722836</v>
      </c>
      <c r="C434" t="s">
        <v>217</v>
      </c>
      <c r="D434">
        <v>1079286</v>
      </c>
      <c r="E434" t="s">
        <v>629</v>
      </c>
      <c r="F434" t="s">
        <v>20</v>
      </c>
      <c r="G434" t="s">
        <v>2781</v>
      </c>
      <c r="H434" t="s">
        <v>2782</v>
      </c>
      <c r="I434" s="9" t="s">
        <v>3219</v>
      </c>
      <c r="J434" s="9">
        <v>51148589937</v>
      </c>
      <c r="K434" s="14" t="s">
        <v>3351</v>
      </c>
      <c r="L434" s="13" t="s">
        <v>3482</v>
      </c>
      <c r="M434" s="14">
        <v>24000</v>
      </c>
      <c r="N434" s="14">
        <v>8.3000000000000004E-2</v>
      </c>
      <c r="O434" s="10">
        <f t="shared" si="46"/>
        <v>1992</v>
      </c>
      <c r="P434" s="11">
        <v>0</v>
      </c>
      <c r="Q434" s="11">
        <v>0</v>
      </c>
      <c r="R434" s="10">
        <f>IF(COUNTIF($J$2:J434,J434)=1,SUMIFS($O:$O,$J:$J,J434)+SUMIFS($P:$P,$J:$J,J434)+SUMIFS($Q:$Q,$J:$J,J434),"")</f>
        <v>1992</v>
      </c>
      <c r="S434" s="10">
        <v>1992</v>
      </c>
      <c r="T434" s="11" t="str">
        <f t="shared" si="50"/>
        <v>Ok</v>
      </c>
      <c r="U434" s="12">
        <v>46076</v>
      </c>
      <c r="V434" s="10">
        <v>1992</v>
      </c>
      <c r="W434" s="10" t="str">
        <f t="shared" si="47"/>
        <v>Not Paid</v>
      </c>
      <c r="X434" t="s">
        <v>476</v>
      </c>
      <c r="Y434" t="s">
        <v>28</v>
      </c>
      <c r="Z434">
        <v>100155</v>
      </c>
      <c r="AA434" t="s">
        <v>3072</v>
      </c>
      <c r="AB434" t="s">
        <v>521</v>
      </c>
      <c r="AC434" s="9">
        <f t="shared" si="48"/>
        <v>1</v>
      </c>
      <c r="AD434" s="9" t="str">
        <f t="shared" si="49"/>
        <v>Ok</v>
      </c>
      <c r="AE434" s="11">
        <f t="shared" si="54"/>
        <v>0</v>
      </c>
    </row>
    <row r="435" spans="1:31" x14ac:dyDescent="0.3">
      <c r="A435">
        <v>32</v>
      </c>
      <c r="B435">
        <v>4723114</v>
      </c>
      <c r="C435" t="s">
        <v>217</v>
      </c>
      <c r="D435">
        <v>1079286</v>
      </c>
      <c r="E435" t="s">
        <v>629</v>
      </c>
      <c r="F435" t="s">
        <v>20</v>
      </c>
      <c r="G435" t="s">
        <v>148</v>
      </c>
      <c r="H435" t="s">
        <v>149</v>
      </c>
      <c r="I435" s="9" t="s">
        <v>3257</v>
      </c>
      <c r="J435" s="9">
        <v>51148591506</v>
      </c>
      <c r="K435" s="14" t="s">
        <v>3165</v>
      </c>
      <c r="L435" s="13" t="s">
        <v>4918</v>
      </c>
      <c r="M435" s="14">
        <v>430</v>
      </c>
      <c r="N435" s="14">
        <v>7.6859999999999999</v>
      </c>
      <c r="O435" s="10">
        <f t="shared" si="46"/>
        <v>3304.98</v>
      </c>
      <c r="P435" s="11">
        <v>0</v>
      </c>
      <c r="Q435" s="11">
        <v>0</v>
      </c>
      <c r="R435" s="10">
        <f>IF(COUNTIF($J$2:J435,J435)=1,SUMIFS($O:$O,$J:$J,J435)+SUMIFS($P:$P,$J:$J,J435)+SUMIFS($Q:$Q,$J:$J,J435),"")</f>
        <v>3304.98</v>
      </c>
      <c r="S435">
        <v>3755.98</v>
      </c>
      <c r="T435" s="11" t="str">
        <f t="shared" si="50"/>
        <v>Check</v>
      </c>
      <c r="U435" s="12">
        <v>46085</v>
      </c>
      <c r="V435" s="10">
        <v>451</v>
      </c>
      <c r="W435" s="10" t="str">
        <f t="shared" si="47"/>
        <v>Short Paid</v>
      </c>
      <c r="X435" t="s">
        <v>476</v>
      </c>
      <c r="Y435" t="s">
        <v>28</v>
      </c>
      <c r="Z435">
        <v>100165</v>
      </c>
      <c r="AA435" t="s">
        <v>3100</v>
      </c>
      <c r="AB435" t="s">
        <v>521</v>
      </c>
      <c r="AC435" s="9">
        <f t="shared" si="48"/>
        <v>1</v>
      </c>
      <c r="AD435" s="9" t="str">
        <f t="shared" si="49"/>
        <v>Check</v>
      </c>
      <c r="AE435" s="11">
        <f t="shared" si="54"/>
        <v>-451</v>
      </c>
    </row>
    <row r="436" spans="1:31" x14ac:dyDescent="0.3">
      <c r="A436">
        <v>32</v>
      </c>
      <c r="B436">
        <v>4723392</v>
      </c>
      <c r="C436" t="s">
        <v>217</v>
      </c>
      <c r="D436">
        <v>1079286</v>
      </c>
      <c r="E436" t="s">
        <v>629</v>
      </c>
      <c r="F436" t="s">
        <v>20</v>
      </c>
      <c r="G436" t="s">
        <v>2783</v>
      </c>
      <c r="H436" t="s">
        <v>152</v>
      </c>
      <c r="I436" s="9" t="s">
        <v>3376</v>
      </c>
      <c r="J436" s="9">
        <v>50116536685</v>
      </c>
      <c r="K436" s="14" t="s">
        <v>3165</v>
      </c>
      <c r="L436" s="13" t="s">
        <v>4918</v>
      </c>
      <c r="M436" s="14">
        <v>500</v>
      </c>
      <c r="N436" s="14">
        <v>7.6859999999999999</v>
      </c>
      <c r="O436" s="10">
        <f t="shared" si="46"/>
        <v>3843</v>
      </c>
      <c r="P436" s="11">
        <v>0</v>
      </c>
      <c r="Q436" s="11">
        <v>0</v>
      </c>
      <c r="R436" s="10">
        <f>IF(COUNTIF($J$2:J436,J436)=1,SUMIFS($O:$O,$J:$J,J436)+SUMIFS($P:$P,$J:$J,J436)+SUMIFS($Q:$Q,$J:$J,J436),"")</f>
        <v>3843</v>
      </c>
      <c r="S436">
        <v>7303</v>
      </c>
      <c r="T436" s="11" t="str">
        <f t="shared" si="50"/>
        <v>Check</v>
      </c>
      <c r="U436" s="12">
        <v>46119</v>
      </c>
      <c r="V436" s="10">
        <v>3460</v>
      </c>
      <c r="W436" s="10" t="str">
        <f t="shared" si="47"/>
        <v>Short Paid</v>
      </c>
      <c r="X436" t="s">
        <v>476</v>
      </c>
      <c r="Y436" t="s">
        <v>28</v>
      </c>
      <c r="Z436">
        <v>100195</v>
      </c>
      <c r="AA436" t="s">
        <v>3070</v>
      </c>
      <c r="AB436" t="s">
        <v>521</v>
      </c>
      <c r="AC436" s="9">
        <f t="shared" si="48"/>
        <v>1</v>
      </c>
      <c r="AD436" s="9" t="str">
        <f t="shared" si="49"/>
        <v>Check</v>
      </c>
      <c r="AE436" s="11">
        <f t="shared" si="54"/>
        <v>-3460</v>
      </c>
    </row>
    <row r="437" spans="1:31" x14ac:dyDescent="0.3">
      <c r="A437">
        <v>32</v>
      </c>
      <c r="B437">
        <v>4724505</v>
      </c>
      <c r="C437" t="s">
        <v>217</v>
      </c>
      <c r="D437">
        <v>1079286</v>
      </c>
      <c r="E437" t="s">
        <v>629</v>
      </c>
      <c r="F437" t="s">
        <v>20</v>
      </c>
      <c r="G437" t="s">
        <v>132</v>
      </c>
      <c r="H437" t="s">
        <v>133</v>
      </c>
      <c r="I437" s="9" t="s">
        <v>3350</v>
      </c>
      <c r="J437" s="9">
        <v>51148591281</v>
      </c>
      <c r="K437" s="14" t="s">
        <v>3165</v>
      </c>
      <c r="L437" s="13" t="s">
        <v>4918</v>
      </c>
      <c r="M437" s="14">
        <v>33430</v>
      </c>
      <c r="N437" s="14">
        <v>7.6859999999999999</v>
      </c>
      <c r="O437" s="10">
        <f t="shared" si="46"/>
        <v>256942.98</v>
      </c>
      <c r="P437" s="11">
        <v>0</v>
      </c>
      <c r="Q437" s="11">
        <v>0</v>
      </c>
      <c r="R437" s="10">
        <f>IF(COUNTIF($J$2:J437,J437)=1,SUMIFS($O:$O,$J:$J,J437)+SUMIFS($P:$P,$J:$J,J437)+SUMIFS($Q:$Q,$J:$J,J437),"")</f>
        <v>256942.98</v>
      </c>
      <c r="S437">
        <v>257062.98</v>
      </c>
      <c r="T437" s="11" t="str">
        <f t="shared" si="50"/>
        <v>Check</v>
      </c>
      <c r="U437" s="12">
        <v>46065</v>
      </c>
      <c r="V437" s="10">
        <v>120</v>
      </c>
      <c r="W437" s="10" t="str">
        <f t="shared" si="47"/>
        <v>Short Paid</v>
      </c>
      <c r="X437" t="s">
        <v>476</v>
      </c>
      <c r="Y437" t="s">
        <v>28</v>
      </c>
      <c r="Z437">
        <v>100275</v>
      </c>
      <c r="AA437" t="s">
        <v>492</v>
      </c>
      <c r="AB437" t="s">
        <v>521</v>
      </c>
      <c r="AC437" s="9">
        <f t="shared" si="48"/>
        <v>1</v>
      </c>
      <c r="AD437" s="9" t="str">
        <f t="shared" si="49"/>
        <v>Check</v>
      </c>
      <c r="AE437" s="11">
        <f t="shared" si="54"/>
        <v>-120</v>
      </c>
    </row>
    <row r="438" spans="1:31" x14ac:dyDescent="0.3">
      <c r="A438">
        <v>32</v>
      </c>
      <c r="B438">
        <v>4724784</v>
      </c>
      <c r="C438" t="s">
        <v>217</v>
      </c>
      <c r="D438">
        <v>1079286</v>
      </c>
      <c r="E438" t="s">
        <v>629</v>
      </c>
      <c r="F438" t="s">
        <v>20</v>
      </c>
      <c r="G438" t="s">
        <v>144</v>
      </c>
      <c r="H438" t="s">
        <v>145</v>
      </c>
      <c r="I438" s="9" t="s">
        <v>3267</v>
      </c>
      <c r="J438" s="9">
        <v>51148836780</v>
      </c>
      <c r="K438" s="14" t="s">
        <v>3165</v>
      </c>
      <c r="L438" s="13" t="s">
        <v>4918</v>
      </c>
      <c r="M438" s="14">
        <v>31000</v>
      </c>
      <c r="N438" s="14">
        <v>7.6859999999999999</v>
      </c>
      <c r="O438" s="10">
        <f t="shared" si="46"/>
        <v>238266</v>
      </c>
      <c r="P438" s="11">
        <v>0</v>
      </c>
      <c r="Q438" s="11">
        <v>0</v>
      </c>
      <c r="R438" s="10">
        <f>IF(COUNTIF($J$2:J438,J438)=1,SUMIFS($O:$O,$J:$J,J438)+SUMIFS($P:$P,$J:$J,J438)+SUMIFS($Q:$Q,$J:$J,J438),"")</f>
        <v>238266</v>
      </c>
      <c r="S438">
        <v>238610.4</v>
      </c>
      <c r="T438" s="11" t="str">
        <f t="shared" si="50"/>
        <v>Check</v>
      </c>
      <c r="U438" s="12">
        <v>46092</v>
      </c>
      <c r="V438" s="10">
        <v>344.4</v>
      </c>
      <c r="W438" s="10" t="str">
        <f t="shared" si="47"/>
        <v>Short Paid</v>
      </c>
      <c r="X438" t="s">
        <v>476</v>
      </c>
      <c r="Y438" t="s">
        <v>28</v>
      </c>
      <c r="Z438">
        <v>100285</v>
      </c>
      <c r="AA438" t="s">
        <v>501</v>
      </c>
      <c r="AB438" t="s">
        <v>521</v>
      </c>
      <c r="AC438" s="9">
        <f t="shared" si="48"/>
        <v>1</v>
      </c>
      <c r="AD438" s="9" t="str">
        <f t="shared" si="49"/>
        <v>Check</v>
      </c>
      <c r="AE438" s="11">
        <f t="shared" si="54"/>
        <v>-344.39999999999418</v>
      </c>
    </row>
    <row r="439" spans="1:31" x14ac:dyDescent="0.3">
      <c r="A439">
        <v>32</v>
      </c>
      <c r="B439">
        <v>4725062</v>
      </c>
      <c r="C439" t="s">
        <v>217</v>
      </c>
      <c r="D439">
        <v>1079286</v>
      </c>
      <c r="E439" t="s">
        <v>629</v>
      </c>
      <c r="F439" t="s">
        <v>20</v>
      </c>
      <c r="G439" t="s">
        <v>153</v>
      </c>
      <c r="H439" t="s">
        <v>154</v>
      </c>
      <c r="I439" s="9" t="s">
        <v>3387</v>
      </c>
      <c r="J439" s="9">
        <v>51148846329</v>
      </c>
      <c r="K439" s="14" t="s">
        <v>3165</v>
      </c>
      <c r="L439" s="13" t="s">
        <v>4944</v>
      </c>
      <c r="M439" s="14">
        <v>1000</v>
      </c>
      <c r="N439" s="14">
        <v>4.399</v>
      </c>
      <c r="O439" s="10">
        <f t="shared" si="46"/>
        <v>4399</v>
      </c>
      <c r="P439" s="11">
        <v>0</v>
      </c>
      <c r="Q439" s="11">
        <v>7.89</v>
      </c>
      <c r="R439" s="10">
        <f>IF(COUNTIF($J$2:J439,J439)=1,SUMIFS($O:$O,$J:$J,J439)+SUMIFS($P:$P,$J:$J,J439)+SUMIFS($Q:$Q,$J:$J,J439),"")</f>
        <v>4406.8900000000003</v>
      </c>
      <c r="S439">
        <v>4448.3900000000003</v>
      </c>
      <c r="T439" s="11" t="str">
        <f t="shared" si="50"/>
        <v>Check</v>
      </c>
      <c r="U439" s="12">
        <v>45931</v>
      </c>
      <c r="V439" s="10">
        <v>49.39</v>
      </c>
      <c r="W439" s="10" t="str">
        <f t="shared" si="47"/>
        <v>Short Paid</v>
      </c>
      <c r="X439" t="s">
        <v>476</v>
      </c>
      <c r="Y439" t="s">
        <v>28</v>
      </c>
      <c r="Z439">
        <v>100115</v>
      </c>
      <c r="AA439" t="s">
        <v>504</v>
      </c>
      <c r="AB439" t="s">
        <v>521</v>
      </c>
      <c r="AC439" s="9">
        <f t="shared" si="48"/>
        <v>1</v>
      </c>
      <c r="AD439" s="9" t="str">
        <f t="shared" si="49"/>
        <v>Check</v>
      </c>
      <c r="AE439" s="11">
        <f t="shared" si="54"/>
        <v>-41.5</v>
      </c>
    </row>
    <row r="440" spans="1:31" x14ac:dyDescent="0.3">
      <c r="A440">
        <v>32</v>
      </c>
      <c r="B440">
        <v>4725619</v>
      </c>
      <c r="C440" t="s">
        <v>217</v>
      </c>
      <c r="D440">
        <v>1079286</v>
      </c>
      <c r="E440" t="s">
        <v>629</v>
      </c>
      <c r="F440" t="s">
        <v>20</v>
      </c>
      <c r="G440" t="s">
        <v>2784</v>
      </c>
      <c r="H440" t="s">
        <v>2785</v>
      </c>
      <c r="I440" s="9" t="s">
        <v>3484</v>
      </c>
      <c r="J440" s="9">
        <v>51148647097</v>
      </c>
      <c r="K440" s="14" t="s">
        <v>3375</v>
      </c>
      <c r="L440" s="13" t="s">
        <v>3481</v>
      </c>
      <c r="M440" s="14">
        <v>100000</v>
      </c>
      <c r="N440" s="14">
        <v>0.10469999999999999</v>
      </c>
      <c r="O440" s="10">
        <f t="shared" si="46"/>
        <v>10469.999999999998</v>
      </c>
      <c r="P440" s="11">
        <v>0</v>
      </c>
      <c r="Q440" s="11">
        <v>76.849999999999994</v>
      </c>
      <c r="R440" s="10">
        <f>IF(COUNTIF($J$2:J440,J440)=1,SUMIFS($O:$O,$J:$J,J440)+SUMIFS($P:$P,$J:$J,J440)+SUMIFS($Q:$Q,$J:$J,J440),"")</f>
        <v>10546.849999999999</v>
      </c>
      <c r="S440" s="10">
        <v>14720.51</v>
      </c>
      <c r="T440" s="11" t="str">
        <f t="shared" si="50"/>
        <v>Check</v>
      </c>
      <c r="U440" s="12">
        <v>45931</v>
      </c>
      <c r="V440" s="10">
        <v>481.31</v>
      </c>
      <c r="W440" s="10" t="str">
        <f t="shared" si="47"/>
        <v>Short Paid</v>
      </c>
      <c r="X440" t="s">
        <v>476</v>
      </c>
      <c r="Y440" t="s">
        <v>28</v>
      </c>
      <c r="Z440">
        <v>100155</v>
      </c>
      <c r="AA440" t="s">
        <v>3072</v>
      </c>
      <c r="AB440" t="s">
        <v>521</v>
      </c>
      <c r="AC440" s="9">
        <f t="shared" si="48"/>
        <v>1</v>
      </c>
      <c r="AD440" s="9" t="str">
        <f t="shared" si="49"/>
        <v>Check</v>
      </c>
      <c r="AE440" s="11">
        <f t="shared" si="54"/>
        <v>-4173.6600000000017</v>
      </c>
    </row>
    <row r="441" spans="1:31" x14ac:dyDescent="0.3">
      <c r="A441">
        <v>30</v>
      </c>
      <c r="B441">
        <v>4738141</v>
      </c>
      <c r="C441" t="s">
        <v>160</v>
      </c>
      <c r="D441">
        <v>1462348</v>
      </c>
      <c r="E441" t="s">
        <v>394</v>
      </c>
      <c r="F441" t="s">
        <v>25</v>
      </c>
      <c r="G441" t="s">
        <v>395</v>
      </c>
      <c r="H441" t="s">
        <v>396</v>
      </c>
      <c r="I441" s="9" t="s">
        <v>3581</v>
      </c>
      <c r="J441" s="9">
        <v>51148908592</v>
      </c>
      <c r="K441" s="14" t="s">
        <v>3165</v>
      </c>
      <c r="L441" s="13" t="s">
        <v>4960</v>
      </c>
      <c r="M441" s="14">
        <v>298</v>
      </c>
      <c r="N441" s="14">
        <v>4.0999999999999996</v>
      </c>
      <c r="O441" s="10">
        <f t="shared" si="46"/>
        <v>1221.8</v>
      </c>
      <c r="P441" s="11">
        <v>0</v>
      </c>
      <c r="Q441" s="11">
        <v>0</v>
      </c>
      <c r="R441" s="10">
        <f>IF(COUNTIF($J$2:J441,J441)=1,SUMIFS($O:$O,$J:$J,J441)+SUMIFS($P:$P,$J:$J,J441)+SUMIFS($Q:$Q,$J:$J,J441),"")</f>
        <v>1221.8</v>
      </c>
      <c r="S441">
        <v>3972.08</v>
      </c>
      <c r="T441" s="11" t="str">
        <f t="shared" si="50"/>
        <v>Check</v>
      </c>
      <c r="U441" s="12">
        <v>46112</v>
      </c>
      <c r="V441" s="10">
        <v>2670.08</v>
      </c>
      <c r="W441" s="10" t="str">
        <f t="shared" si="47"/>
        <v>Short Paid</v>
      </c>
      <c r="X441" t="s">
        <v>455</v>
      </c>
      <c r="Y441" t="s">
        <v>28</v>
      </c>
      <c r="Z441">
        <v>100240</v>
      </c>
      <c r="AA441" t="s">
        <v>459</v>
      </c>
      <c r="AB441" t="s">
        <v>525</v>
      </c>
      <c r="AC441" s="9">
        <f t="shared" si="48"/>
        <v>1</v>
      </c>
      <c r="AD441" s="9" t="str">
        <f t="shared" si="49"/>
        <v>Check</v>
      </c>
      <c r="AE441" s="11">
        <f t="shared" ref="AE441:AE444" si="55">R441-S441</f>
        <v>-2750.2799999999997</v>
      </c>
    </row>
    <row r="442" spans="1:31" x14ac:dyDescent="0.3">
      <c r="A442">
        <v>30</v>
      </c>
      <c r="B442">
        <v>4739254</v>
      </c>
      <c r="C442" t="s">
        <v>239</v>
      </c>
      <c r="D442">
        <v>1571373</v>
      </c>
      <c r="E442" t="s">
        <v>604</v>
      </c>
      <c r="F442" t="s">
        <v>20</v>
      </c>
      <c r="G442" t="s">
        <v>162</v>
      </c>
      <c r="H442" t="s">
        <v>163</v>
      </c>
      <c r="I442" s="9" t="s">
        <v>3441</v>
      </c>
      <c r="J442" s="9">
        <v>51150017498</v>
      </c>
      <c r="K442" s="14" t="s">
        <v>3165</v>
      </c>
      <c r="L442" s="13" t="s">
        <v>4961</v>
      </c>
      <c r="M442" s="14">
        <v>70</v>
      </c>
      <c r="N442" s="14">
        <v>63.316000000000003</v>
      </c>
      <c r="O442" s="10">
        <f t="shared" si="46"/>
        <v>4432.12</v>
      </c>
      <c r="P442" s="11">
        <v>0</v>
      </c>
      <c r="Q442" s="11">
        <v>1753.65</v>
      </c>
      <c r="R442" s="10">
        <f>IF(COUNTIF($J$2:J442,J442)=1,SUMIFS($O:$O,$J:$J,J442)+SUMIFS($P:$P,$J:$J,J442)+SUMIFS($Q:$Q,$J:$J,J442),"")</f>
        <v>6185.77</v>
      </c>
      <c r="S442">
        <v>22729.57</v>
      </c>
      <c r="T442" s="11" t="str">
        <f t="shared" si="50"/>
        <v>Check</v>
      </c>
      <c r="U442" s="12">
        <v>46085</v>
      </c>
      <c r="V442" s="10">
        <v>18297.45</v>
      </c>
      <c r="W442" s="10" t="str">
        <f t="shared" si="47"/>
        <v>Short Paid</v>
      </c>
      <c r="X442" t="s">
        <v>476</v>
      </c>
      <c r="Y442" t="s">
        <v>28</v>
      </c>
      <c r="Z442">
        <v>100125</v>
      </c>
      <c r="AA442" t="s">
        <v>477</v>
      </c>
      <c r="AB442" t="s">
        <v>521</v>
      </c>
      <c r="AC442" s="9">
        <f t="shared" si="48"/>
        <v>1</v>
      </c>
      <c r="AD442" s="9" t="str">
        <f t="shared" si="49"/>
        <v>Check</v>
      </c>
      <c r="AE442" s="11">
        <f t="shared" si="55"/>
        <v>-16543.8</v>
      </c>
    </row>
    <row r="443" spans="1:31" x14ac:dyDescent="0.3">
      <c r="A443">
        <v>30</v>
      </c>
      <c r="B443">
        <v>4739811</v>
      </c>
      <c r="C443" t="s">
        <v>239</v>
      </c>
      <c r="D443">
        <v>1037347</v>
      </c>
      <c r="E443" t="s">
        <v>291</v>
      </c>
      <c r="F443" t="s">
        <v>18</v>
      </c>
      <c r="G443" t="s">
        <v>2800</v>
      </c>
      <c r="H443" t="s">
        <v>2801</v>
      </c>
      <c r="I443" s="9" t="s">
        <v>3397</v>
      </c>
      <c r="J443" s="9">
        <v>51150017646</v>
      </c>
      <c r="K443" s="14" t="s">
        <v>3177</v>
      </c>
      <c r="L443" s="13" t="s">
        <v>3502</v>
      </c>
      <c r="M443" s="14">
        <v>18000</v>
      </c>
      <c r="N443" s="14">
        <v>9.6600000000000002E-3</v>
      </c>
      <c r="O443" s="10">
        <f t="shared" si="46"/>
        <v>173.88</v>
      </c>
      <c r="P443" s="11">
        <v>0</v>
      </c>
      <c r="Q443" s="11">
        <v>33.04</v>
      </c>
      <c r="R443" s="10">
        <f>IF(COUNTIF($J$2:J443,J443)=1,SUMIFS($O:$O,$J:$J,J443)+SUMIFS($P:$P,$J:$J,J443)+SUMIFS($Q:$Q,$J:$J,J443),"")</f>
        <v>206.92</v>
      </c>
      <c r="S443" s="10">
        <v>206.92</v>
      </c>
      <c r="T443" s="11" t="str">
        <f t="shared" si="50"/>
        <v>Ok</v>
      </c>
      <c r="U443" s="12">
        <v>46099</v>
      </c>
      <c r="V443" s="10">
        <v>206.92</v>
      </c>
      <c r="W443" s="10" t="str">
        <f t="shared" si="47"/>
        <v>Not Paid</v>
      </c>
      <c r="X443" t="s">
        <v>476</v>
      </c>
      <c r="Y443" t="s">
        <v>28</v>
      </c>
      <c r="Z443">
        <v>100165</v>
      </c>
      <c r="AA443" t="s">
        <v>3100</v>
      </c>
      <c r="AB443" t="s">
        <v>523</v>
      </c>
      <c r="AC443" s="9">
        <f t="shared" si="48"/>
        <v>1</v>
      </c>
      <c r="AD443" s="9" t="str">
        <f t="shared" si="49"/>
        <v>Ok</v>
      </c>
      <c r="AE443" s="11">
        <f t="shared" si="55"/>
        <v>0</v>
      </c>
    </row>
    <row r="444" spans="1:31" x14ac:dyDescent="0.3">
      <c r="A444">
        <v>30</v>
      </c>
      <c r="B444">
        <v>4759569</v>
      </c>
      <c r="C444" t="s">
        <v>56</v>
      </c>
      <c r="D444">
        <v>1588891</v>
      </c>
      <c r="E444" t="s">
        <v>61</v>
      </c>
      <c r="F444" t="s">
        <v>18</v>
      </c>
      <c r="G444" t="s">
        <v>294</v>
      </c>
      <c r="H444" t="s">
        <v>295</v>
      </c>
      <c r="I444" s="9" t="s">
        <v>3316</v>
      </c>
      <c r="J444" s="9">
        <v>51154159695</v>
      </c>
      <c r="K444" s="14" t="s">
        <v>3165</v>
      </c>
      <c r="L444" s="13" t="s">
        <v>4919</v>
      </c>
      <c r="M444" s="14">
        <v>999</v>
      </c>
      <c r="N444" s="14">
        <v>2.4456000000000002</v>
      </c>
      <c r="O444" s="10">
        <f t="shared" si="46"/>
        <v>2443.1544000000004</v>
      </c>
      <c r="P444" s="11">
        <v>0</v>
      </c>
      <c r="Q444" s="11">
        <v>0</v>
      </c>
      <c r="R444" s="10">
        <f>IF(COUNTIF($J$2:J444,J444)=1,SUMIFS($O:$O,$J:$J,J444)+SUMIFS($P:$P,$J:$J,J444)+SUMIFS($Q:$Q,$J:$J,J444),"")</f>
        <v>2443.1544000000004</v>
      </c>
      <c r="S444">
        <v>56549.65</v>
      </c>
      <c r="T444" s="11" t="str">
        <f t="shared" si="50"/>
        <v>Check</v>
      </c>
      <c r="U444" s="12">
        <v>45995</v>
      </c>
      <c r="V444" s="10">
        <v>179.86</v>
      </c>
      <c r="W444" s="10" t="str">
        <f t="shared" si="47"/>
        <v>Short Paid</v>
      </c>
      <c r="X444" t="s">
        <v>438</v>
      </c>
      <c r="Y444" t="s">
        <v>28</v>
      </c>
      <c r="Z444">
        <v>100193</v>
      </c>
      <c r="AA444" t="s">
        <v>442</v>
      </c>
      <c r="AB444" t="s">
        <v>523</v>
      </c>
      <c r="AC444" s="9">
        <f t="shared" si="48"/>
        <v>1</v>
      </c>
      <c r="AD444" s="9" t="str">
        <f t="shared" si="49"/>
        <v>Check</v>
      </c>
      <c r="AE444" s="11">
        <f t="shared" si="55"/>
        <v>-54106.495600000002</v>
      </c>
    </row>
    <row r="445" spans="1:31" x14ac:dyDescent="0.3">
      <c r="A445">
        <v>24</v>
      </c>
      <c r="B445">
        <v>4753447</v>
      </c>
      <c r="C445" t="s">
        <v>240</v>
      </c>
      <c r="D445">
        <v>1909226</v>
      </c>
      <c r="E445" t="s">
        <v>713</v>
      </c>
      <c r="F445" t="s">
        <v>24</v>
      </c>
      <c r="G445" t="s">
        <v>165</v>
      </c>
      <c r="H445" t="s">
        <v>166</v>
      </c>
      <c r="I445" s="9" t="s">
        <v>3254</v>
      </c>
      <c r="J445" s="9">
        <v>51150684377</v>
      </c>
      <c r="K445" s="14" t="s">
        <v>3165</v>
      </c>
      <c r="L445" s="13" t="s">
        <v>4965</v>
      </c>
      <c r="M445" s="14">
        <v>1000</v>
      </c>
      <c r="N445" s="14">
        <v>4</v>
      </c>
      <c r="O445" s="10">
        <f t="shared" si="46"/>
        <v>4000</v>
      </c>
      <c r="P445" s="11">
        <v>0</v>
      </c>
      <c r="Q445" s="11">
        <v>1609.4</v>
      </c>
      <c r="R445" s="10">
        <f>IF(COUNTIF($J$2:J445,J445)=1,SUMIFS($O:$O,$J:$J,J445)+SUMIFS($P:$P,$J:$J,J445)+SUMIFS($Q:$Q,$J:$J,J445),"")</f>
        <v>5609.4</v>
      </c>
      <c r="S445">
        <v>14090.15</v>
      </c>
      <c r="T445" s="11" t="str">
        <f t="shared" si="50"/>
        <v>Check</v>
      </c>
      <c r="U445" s="12">
        <v>46029</v>
      </c>
      <c r="V445" s="10">
        <v>8090.15</v>
      </c>
      <c r="W445" s="10" t="str">
        <f t="shared" si="47"/>
        <v>Short Paid</v>
      </c>
      <c r="X445" t="s">
        <v>468</v>
      </c>
      <c r="Y445" t="s">
        <v>40</v>
      </c>
      <c r="Z445">
        <v>100146</v>
      </c>
      <c r="AA445" t="s">
        <v>3145</v>
      </c>
      <c r="AB445" t="s">
        <v>522</v>
      </c>
      <c r="AC445" s="9">
        <f t="shared" si="48"/>
        <v>1</v>
      </c>
      <c r="AD445" s="9" t="str">
        <f t="shared" si="49"/>
        <v>Check</v>
      </c>
      <c r="AE445" s="11">
        <f t="shared" ref="AE445:AE458" si="56">R445-S445</f>
        <v>-8480.75</v>
      </c>
    </row>
    <row r="446" spans="1:31" x14ac:dyDescent="0.3">
      <c r="A446">
        <v>24</v>
      </c>
      <c r="B446">
        <v>4754004</v>
      </c>
      <c r="C446" t="s">
        <v>160</v>
      </c>
      <c r="D446">
        <v>1963277</v>
      </c>
      <c r="E446" t="s">
        <v>250</v>
      </c>
      <c r="F446" t="s">
        <v>18</v>
      </c>
      <c r="G446" t="s">
        <v>158</v>
      </c>
      <c r="H446" t="s">
        <v>159</v>
      </c>
      <c r="I446" s="9" t="s">
        <v>3236</v>
      </c>
      <c r="J446" s="9">
        <v>51150555175</v>
      </c>
      <c r="K446" s="14" t="s">
        <v>3165</v>
      </c>
      <c r="L446" s="13" t="s">
        <v>4963</v>
      </c>
      <c r="M446" s="14">
        <v>250</v>
      </c>
      <c r="N446" s="14">
        <v>2.94</v>
      </c>
      <c r="O446" s="10">
        <f t="shared" si="46"/>
        <v>735</v>
      </c>
      <c r="P446" s="11">
        <v>0</v>
      </c>
      <c r="Q446" s="11">
        <v>0</v>
      </c>
      <c r="R446" s="10">
        <f>IF(COUNTIF($J$2:J446,J446)=1,SUMIFS($O:$O,$J:$J,J446)+SUMIFS($P:$P,$J:$J,J446)+SUMIFS($Q:$Q,$J:$J,J446),"")</f>
        <v>735</v>
      </c>
      <c r="S446">
        <v>2046.66</v>
      </c>
      <c r="T446" s="11" t="str">
        <f t="shared" si="50"/>
        <v>Check</v>
      </c>
      <c r="U446" s="12">
        <v>46051</v>
      </c>
      <c r="V446" s="10">
        <v>155.80000000000001</v>
      </c>
      <c r="W446" s="10" t="str">
        <f t="shared" si="47"/>
        <v>Short Paid</v>
      </c>
      <c r="X446" t="s">
        <v>474</v>
      </c>
      <c r="Y446" t="s">
        <v>28</v>
      </c>
      <c r="Z446">
        <v>100199</v>
      </c>
      <c r="AA446" t="s">
        <v>481</v>
      </c>
      <c r="AB446" t="s">
        <v>523</v>
      </c>
      <c r="AC446" s="9">
        <f t="shared" si="48"/>
        <v>1</v>
      </c>
      <c r="AD446" s="9" t="str">
        <f t="shared" si="49"/>
        <v>Check</v>
      </c>
      <c r="AE446" s="11">
        <f t="shared" si="56"/>
        <v>-1311.66</v>
      </c>
    </row>
    <row r="447" spans="1:31" x14ac:dyDescent="0.3">
      <c r="A447">
        <v>24</v>
      </c>
      <c r="B447">
        <v>4754560</v>
      </c>
      <c r="C447" t="s">
        <v>160</v>
      </c>
      <c r="D447">
        <v>1963277</v>
      </c>
      <c r="E447" t="s">
        <v>250</v>
      </c>
      <c r="F447" t="s">
        <v>18</v>
      </c>
      <c r="G447" t="s">
        <v>329</v>
      </c>
      <c r="H447" t="s">
        <v>330</v>
      </c>
      <c r="I447" s="9" t="s">
        <v>3275</v>
      </c>
      <c r="J447" s="9">
        <v>51150573683</v>
      </c>
      <c r="K447" s="14" t="s">
        <v>3165</v>
      </c>
      <c r="L447" s="13" t="s">
        <v>4922</v>
      </c>
      <c r="M447" s="14">
        <v>495</v>
      </c>
      <c r="N447" s="14">
        <v>0.39</v>
      </c>
      <c r="O447" s="10">
        <f t="shared" si="46"/>
        <v>193.05</v>
      </c>
      <c r="P447" s="11">
        <v>1206.3999999999999</v>
      </c>
      <c r="Q447" s="11">
        <v>0</v>
      </c>
      <c r="R447" s="10">
        <f>IF(COUNTIF($J$2:J447,J447)=1,SUMIFS($O:$O,$J:$J,J447)+SUMIFS($P:$P,$J:$J,J447)+SUMIFS($Q:$Q,$J:$J,J447),"")</f>
        <v>1399.4499999999998</v>
      </c>
      <c r="S447">
        <v>10679.449999999999</v>
      </c>
      <c r="T447" s="11" t="str">
        <f t="shared" si="50"/>
        <v>Check</v>
      </c>
      <c r="U447" s="12">
        <v>46048</v>
      </c>
      <c r="V447" s="10">
        <v>133.65</v>
      </c>
      <c r="W447" s="10" t="str">
        <f t="shared" si="47"/>
        <v>Short Paid</v>
      </c>
      <c r="X447" t="s">
        <v>474</v>
      </c>
      <c r="Y447" t="s">
        <v>28</v>
      </c>
      <c r="Z447">
        <v>100239</v>
      </c>
      <c r="AA447" t="s">
        <v>482</v>
      </c>
      <c r="AB447" t="s">
        <v>523</v>
      </c>
      <c r="AC447" s="9">
        <f t="shared" si="48"/>
        <v>1</v>
      </c>
      <c r="AD447" s="9" t="str">
        <f t="shared" si="49"/>
        <v>Check</v>
      </c>
      <c r="AE447" s="11">
        <f t="shared" si="56"/>
        <v>-9280</v>
      </c>
    </row>
    <row r="448" spans="1:31" x14ac:dyDescent="0.3">
      <c r="A448">
        <v>24</v>
      </c>
      <c r="B448">
        <v>4754838</v>
      </c>
      <c r="C448" t="s">
        <v>160</v>
      </c>
      <c r="D448">
        <v>1963277</v>
      </c>
      <c r="E448" t="s">
        <v>250</v>
      </c>
      <c r="F448" t="s">
        <v>18</v>
      </c>
      <c r="G448" t="s">
        <v>337</v>
      </c>
      <c r="H448" t="s">
        <v>338</v>
      </c>
      <c r="I448" s="9" t="s">
        <v>3277</v>
      </c>
      <c r="J448" s="9">
        <v>51151117622</v>
      </c>
      <c r="K448" s="14" t="s">
        <v>3165</v>
      </c>
      <c r="L448" s="13" t="s">
        <v>4921</v>
      </c>
      <c r="M448" s="14">
        <v>3000</v>
      </c>
      <c r="N448" s="14">
        <v>0.4</v>
      </c>
      <c r="O448" s="10">
        <f t="shared" si="46"/>
        <v>1200</v>
      </c>
      <c r="P448" s="11">
        <v>0</v>
      </c>
      <c r="Q448" s="11">
        <v>0</v>
      </c>
      <c r="R448" s="10">
        <f>IF(COUNTIF($J$2:J448,J448)=1,SUMIFS($O:$O,$J:$J,J448)+SUMIFS($P:$P,$J:$J,J448)+SUMIFS($Q:$Q,$J:$J,J448),"")</f>
        <v>1200</v>
      </c>
      <c r="S448">
        <v>3763.5</v>
      </c>
      <c r="T448" s="11" t="str">
        <f t="shared" si="50"/>
        <v>Check</v>
      </c>
      <c r="U448" s="12">
        <v>46048</v>
      </c>
      <c r="V448" s="10">
        <v>839.48</v>
      </c>
      <c r="W448" s="10" t="str">
        <f t="shared" si="47"/>
        <v>Short Paid</v>
      </c>
      <c r="X448" t="s">
        <v>474</v>
      </c>
      <c r="Y448" t="s">
        <v>28</v>
      </c>
      <c r="Z448">
        <v>100249</v>
      </c>
      <c r="AA448" t="s">
        <v>484</v>
      </c>
      <c r="AB448" t="s">
        <v>523</v>
      </c>
      <c r="AC448" s="9">
        <f t="shared" si="48"/>
        <v>1</v>
      </c>
      <c r="AD448" s="9" t="str">
        <f t="shared" si="49"/>
        <v>Check</v>
      </c>
      <c r="AE448" s="11">
        <f t="shared" si="56"/>
        <v>-2563.5</v>
      </c>
    </row>
    <row r="449" spans="1:31" x14ac:dyDescent="0.3">
      <c r="A449">
        <v>24</v>
      </c>
      <c r="B449">
        <v>4755117</v>
      </c>
      <c r="C449" t="s">
        <v>160</v>
      </c>
      <c r="D449">
        <v>1963277</v>
      </c>
      <c r="E449" t="s">
        <v>250</v>
      </c>
      <c r="F449" t="s">
        <v>18</v>
      </c>
      <c r="G449" t="s">
        <v>331</v>
      </c>
      <c r="H449" t="s">
        <v>332</v>
      </c>
      <c r="I449" s="9" t="s">
        <v>3425</v>
      </c>
      <c r="J449" s="9">
        <v>51150748731</v>
      </c>
      <c r="K449" s="14" t="s">
        <v>3165</v>
      </c>
      <c r="L449" s="13" t="s">
        <v>4922</v>
      </c>
      <c r="M449" s="14">
        <v>495</v>
      </c>
      <c r="N449" s="14">
        <v>0.39</v>
      </c>
      <c r="O449" s="10">
        <f t="shared" si="46"/>
        <v>193.05</v>
      </c>
      <c r="P449" s="11">
        <v>0</v>
      </c>
      <c r="Q449" s="11">
        <v>0</v>
      </c>
      <c r="R449" s="10">
        <f>IF(COUNTIF($J$2:J449,J449)=1,SUMIFS($O:$O,$J:$J,J449)+SUMIFS($P:$P,$J:$J,J449)+SUMIFS($Q:$Q,$J:$J,J449),"")</f>
        <v>193.05</v>
      </c>
      <c r="S449">
        <v>29989.18</v>
      </c>
      <c r="T449" s="11" t="str">
        <f t="shared" si="50"/>
        <v>Check</v>
      </c>
      <c r="U449" s="12">
        <v>46048</v>
      </c>
      <c r="V449" s="10">
        <v>113.65</v>
      </c>
      <c r="W449" s="10" t="str">
        <f t="shared" si="47"/>
        <v>Short Paid</v>
      </c>
      <c r="X449" t="s">
        <v>474</v>
      </c>
      <c r="Y449" t="s">
        <v>28</v>
      </c>
      <c r="Z449">
        <v>100279</v>
      </c>
      <c r="AA449" t="s">
        <v>485</v>
      </c>
      <c r="AB449" t="s">
        <v>523</v>
      </c>
      <c r="AC449" s="9">
        <f t="shared" si="48"/>
        <v>1</v>
      </c>
      <c r="AD449" s="9" t="str">
        <f t="shared" si="49"/>
        <v>Check</v>
      </c>
      <c r="AE449" s="11">
        <f t="shared" si="56"/>
        <v>-29796.13</v>
      </c>
    </row>
    <row r="450" spans="1:31" x14ac:dyDescent="0.3">
      <c r="A450">
        <v>24</v>
      </c>
      <c r="B450">
        <v>4755395</v>
      </c>
      <c r="C450" t="s">
        <v>160</v>
      </c>
      <c r="D450">
        <v>1963277</v>
      </c>
      <c r="E450" t="s">
        <v>250</v>
      </c>
      <c r="F450" t="s">
        <v>18</v>
      </c>
      <c r="G450" t="s">
        <v>333</v>
      </c>
      <c r="H450" t="s">
        <v>334</v>
      </c>
      <c r="I450" s="9" t="s">
        <v>3551</v>
      </c>
      <c r="J450" s="9">
        <v>51150719700</v>
      </c>
      <c r="K450" s="14" t="s">
        <v>3165</v>
      </c>
      <c r="L450" s="13" t="s">
        <v>4924</v>
      </c>
      <c r="M450" s="14">
        <v>2052</v>
      </c>
      <c r="N450" s="14">
        <v>0.56000000000000005</v>
      </c>
      <c r="O450" s="10">
        <f t="shared" ref="O450:O513" si="57">M450*N450</f>
        <v>1149.1200000000001</v>
      </c>
      <c r="P450" s="11">
        <v>0</v>
      </c>
      <c r="Q450" s="11">
        <v>0</v>
      </c>
      <c r="R450" s="10">
        <f>IF(COUNTIF($J$2:J450,J450)=1,SUMIFS($O:$O,$J:$J,J450)+SUMIFS($P:$P,$J:$J,J450)+SUMIFS($Q:$Q,$J:$J,J450),"")</f>
        <v>1149.1200000000001</v>
      </c>
      <c r="S450">
        <v>10021.48</v>
      </c>
      <c r="T450" s="11" t="str">
        <f t="shared" si="50"/>
        <v>Check</v>
      </c>
      <c r="U450" s="12">
        <v>46048</v>
      </c>
      <c r="V450" s="10">
        <v>572.75</v>
      </c>
      <c r="W450" s="10" t="str">
        <f t="shared" ref="W450:W513" si="58">IF(OR(S450="",V450=""),"N/A",IF(S450&lt;&gt;V450,"Short Paid","Not Paid"))</f>
        <v>Short Paid</v>
      </c>
      <c r="X450" t="s">
        <v>474</v>
      </c>
      <c r="Y450" t="s">
        <v>28</v>
      </c>
      <c r="Z450">
        <v>100289</v>
      </c>
      <c r="AA450" t="s">
        <v>475</v>
      </c>
      <c r="AB450" t="s">
        <v>523</v>
      </c>
      <c r="AC450" s="9">
        <f t="shared" ref="AC450:AC513" si="59">COUNTIF(J:J,J450)</f>
        <v>1</v>
      </c>
      <c r="AD450" s="9" t="str">
        <f t="shared" ref="AD450:AD513" si="60">IF(AND(R450="",S450=""),"N/A",IF(R450=S450,"Ok","Check"))</f>
        <v>Check</v>
      </c>
      <c r="AE450" s="11">
        <f t="shared" si="56"/>
        <v>-8872.3599999999988</v>
      </c>
    </row>
    <row r="451" spans="1:31" x14ac:dyDescent="0.3">
      <c r="A451">
        <v>24</v>
      </c>
      <c r="B451">
        <v>4755673</v>
      </c>
      <c r="C451" t="s">
        <v>160</v>
      </c>
      <c r="D451">
        <v>1963277</v>
      </c>
      <c r="E451" t="s">
        <v>250</v>
      </c>
      <c r="F451" t="s">
        <v>18</v>
      </c>
      <c r="G451" t="s">
        <v>335</v>
      </c>
      <c r="H451" t="s">
        <v>336</v>
      </c>
      <c r="I451" s="9" t="s">
        <v>3416</v>
      </c>
      <c r="J451" s="9">
        <v>51150621609</v>
      </c>
      <c r="K451" s="14" t="s">
        <v>3165</v>
      </c>
      <c r="L451" s="13" t="s">
        <v>4922</v>
      </c>
      <c r="M451" s="14">
        <v>495</v>
      </c>
      <c r="N451" s="14">
        <v>0.39</v>
      </c>
      <c r="O451" s="10">
        <f t="shared" si="57"/>
        <v>193.05</v>
      </c>
      <c r="P451" s="11">
        <v>0</v>
      </c>
      <c r="Q451" s="11">
        <v>0</v>
      </c>
      <c r="R451" s="10">
        <f>IF(COUNTIF($J$2:J451,J451)=1,SUMIFS($O:$O,$J:$J,J451)+SUMIFS($P:$P,$J:$J,J451)+SUMIFS($Q:$Q,$J:$J,J451),"")</f>
        <v>193.05</v>
      </c>
      <c r="S451">
        <v>3920.8500000000004</v>
      </c>
      <c r="T451" s="11" t="str">
        <f t="shared" ref="T451:T514" si="61">IFERROR(INDEX(AD:AD,MATCH(J451,J:J,0)),"")</f>
        <v>Check</v>
      </c>
      <c r="U451" s="12">
        <v>46048</v>
      </c>
      <c r="V451" s="10">
        <v>133.65</v>
      </c>
      <c r="W451" s="10" t="str">
        <f t="shared" si="58"/>
        <v>Short Paid</v>
      </c>
      <c r="X451" t="s">
        <v>474</v>
      </c>
      <c r="Y451" t="s">
        <v>28</v>
      </c>
      <c r="Z451">
        <v>100119</v>
      </c>
      <c r="AA451" t="s">
        <v>491</v>
      </c>
      <c r="AB451" t="s">
        <v>523</v>
      </c>
      <c r="AC451" s="9">
        <f t="shared" si="59"/>
        <v>1</v>
      </c>
      <c r="AD451" s="9" t="str">
        <f t="shared" si="60"/>
        <v>Check</v>
      </c>
      <c r="AE451" s="11">
        <f t="shared" si="56"/>
        <v>-3727.8</v>
      </c>
    </row>
    <row r="452" spans="1:31" x14ac:dyDescent="0.3">
      <c r="A452">
        <v>24</v>
      </c>
      <c r="B452">
        <v>4755952</v>
      </c>
      <c r="C452" t="s">
        <v>160</v>
      </c>
      <c r="D452">
        <v>1963277</v>
      </c>
      <c r="E452" t="s">
        <v>250</v>
      </c>
      <c r="F452" t="s">
        <v>18</v>
      </c>
      <c r="G452" t="s">
        <v>327</v>
      </c>
      <c r="H452" t="s">
        <v>328</v>
      </c>
      <c r="I452" s="9" t="s">
        <v>3260</v>
      </c>
      <c r="J452" s="9">
        <v>51150723198</v>
      </c>
      <c r="K452" s="14" t="s">
        <v>3165</v>
      </c>
      <c r="L452" s="13" t="s">
        <v>4922</v>
      </c>
      <c r="M452" s="14">
        <v>440</v>
      </c>
      <c r="N452" s="14">
        <v>0.39</v>
      </c>
      <c r="O452" s="10">
        <f t="shared" si="57"/>
        <v>171.6</v>
      </c>
      <c r="P452" s="11">
        <v>0</v>
      </c>
      <c r="Q452" s="11">
        <v>0</v>
      </c>
      <c r="R452" s="10">
        <f>IF(COUNTIF($J$2:J452,J452)=1,SUMIFS($O:$O,$J:$J,J452)+SUMIFS($P:$P,$J:$J,J452)+SUMIFS($Q:$Q,$J:$J,J452),"")</f>
        <v>171.6</v>
      </c>
      <c r="S452">
        <v>4785.3600000000006</v>
      </c>
      <c r="T452" s="11" t="str">
        <f t="shared" si="61"/>
        <v>Check</v>
      </c>
      <c r="U452" s="12">
        <v>46048</v>
      </c>
      <c r="V452" s="10">
        <v>118.8</v>
      </c>
      <c r="W452" s="10" t="str">
        <f t="shared" si="58"/>
        <v>Short Paid</v>
      </c>
      <c r="X452" t="s">
        <v>474</v>
      </c>
      <c r="Y452" t="s">
        <v>28</v>
      </c>
      <c r="Z452">
        <v>100129</v>
      </c>
      <c r="AA452" t="s">
        <v>495</v>
      </c>
      <c r="AB452" t="s">
        <v>523</v>
      </c>
      <c r="AC452" s="9">
        <f t="shared" si="59"/>
        <v>1</v>
      </c>
      <c r="AD452" s="9" t="str">
        <f t="shared" si="60"/>
        <v>Check</v>
      </c>
      <c r="AE452" s="11">
        <f t="shared" si="56"/>
        <v>-4613.76</v>
      </c>
    </row>
    <row r="453" spans="1:31" x14ac:dyDescent="0.3">
      <c r="A453">
        <v>22</v>
      </c>
      <c r="B453">
        <v>4762352</v>
      </c>
      <c r="C453" t="s">
        <v>160</v>
      </c>
      <c r="D453">
        <v>1963277</v>
      </c>
      <c r="E453" t="s">
        <v>250</v>
      </c>
      <c r="F453" t="s">
        <v>18</v>
      </c>
      <c r="G453" t="s">
        <v>343</v>
      </c>
      <c r="H453" t="s">
        <v>344</v>
      </c>
      <c r="I453" s="9" t="s">
        <v>3305</v>
      </c>
      <c r="J453" s="9">
        <v>51153876615</v>
      </c>
      <c r="K453" s="14" t="s">
        <v>3165</v>
      </c>
      <c r="L453" s="13" t="s">
        <v>4931</v>
      </c>
      <c r="M453" s="14">
        <v>600</v>
      </c>
      <c r="N453" s="14">
        <v>0.5</v>
      </c>
      <c r="O453" s="10">
        <f t="shared" si="57"/>
        <v>300</v>
      </c>
      <c r="P453" s="11">
        <v>0</v>
      </c>
      <c r="Q453" s="11">
        <v>0</v>
      </c>
      <c r="R453" s="10">
        <f>IF(COUNTIF($J$2:J453,J453)=1,SUMIFS($O:$O,$J:$J,J453)+SUMIFS($P:$P,$J:$J,J453)+SUMIFS($Q:$Q,$J:$J,J453),"")</f>
        <v>300</v>
      </c>
      <c r="S453">
        <v>1847.2</v>
      </c>
      <c r="T453" s="11" t="str">
        <f t="shared" si="61"/>
        <v>Check</v>
      </c>
      <c r="U453" s="12">
        <v>46057</v>
      </c>
      <c r="V453" s="10">
        <v>160.77000000000001</v>
      </c>
      <c r="W453" s="10" t="str">
        <f t="shared" si="58"/>
        <v>Short Paid</v>
      </c>
      <c r="X453" t="s">
        <v>474</v>
      </c>
      <c r="Y453" t="s">
        <v>28</v>
      </c>
      <c r="Z453">
        <v>100199</v>
      </c>
      <c r="AA453" t="s">
        <v>481</v>
      </c>
      <c r="AB453" t="s">
        <v>523</v>
      </c>
      <c r="AC453" s="9">
        <f t="shared" si="59"/>
        <v>1</v>
      </c>
      <c r="AD453" s="9" t="str">
        <f t="shared" si="60"/>
        <v>Check</v>
      </c>
      <c r="AE453" s="11">
        <f t="shared" si="56"/>
        <v>-1547.2</v>
      </c>
    </row>
    <row r="454" spans="1:31" x14ac:dyDescent="0.3">
      <c r="A454">
        <v>22</v>
      </c>
      <c r="B454">
        <v>4762630</v>
      </c>
      <c r="C454" t="s">
        <v>160</v>
      </c>
      <c r="D454">
        <v>1963277</v>
      </c>
      <c r="E454" t="s">
        <v>250</v>
      </c>
      <c r="F454" t="s">
        <v>18</v>
      </c>
      <c r="G454" t="s">
        <v>345</v>
      </c>
      <c r="H454" t="s">
        <v>346</v>
      </c>
      <c r="I454" s="9" t="s">
        <v>3446</v>
      </c>
      <c r="J454" s="9">
        <v>51153876834</v>
      </c>
      <c r="K454" s="14" t="s">
        <v>3165</v>
      </c>
      <c r="L454" s="13" t="s">
        <v>4931</v>
      </c>
      <c r="M454" s="14">
        <v>555</v>
      </c>
      <c r="N454" s="14">
        <v>0.5</v>
      </c>
      <c r="O454" s="10">
        <f t="shared" si="57"/>
        <v>277.5</v>
      </c>
      <c r="P454" s="11">
        <v>0</v>
      </c>
      <c r="Q454" s="11">
        <v>0</v>
      </c>
      <c r="R454" s="10">
        <f>IF(COUNTIF($J$2:J454,J454)=1,SUMIFS($O:$O,$J:$J,J454)+SUMIFS($P:$P,$J:$J,J454)+SUMIFS($Q:$Q,$J:$J,J454),"")</f>
        <v>277.5</v>
      </c>
      <c r="S454">
        <v>2014.14</v>
      </c>
      <c r="T454" s="11" t="str">
        <f t="shared" si="61"/>
        <v>Check</v>
      </c>
      <c r="U454" s="12">
        <v>46057</v>
      </c>
      <c r="V454" s="10">
        <v>148.71</v>
      </c>
      <c r="W454" s="10" t="str">
        <f t="shared" si="58"/>
        <v>Short Paid</v>
      </c>
      <c r="X454" t="s">
        <v>474</v>
      </c>
      <c r="Y454" t="s">
        <v>28</v>
      </c>
      <c r="Z454">
        <v>100209</v>
      </c>
      <c r="AA454" t="s">
        <v>483</v>
      </c>
      <c r="AB454" t="s">
        <v>523</v>
      </c>
      <c r="AC454" s="9">
        <f t="shared" si="59"/>
        <v>1</v>
      </c>
      <c r="AD454" s="9" t="str">
        <f t="shared" si="60"/>
        <v>Check</v>
      </c>
      <c r="AE454" s="11">
        <f t="shared" si="56"/>
        <v>-1736.64</v>
      </c>
    </row>
    <row r="455" spans="1:31" x14ac:dyDescent="0.3">
      <c r="A455">
        <v>22</v>
      </c>
      <c r="B455">
        <v>4762909</v>
      </c>
      <c r="C455" t="s">
        <v>160</v>
      </c>
      <c r="D455">
        <v>1963277</v>
      </c>
      <c r="E455" t="s">
        <v>250</v>
      </c>
      <c r="F455" t="s">
        <v>18</v>
      </c>
      <c r="G455" t="s">
        <v>341</v>
      </c>
      <c r="H455" t="s">
        <v>342</v>
      </c>
      <c r="I455" s="9" t="s">
        <v>3451</v>
      </c>
      <c r="J455" s="9">
        <v>51153876753</v>
      </c>
      <c r="K455" s="14" t="s">
        <v>3165</v>
      </c>
      <c r="L455" s="13" t="s">
        <v>4931</v>
      </c>
      <c r="M455" s="14">
        <v>750</v>
      </c>
      <c r="N455" s="14">
        <v>0.5</v>
      </c>
      <c r="O455" s="10">
        <f t="shared" si="57"/>
        <v>375</v>
      </c>
      <c r="P455" s="11">
        <v>0</v>
      </c>
      <c r="Q455" s="11">
        <v>0</v>
      </c>
      <c r="R455" s="10">
        <f>IF(COUNTIF($J$2:J455,J455)=1,SUMIFS($O:$O,$J:$J,J455)+SUMIFS($P:$P,$J:$J,J455)+SUMIFS($Q:$Q,$J:$J,J455),"")</f>
        <v>375</v>
      </c>
      <c r="S455">
        <v>1340.25</v>
      </c>
      <c r="T455" s="11" t="str">
        <f t="shared" si="61"/>
        <v>Check</v>
      </c>
      <c r="U455" s="12">
        <v>46057</v>
      </c>
      <c r="V455" s="10">
        <v>200.96</v>
      </c>
      <c r="W455" s="10" t="str">
        <f t="shared" si="58"/>
        <v>Short Paid</v>
      </c>
      <c r="X455" t="s">
        <v>474</v>
      </c>
      <c r="Y455" t="s">
        <v>28</v>
      </c>
      <c r="Z455">
        <v>100239</v>
      </c>
      <c r="AA455" t="s">
        <v>482</v>
      </c>
      <c r="AB455" t="s">
        <v>523</v>
      </c>
      <c r="AC455" s="9">
        <f t="shared" si="59"/>
        <v>1</v>
      </c>
      <c r="AD455" s="9" t="str">
        <f t="shared" si="60"/>
        <v>Check</v>
      </c>
      <c r="AE455" s="11">
        <f t="shared" si="56"/>
        <v>-965.25</v>
      </c>
    </row>
    <row r="456" spans="1:31" x14ac:dyDescent="0.3">
      <c r="A456">
        <v>22</v>
      </c>
      <c r="B456">
        <v>4763465</v>
      </c>
      <c r="C456" t="s">
        <v>160</v>
      </c>
      <c r="D456">
        <v>1963277</v>
      </c>
      <c r="E456" t="s">
        <v>250</v>
      </c>
      <c r="F456" t="s">
        <v>18</v>
      </c>
      <c r="G456" t="s">
        <v>347</v>
      </c>
      <c r="H456" t="s">
        <v>348</v>
      </c>
      <c r="I456" s="9" t="s">
        <v>3347</v>
      </c>
      <c r="J456" s="9">
        <v>51153876731</v>
      </c>
      <c r="K456" s="14" t="s">
        <v>3165</v>
      </c>
      <c r="L456" s="13" t="s">
        <v>4936</v>
      </c>
      <c r="M456" s="14">
        <v>800</v>
      </c>
      <c r="N456" s="14">
        <v>0.69</v>
      </c>
      <c r="O456" s="10">
        <f t="shared" si="57"/>
        <v>552</v>
      </c>
      <c r="P456" s="11">
        <v>0</v>
      </c>
      <c r="Q456" s="11">
        <v>0</v>
      </c>
      <c r="R456" s="10">
        <f>IF(COUNTIF($J$2:J456,J456)=1,SUMIFS($O:$O,$J:$J,J456)+SUMIFS($P:$P,$J:$J,J456)+SUMIFS($Q:$Q,$J:$J,J456),"")</f>
        <v>552</v>
      </c>
      <c r="S456">
        <v>747</v>
      </c>
      <c r="T456" s="11" t="str">
        <f t="shared" si="61"/>
        <v>Check</v>
      </c>
      <c r="U456" s="12">
        <v>46058</v>
      </c>
      <c r="V456" s="10">
        <v>224</v>
      </c>
      <c r="W456" s="10" t="str">
        <f t="shared" si="58"/>
        <v>Short Paid</v>
      </c>
      <c r="X456" t="s">
        <v>474</v>
      </c>
      <c r="Y456" t="s">
        <v>28</v>
      </c>
      <c r="Z456">
        <v>100279</v>
      </c>
      <c r="AA456" t="s">
        <v>485</v>
      </c>
      <c r="AB456" t="s">
        <v>523</v>
      </c>
      <c r="AC456" s="9">
        <f t="shared" si="59"/>
        <v>1</v>
      </c>
      <c r="AD456" s="9" t="str">
        <f t="shared" si="60"/>
        <v>Check</v>
      </c>
      <c r="AE456" s="11">
        <f t="shared" si="56"/>
        <v>-195</v>
      </c>
    </row>
    <row r="457" spans="1:31" x14ac:dyDescent="0.3">
      <c r="A457">
        <v>22</v>
      </c>
      <c r="B457">
        <v>4767640</v>
      </c>
      <c r="C457" t="s">
        <v>217</v>
      </c>
      <c r="D457">
        <v>1079286</v>
      </c>
      <c r="E457" t="s">
        <v>629</v>
      </c>
      <c r="F457" t="s">
        <v>20</v>
      </c>
      <c r="G457" t="s">
        <v>2812</v>
      </c>
      <c r="H457" t="s">
        <v>2813</v>
      </c>
      <c r="I457" s="9" t="s">
        <v>3365</v>
      </c>
      <c r="J457" s="9">
        <v>51154584466</v>
      </c>
      <c r="K457" s="14" t="s">
        <v>3537</v>
      </c>
      <c r="L457" s="13" t="s">
        <v>3545</v>
      </c>
      <c r="M457" s="14">
        <v>24000</v>
      </c>
      <c r="N457" s="14">
        <v>9.4100000000000003E-2</v>
      </c>
      <c r="O457" s="10">
        <f t="shared" si="57"/>
        <v>2258.4</v>
      </c>
      <c r="P457" s="11">
        <v>0</v>
      </c>
      <c r="Q457" s="11">
        <v>214.55</v>
      </c>
      <c r="R457" s="10">
        <f>IF(COUNTIF($J$2:J457,J457)=1,SUMIFS($O:$O,$J:$J,J457)+SUMIFS($P:$P,$J:$J,J457)+SUMIFS($Q:$Q,$J:$J,J457),"")</f>
        <v>2472.9500000000003</v>
      </c>
      <c r="S457" s="10">
        <v>2472.9499999999998</v>
      </c>
      <c r="T457" s="11" t="str">
        <f t="shared" si="61"/>
        <v>Ok</v>
      </c>
      <c r="U457" s="12">
        <v>45771</v>
      </c>
      <c r="V457" s="10">
        <v>2472.9499999999998</v>
      </c>
      <c r="W457" s="10" t="str">
        <f t="shared" si="58"/>
        <v>Not Paid</v>
      </c>
      <c r="X457" t="s">
        <v>476</v>
      </c>
      <c r="Y457" t="s">
        <v>28</v>
      </c>
      <c r="Z457">
        <v>100165</v>
      </c>
      <c r="AA457" t="s">
        <v>3100</v>
      </c>
      <c r="AB457" t="s">
        <v>521</v>
      </c>
      <c r="AC457" s="9">
        <f t="shared" si="59"/>
        <v>1</v>
      </c>
      <c r="AD457" s="9" t="str">
        <f t="shared" si="60"/>
        <v>Ok</v>
      </c>
      <c r="AE457" s="11">
        <f t="shared" si="56"/>
        <v>0</v>
      </c>
    </row>
    <row r="458" spans="1:31" x14ac:dyDescent="0.3">
      <c r="A458">
        <v>22</v>
      </c>
      <c r="B458">
        <v>4769031</v>
      </c>
      <c r="C458" t="s">
        <v>220</v>
      </c>
      <c r="D458">
        <v>1200360</v>
      </c>
      <c r="E458" t="s">
        <v>543</v>
      </c>
      <c r="F458" t="s">
        <v>20</v>
      </c>
      <c r="G458" t="s">
        <v>2814</v>
      </c>
      <c r="H458" t="s">
        <v>2815</v>
      </c>
      <c r="I458" s="9" t="s">
        <v>3247</v>
      </c>
      <c r="J458" s="9">
        <v>51149787491</v>
      </c>
      <c r="K458" s="14" t="s">
        <v>3168</v>
      </c>
      <c r="L458" s="13" t="s">
        <v>3497</v>
      </c>
      <c r="M458" s="14">
        <v>15000</v>
      </c>
      <c r="N458" s="14">
        <v>2.1500000000000002E-2</v>
      </c>
      <c r="O458" s="10">
        <f t="shared" si="57"/>
        <v>322.5</v>
      </c>
      <c r="P458" s="11">
        <v>0</v>
      </c>
      <c r="Q458" s="11">
        <v>10.8</v>
      </c>
      <c r="R458" s="10">
        <f>IF(COUNTIF($J$2:J458,J458)=1,SUMIFS($O:$O,$J:$J,J458)+SUMIFS($P:$P,$J:$J,J458)+SUMIFS($Q:$Q,$J:$J,J458),"")</f>
        <v>333.3</v>
      </c>
      <c r="S458" s="10">
        <v>640.5</v>
      </c>
      <c r="T458" s="11" t="str">
        <f t="shared" si="61"/>
        <v>Check</v>
      </c>
      <c r="U458" s="12">
        <v>46134</v>
      </c>
      <c r="V458" s="10">
        <v>113.7</v>
      </c>
      <c r="W458" s="10" t="str">
        <f t="shared" si="58"/>
        <v>Short Paid</v>
      </c>
      <c r="X458" t="s">
        <v>435</v>
      </c>
      <c r="Y458" t="s">
        <v>28</v>
      </c>
      <c r="Z458">
        <v>100121</v>
      </c>
      <c r="AA458" t="s">
        <v>3056</v>
      </c>
      <c r="AB458" t="s">
        <v>521</v>
      </c>
      <c r="AC458" s="9">
        <f t="shared" si="59"/>
        <v>1</v>
      </c>
      <c r="AD458" s="9" t="str">
        <f t="shared" si="60"/>
        <v>Check</v>
      </c>
      <c r="AE458" s="11">
        <f t="shared" si="56"/>
        <v>-307.2</v>
      </c>
    </row>
    <row r="459" spans="1:31" x14ac:dyDescent="0.3">
      <c r="A459">
        <v>21</v>
      </c>
      <c r="B459">
        <v>4774318</v>
      </c>
      <c r="C459" t="s">
        <v>217</v>
      </c>
      <c r="D459">
        <v>1079286</v>
      </c>
      <c r="E459" t="s">
        <v>629</v>
      </c>
      <c r="F459" t="s">
        <v>20</v>
      </c>
      <c r="G459" t="s">
        <v>2818</v>
      </c>
      <c r="H459" t="s">
        <v>2819</v>
      </c>
      <c r="I459" s="9" t="s">
        <v>3455</v>
      </c>
      <c r="J459" s="9">
        <v>51151628402</v>
      </c>
      <c r="K459" s="14" t="s">
        <v>3370</v>
      </c>
      <c r="L459" s="13" t="s">
        <v>3512</v>
      </c>
      <c r="M459" s="14">
        <v>38000</v>
      </c>
      <c r="N459" s="14">
        <v>0.159</v>
      </c>
      <c r="O459" s="10">
        <f t="shared" si="57"/>
        <v>6042</v>
      </c>
      <c r="P459" s="11">
        <v>0</v>
      </c>
      <c r="Q459" s="11">
        <v>0</v>
      </c>
      <c r="R459" s="10">
        <f>IF(COUNTIF($J$2:J459,J459)=1,SUMIFS($O:$O,$J:$J,J459)+SUMIFS($P:$P,$J:$J,J459)+SUMIFS($Q:$Q,$J:$J,J459),"")</f>
        <v>6042</v>
      </c>
      <c r="S459" s="10">
        <v>6042</v>
      </c>
      <c r="T459" s="11" t="str">
        <f t="shared" si="61"/>
        <v>Ok</v>
      </c>
      <c r="U459" s="12">
        <v>45807</v>
      </c>
      <c r="V459" s="10">
        <v>6042</v>
      </c>
      <c r="W459" s="10" t="str">
        <f t="shared" si="58"/>
        <v>Not Paid</v>
      </c>
      <c r="X459" t="s">
        <v>476</v>
      </c>
      <c r="Y459" t="s">
        <v>28</v>
      </c>
      <c r="Z459">
        <v>100245</v>
      </c>
      <c r="AA459" t="s">
        <v>507</v>
      </c>
      <c r="AB459" t="s">
        <v>521</v>
      </c>
      <c r="AC459" s="9">
        <f t="shared" si="59"/>
        <v>1</v>
      </c>
      <c r="AD459" s="9" t="str">
        <f t="shared" si="60"/>
        <v>Ok</v>
      </c>
      <c r="AE459" s="11">
        <f t="shared" ref="AE459:AE461" si="62">R459-S459</f>
        <v>0</v>
      </c>
    </row>
    <row r="460" spans="1:31" x14ac:dyDescent="0.3">
      <c r="A460">
        <v>21</v>
      </c>
      <c r="B460">
        <v>4774597</v>
      </c>
      <c r="C460" t="s">
        <v>217</v>
      </c>
      <c r="D460">
        <v>1079286</v>
      </c>
      <c r="E460" t="s">
        <v>629</v>
      </c>
      <c r="F460" t="s">
        <v>20</v>
      </c>
      <c r="G460" t="s">
        <v>2820</v>
      </c>
      <c r="H460" t="s">
        <v>2821</v>
      </c>
      <c r="I460" s="9" t="s">
        <v>3397</v>
      </c>
      <c r="J460" s="9">
        <v>51151046851</v>
      </c>
      <c r="K460" s="14" t="s">
        <v>3508</v>
      </c>
      <c r="L460" s="13" t="s">
        <v>3507</v>
      </c>
      <c r="M460" s="14">
        <v>52000</v>
      </c>
      <c r="N460" s="14">
        <v>4.8000000000000001E-2</v>
      </c>
      <c r="O460" s="10">
        <f t="shared" si="57"/>
        <v>2496</v>
      </c>
      <c r="P460" s="11">
        <v>0</v>
      </c>
      <c r="Q460" s="11">
        <v>0</v>
      </c>
      <c r="R460" s="10">
        <f>IF(COUNTIF($J$2:J460,J460)=1,SUMIFS($O:$O,$J:$J,J460)+SUMIFS($P:$P,$J:$J,J460)+SUMIFS($Q:$Q,$J:$J,J460),"")</f>
        <v>2496</v>
      </c>
      <c r="S460" s="10">
        <v>2496</v>
      </c>
      <c r="T460" s="11" t="str">
        <f t="shared" si="61"/>
        <v>Ok</v>
      </c>
      <c r="U460" s="12">
        <v>45807</v>
      </c>
      <c r="V460" s="10">
        <v>2496</v>
      </c>
      <c r="W460" s="10" t="str">
        <f t="shared" si="58"/>
        <v>Not Paid</v>
      </c>
      <c r="X460" t="s">
        <v>476</v>
      </c>
      <c r="Y460" t="s">
        <v>28</v>
      </c>
      <c r="Z460">
        <v>100275</v>
      </c>
      <c r="AA460" t="s">
        <v>492</v>
      </c>
      <c r="AB460" t="s">
        <v>521</v>
      </c>
      <c r="AC460" s="9">
        <f t="shared" si="59"/>
        <v>1</v>
      </c>
      <c r="AD460" s="9" t="str">
        <f t="shared" si="60"/>
        <v>Ok</v>
      </c>
      <c r="AE460" s="11">
        <f t="shared" si="62"/>
        <v>0</v>
      </c>
    </row>
    <row r="461" spans="1:31" x14ac:dyDescent="0.3">
      <c r="A461">
        <v>21</v>
      </c>
      <c r="B461">
        <v>4786563</v>
      </c>
      <c r="C461" t="s">
        <v>217</v>
      </c>
      <c r="D461">
        <v>1079286</v>
      </c>
      <c r="E461" t="s">
        <v>629</v>
      </c>
      <c r="F461" t="s">
        <v>20</v>
      </c>
      <c r="G461" t="s">
        <v>179</v>
      </c>
      <c r="H461" t="s">
        <v>180</v>
      </c>
      <c r="I461" s="9" t="s">
        <v>3242</v>
      </c>
      <c r="J461" s="9">
        <v>51152281018</v>
      </c>
      <c r="K461" s="14" t="s">
        <v>3165</v>
      </c>
      <c r="L461" s="13" t="s">
        <v>4967</v>
      </c>
      <c r="M461" s="14">
        <v>216</v>
      </c>
      <c r="N461" s="14">
        <v>2.516</v>
      </c>
      <c r="O461" s="10">
        <f t="shared" si="57"/>
        <v>543.45600000000002</v>
      </c>
      <c r="P461" s="11">
        <v>0</v>
      </c>
      <c r="Q461" s="11">
        <v>0</v>
      </c>
      <c r="R461" s="10">
        <f>IF(COUNTIF($J$2:J461,J461)=1,SUMIFS($O:$O,$J:$J,J461)+SUMIFS($P:$P,$J:$J,J461)+SUMIFS($Q:$Q,$J:$J,J461),"")</f>
        <v>543.45600000000002</v>
      </c>
      <c r="S461">
        <v>5211.46</v>
      </c>
      <c r="T461" s="11" t="str">
        <f t="shared" si="61"/>
        <v>Check</v>
      </c>
      <c r="U461" s="12">
        <v>45817</v>
      </c>
      <c r="V461" s="10">
        <v>4668</v>
      </c>
      <c r="W461" s="10" t="str">
        <f t="shared" si="58"/>
        <v>Short Paid</v>
      </c>
      <c r="X461" t="s">
        <v>476</v>
      </c>
      <c r="Y461" t="s">
        <v>28</v>
      </c>
      <c r="Z461">
        <v>100125</v>
      </c>
      <c r="AA461" t="s">
        <v>477</v>
      </c>
      <c r="AB461" t="s">
        <v>521</v>
      </c>
      <c r="AC461" s="9">
        <f t="shared" si="59"/>
        <v>1</v>
      </c>
      <c r="AD461" s="9" t="str">
        <f t="shared" si="60"/>
        <v>Check</v>
      </c>
      <c r="AE461" s="11">
        <f t="shared" si="62"/>
        <v>-4668.0039999999999</v>
      </c>
    </row>
    <row r="462" spans="1:31" x14ac:dyDescent="0.3">
      <c r="A462">
        <v>21</v>
      </c>
      <c r="B462">
        <v>4786841</v>
      </c>
      <c r="C462" t="s">
        <v>167</v>
      </c>
      <c r="D462">
        <v>1241713</v>
      </c>
      <c r="E462" t="s">
        <v>614</v>
      </c>
      <c r="F462" t="s">
        <v>20</v>
      </c>
      <c r="G462" t="s">
        <v>186</v>
      </c>
      <c r="H462" t="s">
        <v>187</v>
      </c>
      <c r="I462" s="9" t="s">
        <v>3485</v>
      </c>
      <c r="J462" s="9">
        <v>51152281367</v>
      </c>
      <c r="K462" s="14" t="s">
        <v>3165</v>
      </c>
      <c r="L462" s="13" t="s">
        <v>4967</v>
      </c>
      <c r="M462" s="14">
        <v>380</v>
      </c>
      <c r="N462" s="14">
        <v>2.516</v>
      </c>
      <c r="O462" s="10">
        <f t="shared" si="57"/>
        <v>956.08</v>
      </c>
      <c r="P462" s="11">
        <v>0</v>
      </c>
      <c r="Q462" s="11">
        <v>0</v>
      </c>
      <c r="R462" s="10">
        <f>IF(COUNTIF($J$2:J462,J462)=1,SUMIFS($O:$O,$J:$J,J462)+SUMIFS($P:$P,$J:$J,J462)+SUMIFS($Q:$Q,$J:$J,J462),"")</f>
        <v>956.08</v>
      </c>
      <c r="S462">
        <v>3472.08</v>
      </c>
      <c r="T462" s="11" t="str">
        <f t="shared" si="61"/>
        <v>Check</v>
      </c>
      <c r="U462" s="12">
        <v>46059</v>
      </c>
      <c r="V462" s="10">
        <v>2516</v>
      </c>
      <c r="W462" s="10" t="str">
        <f t="shared" si="58"/>
        <v>Short Paid</v>
      </c>
      <c r="X462" t="s">
        <v>455</v>
      </c>
      <c r="Y462" t="s">
        <v>28</v>
      </c>
      <c r="Z462">
        <v>100150</v>
      </c>
      <c r="AA462" t="s">
        <v>458</v>
      </c>
      <c r="AB462" t="s">
        <v>521</v>
      </c>
      <c r="AC462" s="9">
        <f t="shared" si="59"/>
        <v>1</v>
      </c>
      <c r="AD462" s="9" t="str">
        <f t="shared" si="60"/>
        <v>Check</v>
      </c>
      <c r="AE462" s="11">
        <f t="shared" ref="AE462:AE475" si="63">R462-S462</f>
        <v>-2516</v>
      </c>
    </row>
    <row r="463" spans="1:31" x14ac:dyDescent="0.3">
      <c r="A463">
        <v>21</v>
      </c>
      <c r="B463">
        <v>4787119</v>
      </c>
      <c r="C463" t="s">
        <v>167</v>
      </c>
      <c r="D463">
        <v>1246361</v>
      </c>
      <c r="E463" t="s">
        <v>623</v>
      </c>
      <c r="F463" t="s">
        <v>49</v>
      </c>
      <c r="G463" t="s">
        <v>188</v>
      </c>
      <c r="H463" t="s">
        <v>189</v>
      </c>
      <c r="I463" s="9" t="s">
        <v>3277</v>
      </c>
      <c r="J463" s="9">
        <v>51153086296</v>
      </c>
      <c r="K463" s="14" t="s">
        <v>3165</v>
      </c>
      <c r="L463" s="13" t="s">
        <v>4967</v>
      </c>
      <c r="M463" s="14">
        <v>216</v>
      </c>
      <c r="N463" s="14">
        <v>2.516</v>
      </c>
      <c r="O463" s="10">
        <f t="shared" si="57"/>
        <v>543.45600000000002</v>
      </c>
      <c r="P463" s="11">
        <v>6300</v>
      </c>
      <c r="Q463" s="11">
        <v>0</v>
      </c>
      <c r="R463" s="10">
        <f>IF(COUNTIF($J$2:J463,J463)=1,SUMIFS($O:$O,$J:$J,J463)+SUMIFS($P:$P,$J:$J,J463)+SUMIFS($Q:$Q,$J:$J,J463),"")</f>
        <v>6843.4560000000001</v>
      </c>
      <c r="S463">
        <v>107643.46</v>
      </c>
      <c r="T463" s="11" t="str">
        <f t="shared" si="61"/>
        <v>Check</v>
      </c>
      <c r="U463" s="12">
        <v>46101</v>
      </c>
      <c r="V463" s="10">
        <v>6300</v>
      </c>
      <c r="W463" s="10" t="str">
        <f t="shared" si="58"/>
        <v>Short Paid</v>
      </c>
      <c r="X463" t="s">
        <v>455</v>
      </c>
      <c r="Y463" t="s">
        <v>29</v>
      </c>
      <c r="Z463">
        <v>100290</v>
      </c>
      <c r="AA463" t="s">
        <v>3136</v>
      </c>
      <c r="AB463" t="s">
        <v>3041</v>
      </c>
      <c r="AC463" s="9">
        <f t="shared" si="59"/>
        <v>1</v>
      </c>
      <c r="AD463" s="9" t="str">
        <f t="shared" si="60"/>
        <v>Check</v>
      </c>
      <c r="AE463" s="11">
        <f t="shared" si="63"/>
        <v>-100800.004</v>
      </c>
    </row>
    <row r="464" spans="1:31" x14ac:dyDescent="0.3">
      <c r="A464">
        <v>21</v>
      </c>
      <c r="B464">
        <v>4852516</v>
      </c>
      <c r="C464" t="s">
        <v>56</v>
      </c>
      <c r="D464">
        <v>1588891</v>
      </c>
      <c r="E464" t="s">
        <v>61</v>
      </c>
      <c r="F464" t="s">
        <v>18</v>
      </c>
      <c r="G464" t="s">
        <v>304</v>
      </c>
      <c r="H464" t="s">
        <v>305</v>
      </c>
      <c r="I464" s="9" t="s">
        <v>3359</v>
      </c>
      <c r="J464" s="9">
        <v>51154904571</v>
      </c>
      <c r="K464" s="14" t="s">
        <v>3165</v>
      </c>
      <c r="L464" s="13" t="s">
        <v>4919</v>
      </c>
      <c r="M464" s="14">
        <v>1500</v>
      </c>
      <c r="N464" s="14">
        <v>2.4456000000000002</v>
      </c>
      <c r="O464" s="10">
        <f t="shared" si="57"/>
        <v>3668.4000000000005</v>
      </c>
      <c r="P464" s="11">
        <v>0</v>
      </c>
      <c r="Q464" s="11">
        <v>0</v>
      </c>
      <c r="R464" s="10">
        <f>IF(COUNTIF($J$2:J464,J464)=1,SUMIFS($O:$O,$J:$J,J464)+SUMIFS($P:$P,$J:$J,J464)+SUMIFS($Q:$Q,$J:$J,J464),"")</f>
        <v>3668.4000000000005</v>
      </c>
      <c r="S464">
        <v>5725.65</v>
      </c>
      <c r="T464" s="11" t="str">
        <f t="shared" si="61"/>
        <v>Check</v>
      </c>
      <c r="U464" s="12">
        <v>46010</v>
      </c>
      <c r="V464" s="10">
        <v>270.06</v>
      </c>
      <c r="W464" s="10" t="str">
        <f t="shared" si="58"/>
        <v>Short Paid</v>
      </c>
      <c r="X464" t="s">
        <v>438</v>
      </c>
      <c r="Y464" t="s">
        <v>28</v>
      </c>
      <c r="Z464">
        <v>100273</v>
      </c>
      <c r="AA464" t="s">
        <v>444</v>
      </c>
      <c r="AB464" t="s">
        <v>523</v>
      </c>
      <c r="AC464" s="9">
        <f t="shared" si="59"/>
        <v>1</v>
      </c>
      <c r="AD464" s="9" t="str">
        <f t="shared" si="60"/>
        <v>Check</v>
      </c>
      <c r="AE464" s="11">
        <f t="shared" si="63"/>
        <v>-2057.2499999999991</v>
      </c>
    </row>
    <row r="465" spans="1:31" x14ac:dyDescent="0.3">
      <c r="A465">
        <v>21</v>
      </c>
      <c r="B465">
        <v>4852795</v>
      </c>
      <c r="C465" t="s">
        <v>56</v>
      </c>
      <c r="D465">
        <v>1588891</v>
      </c>
      <c r="E465" t="s">
        <v>61</v>
      </c>
      <c r="F465" t="s">
        <v>18</v>
      </c>
      <c r="G465" t="s">
        <v>306</v>
      </c>
      <c r="H465" t="s">
        <v>307</v>
      </c>
      <c r="I465" s="9" t="s">
        <v>3236</v>
      </c>
      <c r="J465" s="9">
        <v>51154980250</v>
      </c>
      <c r="K465" s="14" t="s">
        <v>3165</v>
      </c>
      <c r="L465" s="13" t="s">
        <v>4919</v>
      </c>
      <c r="M465" s="14">
        <v>1000</v>
      </c>
      <c r="N465" s="14">
        <v>2.4456000000000002</v>
      </c>
      <c r="O465" s="10">
        <f t="shared" si="57"/>
        <v>2445.6000000000004</v>
      </c>
      <c r="P465" s="11">
        <v>0</v>
      </c>
      <c r="Q465" s="11">
        <v>0</v>
      </c>
      <c r="R465" s="10">
        <f>IF(COUNTIF($J$2:J465,J465)=1,SUMIFS($O:$O,$J:$J,J465)+SUMIFS($P:$P,$J:$J,J465)+SUMIFS($Q:$Q,$J:$J,J465),"")</f>
        <v>2445.6000000000004</v>
      </c>
      <c r="S465">
        <v>4502.8500000000004</v>
      </c>
      <c r="T465" s="11" t="str">
        <f t="shared" si="61"/>
        <v>Check</v>
      </c>
      <c r="U465" s="12">
        <v>46010</v>
      </c>
      <c r="V465" s="10">
        <v>180.04</v>
      </c>
      <c r="W465" s="10" t="str">
        <f t="shared" si="58"/>
        <v>Short Paid</v>
      </c>
      <c r="X465" t="s">
        <v>438</v>
      </c>
      <c r="Y465" t="s">
        <v>28</v>
      </c>
      <c r="Z465">
        <v>100283</v>
      </c>
      <c r="AA465" t="s">
        <v>439</v>
      </c>
      <c r="AB465" t="s">
        <v>523</v>
      </c>
      <c r="AC465" s="9">
        <f t="shared" si="59"/>
        <v>1</v>
      </c>
      <c r="AD465" s="9" t="str">
        <f t="shared" si="60"/>
        <v>Check</v>
      </c>
      <c r="AE465" s="11">
        <f t="shared" si="63"/>
        <v>-2057.25</v>
      </c>
    </row>
    <row r="466" spans="1:31" x14ac:dyDescent="0.3">
      <c r="A466">
        <v>20</v>
      </c>
      <c r="B466">
        <v>4789067</v>
      </c>
      <c r="C466" t="s">
        <v>160</v>
      </c>
      <c r="D466">
        <v>1507694</v>
      </c>
      <c r="E466" t="s">
        <v>351</v>
      </c>
      <c r="F466" t="s">
        <v>18</v>
      </c>
      <c r="G466" t="s">
        <v>184</v>
      </c>
      <c r="H466" t="s">
        <v>185</v>
      </c>
      <c r="I466" s="9" t="s">
        <v>3181</v>
      </c>
      <c r="J466" s="9">
        <v>51152927729</v>
      </c>
      <c r="K466" s="14" t="s">
        <v>3165</v>
      </c>
      <c r="L466" s="13" t="s">
        <v>4928</v>
      </c>
      <c r="M466" s="14">
        <v>3620</v>
      </c>
      <c r="N466" s="14">
        <v>1.5797000000000001</v>
      </c>
      <c r="O466" s="10">
        <f t="shared" si="57"/>
        <v>5718.5140000000001</v>
      </c>
      <c r="P466" s="11">
        <v>0</v>
      </c>
      <c r="Q466" s="11">
        <v>41.97</v>
      </c>
      <c r="R466" s="10">
        <f>IF(COUNTIF($J$2:J466,J466)=1,SUMIFS($O:$O,$J:$J,J466)+SUMIFS($P:$P,$J:$J,J466)+SUMIFS($Q:$Q,$J:$J,J466),"")</f>
        <v>5760.4840000000004</v>
      </c>
      <c r="S466">
        <v>6202.2800000000007</v>
      </c>
      <c r="T466" s="11" t="str">
        <f t="shared" si="61"/>
        <v>Check</v>
      </c>
      <c r="U466" s="12">
        <v>46154</v>
      </c>
      <c r="V466" s="10">
        <v>289.75</v>
      </c>
      <c r="W466" s="10" t="str">
        <f t="shared" si="58"/>
        <v>Short Paid</v>
      </c>
      <c r="X466" t="s">
        <v>438</v>
      </c>
      <c r="Y466" t="s">
        <v>28</v>
      </c>
      <c r="Z466">
        <v>100113</v>
      </c>
      <c r="AA466" t="s">
        <v>449</v>
      </c>
      <c r="AB466" t="s">
        <v>523</v>
      </c>
      <c r="AC466" s="9">
        <f t="shared" si="59"/>
        <v>1</v>
      </c>
      <c r="AD466" s="9" t="str">
        <f t="shared" si="60"/>
        <v>Check</v>
      </c>
      <c r="AE466" s="11">
        <f t="shared" si="63"/>
        <v>-441.79600000000028</v>
      </c>
    </row>
    <row r="467" spans="1:31" x14ac:dyDescent="0.3">
      <c r="A467">
        <v>20</v>
      </c>
      <c r="B467">
        <v>4789346</v>
      </c>
      <c r="C467" t="s">
        <v>160</v>
      </c>
      <c r="D467">
        <v>1963277</v>
      </c>
      <c r="E467" t="s">
        <v>250</v>
      </c>
      <c r="F467" t="s">
        <v>18</v>
      </c>
      <c r="G467" t="s">
        <v>182</v>
      </c>
      <c r="H467" t="s">
        <v>183</v>
      </c>
      <c r="I467" s="9" t="s">
        <v>3455</v>
      </c>
      <c r="J467" s="9">
        <v>51152396138</v>
      </c>
      <c r="K467" s="14" t="s">
        <v>3165</v>
      </c>
      <c r="L467" s="13" t="s">
        <v>4928</v>
      </c>
      <c r="M467" s="14">
        <v>541</v>
      </c>
      <c r="N467" s="14">
        <v>2.5546600000000002</v>
      </c>
      <c r="O467" s="10">
        <f t="shared" si="57"/>
        <v>1382.07106</v>
      </c>
      <c r="P467" s="11">
        <v>0</v>
      </c>
      <c r="Q467" s="11">
        <v>0</v>
      </c>
      <c r="R467" s="10">
        <f>IF(COUNTIF($J$2:J467,J467)=1,SUMIFS($O:$O,$J:$J,J467)+SUMIFS($P:$P,$J:$J,J467)+SUMIFS($Q:$Q,$J:$J,J467),"")</f>
        <v>1382.07106</v>
      </c>
      <c r="S467">
        <v>12412.34</v>
      </c>
      <c r="T467" s="11" t="str">
        <f t="shared" si="61"/>
        <v>Check</v>
      </c>
      <c r="U467" s="12">
        <v>46065</v>
      </c>
      <c r="V467" s="10">
        <v>465.17</v>
      </c>
      <c r="W467" s="10" t="str">
        <f t="shared" si="58"/>
        <v>Short Paid</v>
      </c>
      <c r="X467" t="s">
        <v>474</v>
      </c>
      <c r="Y467" t="s">
        <v>28</v>
      </c>
      <c r="Z467">
        <v>100129</v>
      </c>
      <c r="AA467" t="s">
        <v>495</v>
      </c>
      <c r="AB467" t="s">
        <v>523</v>
      </c>
      <c r="AC467" s="9">
        <f t="shared" si="59"/>
        <v>1</v>
      </c>
      <c r="AD467" s="9" t="str">
        <f t="shared" si="60"/>
        <v>Check</v>
      </c>
      <c r="AE467" s="11">
        <f t="shared" si="63"/>
        <v>-11030.26894</v>
      </c>
    </row>
    <row r="468" spans="1:31" x14ac:dyDescent="0.3">
      <c r="A468">
        <v>20</v>
      </c>
      <c r="B468">
        <v>4789624</v>
      </c>
      <c r="C468" t="s">
        <v>160</v>
      </c>
      <c r="D468">
        <v>1963277</v>
      </c>
      <c r="E468" t="s">
        <v>250</v>
      </c>
      <c r="F468" t="s">
        <v>18</v>
      </c>
      <c r="G468" t="s">
        <v>175</v>
      </c>
      <c r="H468" t="s">
        <v>176</v>
      </c>
      <c r="I468" s="9" t="s">
        <v>3291</v>
      </c>
      <c r="J468" s="9">
        <v>51152802897</v>
      </c>
      <c r="K468" s="14" t="s">
        <v>3165</v>
      </c>
      <c r="L468" s="13" t="s">
        <v>4928</v>
      </c>
      <c r="M468" s="14">
        <v>1376</v>
      </c>
      <c r="N468" s="14">
        <v>1.5797000000000001</v>
      </c>
      <c r="O468" s="10">
        <f t="shared" si="57"/>
        <v>2173.6672000000003</v>
      </c>
      <c r="P468" s="11">
        <v>0</v>
      </c>
      <c r="Q468" s="11">
        <v>0</v>
      </c>
      <c r="R468" s="10">
        <f>IF(COUNTIF($J$2:J468,J468)=1,SUMIFS($O:$O,$J:$J,J468)+SUMIFS($P:$P,$J:$J,J468)+SUMIFS($Q:$Q,$J:$J,J468),"")</f>
        <v>2173.6672000000003</v>
      </c>
      <c r="S468">
        <v>10539.67</v>
      </c>
      <c r="T468" s="11" t="str">
        <f t="shared" si="61"/>
        <v>Check</v>
      </c>
      <c r="U468" s="12">
        <v>46064</v>
      </c>
      <c r="V468" s="10">
        <v>588</v>
      </c>
      <c r="W468" s="10" t="str">
        <f t="shared" si="58"/>
        <v>Short Paid</v>
      </c>
      <c r="X468" t="s">
        <v>474</v>
      </c>
      <c r="Y468" t="s">
        <v>28</v>
      </c>
      <c r="Z468">
        <v>100159</v>
      </c>
      <c r="AA468" t="s">
        <v>488</v>
      </c>
      <c r="AB468" t="s">
        <v>523</v>
      </c>
      <c r="AC468" s="9">
        <f t="shared" si="59"/>
        <v>1</v>
      </c>
      <c r="AD468" s="9" t="str">
        <f t="shared" si="60"/>
        <v>Check</v>
      </c>
      <c r="AE468" s="11">
        <f t="shared" si="63"/>
        <v>-8366.0028000000002</v>
      </c>
    </row>
    <row r="469" spans="1:31" x14ac:dyDescent="0.3">
      <c r="A469">
        <v>18</v>
      </c>
      <c r="B469">
        <v>4793520</v>
      </c>
      <c r="C469" t="s">
        <v>217</v>
      </c>
      <c r="D469">
        <v>1079286</v>
      </c>
      <c r="E469" t="s">
        <v>629</v>
      </c>
      <c r="F469" t="s">
        <v>20</v>
      </c>
      <c r="G469" t="s">
        <v>2823</v>
      </c>
      <c r="H469" t="s">
        <v>2824</v>
      </c>
      <c r="I469" s="9" t="s">
        <v>3250</v>
      </c>
      <c r="J469" s="9">
        <v>51148843143</v>
      </c>
      <c r="K469" s="14" t="s">
        <v>3194</v>
      </c>
      <c r="L469" s="13" t="s">
        <v>3391</v>
      </c>
      <c r="M469" s="14">
        <v>1520</v>
      </c>
      <c r="N469" s="14">
        <v>21.55</v>
      </c>
      <c r="O469" s="10">
        <f t="shared" si="57"/>
        <v>32756</v>
      </c>
      <c r="P469" s="11">
        <v>0</v>
      </c>
      <c r="Q469" s="11">
        <v>161.88</v>
      </c>
      <c r="R469" s="10">
        <f>IF(COUNTIF($J$2:J469,J469)=1,SUMIFS($O:$O,$J:$J,J469)+SUMIFS($P:$P,$J:$J,J469)+SUMIFS($Q:$Q,$J:$J,J469),"")</f>
        <v>32917.879999999997</v>
      </c>
      <c r="S469" s="10">
        <v>66525.88</v>
      </c>
      <c r="T469" s="11" t="str">
        <f t="shared" si="61"/>
        <v>Check</v>
      </c>
      <c r="U469" s="12">
        <v>45912</v>
      </c>
      <c r="V469" s="10">
        <v>1013.88</v>
      </c>
      <c r="W469" s="10" t="str">
        <f t="shared" si="58"/>
        <v>Short Paid</v>
      </c>
      <c r="X469" t="s">
        <v>476</v>
      </c>
      <c r="Y469" t="s">
        <v>28</v>
      </c>
      <c r="Z469">
        <v>100235</v>
      </c>
      <c r="AA469" t="s">
        <v>509</v>
      </c>
      <c r="AB469" t="s">
        <v>521</v>
      </c>
      <c r="AC469" s="9">
        <f t="shared" si="59"/>
        <v>1</v>
      </c>
      <c r="AD469" s="9" t="str">
        <f t="shared" si="60"/>
        <v>Check</v>
      </c>
      <c r="AE469" s="11">
        <f t="shared" si="63"/>
        <v>-33608.000000000007</v>
      </c>
    </row>
    <row r="470" spans="1:31" x14ac:dyDescent="0.3">
      <c r="A470">
        <v>18</v>
      </c>
      <c r="B470">
        <v>4794077</v>
      </c>
      <c r="C470" t="s">
        <v>217</v>
      </c>
      <c r="D470">
        <v>1079286</v>
      </c>
      <c r="E470" t="s">
        <v>629</v>
      </c>
      <c r="F470" t="s">
        <v>20</v>
      </c>
      <c r="G470" t="s">
        <v>2825</v>
      </c>
      <c r="H470" t="s">
        <v>2826</v>
      </c>
      <c r="I470" s="9" t="s">
        <v>3432</v>
      </c>
      <c r="J470" s="9">
        <v>51148405301</v>
      </c>
      <c r="K470" s="14" t="s">
        <v>3194</v>
      </c>
      <c r="L470" s="13" t="s">
        <v>3391</v>
      </c>
      <c r="M470" s="14">
        <v>1520</v>
      </c>
      <c r="N470" s="14">
        <v>21.55</v>
      </c>
      <c r="O470" s="10">
        <f t="shared" si="57"/>
        <v>32756</v>
      </c>
      <c r="P470" s="11">
        <v>0</v>
      </c>
      <c r="Q470" s="11">
        <v>0</v>
      </c>
      <c r="R470" s="10">
        <f>IF(COUNTIF($J$2:J470,J470)=1,SUMIFS($O:$O,$J:$J,J470)+SUMIFS($P:$P,$J:$J,J470)+SUMIFS($Q:$Q,$J:$J,J470),"")</f>
        <v>32756</v>
      </c>
      <c r="S470" s="10">
        <v>98380.2</v>
      </c>
      <c r="T470" s="11" t="str">
        <f t="shared" si="61"/>
        <v>Check</v>
      </c>
      <c r="U470" s="12">
        <v>45912</v>
      </c>
      <c r="V470" s="10">
        <v>112.2</v>
      </c>
      <c r="W470" s="10" t="str">
        <f t="shared" si="58"/>
        <v>Short Paid</v>
      </c>
      <c r="X470" t="s">
        <v>476</v>
      </c>
      <c r="Y470" t="s">
        <v>28</v>
      </c>
      <c r="Z470">
        <v>100275</v>
      </c>
      <c r="AA470" t="s">
        <v>492</v>
      </c>
      <c r="AB470" t="s">
        <v>521</v>
      </c>
      <c r="AC470" s="9">
        <f t="shared" si="59"/>
        <v>1</v>
      </c>
      <c r="AD470" s="9" t="str">
        <f t="shared" si="60"/>
        <v>Check</v>
      </c>
      <c r="AE470" s="11">
        <f t="shared" si="63"/>
        <v>-65624.2</v>
      </c>
    </row>
    <row r="471" spans="1:31" x14ac:dyDescent="0.3">
      <c r="A471">
        <v>18</v>
      </c>
      <c r="B471">
        <v>4802425</v>
      </c>
      <c r="C471" t="s">
        <v>217</v>
      </c>
      <c r="D471">
        <v>1079286</v>
      </c>
      <c r="E471" t="s">
        <v>629</v>
      </c>
      <c r="F471" t="s">
        <v>20</v>
      </c>
      <c r="G471" t="s">
        <v>201</v>
      </c>
      <c r="H471" t="s">
        <v>202</v>
      </c>
      <c r="I471" s="9" t="s">
        <v>3273</v>
      </c>
      <c r="J471" s="9">
        <v>51150897851</v>
      </c>
      <c r="K471" s="14" t="s">
        <v>3165</v>
      </c>
      <c r="L471" s="13" t="s">
        <v>4919</v>
      </c>
      <c r="M471" s="14">
        <v>427</v>
      </c>
      <c r="N471" s="14">
        <v>2.7210000000000001</v>
      </c>
      <c r="O471" s="10">
        <f t="shared" si="57"/>
        <v>1161.867</v>
      </c>
      <c r="P471" s="11">
        <v>0</v>
      </c>
      <c r="Q471" s="11">
        <v>479.14</v>
      </c>
      <c r="R471" s="10">
        <f>IF(COUNTIF($J$2:J471,J471)=1,SUMIFS($O:$O,$J:$J,J471)+SUMIFS($P:$P,$J:$J,J471)+SUMIFS($Q:$Q,$J:$J,J471),"")</f>
        <v>1641.0070000000001</v>
      </c>
      <c r="S471">
        <v>4162.8099999999995</v>
      </c>
      <c r="T471" s="11" t="str">
        <f t="shared" si="61"/>
        <v>Check</v>
      </c>
      <c r="U471" s="12">
        <v>45939</v>
      </c>
      <c r="V471" s="10">
        <v>3000.94</v>
      </c>
      <c r="W471" s="10" t="str">
        <f t="shared" si="58"/>
        <v>Short Paid</v>
      </c>
      <c r="X471" t="s">
        <v>476</v>
      </c>
      <c r="Y471" t="s">
        <v>28</v>
      </c>
      <c r="Z471">
        <v>100275</v>
      </c>
      <c r="AA471" t="s">
        <v>492</v>
      </c>
      <c r="AB471" t="s">
        <v>521</v>
      </c>
      <c r="AC471" s="9">
        <f t="shared" si="59"/>
        <v>1</v>
      </c>
      <c r="AD471" s="9" t="str">
        <f t="shared" si="60"/>
        <v>Check</v>
      </c>
      <c r="AE471" s="11">
        <f t="shared" si="63"/>
        <v>-2521.8029999999994</v>
      </c>
    </row>
    <row r="472" spans="1:31" x14ac:dyDescent="0.3">
      <c r="A472">
        <v>18</v>
      </c>
      <c r="B472">
        <v>4802703</v>
      </c>
      <c r="C472" t="s">
        <v>217</v>
      </c>
      <c r="D472">
        <v>1079286</v>
      </c>
      <c r="E472" t="s">
        <v>629</v>
      </c>
      <c r="F472" t="s">
        <v>20</v>
      </c>
      <c r="G472" t="s">
        <v>197</v>
      </c>
      <c r="H472" t="s">
        <v>198</v>
      </c>
      <c r="I472" s="9" t="s">
        <v>3291</v>
      </c>
      <c r="J472" s="9">
        <v>51150837760</v>
      </c>
      <c r="K472" s="14" t="s">
        <v>3165</v>
      </c>
      <c r="L472" s="13" t="s">
        <v>4919</v>
      </c>
      <c r="M472" s="14">
        <v>500</v>
      </c>
      <c r="N472" s="14">
        <v>2.7210000000000001</v>
      </c>
      <c r="O472" s="10">
        <f t="shared" si="57"/>
        <v>1360.5</v>
      </c>
      <c r="P472" s="11">
        <v>0</v>
      </c>
      <c r="Q472" s="11">
        <v>0</v>
      </c>
      <c r="R472" s="10">
        <f>IF(COUNTIF($J$2:J472,J472)=1,SUMIFS($O:$O,$J:$J,J472)+SUMIFS($P:$P,$J:$J,J472)+SUMIFS($Q:$Q,$J:$J,J472),"")</f>
        <v>1360.5</v>
      </c>
      <c r="S472">
        <v>1386.1</v>
      </c>
      <c r="T472" s="11" t="str">
        <f t="shared" si="61"/>
        <v>Check</v>
      </c>
      <c r="U472" s="12">
        <v>45939</v>
      </c>
      <c r="V472" s="10">
        <v>25.6</v>
      </c>
      <c r="W472" s="10" t="str">
        <f t="shared" si="58"/>
        <v>Short Paid</v>
      </c>
      <c r="X472" t="s">
        <v>476</v>
      </c>
      <c r="Y472" t="s">
        <v>28</v>
      </c>
      <c r="Z472">
        <v>100285</v>
      </c>
      <c r="AA472" t="s">
        <v>501</v>
      </c>
      <c r="AB472" t="s">
        <v>521</v>
      </c>
      <c r="AC472" s="9">
        <f t="shared" si="59"/>
        <v>1</v>
      </c>
      <c r="AD472" s="9" t="str">
        <f t="shared" si="60"/>
        <v>Check</v>
      </c>
      <c r="AE472" s="11">
        <f t="shared" si="63"/>
        <v>-25.599999999999909</v>
      </c>
    </row>
    <row r="473" spans="1:31" x14ac:dyDescent="0.3">
      <c r="A473">
        <v>18</v>
      </c>
      <c r="B473">
        <v>4803260</v>
      </c>
      <c r="C473" t="s">
        <v>217</v>
      </c>
      <c r="D473">
        <v>1079286</v>
      </c>
      <c r="E473" t="s">
        <v>629</v>
      </c>
      <c r="F473" t="s">
        <v>20</v>
      </c>
      <c r="G473" t="s">
        <v>192</v>
      </c>
      <c r="H473" t="s">
        <v>193</v>
      </c>
      <c r="I473" s="9" t="s">
        <v>3287</v>
      </c>
      <c r="J473" s="9">
        <v>51150837818</v>
      </c>
      <c r="K473" s="14" t="s">
        <v>3165</v>
      </c>
      <c r="L473" s="13" t="s">
        <v>4928</v>
      </c>
      <c r="M473" s="14">
        <v>5000</v>
      </c>
      <c r="N473" s="14">
        <v>1.5697000000000001</v>
      </c>
      <c r="O473" s="10">
        <f t="shared" si="57"/>
        <v>7848.5000000000009</v>
      </c>
      <c r="P473" s="11">
        <v>0</v>
      </c>
      <c r="Q473" s="11">
        <v>0</v>
      </c>
      <c r="R473" s="10">
        <f>IF(COUNTIF($J$2:J473,J473)=1,SUMIFS($O:$O,$J:$J,J473)+SUMIFS($P:$P,$J:$J,J473)+SUMIFS($Q:$Q,$J:$J,J473),"")</f>
        <v>7848.5000000000009</v>
      </c>
      <c r="S473">
        <v>7874.9</v>
      </c>
      <c r="T473" s="11" t="str">
        <f t="shared" si="61"/>
        <v>Check</v>
      </c>
      <c r="U473" s="12">
        <v>45940</v>
      </c>
      <c r="V473" s="10">
        <v>26.4</v>
      </c>
      <c r="W473" s="10" t="str">
        <f t="shared" si="58"/>
        <v>Short Paid</v>
      </c>
      <c r="X473" t="s">
        <v>476</v>
      </c>
      <c r="Y473" t="s">
        <v>28</v>
      </c>
      <c r="Z473">
        <v>100125</v>
      </c>
      <c r="AA473" t="s">
        <v>477</v>
      </c>
      <c r="AB473" t="s">
        <v>521</v>
      </c>
      <c r="AC473" s="9">
        <f t="shared" si="59"/>
        <v>1</v>
      </c>
      <c r="AD473" s="9" t="str">
        <f t="shared" si="60"/>
        <v>Check</v>
      </c>
      <c r="AE473" s="11">
        <f t="shared" si="63"/>
        <v>-26.399999999998727</v>
      </c>
    </row>
    <row r="474" spans="1:31" x14ac:dyDescent="0.3">
      <c r="A474">
        <v>18</v>
      </c>
      <c r="B474">
        <v>4803538</v>
      </c>
      <c r="C474" t="s">
        <v>217</v>
      </c>
      <c r="D474">
        <v>1079286</v>
      </c>
      <c r="E474" t="s">
        <v>629</v>
      </c>
      <c r="F474" t="s">
        <v>20</v>
      </c>
      <c r="G474" t="s">
        <v>190</v>
      </c>
      <c r="H474" t="s">
        <v>191</v>
      </c>
      <c r="I474" s="9" t="s">
        <v>3408</v>
      </c>
      <c r="J474" s="9">
        <v>51149930997</v>
      </c>
      <c r="K474" s="14" t="s">
        <v>3165</v>
      </c>
      <c r="L474" s="13" t="s">
        <v>4928</v>
      </c>
      <c r="M474" s="14">
        <v>5000</v>
      </c>
      <c r="N474" s="14">
        <v>1.5697000000000001</v>
      </c>
      <c r="O474" s="10">
        <f t="shared" si="57"/>
        <v>7848.5000000000009</v>
      </c>
      <c r="P474" s="11">
        <v>0</v>
      </c>
      <c r="Q474" s="11">
        <v>0</v>
      </c>
      <c r="R474" s="10">
        <f>IF(COUNTIF($J$2:J474,J474)=1,SUMIFS($O:$O,$J:$J,J474)+SUMIFS($P:$P,$J:$J,J474)+SUMIFS($Q:$Q,$J:$J,J474),"")</f>
        <v>7848.5000000000009</v>
      </c>
      <c r="S474">
        <v>8095.5</v>
      </c>
      <c r="T474" s="11" t="str">
        <f t="shared" si="61"/>
        <v>Check</v>
      </c>
      <c r="U474" s="12">
        <v>45943</v>
      </c>
      <c r="V474" s="10">
        <v>247</v>
      </c>
      <c r="W474" s="10" t="str">
        <f t="shared" si="58"/>
        <v>Short Paid</v>
      </c>
      <c r="X474" t="s">
        <v>476</v>
      </c>
      <c r="Y474" t="s">
        <v>28</v>
      </c>
      <c r="Z474">
        <v>100155</v>
      </c>
      <c r="AA474" t="s">
        <v>3072</v>
      </c>
      <c r="AB474" t="s">
        <v>521</v>
      </c>
      <c r="AC474" s="9">
        <f t="shared" si="59"/>
        <v>1</v>
      </c>
      <c r="AD474" s="9" t="str">
        <f t="shared" si="60"/>
        <v>Check</v>
      </c>
      <c r="AE474" s="11">
        <f t="shared" si="63"/>
        <v>-246.99999999999909</v>
      </c>
    </row>
    <row r="475" spans="1:31" x14ac:dyDescent="0.3">
      <c r="A475">
        <v>18</v>
      </c>
      <c r="B475">
        <v>4803817</v>
      </c>
      <c r="C475" t="s">
        <v>217</v>
      </c>
      <c r="D475">
        <v>1079286</v>
      </c>
      <c r="E475" t="s">
        <v>629</v>
      </c>
      <c r="F475" t="s">
        <v>20</v>
      </c>
      <c r="G475" t="s">
        <v>194</v>
      </c>
      <c r="H475" t="s">
        <v>195</v>
      </c>
      <c r="I475" s="9" t="s">
        <v>3217</v>
      </c>
      <c r="J475" s="9">
        <v>51150887836</v>
      </c>
      <c r="K475" s="14" t="s">
        <v>3165</v>
      </c>
      <c r="L475" s="13" t="s">
        <v>4928</v>
      </c>
      <c r="M475" s="14">
        <v>5000</v>
      </c>
      <c r="N475" s="14">
        <v>1.5697000000000001</v>
      </c>
      <c r="O475" s="10">
        <f t="shared" si="57"/>
        <v>7848.5000000000009</v>
      </c>
      <c r="P475" s="11">
        <v>0</v>
      </c>
      <c r="Q475" s="11">
        <v>0</v>
      </c>
      <c r="R475" s="10">
        <f>IF(COUNTIF($J$2:J475,J475)=1,SUMIFS($O:$O,$J:$J,J475)+SUMIFS($P:$P,$J:$J,J475)+SUMIFS($Q:$Q,$J:$J,J475),"")</f>
        <v>7848.5000000000009</v>
      </c>
      <c r="S475">
        <v>8037.5</v>
      </c>
      <c r="T475" s="11" t="str">
        <f t="shared" si="61"/>
        <v>Check</v>
      </c>
      <c r="U475" s="12">
        <v>45944</v>
      </c>
      <c r="V475" s="10">
        <v>189</v>
      </c>
      <c r="W475" s="10" t="str">
        <f t="shared" si="58"/>
        <v>Short Paid</v>
      </c>
      <c r="X475" t="s">
        <v>476</v>
      </c>
      <c r="Y475" t="s">
        <v>28</v>
      </c>
      <c r="Z475">
        <v>100165</v>
      </c>
      <c r="AA475" t="s">
        <v>3100</v>
      </c>
      <c r="AB475" t="s">
        <v>521</v>
      </c>
      <c r="AC475" s="9">
        <f t="shared" si="59"/>
        <v>1</v>
      </c>
      <c r="AD475" s="9" t="str">
        <f t="shared" si="60"/>
        <v>Check</v>
      </c>
      <c r="AE475" s="11">
        <f t="shared" si="63"/>
        <v>-188.99999999999909</v>
      </c>
    </row>
    <row r="476" spans="1:31" x14ac:dyDescent="0.3">
      <c r="A476">
        <v>18</v>
      </c>
      <c r="B476">
        <v>4804651</v>
      </c>
      <c r="C476" t="s">
        <v>217</v>
      </c>
      <c r="D476">
        <v>1079286</v>
      </c>
      <c r="E476" t="s">
        <v>629</v>
      </c>
      <c r="F476" t="s">
        <v>20</v>
      </c>
      <c r="G476" t="s">
        <v>2828</v>
      </c>
      <c r="H476" t="s">
        <v>196</v>
      </c>
      <c r="I476" s="9" t="s">
        <v>3208</v>
      </c>
      <c r="J476" s="9">
        <v>51153495433</v>
      </c>
      <c r="K476" s="14" t="s">
        <v>3165</v>
      </c>
      <c r="L476" s="13" t="s">
        <v>4928</v>
      </c>
      <c r="M476" s="14">
        <v>1726</v>
      </c>
      <c r="N476" s="14">
        <v>1.5697000000000001</v>
      </c>
      <c r="O476" s="10">
        <f t="shared" si="57"/>
        <v>2709.3022000000001</v>
      </c>
      <c r="P476" s="11">
        <v>0</v>
      </c>
      <c r="Q476" s="11">
        <v>0</v>
      </c>
      <c r="R476" s="10">
        <f>IF(COUNTIF($J$2:J476,J476)=1,SUMIFS($O:$O,$J:$J,J476)+SUMIFS($P:$P,$J:$J,J476)+SUMIFS($Q:$Q,$J:$J,J476),"")</f>
        <v>2709.3022000000001</v>
      </c>
      <c r="S476">
        <v>2741.3</v>
      </c>
      <c r="T476" s="11" t="str">
        <f t="shared" si="61"/>
        <v>Check</v>
      </c>
      <c r="U476" s="12">
        <v>45945</v>
      </c>
      <c r="V476" s="10">
        <v>32</v>
      </c>
      <c r="W476" s="10" t="str">
        <f t="shared" si="58"/>
        <v>Short Paid</v>
      </c>
      <c r="X476" t="s">
        <v>476</v>
      </c>
      <c r="Y476" t="s">
        <v>28</v>
      </c>
      <c r="Z476">
        <v>100235</v>
      </c>
      <c r="AA476" t="s">
        <v>509</v>
      </c>
      <c r="AB476" t="s">
        <v>521</v>
      </c>
      <c r="AC476" s="9">
        <f t="shared" si="59"/>
        <v>1</v>
      </c>
      <c r="AD476" s="9" t="str">
        <f t="shared" si="60"/>
        <v>Check</v>
      </c>
      <c r="AE476" s="11">
        <f t="shared" ref="AE476:AE488" si="64">R476-S476</f>
        <v>-31.997800000000097</v>
      </c>
    </row>
    <row r="477" spans="1:31" x14ac:dyDescent="0.3">
      <c r="A477">
        <v>18</v>
      </c>
      <c r="B477">
        <v>4806321</v>
      </c>
      <c r="C477" t="s">
        <v>217</v>
      </c>
      <c r="D477">
        <v>1079286</v>
      </c>
      <c r="E477" t="s">
        <v>629</v>
      </c>
      <c r="F477" t="s">
        <v>20</v>
      </c>
      <c r="G477" t="s">
        <v>173</v>
      </c>
      <c r="H477" t="s">
        <v>174</v>
      </c>
      <c r="I477" s="9" t="s">
        <v>3218</v>
      </c>
      <c r="J477" s="9">
        <v>51155349947</v>
      </c>
      <c r="K477" s="14" t="s">
        <v>3165</v>
      </c>
      <c r="L477" s="13" t="s">
        <v>4928</v>
      </c>
      <c r="M477" s="14">
        <v>4999</v>
      </c>
      <c r="N477" s="14">
        <v>1.5797000000000001</v>
      </c>
      <c r="O477" s="10">
        <f t="shared" si="57"/>
        <v>7896.9203000000007</v>
      </c>
      <c r="P477" s="11">
        <v>0</v>
      </c>
      <c r="Q477" s="11">
        <v>0</v>
      </c>
      <c r="R477" s="10">
        <f>IF(COUNTIF($J$2:J477,J477)=1,SUMIFS($O:$O,$J:$J,J477)+SUMIFS($P:$P,$J:$J,J477)+SUMIFS($Q:$Q,$J:$J,J477),"")</f>
        <v>7896.9203000000007</v>
      </c>
      <c r="S477">
        <v>9649.67</v>
      </c>
      <c r="T477" s="11" t="str">
        <f t="shared" si="61"/>
        <v>Check</v>
      </c>
      <c r="U477" s="12">
        <v>45946</v>
      </c>
      <c r="V477" s="10">
        <v>1752.75</v>
      </c>
      <c r="W477" s="10" t="str">
        <f t="shared" si="58"/>
        <v>Short Paid</v>
      </c>
      <c r="X477" t="s">
        <v>476</v>
      </c>
      <c r="Y477" t="s">
        <v>28</v>
      </c>
      <c r="Z477">
        <v>100155</v>
      </c>
      <c r="AA477" t="s">
        <v>3072</v>
      </c>
      <c r="AB477" t="s">
        <v>521</v>
      </c>
      <c r="AC477" s="9">
        <f t="shared" si="59"/>
        <v>1</v>
      </c>
      <c r="AD477" s="9" t="str">
        <f t="shared" si="60"/>
        <v>Check</v>
      </c>
      <c r="AE477" s="11">
        <f t="shared" si="64"/>
        <v>-1752.7496999999994</v>
      </c>
    </row>
    <row r="478" spans="1:31" x14ac:dyDescent="0.3">
      <c r="A478">
        <v>18</v>
      </c>
      <c r="B478">
        <v>4806599</v>
      </c>
      <c r="C478" t="s">
        <v>217</v>
      </c>
      <c r="D478">
        <v>1079286</v>
      </c>
      <c r="E478" t="s">
        <v>629</v>
      </c>
      <c r="F478" t="s">
        <v>20</v>
      </c>
      <c r="G478" t="s">
        <v>2829</v>
      </c>
      <c r="H478" t="s">
        <v>2830</v>
      </c>
      <c r="I478" s="9" t="s">
        <v>3453</v>
      </c>
      <c r="J478" s="9">
        <v>51155349966</v>
      </c>
      <c r="K478" s="14" t="s">
        <v>3314</v>
      </c>
      <c r="L478" s="13" t="s">
        <v>3558</v>
      </c>
      <c r="M478" s="14">
        <v>10000</v>
      </c>
      <c r="N478" s="14">
        <v>0.1401</v>
      </c>
      <c r="O478" s="10">
        <f t="shared" si="57"/>
        <v>1401</v>
      </c>
      <c r="P478" s="11">
        <v>0</v>
      </c>
      <c r="Q478" s="11">
        <v>0</v>
      </c>
      <c r="R478" s="10">
        <f>IF(COUNTIF($J$2:J478,J478)=1,SUMIFS($O:$O,$J:$J,J478)+SUMIFS($P:$P,$J:$J,J478)+SUMIFS($Q:$Q,$J:$J,J478),"")</f>
        <v>1401</v>
      </c>
      <c r="S478" s="10">
        <v>1401</v>
      </c>
      <c r="T478" s="11" t="str">
        <f t="shared" si="61"/>
        <v>Ok</v>
      </c>
      <c r="U478" s="12">
        <v>45950</v>
      </c>
      <c r="V478" s="10">
        <v>1401</v>
      </c>
      <c r="W478" s="10" t="str">
        <f t="shared" si="58"/>
        <v>Not Paid</v>
      </c>
      <c r="X478" t="s">
        <v>476</v>
      </c>
      <c r="Y478" t="s">
        <v>28</v>
      </c>
      <c r="Z478">
        <v>100165</v>
      </c>
      <c r="AA478" t="s">
        <v>3100</v>
      </c>
      <c r="AB478" t="s">
        <v>521</v>
      </c>
      <c r="AC478" s="9">
        <f t="shared" si="59"/>
        <v>1</v>
      </c>
      <c r="AD478" s="9" t="str">
        <f t="shared" si="60"/>
        <v>Ok</v>
      </c>
      <c r="AE478" s="11">
        <f t="shared" si="64"/>
        <v>0</v>
      </c>
    </row>
    <row r="479" spans="1:31" x14ac:dyDescent="0.3">
      <c r="A479">
        <v>18</v>
      </c>
      <c r="B479">
        <v>4807712</v>
      </c>
      <c r="C479" t="s">
        <v>217</v>
      </c>
      <c r="D479">
        <v>1079286</v>
      </c>
      <c r="E479" t="s">
        <v>629</v>
      </c>
      <c r="F479" t="s">
        <v>20</v>
      </c>
      <c r="G479" t="s">
        <v>2831</v>
      </c>
      <c r="H479" t="s">
        <v>2832</v>
      </c>
      <c r="I479" s="9" t="s">
        <v>3423</v>
      </c>
      <c r="J479" s="9">
        <v>51155349932</v>
      </c>
      <c r="K479" s="14" t="s">
        <v>3389</v>
      </c>
      <c r="L479" s="13" t="s">
        <v>3557</v>
      </c>
      <c r="M479" s="14">
        <v>10000</v>
      </c>
      <c r="N479" s="14">
        <v>2.5899999999999999E-2</v>
      </c>
      <c r="O479" s="10">
        <f t="shared" si="57"/>
        <v>259</v>
      </c>
      <c r="P479" s="11">
        <v>0</v>
      </c>
      <c r="Q479" s="11">
        <v>0</v>
      </c>
      <c r="R479" s="10">
        <f>IF(COUNTIF($J$2:J479,J479)=1,SUMIFS($O:$O,$J:$J,J479)+SUMIFS($P:$P,$J:$J,J479)+SUMIFS($Q:$Q,$J:$J,J479),"")</f>
        <v>259</v>
      </c>
      <c r="S479" s="10">
        <v>259</v>
      </c>
      <c r="T479" s="11" t="str">
        <f t="shared" si="61"/>
        <v>Ok</v>
      </c>
      <c r="U479" s="12">
        <v>45953</v>
      </c>
      <c r="V479" s="10">
        <v>259</v>
      </c>
      <c r="W479" s="10" t="str">
        <f t="shared" si="58"/>
        <v>Not Paid</v>
      </c>
      <c r="X479" t="s">
        <v>476</v>
      </c>
      <c r="Y479" t="s">
        <v>28</v>
      </c>
      <c r="Z479">
        <v>100245</v>
      </c>
      <c r="AA479" t="s">
        <v>507</v>
      </c>
      <c r="AB479" t="s">
        <v>521</v>
      </c>
      <c r="AC479" s="9">
        <f t="shared" si="59"/>
        <v>1</v>
      </c>
      <c r="AD479" s="9" t="str">
        <f t="shared" si="60"/>
        <v>Ok</v>
      </c>
      <c r="AE479" s="11">
        <f t="shared" si="64"/>
        <v>0</v>
      </c>
    </row>
    <row r="480" spans="1:31" x14ac:dyDescent="0.3">
      <c r="A480">
        <v>18</v>
      </c>
      <c r="B480">
        <v>4807991</v>
      </c>
      <c r="C480" t="s">
        <v>217</v>
      </c>
      <c r="D480">
        <v>1079286</v>
      </c>
      <c r="E480" t="s">
        <v>629</v>
      </c>
      <c r="F480" t="s">
        <v>20</v>
      </c>
      <c r="G480" t="s">
        <v>2833</v>
      </c>
      <c r="H480" t="s">
        <v>2834</v>
      </c>
      <c r="I480" s="9" t="s">
        <v>3322</v>
      </c>
      <c r="J480" s="9">
        <v>51155334151</v>
      </c>
      <c r="K480" s="14" t="s">
        <v>3556</v>
      </c>
      <c r="L480" s="13" t="s">
        <v>3555</v>
      </c>
      <c r="M480" s="14">
        <v>2700</v>
      </c>
      <c r="N480" s="14">
        <v>0.28499999999999998</v>
      </c>
      <c r="O480" s="10">
        <f t="shared" si="57"/>
        <v>769.49999999999989</v>
      </c>
      <c r="P480" s="11">
        <v>0</v>
      </c>
      <c r="Q480" s="11">
        <v>0</v>
      </c>
      <c r="R480" s="10">
        <f>IF(COUNTIF($J$2:J480,J480)=1,SUMIFS($O:$O,$J:$J,J480)+SUMIFS($P:$P,$J:$J,J480)+SUMIFS($Q:$Q,$J:$J,J480),"")</f>
        <v>769.49999999999989</v>
      </c>
      <c r="S480" s="10">
        <v>769.5</v>
      </c>
      <c r="T480" s="11" t="str">
        <f t="shared" si="61"/>
        <v>Ok</v>
      </c>
      <c r="U480" s="12">
        <v>45953</v>
      </c>
      <c r="V480" s="10">
        <v>769.5</v>
      </c>
      <c r="W480" s="10" t="str">
        <f t="shared" si="58"/>
        <v>Not Paid</v>
      </c>
      <c r="X480" t="s">
        <v>476</v>
      </c>
      <c r="Y480" t="s">
        <v>28</v>
      </c>
      <c r="Z480">
        <v>100275</v>
      </c>
      <c r="AA480" t="s">
        <v>492</v>
      </c>
      <c r="AB480" t="s">
        <v>521</v>
      </c>
      <c r="AC480" s="9">
        <f t="shared" si="59"/>
        <v>1</v>
      </c>
      <c r="AD480" s="9" t="str">
        <f t="shared" si="60"/>
        <v>Ok</v>
      </c>
      <c r="AE480" s="11">
        <f t="shared" si="64"/>
        <v>0</v>
      </c>
    </row>
    <row r="481" spans="1:31" x14ac:dyDescent="0.3">
      <c r="A481">
        <v>18</v>
      </c>
      <c r="B481">
        <v>4812722</v>
      </c>
      <c r="C481" t="s">
        <v>217</v>
      </c>
      <c r="D481">
        <v>1079286</v>
      </c>
      <c r="E481" t="s">
        <v>629</v>
      </c>
      <c r="F481" t="s">
        <v>20</v>
      </c>
      <c r="G481" t="s">
        <v>2835</v>
      </c>
      <c r="H481" t="s">
        <v>2836</v>
      </c>
      <c r="I481" s="9" t="s">
        <v>3498</v>
      </c>
      <c r="J481" s="9">
        <v>51153431684</v>
      </c>
      <c r="K481" s="14" t="s">
        <v>3375</v>
      </c>
      <c r="L481" s="13" t="s">
        <v>3380</v>
      </c>
      <c r="M481" s="14">
        <v>2500</v>
      </c>
      <c r="N481" s="14">
        <v>0.27429999999999999</v>
      </c>
      <c r="O481" s="10">
        <f t="shared" si="57"/>
        <v>685.75</v>
      </c>
      <c r="P481" s="11">
        <v>0</v>
      </c>
      <c r="Q481" s="11">
        <v>0</v>
      </c>
      <c r="R481" s="10">
        <f>IF(COUNTIF($J$2:J481,J481)=1,SUMIFS($O:$O,$J:$J,J481)+SUMIFS($P:$P,$J:$J,J481)+SUMIFS($Q:$Q,$J:$J,J481),"")</f>
        <v>685.75</v>
      </c>
      <c r="S481" s="10">
        <v>2321.25</v>
      </c>
      <c r="T481" s="11" t="str">
        <f t="shared" si="61"/>
        <v>Check</v>
      </c>
      <c r="U481" s="12">
        <v>45966</v>
      </c>
      <c r="V481" s="10">
        <v>264</v>
      </c>
      <c r="W481" s="10" t="str">
        <f t="shared" si="58"/>
        <v>Short Paid</v>
      </c>
      <c r="X481" t="s">
        <v>476</v>
      </c>
      <c r="Y481" t="s">
        <v>28</v>
      </c>
      <c r="Z481">
        <v>100205</v>
      </c>
      <c r="AA481" t="s">
        <v>3075</v>
      </c>
      <c r="AB481" t="s">
        <v>521</v>
      </c>
      <c r="AC481" s="9">
        <f t="shared" si="59"/>
        <v>1</v>
      </c>
      <c r="AD481" s="9" t="str">
        <f t="shared" si="60"/>
        <v>Check</v>
      </c>
      <c r="AE481" s="11">
        <f t="shared" si="64"/>
        <v>-1635.5</v>
      </c>
    </row>
    <row r="482" spans="1:31" x14ac:dyDescent="0.3">
      <c r="A482">
        <v>18</v>
      </c>
      <c r="B482">
        <v>4815783</v>
      </c>
      <c r="C482" t="s">
        <v>217</v>
      </c>
      <c r="D482">
        <v>1079286</v>
      </c>
      <c r="E482" t="s">
        <v>629</v>
      </c>
      <c r="F482" t="s">
        <v>20</v>
      </c>
      <c r="G482" t="s">
        <v>2837</v>
      </c>
      <c r="H482" t="s">
        <v>2838</v>
      </c>
      <c r="I482" s="9" t="s">
        <v>3419</v>
      </c>
      <c r="J482" s="9">
        <v>51153340893</v>
      </c>
      <c r="K482" s="14" t="s">
        <v>3209</v>
      </c>
      <c r="L482" s="13" t="s">
        <v>3235</v>
      </c>
      <c r="M482" s="14">
        <v>15000</v>
      </c>
      <c r="N482" s="14">
        <v>1.5599999999999999E-2</v>
      </c>
      <c r="O482" s="10">
        <f t="shared" si="57"/>
        <v>234</v>
      </c>
      <c r="P482" s="11">
        <v>38.61</v>
      </c>
      <c r="Q482" s="11">
        <v>0</v>
      </c>
      <c r="R482" s="10">
        <f>IF(COUNTIF($J$2:J482,J482)=1,SUMIFS($O:$O,$J:$J,J482)+SUMIFS($P:$P,$J:$J,J482)+SUMIFS($Q:$Q,$J:$J,J482),"")</f>
        <v>272.61</v>
      </c>
      <c r="S482" s="10">
        <v>572.61</v>
      </c>
      <c r="T482" s="11" t="str">
        <f t="shared" si="61"/>
        <v>Check</v>
      </c>
      <c r="U482" s="12">
        <v>45972</v>
      </c>
      <c r="V482" s="10">
        <v>66</v>
      </c>
      <c r="W482" s="10" t="str">
        <f t="shared" si="58"/>
        <v>Short Paid</v>
      </c>
      <c r="X482" t="s">
        <v>476</v>
      </c>
      <c r="Y482" t="s">
        <v>28</v>
      </c>
      <c r="Z482">
        <v>100235</v>
      </c>
      <c r="AA482" t="s">
        <v>509</v>
      </c>
      <c r="AB482" t="s">
        <v>521</v>
      </c>
      <c r="AC482" s="9">
        <f t="shared" si="59"/>
        <v>1</v>
      </c>
      <c r="AD482" s="9" t="str">
        <f t="shared" si="60"/>
        <v>Check</v>
      </c>
      <c r="AE482" s="11">
        <f t="shared" si="64"/>
        <v>-300</v>
      </c>
    </row>
    <row r="483" spans="1:31" x14ac:dyDescent="0.3">
      <c r="A483">
        <v>18</v>
      </c>
      <c r="B483">
        <v>4818287</v>
      </c>
      <c r="C483" t="s">
        <v>217</v>
      </c>
      <c r="D483">
        <v>1079286</v>
      </c>
      <c r="E483" t="s">
        <v>629</v>
      </c>
      <c r="F483" t="s">
        <v>20</v>
      </c>
      <c r="G483" t="s">
        <v>2839</v>
      </c>
      <c r="H483" t="s">
        <v>2840</v>
      </c>
      <c r="I483" s="9" t="s">
        <v>3239</v>
      </c>
      <c r="J483" s="9">
        <v>51153311864</v>
      </c>
      <c r="K483" s="14" t="s">
        <v>3246</v>
      </c>
      <c r="L483" s="13" t="s">
        <v>3533</v>
      </c>
      <c r="M483" s="14">
        <v>1000</v>
      </c>
      <c r="N483" s="14">
        <v>0.505</v>
      </c>
      <c r="O483" s="10">
        <f t="shared" si="57"/>
        <v>505</v>
      </c>
      <c r="P483" s="11">
        <v>0</v>
      </c>
      <c r="Q483" s="11">
        <v>0</v>
      </c>
      <c r="R483" s="10">
        <f>IF(COUNTIF($J$2:J483,J483)=1,SUMIFS($O:$O,$J:$J,J483)+SUMIFS($P:$P,$J:$J,J483)+SUMIFS($Q:$Q,$J:$J,J483),"")</f>
        <v>505</v>
      </c>
      <c r="S483" s="10">
        <v>1442</v>
      </c>
      <c r="T483" s="11" t="str">
        <f t="shared" si="61"/>
        <v>Check</v>
      </c>
      <c r="U483" s="12">
        <v>45982</v>
      </c>
      <c r="V483" s="10">
        <v>432</v>
      </c>
      <c r="W483" s="10" t="str">
        <f t="shared" si="58"/>
        <v>Short Paid</v>
      </c>
      <c r="X483" t="s">
        <v>476</v>
      </c>
      <c r="Y483" t="s">
        <v>28</v>
      </c>
      <c r="Z483">
        <v>100205</v>
      </c>
      <c r="AA483" t="s">
        <v>3075</v>
      </c>
      <c r="AB483" t="s">
        <v>521</v>
      </c>
      <c r="AC483" s="9">
        <f t="shared" si="59"/>
        <v>1</v>
      </c>
      <c r="AD483" s="9" t="str">
        <f t="shared" si="60"/>
        <v>Check</v>
      </c>
      <c r="AE483" s="11">
        <f t="shared" si="64"/>
        <v>-937</v>
      </c>
    </row>
    <row r="484" spans="1:31" x14ac:dyDescent="0.3">
      <c r="A484">
        <v>18</v>
      </c>
      <c r="B484">
        <v>4828027</v>
      </c>
      <c r="C484" t="s">
        <v>217</v>
      </c>
      <c r="D484">
        <v>1079286</v>
      </c>
      <c r="E484" t="s">
        <v>629</v>
      </c>
      <c r="F484" t="s">
        <v>20</v>
      </c>
      <c r="G484" t="s">
        <v>199</v>
      </c>
      <c r="H484" t="s">
        <v>200</v>
      </c>
      <c r="I484" s="9" t="s">
        <v>3399</v>
      </c>
      <c r="J484" s="9">
        <v>51156341639</v>
      </c>
      <c r="K484" s="14" t="s">
        <v>3165</v>
      </c>
      <c r="L484" s="13" t="s">
        <v>4957</v>
      </c>
      <c r="M484" s="14">
        <v>1000</v>
      </c>
      <c r="N484" s="14">
        <v>2.7319</v>
      </c>
      <c r="O484" s="10">
        <f t="shared" si="57"/>
        <v>2731.9</v>
      </c>
      <c r="P484" s="11">
        <v>0</v>
      </c>
      <c r="Q484" s="11">
        <v>0</v>
      </c>
      <c r="R484" s="10">
        <f>IF(COUNTIF($J$2:J484,J484)=1,SUMIFS($O:$O,$J:$J,J484)+SUMIFS($P:$P,$J:$J,J484)+SUMIFS($Q:$Q,$J:$J,J484),"")</f>
        <v>2731.9</v>
      </c>
      <c r="S484">
        <v>4270.8999999999996</v>
      </c>
      <c r="T484" s="11" t="str">
        <f t="shared" si="61"/>
        <v>Check</v>
      </c>
      <c r="U484" s="12">
        <v>45986</v>
      </c>
      <c r="V484" s="10">
        <v>1539</v>
      </c>
      <c r="W484" s="10" t="str">
        <f t="shared" si="58"/>
        <v>Short Paid</v>
      </c>
      <c r="X484" t="s">
        <v>476</v>
      </c>
      <c r="Y484" t="s">
        <v>28</v>
      </c>
      <c r="Z484">
        <v>100115</v>
      </c>
      <c r="AA484" t="s">
        <v>504</v>
      </c>
      <c r="AB484" t="s">
        <v>521</v>
      </c>
      <c r="AC484" s="9">
        <f t="shared" si="59"/>
        <v>1</v>
      </c>
      <c r="AD484" s="9" t="str">
        <f t="shared" si="60"/>
        <v>Check</v>
      </c>
      <c r="AE484" s="11">
        <f t="shared" si="64"/>
        <v>-1538.9999999999995</v>
      </c>
    </row>
    <row r="485" spans="1:31" x14ac:dyDescent="0.3">
      <c r="A485">
        <v>18</v>
      </c>
      <c r="B485">
        <v>4819122</v>
      </c>
      <c r="C485" t="s">
        <v>217</v>
      </c>
      <c r="D485">
        <v>1079286</v>
      </c>
      <c r="E485" t="s">
        <v>629</v>
      </c>
      <c r="F485" t="s">
        <v>20</v>
      </c>
      <c r="G485" t="s">
        <v>2841</v>
      </c>
      <c r="H485" t="s">
        <v>205</v>
      </c>
      <c r="I485" s="9" t="s">
        <v>3524</v>
      </c>
      <c r="J485" s="9">
        <v>51157157041</v>
      </c>
      <c r="K485" s="14" t="s">
        <v>3165</v>
      </c>
      <c r="L485" s="13" t="s">
        <v>4957</v>
      </c>
      <c r="M485" s="14">
        <v>809</v>
      </c>
      <c r="N485" s="14">
        <v>2.7319</v>
      </c>
      <c r="O485" s="10">
        <f t="shared" si="57"/>
        <v>2210.1071000000002</v>
      </c>
      <c r="P485" s="11">
        <v>168.99</v>
      </c>
      <c r="Q485" s="11">
        <v>0</v>
      </c>
      <c r="R485" s="10">
        <f>IF(COUNTIF($J$2:J485,J485)=1,SUMIFS($O:$O,$J:$J,J485)+SUMIFS($P:$P,$J:$J,J485)+SUMIFS($Q:$Q,$J:$J,J485),"")</f>
        <v>2379.0971</v>
      </c>
      <c r="S485">
        <v>3780.1</v>
      </c>
      <c r="T485" s="11" t="str">
        <f t="shared" si="61"/>
        <v>Check</v>
      </c>
      <c r="U485" s="12">
        <v>45987</v>
      </c>
      <c r="V485" s="10">
        <v>1401</v>
      </c>
      <c r="W485" s="10" t="str">
        <f t="shared" si="58"/>
        <v>Short Paid</v>
      </c>
      <c r="X485" t="s">
        <v>476</v>
      </c>
      <c r="Y485" t="s">
        <v>28</v>
      </c>
      <c r="Z485">
        <v>100275</v>
      </c>
      <c r="AA485" t="s">
        <v>492</v>
      </c>
      <c r="AB485" t="s">
        <v>521</v>
      </c>
      <c r="AC485" s="9">
        <f t="shared" si="59"/>
        <v>1</v>
      </c>
      <c r="AD485" s="9" t="str">
        <f t="shared" si="60"/>
        <v>Check</v>
      </c>
      <c r="AE485" s="11">
        <f t="shared" si="64"/>
        <v>-1401.0029</v>
      </c>
    </row>
    <row r="486" spans="1:31" x14ac:dyDescent="0.3">
      <c r="A486">
        <v>18</v>
      </c>
      <c r="B486">
        <v>4829140</v>
      </c>
      <c r="C486" t="s">
        <v>217</v>
      </c>
      <c r="D486">
        <v>1079286</v>
      </c>
      <c r="E486" t="s">
        <v>629</v>
      </c>
      <c r="F486" t="s">
        <v>20</v>
      </c>
      <c r="G486" t="s">
        <v>206</v>
      </c>
      <c r="H486" t="s">
        <v>207</v>
      </c>
      <c r="I486" s="9" t="s">
        <v>3285</v>
      </c>
      <c r="J486" s="9">
        <v>51156905235</v>
      </c>
      <c r="K486" s="14" t="s">
        <v>3165</v>
      </c>
      <c r="L486" s="13" t="s">
        <v>4632</v>
      </c>
      <c r="M486" s="14">
        <v>1800</v>
      </c>
      <c r="N486" s="14">
        <v>3.5575000000000001</v>
      </c>
      <c r="O486" s="10">
        <f t="shared" si="57"/>
        <v>6403.5</v>
      </c>
      <c r="P486" s="11">
        <v>0</v>
      </c>
      <c r="Q486" s="11">
        <v>0</v>
      </c>
      <c r="R486" s="10">
        <f>IF(COUNTIF($J$2:J486,J486)=1,SUMIFS($O:$O,$J:$J,J486)+SUMIFS($P:$P,$J:$J,J486)+SUMIFS($Q:$Q,$J:$J,J486),"")</f>
        <v>6403.5</v>
      </c>
      <c r="S486">
        <v>7303.5</v>
      </c>
      <c r="T486" s="11" t="str">
        <f t="shared" si="61"/>
        <v>Check</v>
      </c>
      <c r="U486" s="12">
        <v>45993</v>
      </c>
      <c r="V486" s="10">
        <v>900</v>
      </c>
      <c r="W486" s="10" t="str">
        <f t="shared" si="58"/>
        <v>Short Paid</v>
      </c>
      <c r="X486" t="s">
        <v>476</v>
      </c>
      <c r="Y486" t="s">
        <v>28</v>
      </c>
      <c r="Z486">
        <v>100195</v>
      </c>
      <c r="AA486" t="s">
        <v>3070</v>
      </c>
      <c r="AB486" t="s">
        <v>521</v>
      </c>
      <c r="AC486" s="9">
        <f t="shared" si="59"/>
        <v>1</v>
      </c>
      <c r="AD486" s="9" t="str">
        <f t="shared" si="60"/>
        <v>Check</v>
      </c>
      <c r="AE486" s="11">
        <f t="shared" si="64"/>
        <v>-900</v>
      </c>
    </row>
    <row r="487" spans="1:31" x14ac:dyDescent="0.3">
      <c r="A487">
        <v>18</v>
      </c>
      <c r="B487">
        <v>4820792</v>
      </c>
      <c r="C487" t="s">
        <v>217</v>
      </c>
      <c r="D487">
        <v>1079286</v>
      </c>
      <c r="E487" t="s">
        <v>629</v>
      </c>
      <c r="F487" t="s">
        <v>20</v>
      </c>
      <c r="G487" t="s">
        <v>2844</v>
      </c>
      <c r="H487" t="s">
        <v>181</v>
      </c>
      <c r="I487" s="9" t="s">
        <v>3195</v>
      </c>
      <c r="J487" s="9">
        <v>51153602995</v>
      </c>
      <c r="K487" s="14" t="s">
        <v>3165</v>
      </c>
      <c r="L487" s="13" t="s">
        <v>4928</v>
      </c>
      <c r="M487" s="14">
        <v>1500</v>
      </c>
      <c r="N487" s="14">
        <v>1.5697000000000001</v>
      </c>
      <c r="O487" s="10">
        <f t="shared" si="57"/>
        <v>2354.5500000000002</v>
      </c>
      <c r="P487" s="11">
        <v>0</v>
      </c>
      <c r="Q487" s="11">
        <v>0</v>
      </c>
      <c r="R487" s="10">
        <f>IF(COUNTIF($J$2:J487,J487)=1,SUMIFS($O:$O,$J:$J,J487)+SUMIFS($P:$P,$J:$J,J487)+SUMIFS($Q:$Q,$J:$J,J487),"")</f>
        <v>2354.5500000000002</v>
      </c>
      <c r="S487">
        <v>3119.55</v>
      </c>
      <c r="T487" s="11" t="str">
        <f t="shared" si="61"/>
        <v>Check</v>
      </c>
      <c r="U487" s="12">
        <v>46000</v>
      </c>
      <c r="V487" s="10">
        <v>765</v>
      </c>
      <c r="W487" s="10" t="str">
        <f t="shared" si="58"/>
        <v>Short Paid</v>
      </c>
      <c r="X487" t="s">
        <v>476</v>
      </c>
      <c r="Y487" t="s">
        <v>28</v>
      </c>
      <c r="Z487">
        <v>100195</v>
      </c>
      <c r="AA487" t="s">
        <v>3070</v>
      </c>
      <c r="AB487" t="s">
        <v>521</v>
      </c>
      <c r="AC487" s="9">
        <f t="shared" si="59"/>
        <v>1</v>
      </c>
      <c r="AD487" s="9" t="str">
        <f t="shared" si="60"/>
        <v>Check</v>
      </c>
      <c r="AE487" s="11">
        <f t="shared" si="64"/>
        <v>-765</v>
      </c>
    </row>
    <row r="488" spans="1:31" x14ac:dyDescent="0.3">
      <c r="A488">
        <v>18</v>
      </c>
      <c r="B488">
        <v>4821070</v>
      </c>
      <c r="C488" t="s">
        <v>217</v>
      </c>
      <c r="D488">
        <v>1079286</v>
      </c>
      <c r="E488" t="s">
        <v>629</v>
      </c>
      <c r="F488" t="s">
        <v>20</v>
      </c>
      <c r="G488" t="s">
        <v>2845</v>
      </c>
      <c r="H488" t="s">
        <v>164</v>
      </c>
      <c r="I488" s="9" t="s">
        <v>3462</v>
      </c>
      <c r="J488" s="9">
        <v>51153269884</v>
      </c>
      <c r="K488" s="14" t="s">
        <v>3165</v>
      </c>
      <c r="L488" s="13" t="s">
        <v>4928</v>
      </c>
      <c r="M488" s="14">
        <v>500</v>
      </c>
      <c r="N488" s="14">
        <v>2.5546600000000002</v>
      </c>
      <c r="O488" s="10">
        <f t="shared" si="57"/>
        <v>1277.3300000000002</v>
      </c>
      <c r="P488" s="11">
        <v>0</v>
      </c>
      <c r="Q488" s="11">
        <v>0</v>
      </c>
      <c r="R488" s="10">
        <f>IF(COUNTIF($J$2:J488,J488)=1,SUMIFS($O:$O,$J:$J,J488)+SUMIFS($P:$P,$J:$J,J488)+SUMIFS($Q:$Q,$J:$J,J488),"")</f>
        <v>1277.3300000000002</v>
      </c>
      <c r="S488">
        <v>1787.33</v>
      </c>
      <c r="T488" s="11" t="str">
        <f t="shared" si="61"/>
        <v>Check</v>
      </c>
      <c r="U488" s="12">
        <v>46000</v>
      </c>
      <c r="V488" s="10">
        <v>510</v>
      </c>
      <c r="W488" s="10" t="str">
        <f t="shared" si="58"/>
        <v>Short Paid</v>
      </c>
      <c r="X488" t="s">
        <v>476</v>
      </c>
      <c r="Y488" t="s">
        <v>28</v>
      </c>
      <c r="Z488">
        <v>100205</v>
      </c>
      <c r="AA488" t="s">
        <v>3075</v>
      </c>
      <c r="AB488" t="s">
        <v>521</v>
      </c>
      <c r="AC488" s="9">
        <f t="shared" si="59"/>
        <v>1</v>
      </c>
      <c r="AD488" s="9" t="str">
        <f t="shared" si="60"/>
        <v>Check</v>
      </c>
      <c r="AE488" s="11">
        <f t="shared" si="64"/>
        <v>-509.99999999999977</v>
      </c>
    </row>
    <row r="489" spans="1:31" x14ac:dyDescent="0.3">
      <c r="A489">
        <v>18</v>
      </c>
      <c r="B489">
        <v>4823296</v>
      </c>
      <c r="C489" t="s">
        <v>217</v>
      </c>
      <c r="D489">
        <v>1079286</v>
      </c>
      <c r="E489" t="s">
        <v>629</v>
      </c>
      <c r="F489" t="s">
        <v>20</v>
      </c>
      <c r="G489" t="s">
        <v>2846</v>
      </c>
      <c r="H489" t="s">
        <v>2847</v>
      </c>
      <c r="I489" s="9" t="s">
        <v>3355</v>
      </c>
      <c r="J489" s="9">
        <v>51137722146</v>
      </c>
      <c r="K489" s="14" t="s">
        <v>3375</v>
      </c>
      <c r="L489" s="13" t="s">
        <v>3380</v>
      </c>
      <c r="M489" s="14">
        <v>5000</v>
      </c>
      <c r="N489" s="14">
        <v>0.27429999999999999</v>
      </c>
      <c r="O489" s="10">
        <f t="shared" si="57"/>
        <v>1371.5</v>
      </c>
      <c r="P489" s="11">
        <v>0</v>
      </c>
      <c r="Q489" s="11">
        <v>0</v>
      </c>
      <c r="R489" s="10">
        <f>IF(COUNTIF($J$2:J489,J489)=1,SUMIFS($O:$O,$J:$J,J489)+SUMIFS($P:$P,$J:$J,J489)+SUMIFS($Q:$Q,$J:$J,J489),"")</f>
        <v>1371.5</v>
      </c>
      <c r="S489" s="10">
        <v>3511.9</v>
      </c>
      <c r="T489" s="11" t="str">
        <f t="shared" si="61"/>
        <v>Check</v>
      </c>
      <c r="U489" s="12">
        <v>46009</v>
      </c>
      <c r="V489" s="10">
        <v>768.9</v>
      </c>
      <c r="W489" s="10" t="str">
        <f t="shared" si="58"/>
        <v>Short Paid</v>
      </c>
      <c r="X489" t="s">
        <v>476</v>
      </c>
      <c r="Y489" t="s">
        <v>28</v>
      </c>
      <c r="Z489">
        <v>100165</v>
      </c>
      <c r="AA489" t="s">
        <v>3100</v>
      </c>
      <c r="AB489" t="s">
        <v>521</v>
      </c>
      <c r="AC489" s="9">
        <f t="shared" si="59"/>
        <v>1</v>
      </c>
      <c r="AD489" s="9" t="str">
        <f t="shared" si="60"/>
        <v>Check</v>
      </c>
      <c r="AE489" s="11">
        <f t="shared" ref="AE489:AE501" si="65">R489-S489</f>
        <v>-2140.4</v>
      </c>
    </row>
    <row r="490" spans="1:31" x14ac:dyDescent="0.3">
      <c r="A490">
        <v>18</v>
      </c>
      <c r="B490">
        <v>4825244</v>
      </c>
      <c r="C490" t="s">
        <v>217</v>
      </c>
      <c r="D490">
        <v>1079286</v>
      </c>
      <c r="E490" t="s">
        <v>629</v>
      </c>
      <c r="F490" t="s">
        <v>20</v>
      </c>
      <c r="G490" t="s">
        <v>209</v>
      </c>
      <c r="H490" t="s">
        <v>210</v>
      </c>
      <c r="I490" s="9" t="s">
        <v>3327</v>
      </c>
      <c r="J490" s="9">
        <v>51157603899</v>
      </c>
      <c r="K490" s="14" t="s">
        <v>3165</v>
      </c>
      <c r="L490" s="13" t="s">
        <v>4980</v>
      </c>
      <c r="M490" s="14">
        <v>100</v>
      </c>
      <c r="N490" s="14">
        <v>46.97</v>
      </c>
      <c r="O490" s="10">
        <f t="shared" si="57"/>
        <v>4697</v>
      </c>
      <c r="P490" s="11">
        <v>0</v>
      </c>
      <c r="Q490" s="11">
        <v>0</v>
      </c>
      <c r="R490" s="10">
        <f>IF(COUNTIF($J$2:J490,J490)=1,SUMIFS($O:$O,$J:$J,J490)+SUMIFS($P:$P,$J:$J,J490)+SUMIFS($Q:$Q,$J:$J,J490),"")</f>
        <v>4697</v>
      </c>
      <c r="S490">
        <v>5605.7</v>
      </c>
      <c r="T490" s="11" t="str">
        <f t="shared" si="61"/>
        <v>Check</v>
      </c>
      <c r="U490" s="12">
        <v>46015</v>
      </c>
      <c r="V490" s="10">
        <v>908.7</v>
      </c>
      <c r="W490" s="10" t="str">
        <f t="shared" si="58"/>
        <v>Short Paid</v>
      </c>
      <c r="X490" t="s">
        <v>476</v>
      </c>
      <c r="Y490" t="s">
        <v>28</v>
      </c>
      <c r="Z490">
        <v>100115</v>
      </c>
      <c r="AA490" t="s">
        <v>504</v>
      </c>
      <c r="AB490" t="s">
        <v>521</v>
      </c>
      <c r="AC490" s="9">
        <f t="shared" si="59"/>
        <v>1</v>
      </c>
      <c r="AD490" s="9" t="str">
        <f t="shared" si="60"/>
        <v>Check</v>
      </c>
      <c r="AE490" s="11">
        <f t="shared" si="65"/>
        <v>-908.69999999999982</v>
      </c>
    </row>
    <row r="491" spans="1:31" x14ac:dyDescent="0.3">
      <c r="A491">
        <v>18</v>
      </c>
      <c r="B491">
        <v>4826358</v>
      </c>
      <c r="C491" t="s">
        <v>217</v>
      </c>
      <c r="D491">
        <v>1079286</v>
      </c>
      <c r="E491" t="s">
        <v>629</v>
      </c>
      <c r="F491" t="s">
        <v>20</v>
      </c>
      <c r="G491" t="s">
        <v>203</v>
      </c>
      <c r="H491" t="s">
        <v>204</v>
      </c>
      <c r="I491" s="9" t="s">
        <v>3513</v>
      </c>
      <c r="J491" s="9">
        <v>51156232405</v>
      </c>
      <c r="K491" s="14" t="s">
        <v>3165</v>
      </c>
      <c r="L491" s="13" t="s">
        <v>4957</v>
      </c>
      <c r="M491" s="14">
        <v>2000</v>
      </c>
      <c r="N491" s="14">
        <v>2.7319</v>
      </c>
      <c r="O491" s="10">
        <f t="shared" si="57"/>
        <v>5463.8</v>
      </c>
      <c r="P491" s="11">
        <v>0</v>
      </c>
      <c r="Q491" s="11">
        <v>0</v>
      </c>
      <c r="R491" s="10">
        <f>IF(COUNTIF($J$2:J491,J491)=1,SUMIFS($O:$O,$J:$J,J491)+SUMIFS($P:$P,$J:$J,J491)+SUMIFS($Q:$Q,$J:$J,J491),"")</f>
        <v>5463.8</v>
      </c>
      <c r="S491">
        <v>7515.8</v>
      </c>
      <c r="T491" s="11" t="str">
        <f t="shared" si="61"/>
        <v>Check</v>
      </c>
      <c r="U491" s="12">
        <v>46020</v>
      </c>
      <c r="V491" s="10">
        <v>2052</v>
      </c>
      <c r="W491" s="10" t="str">
        <f t="shared" si="58"/>
        <v>Short Paid</v>
      </c>
      <c r="X491" t="s">
        <v>476</v>
      </c>
      <c r="Y491" t="s">
        <v>28</v>
      </c>
      <c r="Z491">
        <v>100195</v>
      </c>
      <c r="AA491" t="s">
        <v>3070</v>
      </c>
      <c r="AB491" t="s">
        <v>521</v>
      </c>
      <c r="AC491" s="9">
        <f t="shared" si="59"/>
        <v>1</v>
      </c>
      <c r="AD491" s="9" t="str">
        <f t="shared" si="60"/>
        <v>Check</v>
      </c>
      <c r="AE491" s="11">
        <f t="shared" si="65"/>
        <v>-2052</v>
      </c>
    </row>
    <row r="492" spans="1:31" x14ac:dyDescent="0.3">
      <c r="A492">
        <v>18</v>
      </c>
      <c r="B492">
        <v>4859473</v>
      </c>
      <c r="C492" t="s">
        <v>220</v>
      </c>
      <c r="D492">
        <v>1117216</v>
      </c>
      <c r="E492" t="s">
        <v>379</v>
      </c>
      <c r="F492" t="s">
        <v>18</v>
      </c>
      <c r="G492" t="s">
        <v>400</v>
      </c>
      <c r="H492" t="s">
        <v>401</v>
      </c>
      <c r="I492" s="9" t="s">
        <v>3446</v>
      </c>
      <c r="J492" s="9">
        <v>51152001436</v>
      </c>
      <c r="K492" s="14" t="s">
        <v>3165</v>
      </c>
      <c r="L492" s="13" t="s">
        <v>4958</v>
      </c>
      <c r="M492" s="14">
        <v>80</v>
      </c>
      <c r="N492" s="14">
        <v>59</v>
      </c>
      <c r="O492" s="10">
        <f t="shared" si="57"/>
        <v>4720</v>
      </c>
      <c r="P492" s="11">
        <v>0</v>
      </c>
      <c r="Q492" s="11">
        <v>0</v>
      </c>
      <c r="R492" s="10">
        <f>IF(COUNTIF($J$2:J492,J492)=1,SUMIFS($O:$O,$J:$J,J492)+SUMIFS($P:$P,$J:$J,J492)+SUMIFS($Q:$Q,$J:$J,J492),"")</f>
        <v>4720</v>
      </c>
      <c r="S492">
        <v>5380</v>
      </c>
      <c r="T492" s="11" t="str">
        <f t="shared" si="61"/>
        <v>Check</v>
      </c>
      <c r="U492" s="12">
        <v>46111</v>
      </c>
      <c r="V492" s="10">
        <v>4720</v>
      </c>
      <c r="W492" s="10" t="str">
        <f t="shared" si="58"/>
        <v>Short Paid</v>
      </c>
      <c r="X492" t="s">
        <v>470</v>
      </c>
      <c r="Y492" t="s">
        <v>28</v>
      </c>
      <c r="Z492">
        <v>100168</v>
      </c>
      <c r="AA492" t="s">
        <v>514</v>
      </c>
      <c r="AB492" t="s">
        <v>523</v>
      </c>
      <c r="AC492" s="9">
        <f t="shared" si="59"/>
        <v>1</v>
      </c>
      <c r="AD492" s="9" t="str">
        <f t="shared" si="60"/>
        <v>Check</v>
      </c>
      <c r="AE492" s="11">
        <f t="shared" si="65"/>
        <v>-660</v>
      </c>
    </row>
    <row r="493" spans="1:31" x14ac:dyDescent="0.3">
      <c r="A493">
        <v>18</v>
      </c>
      <c r="B493">
        <v>4859752</v>
      </c>
      <c r="C493" t="s">
        <v>220</v>
      </c>
      <c r="D493">
        <v>1117216</v>
      </c>
      <c r="E493" t="s">
        <v>379</v>
      </c>
      <c r="F493" t="s">
        <v>18</v>
      </c>
      <c r="G493" t="s">
        <v>409</v>
      </c>
      <c r="H493" t="s">
        <v>410</v>
      </c>
      <c r="I493" s="9" t="s">
        <v>3221</v>
      </c>
      <c r="J493" s="9">
        <v>51148589755</v>
      </c>
      <c r="K493" s="14" t="s">
        <v>3165</v>
      </c>
      <c r="L493" s="13" t="s">
        <v>4958</v>
      </c>
      <c r="M493" s="14">
        <v>58</v>
      </c>
      <c r="N493" s="14">
        <v>55.793280000000003</v>
      </c>
      <c r="O493" s="10">
        <f t="shared" si="57"/>
        <v>3236.0102400000001</v>
      </c>
      <c r="P493" s="11">
        <v>0</v>
      </c>
      <c r="Q493" s="11">
        <v>0</v>
      </c>
      <c r="R493" s="10">
        <f>IF(COUNTIF($J$2:J493,J493)=1,SUMIFS($O:$O,$J:$J,J493)+SUMIFS($P:$P,$J:$J,J493)+SUMIFS($Q:$Q,$J:$J,J493),"")</f>
        <v>3236.0102400000001</v>
      </c>
      <c r="S493">
        <v>3786.01</v>
      </c>
      <c r="T493" s="11" t="str">
        <f t="shared" si="61"/>
        <v>Check</v>
      </c>
      <c r="U493" s="12">
        <v>46126</v>
      </c>
      <c r="V493" s="10">
        <v>3236.01</v>
      </c>
      <c r="W493" s="10" t="str">
        <f t="shared" si="58"/>
        <v>Short Paid</v>
      </c>
      <c r="X493" t="s">
        <v>470</v>
      </c>
      <c r="Y493" t="s">
        <v>28</v>
      </c>
      <c r="Z493">
        <v>100198</v>
      </c>
      <c r="AA493" t="s">
        <v>473</v>
      </c>
      <c r="AB493" t="s">
        <v>523</v>
      </c>
      <c r="AC493" s="9">
        <f t="shared" si="59"/>
        <v>1</v>
      </c>
      <c r="AD493" s="9" t="str">
        <f t="shared" si="60"/>
        <v>Check</v>
      </c>
      <c r="AE493" s="11">
        <f t="shared" si="65"/>
        <v>-549.99976000000015</v>
      </c>
    </row>
    <row r="494" spans="1:31" x14ac:dyDescent="0.3">
      <c r="A494">
        <v>18</v>
      </c>
      <c r="B494">
        <v>4858639</v>
      </c>
      <c r="C494" t="s">
        <v>240</v>
      </c>
      <c r="D494">
        <v>1267403</v>
      </c>
      <c r="E494" t="s">
        <v>419</v>
      </c>
      <c r="F494" t="s">
        <v>20</v>
      </c>
      <c r="G494" t="s">
        <v>420</v>
      </c>
      <c r="H494" t="s">
        <v>421</v>
      </c>
      <c r="I494" s="9" t="s">
        <v>3419</v>
      </c>
      <c r="J494" s="9">
        <v>51148589909</v>
      </c>
      <c r="K494" s="14" t="s">
        <v>3165</v>
      </c>
      <c r="L494" s="13" t="s">
        <v>4959</v>
      </c>
      <c r="M494" s="14">
        <v>2</v>
      </c>
      <c r="N494" s="14">
        <v>250</v>
      </c>
      <c r="O494" s="10">
        <f t="shared" si="57"/>
        <v>500</v>
      </c>
      <c r="P494" s="11">
        <v>0</v>
      </c>
      <c r="Q494" s="11">
        <v>0</v>
      </c>
      <c r="R494" s="10">
        <f>IF(COUNTIF($J$2:J494,J494)=1,SUMIFS($O:$O,$J:$J,J494)+SUMIFS($P:$P,$J:$J,J494)+SUMIFS($Q:$Q,$J:$J,J494),"")</f>
        <v>500</v>
      </c>
      <c r="S494">
        <v>1700</v>
      </c>
      <c r="T494" s="11" t="str">
        <f t="shared" si="61"/>
        <v>Check</v>
      </c>
      <c r="U494" s="12">
        <v>46148</v>
      </c>
      <c r="V494" s="10">
        <v>500</v>
      </c>
      <c r="W494" s="10" t="str">
        <f t="shared" si="58"/>
        <v>Short Paid</v>
      </c>
      <c r="X494" t="s">
        <v>478</v>
      </c>
      <c r="Y494" t="s">
        <v>28</v>
      </c>
      <c r="Z494">
        <v>100112</v>
      </c>
      <c r="AA494" t="s">
        <v>479</v>
      </c>
      <c r="AB494" t="s">
        <v>521</v>
      </c>
      <c r="AC494" s="9">
        <f t="shared" si="59"/>
        <v>1</v>
      </c>
      <c r="AD494" s="9" t="str">
        <f t="shared" si="60"/>
        <v>Check</v>
      </c>
      <c r="AE494" s="11">
        <f t="shared" si="65"/>
        <v>-1200</v>
      </c>
    </row>
    <row r="495" spans="1:31" x14ac:dyDescent="0.3">
      <c r="A495">
        <v>18</v>
      </c>
      <c r="B495">
        <v>4858917</v>
      </c>
      <c r="C495" t="s">
        <v>240</v>
      </c>
      <c r="D495">
        <v>1267403</v>
      </c>
      <c r="E495" t="s">
        <v>419</v>
      </c>
      <c r="F495" t="s">
        <v>20</v>
      </c>
      <c r="G495" t="s">
        <v>218</v>
      </c>
      <c r="H495" t="s">
        <v>219</v>
      </c>
      <c r="I495" s="9" t="s">
        <v>3285</v>
      </c>
      <c r="J495" s="9">
        <v>51151418088</v>
      </c>
      <c r="K495" s="14" t="s">
        <v>3165</v>
      </c>
      <c r="L495" s="13" t="s">
        <v>4959</v>
      </c>
      <c r="M495" s="14">
        <v>1</v>
      </c>
      <c r="N495" s="14">
        <v>250</v>
      </c>
      <c r="O495" s="10">
        <f t="shared" si="57"/>
        <v>250</v>
      </c>
      <c r="P495" s="11">
        <v>0</v>
      </c>
      <c r="Q495" s="11">
        <v>566.21</v>
      </c>
      <c r="R495" s="10">
        <f>IF(COUNTIF($J$2:J495,J495)=1,SUMIFS($O:$O,$J:$J,J495)+SUMIFS($P:$P,$J:$J,J495)+SUMIFS($Q:$Q,$J:$J,J495),"")</f>
        <v>6017.2700999999997</v>
      </c>
      <c r="S495">
        <v>5201.0600000000004</v>
      </c>
      <c r="T495" s="11" t="str">
        <f t="shared" si="61"/>
        <v>Check</v>
      </c>
      <c r="U495" s="12">
        <v>46150</v>
      </c>
      <c r="V495" s="10">
        <v>250</v>
      </c>
      <c r="W495" s="10" t="str">
        <f t="shared" si="58"/>
        <v>Short Paid</v>
      </c>
      <c r="X495" t="s">
        <v>478</v>
      </c>
      <c r="Y495" t="s">
        <v>28</v>
      </c>
      <c r="Z495">
        <v>100122</v>
      </c>
      <c r="AA495" t="s">
        <v>516</v>
      </c>
      <c r="AB495" t="s">
        <v>521</v>
      </c>
      <c r="AC495" s="9">
        <f t="shared" si="59"/>
        <v>3</v>
      </c>
      <c r="AD495" s="9" t="str">
        <f t="shared" si="60"/>
        <v>Check</v>
      </c>
      <c r="AE495" s="11">
        <f t="shared" si="65"/>
        <v>816.21009999999933</v>
      </c>
    </row>
    <row r="496" spans="1:31" x14ac:dyDescent="0.3">
      <c r="A496">
        <v>17</v>
      </c>
      <c r="B496">
        <v>4834428</v>
      </c>
      <c r="C496" t="s">
        <v>160</v>
      </c>
      <c r="D496">
        <v>1981156</v>
      </c>
      <c r="E496" t="s">
        <v>573</v>
      </c>
      <c r="F496" t="s">
        <v>18</v>
      </c>
      <c r="G496" t="s">
        <v>2855</v>
      </c>
      <c r="H496" t="s">
        <v>2856</v>
      </c>
      <c r="I496" s="9" t="s">
        <v>3412</v>
      </c>
      <c r="J496" s="9">
        <v>51155515566</v>
      </c>
      <c r="K496" s="14" t="s">
        <v>3203</v>
      </c>
      <c r="L496" s="13" t="s">
        <v>3560</v>
      </c>
      <c r="M496" s="14">
        <v>35</v>
      </c>
      <c r="N496" s="14">
        <v>24.25</v>
      </c>
      <c r="O496" s="10">
        <f t="shared" si="57"/>
        <v>848.75</v>
      </c>
      <c r="P496" s="11">
        <v>76.39</v>
      </c>
      <c r="Q496" s="11">
        <v>0</v>
      </c>
      <c r="R496" s="10">
        <f>IF(COUNTIF($J$2:J496,J496)=1,SUMIFS($O:$O,$J:$J,J496)+SUMIFS($P:$P,$J:$J,J496)+SUMIFS($Q:$Q,$J:$J,J496),"")</f>
        <v>925.14</v>
      </c>
      <c r="S496" s="10">
        <v>925.14</v>
      </c>
      <c r="T496" s="11" t="str">
        <f t="shared" si="61"/>
        <v>Ok</v>
      </c>
      <c r="U496" s="12">
        <v>46030</v>
      </c>
      <c r="V496" s="10">
        <v>925.14</v>
      </c>
      <c r="W496" s="10" t="str">
        <f t="shared" si="58"/>
        <v>Not Paid</v>
      </c>
      <c r="X496" t="s">
        <v>476</v>
      </c>
      <c r="Y496" t="s">
        <v>28</v>
      </c>
      <c r="Z496">
        <v>100165</v>
      </c>
      <c r="AA496" t="s">
        <v>3100</v>
      </c>
      <c r="AB496" t="s">
        <v>523</v>
      </c>
      <c r="AC496" s="9">
        <f t="shared" si="59"/>
        <v>1</v>
      </c>
      <c r="AD496" s="9" t="str">
        <f t="shared" si="60"/>
        <v>Ok</v>
      </c>
      <c r="AE496" s="11">
        <f t="shared" si="65"/>
        <v>0</v>
      </c>
    </row>
    <row r="497" spans="1:31" x14ac:dyDescent="0.3">
      <c r="A497">
        <v>17</v>
      </c>
      <c r="B497">
        <v>4862256</v>
      </c>
      <c r="C497" t="s">
        <v>160</v>
      </c>
      <c r="D497">
        <v>1963277</v>
      </c>
      <c r="E497" t="s">
        <v>250</v>
      </c>
      <c r="F497" t="s">
        <v>18</v>
      </c>
      <c r="G497" t="s">
        <v>358</v>
      </c>
      <c r="H497" t="s">
        <v>359</v>
      </c>
      <c r="I497" s="9" t="s">
        <v>3192</v>
      </c>
      <c r="J497" s="9">
        <v>51155631406</v>
      </c>
      <c r="K497" s="14" t="s">
        <v>3165</v>
      </c>
      <c r="L497" s="13" t="s">
        <v>4936</v>
      </c>
      <c r="M497" s="14">
        <v>950</v>
      </c>
      <c r="N497" s="14">
        <v>0.68169999999999997</v>
      </c>
      <c r="O497" s="10">
        <f t="shared" si="57"/>
        <v>647.61500000000001</v>
      </c>
      <c r="P497" s="11">
        <v>0</v>
      </c>
      <c r="Q497" s="11">
        <v>0</v>
      </c>
      <c r="R497" s="10">
        <f>IF(COUNTIF($J$2:J497,J497)=1,SUMIFS($O:$O,$J:$J,J497)+SUMIFS($P:$P,$J:$J,J497)+SUMIFS($Q:$Q,$J:$J,J497),"")</f>
        <v>647.61500000000001</v>
      </c>
      <c r="S497">
        <v>55927.420000000006</v>
      </c>
      <c r="T497" s="11" t="str">
        <f t="shared" si="61"/>
        <v>Check</v>
      </c>
      <c r="U497" s="12">
        <v>46071</v>
      </c>
      <c r="V497" s="10">
        <v>258.12</v>
      </c>
      <c r="W497" s="10" t="str">
        <f t="shared" si="58"/>
        <v>Short Paid</v>
      </c>
      <c r="X497" t="s">
        <v>474</v>
      </c>
      <c r="Y497" t="s">
        <v>28</v>
      </c>
      <c r="Z497">
        <v>100169</v>
      </c>
      <c r="AA497" t="s">
        <v>489</v>
      </c>
      <c r="AB497" t="s">
        <v>523</v>
      </c>
      <c r="AC497" s="9">
        <f t="shared" si="59"/>
        <v>1</v>
      </c>
      <c r="AD497" s="9" t="str">
        <f t="shared" si="60"/>
        <v>Check</v>
      </c>
      <c r="AE497" s="11">
        <f t="shared" si="65"/>
        <v>-55279.805000000008</v>
      </c>
    </row>
    <row r="498" spans="1:31" x14ac:dyDescent="0.3">
      <c r="A498">
        <v>17</v>
      </c>
      <c r="B498">
        <v>4862535</v>
      </c>
      <c r="C498" t="s">
        <v>160</v>
      </c>
      <c r="D498">
        <v>1963277</v>
      </c>
      <c r="E498" t="s">
        <v>250</v>
      </c>
      <c r="F498" t="s">
        <v>18</v>
      </c>
      <c r="G498" t="s">
        <v>360</v>
      </c>
      <c r="H498" t="s">
        <v>361</v>
      </c>
      <c r="I498" s="9" t="s">
        <v>3236</v>
      </c>
      <c r="J498" s="9">
        <v>51155679685</v>
      </c>
      <c r="K498" s="14" t="s">
        <v>3165</v>
      </c>
      <c r="L498" s="13" t="s">
        <v>4921</v>
      </c>
      <c r="M498" s="14">
        <v>2000</v>
      </c>
      <c r="N498" s="14">
        <v>0.4</v>
      </c>
      <c r="O498" s="10">
        <f t="shared" si="57"/>
        <v>800</v>
      </c>
      <c r="P498" s="11">
        <v>85.49</v>
      </c>
      <c r="Q498" s="11">
        <v>0</v>
      </c>
      <c r="R498" s="10">
        <f>IF(COUNTIF($J$2:J498,J498)=1,SUMIFS($O:$O,$J:$J,J498)+SUMIFS($P:$P,$J:$J,J498)+SUMIFS($Q:$Q,$J:$J,J498),"")</f>
        <v>885.49</v>
      </c>
      <c r="S498">
        <v>1921.69</v>
      </c>
      <c r="T498" s="11" t="str">
        <f t="shared" si="61"/>
        <v>Check</v>
      </c>
      <c r="U498" s="12">
        <v>46072</v>
      </c>
      <c r="V498" s="10">
        <v>546.32000000000005</v>
      </c>
      <c r="W498" s="10" t="str">
        <f t="shared" si="58"/>
        <v>Short Paid</v>
      </c>
      <c r="X498" t="s">
        <v>474</v>
      </c>
      <c r="Y498" t="s">
        <v>28</v>
      </c>
      <c r="Z498">
        <v>100199</v>
      </c>
      <c r="AA498" t="s">
        <v>481</v>
      </c>
      <c r="AB498" t="s">
        <v>523</v>
      </c>
      <c r="AC498" s="9">
        <f t="shared" si="59"/>
        <v>1</v>
      </c>
      <c r="AD498" s="9" t="str">
        <f t="shared" si="60"/>
        <v>Check</v>
      </c>
      <c r="AE498" s="11">
        <f t="shared" si="65"/>
        <v>-1036.2</v>
      </c>
    </row>
    <row r="499" spans="1:31" x14ac:dyDescent="0.3">
      <c r="A499">
        <v>16</v>
      </c>
      <c r="B499">
        <v>4836098</v>
      </c>
      <c r="C499" t="s">
        <v>160</v>
      </c>
      <c r="D499">
        <v>1963277</v>
      </c>
      <c r="E499" t="s">
        <v>250</v>
      </c>
      <c r="F499" t="s">
        <v>18</v>
      </c>
      <c r="G499" t="s">
        <v>352</v>
      </c>
      <c r="H499" t="s">
        <v>353</v>
      </c>
      <c r="I499" s="9" t="s">
        <v>3439</v>
      </c>
      <c r="J499" s="9">
        <v>51154116930</v>
      </c>
      <c r="K499" s="14" t="s">
        <v>3165</v>
      </c>
      <c r="L499" s="13" t="s">
        <v>4922</v>
      </c>
      <c r="M499" s="14">
        <v>1320</v>
      </c>
      <c r="N499" s="14">
        <v>0.36</v>
      </c>
      <c r="O499" s="10">
        <f t="shared" si="57"/>
        <v>475.2</v>
      </c>
      <c r="P499" s="11">
        <v>0</v>
      </c>
      <c r="Q499" s="11">
        <v>0</v>
      </c>
      <c r="R499" s="10">
        <f>IF(COUNTIF($J$2:J499,J499)=1,SUMIFS($O:$O,$J:$J,J499)+SUMIFS($P:$P,$J:$J,J499)+SUMIFS($Q:$Q,$J:$J,J499),"")</f>
        <v>475.2</v>
      </c>
      <c r="S499">
        <v>2719.2</v>
      </c>
      <c r="T499" s="11" t="str">
        <f t="shared" si="61"/>
        <v>Check</v>
      </c>
      <c r="U499" s="12">
        <v>46064</v>
      </c>
      <c r="V499" s="10">
        <v>316.8</v>
      </c>
      <c r="W499" s="10" t="str">
        <f t="shared" si="58"/>
        <v>Short Paid</v>
      </c>
      <c r="X499" t="s">
        <v>474</v>
      </c>
      <c r="Y499" t="s">
        <v>28</v>
      </c>
      <c r="Z499">
        <v>100289</v>
      </c>
      <c r="AA499" t="s">
        <v>475</v>
      </c>
      <c r="AB499" t="s">
        <v>523</v>
      </c>
      <c r="AC499" s="9">
        <f t="shared" si="59"/>
        <v>1</v>
      </c>
      <c r="AD499" s="9" t="str">
        <f t="shared" si="60"/>
        <v>Check</v>
      </c>
      <c r="AE499" s="11">
        <f t="shared" si="65"/>
        <v>-2244</v>
      </c>
    </row>
    <row r="500" spans="1:31" x14ac:dyDescent="0.3">
      <c r="A500">
        <v>16</v>
      </c>
      <c r="B500">
        <v>4836932</v>
      </c>
      <c r="C500" t="s">
        <v>160</v>
      </c>
      <c r="D500">
        <v>1963277</v>
      </c>
      <c r="E500" t="s">
        <v>250</v>
      </c>
      <c r="F500" t="s">
        <v>18</v>
      </c>
      <c r="G500" t="s">
        <v>354</v>
      </c>
      <c r="H500" t="s">
        <v>355</v>
      </c>
      <c r="I500" s="9" t="s">
        <v>3256</v>
      </c>
      <c r="J500" s="9">
        <v>51154039607</v>
      </c>
      <c r="K500" s="14" t="s">
        <v>3165</v>
      </c>
      <c r="L500" s="13" t="s">
        <v>4934</v>
      </c>
      <c r="M500" s="14">
        <v>1000</v>
      </c>
      <c r="N500" s="14">
        <v>35.869999999999997</v>
      </c>
      <c r="O500" s="10">
        <f t="shared" si="57"/>
        <v>35870</v>
      </c>
      <c r="P500" s="11">
        <v>0</v>
      </c>
      <c r="Q500" s="11">
        <v>0</v>
      </c>
      <c r="R500" s="10">
        <f>IF(COUNTIF($J$2:J500,J500)=1,SUMIFS($O:$O,$J:$J,J500)+SUMIFS($P:$P,$J:$J,J500)+SUMIFS($Q:$Q,$J:$J,J500),"")</f>
        <v>35870</v>
      </c>
      <c r="S500">
        <v>41180.9</v>
      </c>
      <c r="T500" s="11" t="str">
        <f t="shared" si="61"/>
        <v>Check</v>
      </c>
      <c r="U500" s="12">
        <v>46070</v>
      </c>
      <c r="V500" s="10">
        <v>2752.2</v>
      </c>
      <c r="W500" s="10" t="str">
        <f t="shared" si="58"/>
        <v>Short Paid</v>
      </c>
      <c r="X500" t="s">
        <v>474</v>
      </c>
      <c r="Y500" t="s">
        <v>28</v>
      </c>
      <c r="Z500">
        <v>100159</v>
      </c>
      <c r="AA500" t="s">
        <v>488</v>
      </c>
      <c r="AB500" t="s">
        <v>523</v>
      </c>
      <c r="AC500" s="9">
        <f t="shared" si="59"/>
        <v>1</v>
      </c>
      <c r="AD500" s="9" t="str">
        <f t="shared" si="60"/>
        <v>Check</v>
      </c>
      <c r="AE500" s="11">
        <f t="shared" si="65"/>
        <v>-5310.9000000000015</v>
      </c>
    </row>
    <row r="501" spans="1:31" x14ac:dyDescent="0.3">
      <c r="A501">
        <v>16</v>
      </c>
      <c r="B501">
        <v>4868100</v>
      </c>
      <c r="C501" t="s">
        <v>220</v>
      </c>
      <c r="D501">
        <v>1006248</v>
      </c>
      <c r="E501" t="s">
        <v>129</v>
      </c>
      <c r="F501" t="s">
        <v>20</v>
      </c>
      <c r="G501" t="s">
        <v>370</v>
      </c>
      <c r="H501" t="s">
        <v>371</v>
      </c>
      <c r="I501" s="9" t="s">
        <v>3221</v>
      </c>
      <c r="J501" s="9">
        <v>51155924645</v>
      </c>
      <c r="K501" s="14" t="s">
        <v>3165</v>
      </c>
      <c r="L501" s="13" t="s">
        <v>4971</v>
      </c>
      <c r="M501" s="14">
        <v>1520</v>
      </c>
      <c r="N501" s="14">
        <v>38.6</v>
      </c>
      <c r="O501" s="10">
        <f t="shared" si="57"/>
        <v>58672</v>
      </c>
      <c r="P501" s="11">
        <v>18.64</v>
      </c>
      <c r="Q501" s="11">
        <v>0</v>
      </c>
      <c r="R501" s="10">
        <f>IF(COUNTIF($J$2:J501,J501)=1,SUMIFS($O:$O,$J:$J,J501)+SUMIFS($P:$P,$J:$J,J501)+SUMIFS($Q:$Q,$J:$J,J501),"")</f>
        <v>58690.64</v>
      </c>
      <c r="S501">
        <v>58916.54</v>
      </c>
      <c r="T501" s="11" t="str">
        <f t="shared" si="61"/>
        <v>Check</v>
      </c>
      <c r="U501" s="12">
        <v>46086</v>
      </c>
      <c r="V501" s="10">
        <v>58672</v>
      </c>
      <c r="W501" s="10" t="str">
        <f t="shared" si="58"/>
        <v>Short Paid</v>
      </c>
      <c r="X501" t="s">
        <v>438</v>
      </c>
      <c r="Y501" t="s">
        <v>28</v>
      </c>
      <c r="Z501">
        <v>100193</v>
      </c>
      <c r="AA501" t="s">
        <v>442</v>
      </c>
      <c r="AB501" t="s">
        <v>521</v>
      </c>
      <c r="AC501" s="9">
        <f t="shared" si="59"/>
        <v>1</v>
      </c>
      <c r="AD501" s="9" t="str">
        <f t="shared" si="60"/>
        <v>Check</v>
      </c>
      <c r="AE501" s="11">
        <f t="shared" si="65"/>
        <v>-225.90000000000146</v>
      </c>
    </row>
    <row r="502" spans="1:31" x14ac:dyDescent="0.3">
      <c r="A502">
        <v>15</v>
      </c>
      <c r="B502">
        <v>4843889</v>
      </c>
      <c r="C502" t="s">
        <v>220</v>
      </c>
      <c r="D502">
        <v>1125734</v>
      </c>
      <c r="E502" t="s">
        <v>532</v>
      </c>
      <c r="F502" t="s">
        <v>19</v>
      </c>
      <c r="G502" t="s">
        <v>2861</v>
      </c>
      <c r="H502" t="s">
        <v>2862</v>
      </c>
      <c r="I502" s="9" t="s">
        <v>3219</v>
      </c>
      <c r="J502" s="9">
        <v>50117108282</v>
      </c>
      <c r="K502" s="14" t="s">
        <v>3203</v>
      </c>
      <c r="L502" s="13" t="s">
        <v>3220</v>
      </c>
      <c r="M502" s="14">
        <v>48000</v>
      </c>
      <c r="N502" s="14">
        <v>2.8160000000000001E-2</v>
      </c>
      <c r="O502" s="10">
        <f t="shared" si="57"/>
        <v>1351.68</v>
      </c>
      <c r="P502" s="11">
        <v>0</v>
      </c>
      <c r="Q502" s="11">
        <v>0</v>
      </c>
      <c r="R502" s="10">
        <f>IF(COUNTIF($J$2:J502,J502)=1,SUMIFS($O:$O,$J:$J,J502)+SUMIFS($P:$P,$J:$J,J502)+SUMIFS($Q:$Q,$J:$J,J502),"")</f>
        <v>1351.68</v>
      </c>
      <c r="S502" s="10">
        <v>1351.68</v>
      </c>
      <c r="T502" s="11" t="str">
        <f t="shared" si="61"/>
        <v>Ok</v>
      </c>
      <c r="U502" s="12">
        <v>46046</v>
      </c>
      <c r="V502" s="10">
        <v>1351.68</v>
      </c>
      <c r="W502" s="10" t="str">
        <f t="shared" si="58"/>
        <v>Not Paid</v>
      </c>
      <c r="X502" t="s">
        <v>470</v>
      </c>
      <c r="Y502" t="s">
        <v>28</v>
      </c>
      <c r="Z502">
        <v>100248</v>
      </c>
      <c r="AA502" t="s">
        <v>3117</v>
      </c>
      <c r="AB502" t="s">
        <v>524</v>
      </c>
      <c r="AC502" s="9">
        <f t="shared" si="59"/>
        <v>1</v>
      </c>
      <c r="AD502" s="9" t="str">
        <f t="shared" si="60"/>
        <v>Ok</v>
      </c>
      <c r="AE502" s="11">
        <f t="shared" ref="AE502:AE505" si="66">R502-S502</f>
        <v>0</v>
      </c>
    </row>
    <row r="503" spans="1:31" x14ac:dyDescent="0.3">
      <c r="A503">
        <v>15</v>
      </c>
      <c r="B503">
        <v>4845559</v>
      </c>
      <c r="C503" t="s">
        <v>94</v>
      </c>
      <c r="D503">
        <v>1430900</v>
      </c>
      <c r="E503" t="s">
        <v>721</v>
      </c>
      <c r="F503" t="s">
        <v>48</v>
      </c>
      <c r="G503" t="s">
        <v>211</v>
      </c>
      <c r="H503" t="s">
        <v>212</v>
      </c>
      <c r="I503" s="9" t="s">
        <v>3414</v>
      </c>
      <c r="J503" s="9">
        <v>51147852406</v>
      </c>
      <c r="K503" s="14" t="s">
        <v>3165</v>
      </c>
      <c r="L503" s="13" t="s">
        <v>4957</v>
      </c>
      <c r="M503" s="14">
        <v>2672</v>
      </c>
      <c r="N503" s="14">
        <v>2.7319</v>
      </c>
      <c r="O503" s="10">
        <f t="shared" si="57"/>
        <v>7299.6368000000002</v>
      </c>
      <c r="P503" s="11">
        <v>0</v>
      </c>
      <c r="Q503" s="11">
        <v>0</v>
      </c>
      <c r="R503" s="10">
        <f>IF(COUNTIF($J$2:J503,J503)=1,SUMIFS($O:$O,$J:$J,J503)+SUMIFS($P:$P,$J:$J,J503)+SUMIFS($Q:$Q,$J:$J,J503),"")</f>
        <v>7299.6368000000002</v>
      </c>
      <c r="S503">
        <v>7299.64</v>
      </c>
      <c r="T503" s="11" t="str">
        <f t="shared" si="61"/>
        <v>Check</v>
      </c>
      <c r="U503" s="12">
        <v>46139</v>
      </c>
      <c r="V503" s="10">
        <v>240</v>
      </c>
      <c r="W503" s="10" t="str">
        <f t="shared" si="58"/>
        <v>Short Paid</v>
      </c>
      <c r="X503" t="s">
        <v>453</v>
      </c>
      <c r="Y503" t="s">
        <v>28</v>
      </c>
      <c r="Z503">
        <v>100164</v>
      </c>
      <c r="AA503" t="s">
        <v>490</v>
      </c>
      <c r="AB503" t="s">
        <v>3040</v>
      </c>
      <c r="AC503" s="9">
        <f t="shared" si="59"/>
        <v>1</v>
      </c>
      <c r="AD503" s="9" t="str">
        <f t="shared" si="60"/>
        <v>Check</v>
      </c>
      <c r="AE503" s="11">
        <f t="shared" si="66"/>
        <v>-3.200000000106229E-3</v>
      </c>
    </row>
    <row r="504" spans="1:31" x14ac:dyDescent="0.3">
      <c r="A504">
        <v>15</v>
      </c>
      <c r="B504">
        <v>4882014</v>
      </c>
      <c r="C504" t="s">
        <v>217</v>
      </c>
      <c r="D504">
        <v>1160621</v>
      </c>
      <c r="E504" t="s">
        <v>571</v>
      </c>
      <c r="F504" t="s">
        <v>18</v>
      </c>
      <c r="G504" t="s">
        <v>2873</v>
      </c>
      <c r="H504" t="s">
        <v>2874</v>
      </c>
      <c r="I504" s="9" t="s">
        <v>3408</v>
      </c>
      <c r="J504" s="9">
        <v>51155888485</v>
      </c>
      <c r="K504" s="14" t="s">
        <v>3401</v>
      </c>
      <c r="L504" s="13" t="s">
        <v>3563</v>
      </c>
      <c r="M504" s="14">
        <v>5301</v>
      </c>
      <c r="N504" s="14">
        <v>0.11865000000000001</v>
      </c>
      <c r="O504" s="10">
        <f t="shared" si="57"/>
        <v>628.96365000000003</v>
      </c>
      <c r="P504" s="11">
        <v>0</v>
      </c>
      <c r="Q504" s="11">
        <v>119.51</v>
      </c>
      <c r="R504" s="10">
        <f>IF(COUNTIF($J$2:J504,J504)=1,SUMIFS($O:$O,$J:$J,J504)+SUMIFS($P:$P,$J:$J,J504)+SUMIFS($Q:$Q,$J:$J,J504),"")</f>
        <v>748.47365000000002</v>
      </c>
      <c r="S504" s="10">
        <v>748.47</v>
      </c>
      <c r="T504" s="11" t="str">
        <f t="shared" si="61"/>
        <v>Check</v>
      </c>
      <c r="U504" s="12">
        <v>46073</v>
      </c>
      <c r="V504" s="10">
        <v>748.47</v>
      </c>
      <c r="W504" s="10" t="str">
        <f t="shared" si="58"/>
        <v>Not Paid</v>
      </c>
      <c r="X504" t="s">
        <v>468</v>
      </c>
      <c r="Y504" t="s">
        <v>28</v>
      </c>
      <c r="Z504">
        <v>100196</v>
      </c>
      <c r="AA504" t="s">
        <v>3095</v>
      </c>
      <c r="AB504" t="s">
        <v>523</v>
      </c>
      <c r="AC504" s="9">
        <f t="shared" si="59"/>
        <v>1</v>
      </c>
      <c r="AD504" s="9" t="str">
        <f t="shared" si="60"/>
        <v>Check</v>
      </c>
      <c r="AE504" s="11">
        <f t="shared" si="66"/>
        <v>3.6499999999932697E-3</v>
      </c>
    </row>
    <row r="505" spans="1:31" x14ac:dyDescent="0.3">
      <c r="A505">
        <v>15</v>
      </c>
      <c r="B505">
        <v>4878675</v>
      </c>
      <c r="C505" t="s">
        <v>217</v>
      </c>
      <c r="D505">
        <v>1160621</v>
      </c>
      <c r="E505" t="s">
        <v>571</v>
      </c>
      <c r="F505" t="s">
        <v>18</v>
      </c>
      <c r="G505" t="s">
        <v>222</v>
      </c>
      <c r="H505" t="s">
        <v>223</v>
      </c>
      <c r="I505" s="9" t="s">
        <v>3425</v>
      </c>
      <c r="J505" s="9">
        <v>51156158287</v>
      </c>
      <c r="K505" s="14" t="s">
        <v>4974</v>
      </c>
      <c r="L505" s="13" t="s">
        <v>4973</v>
      </c>
      <c r="M505" s="14">
        <v>1</v>
      </c>
      <c r="N505" s="14">
        <v>4436</v>
      </c>
      <c r="O505" s="10">
        <f t="shared" si="57"/>
        <v>4436</v>
      </c>
      <c r="P505" s="11">
        <v>0</v>
      </c>
      <c r="Q505" s="11">
        <v>0</v>
      </c>
      <c r="R505" s="10">
        <f>IF(COUNTIF($J$2:J505,J505)=1,SUMIFS($O:$O,$J:$J,J505)+SUMIFS($P:$P,$J:$J,J505)+SUMIFS($Q:$Q,$J:$J,J505),"")</f>
        <v>4436</v>
      </c>
      <c r="S505">
        <v>5692.91</v>
      </c>
      <c r="T505" s="11" t="str">
        <f t="shared" si="61"/>
        <v>Check</v>
      </c>
      <c r="U505" s="12">
        <v>46070</v>
      </c>
      <c r="V505" s="10">
        <v>1256.9100000000001</v>
      </c>
      <c r="W505" s="10" t="str">
        <f t="shared" si="58"/>
        <v>Short Paid</v>
      </c>
      <c r="X505" t="s">
        <v>468</v>
      </c>
      <c r="Y505" t="s">
        <v>28</v>
      </c>
      <c r="Z505">
        <v>100156</v>
      </c>
      <c r="AA505" t="s">
        <v>3112</v>
      </c>
      <c r="AB505" t="s">
        <v>523</v>
      </c>
      <c r="AC505" s="9">
        <f t="shared" si="59"/>
        <v>1</v>
      </c>
      <c r="AD505" s="9" t="str">
        <f t="shared" si="60"/>
        <v>Check</v>
      </c>
      <c r="AE505" s="11">
        <f t="shared" si="66"/>
        <v>-1256.9099999999999</v>
      </c>
    </row>
    <row r="506" spans="1:31" x14ac:dyDescent="0.3">
      <c r="A506">
        <v>14</v>
      </c>
      <c r="B506">
        <v>4847785</v>
      </c>
      <c r="C506" t="s">
        <v>239</v>
      </c>
      <c r="D506">
        <v>1412732</v>
      </c>
      <c r="E506" t="s">
        <v>578</v>
      </c>
      <c r="F506" t="s">
        <v>18</v>
      </c>
      <c r="G506" t="s">
        <v>2885</v>
      </c>
      <c r="H506" t="s">
        <v>2886</v>
      </c>
      <c r="I506" s="9" t="s">
        <v>3210</v>
      </c>
      <c r="J506" s="9">
        <v>51155243148</v>
      </c>
      <c r="K506" s="14" t="s">
        <v>3550</v>
      </c>
      <c r="L506" s="13" t="s">
        <v>3554</v>
      </c>
      <c r="M506" s="14">
        <v>10</v>
      </c>
      <c r="N506" s="14">
        <v>117.53</v>
      </c>
      <c r="O506" s="10">
        <f t="shared" si="57"/>
        <v>1175.3</v>
      </c>
      <c r="P506" s="11">
        <v>0</v>
      </c>
      <c r="Q506" s="11">
        <v>0</v>
      </c>
      <c r="R506" s="10">
        <f>IF(COUNTIF($J$2:J506,J506)=1,SUMIFS($O:$O,$J:$J,J506)+SUMIFS($P:$P,$J:$J,J506)+SUMIFS($Q:$Q,$J:$J,J506),"")</f>
        <v>1175.3</v>
      </c>
      <c r="S506" s="10">
        <v>1175.3</v>
      </c>
      <c r="T506" s="11" t="str">
        <f t="shared" si="61"/>
        <v>Ok</v>
      </c>
      <c r="U506" s="12">
        <v>46071</v>
      </c>
      <c r="V506" s="10">
        <v>1175.3</v>
      </c>
      <c r="W506" s="10" t="str">
        <f t="shared" si="58"/>
        <v>Not Paid</v>
      </c>
      <c r="X506" t="s">
        <v>450</v>
      </c>
      <c r="Y506" t="s">
        <v>28</v>
      </c>
      <c r="Z506">
        <v>100127</v>
      </c>
      <c r="AA506" t="s">
        <v>3090</v>
      </c>
      <c r="AB506" t="s">
        <v>523</v>
      </c>
      <c r="AC506" s="9">
        <f t="shared" si="59"/>
        <v>1</v>
      </c>
      <c r="AD506" s="9" t="str">
        <f t="shared" si="60"/>
        <v>Ok</v>
      </c>
      <c r="AE506" s="11">
        <f t="shared" ref="AE506:AE518" si="67">R506-S506</f>
        <v>0</v>
      </c>
    </row>
    <row r="507" spans="1:31" x14ac:dyDescent="0.3">
      <c r="A507">
        <v>14</v>
      </c>
      <c r="B507">
        <v>4848620</v>
      </c>
      <c r="C507" t="s">
        <v>239</v>
      </c>
      <c r="D507">
        <v>1412732</v>
      </c>
      <c r="E507" t="s">
        <v>578</v>
      </c>
      <c r="F507" t="s">
        <v>18</v>
      </c>
      <c r="G507" t="s">
        <v>2889</v>
      </c>
      <c r="H507" t="s">
        <v>2890</v>
      </c>
      <c r="I507" s="9" t="s">
        <v>3322</v>
      </c>
      <c r="J507" s="9">
        <v>51154556745</v>
      </c>
      <c r="K507" s="14" t="s">
        <v>3207</v>
      </c>
      <c r="L507" s="13" t="s">
        <v>3544</v>
      </c>
      <c r="M507" s="14">
        <v>2000</v>
      </c>
      <c r="N507" s="14">
        <v>0.05</v>
      </c>
      <c r="O507" s="10">
        <f t="shared" si="57"/>
        <v>100</v>
      </c>
      <c r="P507" s="11">
        <v>0</v>
      </c>
      <c r="Q507" s="11">
        <v>9.5</v>
      </c>
      <c r="R507" s="10">
        <f>IF(COUNTIF($J$2:J507,J507)=1,SUMIFS($O:$O,$J:$J,J507)+SUMIFS($P:$P,$J:$J,J507)+SUMIFS($Q:$Q,$J:$J,J507),"")</f>
        <v>109.5</v>
      </c>
      <c r="S507" s="10">
        <v>109.5</v>
      </c>
      <c r="T507" s="11" t="str">
        <f t="shared" si="61"/>
        <v>Ok</v>
      </c>
      <c r="U507" s="12">
        <v>46160</v>
      </c>
      <c r="V507" s="10">
        <v>109.5</v>
      </c>
      <c r="W507" s="10" t="str">
        <f t="shared" si="58"/>
        <v>Not Paid</v>
      </c>
      <c r="X507" t="s">
        <v>450</v>
      </c>
      <c r="Y507" t="s">
        <v>28</v>
      </c>
      <c r="Z507">
        <v>100197</v>
      </c>
      <c r="AA507" t="s">
        <v>493</v>
      </c>
      <c r="AB507" t="s">
        <v>523</v>
      </c>
      <c r="AC507" s="9">
        <f t="shared" si="59"/>
        <v>1</v>
      </c>
      <c r="AD507" s="9" t="str">
        <f t="shared" si="60"/>
        <v>Ok</v>
      </c>
      <c r="AE507" s="11">
        <f t="shared" si="67"/>
        <v>0</v>
      </c>
    </row>
    <row r="508" spans="1:31" x14ac:dyDescent="0.3">
      <c r="A508">
        <v>14</v>
      </c>
      <c r="B508">
        <v>4849455</v>
      </c>
      <c r="C508" t="s">
        <v>239</v>
      </c>
      <c r="D508">
        <v>1412732</v>
      </c>
      <c r="E508" t="s">
        <v>578</v>
      </c>
      <c r="F508" t="s">
        <v>18</v>
      </c>
      <c r="G508" t="s">
        <v>1540</v>
      </c>
      <c r="H508" t="s">
        <v>1541</v>
      </c>
      <c r="I508" s="9" t="s">
        <v>3283</v>
      </c>
      <c r="J508" s="9">
        <v>51154817312</v>
      </c>
      <c r="K508" s="14" t="s">
        <v>3550</v>
      </c>
      <c r="L508" s="13" t="s">
        <v>3549</v>
      </c>
      <c r="M508" s="14">
        <v>24</v>
      </c>
      <c r="N508" s="14">
        <v>5.73</v>
      </c>
      <c r="O508" s="10">
        <f t="shared" si="57"/>
        <v>137.52000000000001</v>
      </c>
      <c r="P508" s="11">
        <v>0</v>
      </c>
      <c r="Q508" s="11">
        <v>0</v>
      </c>
      <c r="R508" s="10">
        <f>IF(COUNTIF($J$2:J508,J508)=1,SUMIFS($O:$O,$J:$J,J508)+SUMIFS($P:$P,$J:$J,J508)+SUMIFS($Q:$Q,$J:$J,J508),"")</f>
        <v>137.52000000000001</v>
      </c>
      <c r="S508" s="10">
        <v>137.52000000000001</v>
      </c>
      <c r="T508" s="11" t="str">
        <f t="shared" si="61"/>
        <v>Ok</v>
      </c>
      <c r="U508" s="12">
        <v>46142</v>
      </c>
      <c r="V508" s="10">
        <v>137.52000000000001</v>
      </c>
      <c r="W508" s="10" t="str">
        <f t="shared" si="58"/>
        <v>Not Paid</v>
      </c>
      <c r="X508" t="s">
        <v>450</v>
      </c>
      <c r="Y508" t="s">
        <v>28</v>
      </c>
      <c r="Z508">
        <v>100247</v>
      </c>
      <c r="AA508" t="s">
        <v>452</v>
      </c>
      <c r="AB508" t="s">
        <v>523</v>
      </c>
      <c r="AC508" s="9">
        <f t="shared" si="59"/>
        <v>1</v>
      </c>
      <c r="AD508" s="9" t="str">
        <f t="shared" si="60"/>
        <v>Ok</v>
      </c>
      <c r="AE508" s="11">
        <f t="shared" si="67"/>
        <v>0</v>
      </c>
    </row>
    <row r="509" spans="1:31" x14ac:dyDescent="0.3">
      <c r="A509">
        <v>14</v>
      </c>
      <c r="B509">
        <v>4849733</v>
      </c>
      <c r="C509" t="s">
        <v>239</v>
      </c>
      <c r="D509">
        <v>1412732</v>
      </c>
      <c r="E509" t="s">
        <v>578</v>
      </c>
      <c r="F509" t="s">
        <v>18</v>
      </c>
      <c r="G509" t="s">
        <v>92</v>
      </c>
      <c r="H509" t="s">
        <v>93</v>
      </c>
      <c r="I509" s="9" t="s">
        <v>3333</v>
      </c>
      <c r="J509" s="9">
        <v>51154658531</v>
      </c>
      <c r="K509" s="14" t="s">
        <v>3165</v>
      </c>
      <c r="L509" s="13" t="s">
        <v>4933</v>
      </c>
      <c r="M509" s="14">
        <v>1500</v>
      </c>
      <c r="N509" s="14">
        <v>1.1814</v>
      </c>
      <c r="O509" s="10">
        <f t="shared" si="57"/>
        <v>1772.1</v>
      </c>
      <c r="P509" s="11">
        <v>0</v>
      </c>
      <c r="Q509" s="11">
        <v>278.16000000000003</v>
      </c>
      <c r="R509" s="10">
        <f>IF(COUNTIF($J$2:J509,J509)=1,SUMIFS($O:$O,$J:$J,J509)+SUMIFS($P:$P,$J:$J,J509)+SUMIFS($Q:$Q,$J:$J,J509),"")</f>
        <v>2050.2599999999998</v>
      </c>
      <c r="S509">
        <v>4978.26</v>
      </c>
      <c r="T509" s="11" t="str">
        <f t="shared" si="61"/>
        <v>Check</v>
      </c>
      <c r="U509" s="12">
        <v>46143</v>
      </c>
      <c r="V509" s="10">
        <v>3206.16</v>
      </c>
      <c r="W509" s="10" t="str">
        <f t="shared" si="58"/>
        <v>Short Paid</v>
      </c>
      <c r="X509" t="s">
        <v>450</v>
      </c>
      <c r="Y509" t="s">
        <v>28</v>
      </c>
      <c r="Z509">
        <v>100277</v>
      </c>
      <c r="AA509" t="s">
        <v>467</v>
      </c>
      <c r="AB509" t="s">
        <v>523</v>
      </c>
      <c r="AC509" s="9">
        <f t="shared" si="59"/>
        <v>1</v>
      </c>
      <c r="AD509" s="9" t="str">
        <f t="shared" si="60"/>
        <v>Check</v>
      </c>
      <c r="AE509" s="11">
        <f t="shared" si="67"/>
        <v>-2928.0000000000005</v>
      </c>
    </row>
    <row r="510" spans="1:31" x14ac:dyDescent="0.3">
      <c r="A510">
        <v>14</v>
      </c>
      <c r="B510">
        <v>4853351</v>
      </c>
      <c r="C510" t="s">
        <v>217</v>
      </c>
      <c r="D510">
        <v>1400161</v>
      </c>
      <c r="E510" t="s">
        <v>724</v>
      </c>
      <c r="F510" t="s">
        <v>23</v>
      </c>
      <c r="G510" t="s">
        <v>1536</v>
      </c>
      <c r="H510" t="s">
        <v>1537</v>
      </c>
      <c r="I510" s="9" t="s">
        <v>3260</v>
      </c>
      <c r="J510" s="9">
        <v>51154753568</v>
      </c>
      <c r="K510" s="14" t="s">
        <v>3194</v>
      </c>
      <c r="L510" s="13" t="s">
        <v>3546</v>
      </c>
      <c r="M510" s="14">
        <v>1000</v>
      </c>
      <c r="N510" s="14">
        <v>2.0099999999999998</v>
      </c>
      <c r="O510" s="10">
        <f t="shared" si="57"/>
        <v>2009.9999999999998</v>
      </c>
      <c r="P510" s="11">
        <v>0</v>
      </c>
      <c r="Q510" s="11">
        <v>0</v>
      </c>
      <c r="R510" s="10">
        <f>IF(COUNTIF($J$2:J510,J510)=1,SUMIFS($O:$O,$J:$J,J510)+SUMIFS($P:$P,$J:$J,J510)+SUMIFS($Q:$Q,$J:$J,J510),"")</f>
        <v>2009.9999999999998</v>
      </c>
      <c r="S510" s="10">
        <v>2010</v>
      </c>
      <c r="T510" s="11" t="str">
        <f t="shared" si="61"/>
        <v>Ok</v>
      </c>
      <c r="U510" s="12">
        <v>46085</v>
      </c>
      <c r="V510" s="10">
        <v>2010</v>
      </c>
      <c r="W510" s="10" t="str">
        <f t="shared" si="58"/>
        <v>Not Paid</v>
      </c>
      <c r="X510" t="s">
        <v>470</v>
      </c>
      <c r="Y510" t="s">
        <v>436</v>
      </c>
      <c r="Z510">
        <v>100218</v>
      </c>
      <c r="AA510" t="s">
        <v>3120</v>
      </c>
      <c r="AB510" t="s">
        <v>520</v>
      </c>
      <c r="AC510" s="9">
        <f t="shared" si="59"/>
        <v>1</v>
      </c>
      <c r="AD510" s="9" t="str">
        <f t="shared" si="60"/>
        <v>Ok</v>
      </c>
      <c r="AE510" s="11">
        <f t="shared" si="67"/>
        <v>0</v>
      </c>
    </row>
    <row r="511" spans="1:31" x14ac:dyDescent="0.3">
      <c r="A511">
        <v>14</v>
      </c>
      <c r="B511">
        <v>4891754</v>
      </c>
      <c r="C511" t="s">
        <v>160</v>
      </c>
      <c r="D511">
        <v>1963277</v>
      </c>
      <c r="E511" t="s">
        <v>250</v>
      </c>
      <c r="F511" t="s">
        <v>18</v>
      </c>
      <c r="G511" t="s">
        <v>362</v>
      </c>
      <c r="H511" t="s">
        <v>363</v>
      </c>
      <c r="I511" s="9" t="s">
        <v>3542</v>
      </c>
      <c r="J511" s="9">
        <v>51157989140</v>
      </c>
      <c r="K511" s="14" t="s">
        <v>3165</v>
      </c>
      <c r="L511" s="13" t="s">
        <v>4981</v>
      </c>
      <c r="M511" s="14">
        <v>56</v>
      </c>
      <c r="N511" s="14">
        <v>122</v>
      </c>
      <c r="O511" s="10">
        <f t="shared" si="57"/>
        <v>6832</v>
      </c>
      <c r="P511" s="11">
        <v>0</v>
      </c>
      <c r="Q511" s="11">
        <v>0</v>
      </c>
      <c r="R511" s="10">
        <f>IF(COUNTIF($J$2:J511,J511)=1,SUMIFS($O:$O,$J:$J,J511)+SUMIFS($P:$P,$J:$J,J511)+SUMIFS($Q:$Q,$J:$J,J511),"")</f>
        <v>6832</v>
      </c>
      <c r="S511">
        <v>7407</v>
      </c>
      <c r="T511" s="11" t="str">
        <f t="shared" si="61"/>
        <v>Check</v>
      </c>
      <c r="U511" s="12">
        <v>46080</v>
      </c>
      <c r="V511" s="10">
        <v>682.43</v>
      </c>
      <c r="W511" s="10" t="str">
        <f t="shared" si="58"/>
        <v>Short Paid</v>
      </c>
      <c r="X511" t="s">
        <v>474</v>
      </c>
      <c r="Y511" t="s">
        <v>28</v>
      </c>
      <c r="Z511">
        <v>100289</v>
      </c>
      <c r="AA511" t="s">
        <v>475</v>
      </c>
      <c r="AB511" t="s">
        <v>523</v>
      </c>
      <c r="AC511" s="9">
        <f t="shared" si="59"/>
        <v>1</v>
      </c>
      <c r="AD511" s="9" t="str">
        <f t="shared" si="60"/>
        <v>Check</v>
      </c>
      <c r="AE511" s="11">
        <f t="shared" si="67"/>
        <v>-575</v>
      </c>
    </row>
    <row r="512" spans="1:31" x14ac:dyDescent="0.3">
      <c r="A512">
        <v>14</v>
      </c>
      <c r="B512">
        <v>4891476</v>
      </c>
      <c r="C512" t="s">
        <v>160</v>
      </c>
      <c r="D512">
        <v>1963277</v>
      </c>
      <c r="E512" t="s">
        <v>250</v>
      </c>
      <c r="F512" t="s">
        <v>18</v>
      </c>
      <c r="G512" t="s">
        <v>368</v>
      </c>
      <c r="H512" t="s">
        <v>369</v>
      </c>
      <c r="I512" s="9" t="s">
        <v>3349</v>
      </c>
      <c r="J512" s="9">
        <v>51159896711</v>
      </c>
      <c r="K512" s="14" t="s">
        <v>3165</v>
      </c>
      <c r="L512" s="13" t="s">
        <v>4989</v>
      </c>
      <c r="M512" s="14">
        <v>2500</v>
      </c>
      <c r="N512" s="14">
        <v>0.72</v>
      </c>
      <c r="O512" s="10">
        <f t="shared" si="57"/>
        <v>1800</v>
      </c>
      <c r="P512" s="11">
        <v>0</v>
      </c>
      <c r="Q512" s="11">
        <v>0</v>
      </c>
      <c r="R512" s="10">
        <f>IF(COUNTIF($J$2:J512,J512)=1,SUMIFS($O:$O,$J:$J,J512)+SUMIFS($P:$P,$J:$J,J512)+SUMIFS($Q:$Q,$J:$J,J512),"")</f>
        <v>1800</v>
      </c>
      <c r="S512">
        <v>4108.66</v>
      </c>
      <c r="T512" s="11" t="str">
        <f t="shared" si="61"/>
        <v>Check</v>
      </c>
      <c r="U512" s="12">
        <v>46078</v>
      </c>
      <c r="V512" s="10">
        <v>750</v>
      </c>
      <c r="W512" s="10" t="str">
        <f t="shared" si="58"/>
        <v>Short Paid</v>
      </c>
      <c r="X512" t="s">
        <v>474</v>
      </c>
      <c r="Y512" t="s">
        <v>28</v>
      </c>
      <c r="Z512">
        <v>100279</v>
      </c>
      <c r="AA512" t="s">
        <v>485</v>
      </c>
      <c r="AB512" t="s">
        <v>523</v>
      </c>
      <c r="AC512" s="9">
        <f t="shared" si="59"/>
        <v>1</v>
      </c>
      <c r="AD512" s="9" t="str">
        <f t="shared" si="60"/>
        <v>Check</v>
      </c>
      <c r="AE512" s="11">
        <f t="shared" si="67"/>
        <v>-2308.66</v>
      </c>
    </row>
    <row r="513" spans="1:31" x14ac:dyDescent="0.3">
      <c r="A513">
        <v>14</v>
      </c>
      <c r="B513">
        <v>4888693</v>
      </c>
      <c r="C513" t="s">
        <v>160</v>
      </c>
      <c r="D513">
        <v>1884741</v>
      </c>
      <c r="E513" t="s">
        <v>424</v>
      </c>
      <c r="F513" t="s">
        <v>20</v>
      </c>
      <c r="G513" t="s">
        <v>425</v>
      </c>
      <c r="H513" t="s">
        <v>426</v>
      </c>
      <c r="I513" s="9" t="s">
        <v>3423</v>
      </c>
      <c r="J513" s="9">
        <v>51156730291</v>
      </c>
      <c r="K513" s="14" t="s">
        <v>3165</v>
      </c>
      <c r="L513" s="13" t="s">
        <v>4978</v>
      </c>
      <c r="M513" s="14">
        <v>325</v>
      </c>
      <c r="N513" s="14">
        <v>11.74</v>
      </c>
      <c r="O513" s="10">
        <f t="shared" si="57"/>
        <v>3815.5</v>
      </c>
      <c r="P513" s="11">
        <v>0</v>
      </c>
      <c r="Q513" s="11">
        <v>17.649999999999999</v>
      </c>
      <c r="R513" s="10">
        <f>IF(COUNTIF($J$2:J513,J513)=1,SUMIFS($O:$O,$J:$J,J513)+SUMIFS($P:$P,$J:$J,J513)+SUMIFS($Q:$Q,$J:$J,J513),"")</f>
        <v>3833.15</v>
      </c>
      <c r="S513">
        <v>3833.15</v>
      </c>
      <c r="T513" s="11" t="str">
        <f t="shared" si="61"/>
        <v>Ok</v>
      </c>
      <c r="U513" s="12">
        <v>46154</v>
      </c>
      <c r="V513" s="10">
        <v>3833.15</v>
      </c>
      <c r="W513" s="10" t="str">
        <f t="shared" si="58"/>
        <v>Not Paid</v>
      </c>
      <c r="X513" t="s">
        <v>468</v>
      </c>
      <c r="Y513" t="s">
        <v>28</v>
      </c>
      <c r="Z513">
        <v>100276</v>
      </c>
      <c r="AA513" t="s">
        <v>469</v>
      </c>
      <c r="AB513" t="s">
        <v>521</v>
      </c>
      <c r="AC513" s="9">
        <f t="shared" si="59"/>
        <v>1</v>
      </c>
      <c r="AD513" s="9" t="str">
        <f t="shared" si="60"/>
        <v>Ok</v>
      </c>
      <c r="AE513" s="11">
        <f t="shared" si="67"/>
        <v>0</v>
      </c>
    </row>
    <row r="514" spans="1:31" x14ac:dyDescent="0.3">
      <c r="A514">
        <v>10</v>
      </c>
      <c r="B514">
        <v>4864204</v>
      </c>
      <c r="C514" t="s">
        <v>94</v>
      </c>
      <c r="D514">
        <v>1824743</v>
      </c>
      <c r="E514" t="s">
        <v>731</v>
      </c>
      <c r="F514" t="s">
        <v>20</v>
      </c>
      <c r="G514" t="s">
        <v>2897</v>
      </c>
      <c r="H514" t="s">
        <v>2898</v>
      </c>
      <c r="I514" s="9" t="s">
        <v>3420</v>
      </c>
      <c r="J514" s="9">
        <v>51155383959</v>
      </c>
      <c r="K514" s="14" t="s">
        <v>3244</v>
      </c>
      <c r="L514" s="13" t="s">
        <v>3559</v>
      </c>
      <c r="M514" s="14">
        <v>300</v>
      </c>
      <c r="N514" s="14">
        <v>67.5</v>
      </c>
      <c r="O514" s="10">
        <f t="shared" ref="O514:O577" si="68">M514*N514</f>
        <v>20250</v>
      </c>
      <c r="P514" s="11">
        <v>0</v>
      </c>
      <c r="Q514" s="11">
        <v>0</v>
      </c>
      <c r="R514" s="10">
        <f>IF(COUNTIF($J$2:J514,J514)=1,SUMIFS($O:$O,$J:$J,J514)+SUMIFS($P:$P,$J:$J,J514)+SUMIFS($Q:$Q,$J:$J,J514),"")</f>
        <v>20250</v>
      </c>
      <c r="S514" s="10">
        <v>20250</v>
      </c>
      <c r="T514" s="11" t="str">
        <f t="shared" si="61"/>
        <v>Ok</v>
      </c>
      <c r="U514" s="12">
        <v>46125</v>
      </c>
      <c r="V514" s="10">
        <v>20250</v>
      </c>
      <c r="W514" s="10" t="str">
        <f t="shared" ref="W514:W577" si="69">IF(OR(S514="",V514=""),"N/A",IF(S514&lt;&gt;V514,"Short Paid","Not Paid"))</f>
        <v>Not Paid</v>
      </c>
      <c r="X514" t="s">
        <v>476</v>
      </c>
      <c r="Y514" t="s">
        <v>28</v>
      </c>
      <c r="Z514">
        <v>100115</v>
      </c>
      <c r="AA514" t="s">
        <v>504</v>
      </c>
      <c r="AB514" t="s">
        <v>521</v>
      </c>
      <c r="AC514" s="9">
        <f t="shared" ref="AC514:AC577" si="70">COUNTIF(J:J,J514)</f>
        <v>1</v>
      </c>
      <c r="AD514" s="9" t="str">
        <f t="shared" ref="AD514:AD577" si="71">IF(AND(R514="",S514=""),"N/A",IF(R514=S514,"Ok","Check"))</f>
        <v>Ok</v>
      </c>
      <c r="AE514" s="11">
        <f t="shared" si="67"/>
        <v>0</v>
      </c>
    </row>
    <row r="515" spans="1:31" x14ac:dyDescent="0.3">
      <c r="A515">
        <v>10</v>
      </c>
      <c r="B515">
        <v>4901494</v>
      </c>
      <c r="C515" t="s">
        <v>160</v>
      </c>
      <c r="D515">
        <v>1648570</v>
      </c>
      <c r="E515" t="s">
        <v>208</v>
      </c>
      <c r="F515" t="s">
        <v>18</v>
      </c>
      <c r="G515" t="s">
        <v>366</v>
      </c>
      <c r="H515" t="s">
        <v>367</v>
      </c>
      <c r="I515" s="9" t="s">
        <v>3468</v>
      </c>
      <c r="J515" s="9">
        <v>51153930565</v>
      </c>
      <c r="K515" s="14" t="s">
        <v>3165</v>
      </c>
      <c r="L515" s="13" t="s">
        <v>4969</v>
      </c>
      <c r="M515" s="14">
        <v>54</v>
      </c>
      <c r="N515" s="14">
        <v>197.80000000000004</v>
      </c>
      <c r="O515" s="10">
        <f t="shared" si="68"/>
        <v>10681.200000000003</v>
      </c>
      <c r="P515" s="11">
        <v>0</v>
      </c>
      <c r="Q515" s="11">
        <v>0</v>
      </c>
      <c r="R515" s="10">
        <f>IF(COUNTIF($J$2:J515,J515)=1,SUMIFS($O:$O,$J:$J,J515)+SUMIFS($P:$P,$J:$J,J515)+SUMIFS($Q:$Q,$J:$J,J515),"")</f>
        <v>10681.200000000003</v>
      </c>
      <c r="S515">
        <v>130874</v>
      </c>
      <c r="T515" s="11" t="str">
        <f t="shared" ref="T515:T578" si="72">IFERROR(INDEX(AD:AD,MATCH(J515,J:J,0)),"")</f>
        <v>Check</v>
      </c>
      <c r="U515" s="12">
        <v>46079</v>
      </c>
      <c r="V515" s="10">
        <v>1236.5999999999999</v>
      </c>
      <c r="W515" s="10" t="str">
        <f t="shared" si="69"/>
        <v>Short Paid</v>
      </c>
      <c r="X515" t="s">
        <v>453</v>
      </c>
      <c r="Y515" t="s">
        <v>28</v>
      </c>
      <c r="Z515">
        <v>100194</v>
      </c>
      <c r="AA515" t="s">
        <v>487</v>
      </c>
      <c r="AB515" t="s">
        <v>523</v>
      </c>
      <c r="AC515" s="9">
        <f t="shared" si="70"/>
        <v>1</v>
      </c>
      <c r="AD515" s="9" t="str">
        <f t="shared" si="71"/>
        <v>Check</v>
      </c>
      <c r="AE515" s="11">
        <f t="shared" si="67"/>
        <v>-120192.8</v>
      </c>
    </row>
    <row r="516" spans="1:31" x14ac:dyDescent="0.3">
      <c r="A516">
        <v>10</v>
      </c>
      <c r="B516">
        <v>4900381</v>
      </c>
      <c r="C516" t="s">
        <v>239</v>
      </c>
      <c r="D516">
        <v>1915677</v>
      </c>
      <c r="E516" t="s">
        <v>389</v>
      </c>
      <c r="F516" t="s">
        <v>20</v>
      </c>
      <c r="G516" t="s">
        <v>390</v>
      </c>
      <c r="H516" t="s">
        <v>391</v>
      </c>
      <c r="I516" s="9" t="s">
        <v>3344</v>
      </c>
      <c r="J516" s="9">
        <v>51153272329</v>
      </c>
      <c r="K516" s="14" t="s">
        <v>3165</v>
      </c>
      <c r="L516" s="13" t="s">
        <v>4968</v>
      </c>
      <c r="M516" s="14">
        <v>100</v>
      </c>
      <c r="N516" s="14">
        <v>190.64</v>
      </c>
      <c r="O516" s="10">
        <f t="shared" si="68"/>
        <v>19064</v>
      </c>
      <c r="P516" s="11">
        <v>0</v>
      </c>
      <c r="Q516" s="11">
        <v>124.08</v>
      </c>
      <c r="R516" s="10">
        <f>IF(COUNTIF($J$2:J516,J516)=1,SUMIFS($O:$O,$J:$J,J516)+SUMIFS($P:$P,$J:$J,J516)+SUMIFS($Q:$Q,$J:$J,J516),"")</f>
        <v>19188.080000000002</v>
      </c>
      <c r="S516">
        <v>21062.58</v>
      </c>
      <c r="T516" s="11" t="str">
        <f t="shared" si="72"/>
        <v>Check</v>
      </c>
      <c r="U516" s="12">
        <v>46104</v>
      </c>
      <c r="V516" s="10">
        <v>19188.080000000002</v>
      </c>
      <c r="W516" s="10" t="str">
        <f t="shared" si="69"/>
        <v>Short Paid</v>
      </c>
      <c r="X516" t="s">
        <v>455</v>
      </c>
      <c r="Y516" t="s">
        <v>28</v>
      </c>
      <c r="Z516">
        <v>100110</v>
      </c>
      <c r="AA516" t="s">
        <v>512</v>
      </c>
      <c r="AB516" t="s">
        <v>521</v>
      </c>
      <c r="AC516" s="9">
        <f t="shared" si="70"/>
        <v>1</v>
      </c>
      <c r="AD516" s="9" t="str">
        <f t="shared" si="71"/>
        <v>Check</v>
      </c>
      <c r="AE516" s="11">
        <f t="shared" si="67"/>
        <v>-1874.5</v>
      </c>
    </row>
    <row r="517" spans="1:31" x14ac:dyDescent="0.3">
      <c r="A517">
        <v>10</v>
      </c>
      <c r="B517">
        <v>4900660</v>
      </c>
      <c r="C517" t="s">
        <v>160</v>
      </c>
      <c r="D517">
        <v>1648570</v>
      </c>
      <c r="E517" t="s">
        <v>208</v>
      </c>
      <c r="F517" t="s">
        <v>20</v>
      </c>
      <c r="G517" t="s">
        <v>415</v>
      </c>
      <c r="H517" t="s">
        <v>416</v>
      </c>
      <c r="I517" s="9" t="s">
        <v>3163</v>
      </c>
      <c r="J517" s="9">
        <v>51150622248</v>
      </c>
      <c r="K517" s="14" t="s">
        <v>3165</v>
      </c>
      <c r="L517" s="13" t="s">
        <v>4964</v>
      </c>
      <c r="M517" s="14">
        <v>247</v>
      </c>
      <c r="N517" s="14">
        <v>17.05</v>
      </c>
      <c r="O517" s="10">
        <f t="shared" si="68"/>
        <v>4211.3500000000004</v>
      </c>
      <c r="P517" s="11">
        <v>0</v>
      </c>
      <c r="Q517" s="11">
        <v>0</v>
      </c>
      <c r="R517" s="10">
        <f>IF(COUNTIF($J$2:J517,J517)=1,SUMIFS($O:$O,$J:$J,J517)+SUMIFS($P:$P,$J:$J,J517)+SUMIFS($Q:$Q,$J:$J,J517),"")</f>
        <v>4211.3500000000004</v>
      </c>
      <c r="S517">
        <v>4811.3500000000004</v>
      </c>
      <c r="T517" s="11" t="str">
        <f t="shared" si="72"/>
        <v>Check</v>
      </c>
      <c r="U517" s="12">
        <v>46135</v>
      </c>
      <c r="V517" s="10">
        <v>801.35</v>
      </c>
      <c r="W517" s="10" t="str">
        <f t="shared" si="69"/>
        <v>Short Paid</v>
      </c>
      <c r="X517" t="s">
        <v>453</v>
      </c>
      <c r="Y517" t="s">
        <v>28</v>
      </c>
      <c r="Z517">
        <v>100124</v>
      </c>
      <c r="AA517" t="s">
        <v>486</v>
      </c>
      <c r="AB517" t="s">
        <v>521</v>
      </c>
      <c r="AC517" s="9">
        <f t="shared" si="70"/>
        <v>1</v>
      </c>
      <c r="AD517" s="9" t="str">
        <f t="shared" si="71"/>
        <v>Check</v>
      </c>
      <c r="AE517" s="11">
        <f t="shared" si="67"/>
        <v>-600</v>
      </c>
    </row>
    <row r="518" spans="1:31" x14ac:dyDescent="0.3">
      <c r="A518">
        <v>10</v>
      </c>
      <c r="B518">
        <v>4903721</v>
      </c>
      <c r="C518" t="s">
        <v>217</v>
      </c>
      <c r="D518">
        <v>1150978</v>
      </c>
      <c r="E518" t="s">
        <v>553</v>
      </c>
      <c r="F518" t="s">
        <v>20</v>
      </c>
      <c r="G518" t="s">
        <v>2899</v>
      </c>
      <c r="H518" t="s">
        <v>2900</v>
      </c>
      <c r="I518" s="9" t="s">
        <v>3213</v>
      </c>
      <c r="J518" s="9">
        <v>51156703857</v>
      </c>
      <c r="K518" s="14" t="s">
        <v>3180</v>
      </c>
      <c r="L518" s="13" t="s">
        <v>3567</v>
      </c>
      <c r="M518" s="14">
        <v>850</v>
      </c>
      <c r="N518" s="14">
        <v>0.1479</v>
      </c>
      <c r="O518" s="10">
        <f t="shared" si="68"/>
        <v>125.715</v>
      </c>
      <c r="P518" s="11">
        <v>0</v>
      </c>
      <c r="Q518" s="11">
        <v>0</v>
      </c>
      <c r="R518" s="10">
        <f>IF(COUNTIF($J$2:J518,J518)=1,SUMIFS($O:$O,$J:$J,J518)+SUMIFS($P:$P,$J:$J,J518)+SUMIFS($Q:$Q,$J:$J,J518),"")</f>
        <v>125.715</v>
      </c>
      <c r="S518" s="10">
        <v>502.88</v>
      </c>
      <c r="T518" s="11" t="str">
        <f t="shared" si="72"/>
        <v>Check</v>
      </c>
      <c r="U518" s="12">
        <v>46080</v>
      </c>
      <c r="V518" s="10">
        <v>502.88</v>
      </c>
      <c r="W518" s="10" t="str">
        <f t="shared" si="69"/>
        <v>Not Paid</v>
      </c>
      <c r="X518" t="s">
        <v>468</v>
      </c>
      <c r="Y518" t="s">
        <v>28</v>
      </c>
      <c r="Z518">
        <v>100156</v>
      </c>
      <c r="AA518" t="s">
        <v>3112</v>
      </c>
      <c r="AB518" t="s">
        <v>521</v>
      </c>
      <c r="AC518" s="9">
        <f t="shared" si="70"/>
        <v>1</v>
      </c>
      <c r="AD518" s="9" t="str">
        <f t="shared" si="71"/>
        <v>Check</v>
      </c>
      <c r="AE518" s="11">
        <f t="shared" si="67"/>
        <v>-377.16499999999996</v>
      </c>
    </row>
    <row r="519" spans="1:31" x14ac:dyDescent="0.3">
      <c r="A519">
        <v>8</v>
      </c>
      <c r="B519">
        <v>4870605</v>
      </c>
      <c r="C519" t="s">
        <v>239</v>
      </c>
      <c r="D519">
        <v>1112351</v>
      </c>
      <c r="E519" t="s">
        <v>701</v>
      </c>
      <c r="F519" t="s">
        <v>47</v>
      </c>
      <c r="G519" t="s">
        <v>2904</v>
      </c>
      <c r="H519" t="s">
        <v>2905</v>
      </c>
      <c r="I519" s="9" t="s">
        <v>3249</v>
      </c>
      <c r="J519" s="9">
        <v>51155855506</v>
      </c>
      <c r="K519" s="14" t="s">
        <v>3431</v>
      </c>
      <c r="L519" s="13" t="s">
        <v>3562</v>
      </c>
      <c r="M519" s="14">
        <v>280</v>
      </c>
      <c r="N519" s="14">
        <v>29.36</v>
      </c>
      <c r="O519" s="10">
        <f t="shared" si="68"/>
        <v>8220.7999999999993</v>
      </c>
      <c r="P519" s="11">
        <v>832.66</v>
      </c>
      <c r="Q519" s="11">
        <v>780.98</v>
      </c>
      <c r="R519" s="10">
        <f>IF(COUNTIF($J$2:J519,J519)=1,SUMIFS($O:$O,$J:$J,J519)+SUMIFS($P:$P,$J:$J,J519)+SUMIFS($Q:$Q,$J:$J,J519),"")</f>
        <v>9834.4399999999987</v>
      </c>
      <c r="S519" s="10">
        <v>9834.44</v>
      </c>
      <c r="T519" s="11" t="str">
        <f t="shared" si="72"/>
        <v>Ok</v>
      </c>
      <c r="U519" s="12">
        <v>46127</v>
      </c>
      <c r="V519" s="10">
        <v>9834.44</v>
      </c>
      <c r="W519" s="10" t="str">
        <f t="shared" si="69"/>
        <v>Not Paid</v>
      </c>
      <c r="X519" t="s">
        <v>476</v>
      </c>
      <c r="Y519" t="s">
        <v>28</v>
      </c>
      <c r="Z519">
        <v>100165</v>
      </c>
      <c r="AA519" t="s">
        <v>3100</v>
      </c>
      <c r="AB519" t="s">
        <v>3039</v>
      </c>
      <c r="AC519" s="9">
        <f t="shared" si="70"/>
        <v>1</v>
      </c>
      <c r="AD519" s="9" t="str">
        <f t="shared" si="71"/>
        <v>Ok</v>
      </c>
      <c r="AE519" s="11">
        <f t="shared" ref="AE519:AE525" si="73">R519-S519</f>
        <v>0</v>
      </c>
    </row>
    <row r="520" spans="1:31" x14ac:dyDescent="0.3">
      <c r="A520">
        <v>8</v>
      </c>
      <c r="B520">
        <v>4878118</v>
      </c>
      <c r="C520" t="s">
        <v>217</v>
      </c>
      <c r="D520">
        <v>1160621</v>
      </c>
      <c r="E520" t="s">
        <v>571</v>
      </c>
      <c r="F520" t="s">
        <v>18</v>
      </c>
      <c r="G520" t="s">
        <v>225</v>
      </c>
      <c r="H520" t="s">
        <v>226</v>
      </c>
      <c r="I520" s="9" t="s">
        <v>3206</v>
      </c>
      <c r="J520" s="9">
        <v>51156126909</v>
      </c>
      <c r="K520" s="14" t="s">
        <v>3165</v>
      </c>
      <c r="L520" s="13" t="s">
        <v>4972</v>
      </c>
      <c r="M520" s="14">
        <v>1000</v>
      </c>
      <c r="N520" s="14">
        <v>1.54</v>
      </c>
      <c r="O520" s="10">
        <f t="shared" si="68"/>
        <v>1540</v>
      </c>
      <c r="P520" s="11">
        <v>0</v>
      </c>
      <c r="Q520" s="11">
        <v>129.18</v>
      </c>
      <c r="R520" s="10">
        <f>IF(COUNTIF($J$2:J520,J520)=1,SUMIFS($O:$O,$J:$J,J520)+SUMIFS($P:$P,$J:$J,J520)+SUMIFS($Q:$Q,$J:$J,J520),"")</f>
        <v>1669.18</v>
      </c>
      <c r="S520">
        <v>11405.67</v>
      </c>
      <c r="T520" s="11" t="str">
        <f t="shared" si="72"/>
        <v>Check</v>
      </c>
      <c r="U520" s="12">
        <v>46080</v>
      </c>
      <c r="V520" s="10">
        <v>1489.02</v>
      </c>
      <c r="W520" s="10" t="str">
        <f t="shared" si="69"/>
        <v>Short Paid</v>
      </c>
      <c r="X520" t="s">
        <v>468</v>
      </c>
      <c r="Y520" t="s">
        <v>28</v>
      </c>
      <c r="Z520">
        <v>100116</v>
      </c>
      <c r="AA520" t="s">
        <v>3082</v>
      </c>
      <c r="AB520" t="s">
        <v>523</v>
      </c>
      <c r="AC520" s="9">
        <f t="shared" si="70"/>
        <v>1</v>
      </c>
      <c r="AD520" s="9" t="str">
        <f t="shared" si="71"/>
        <v>Check</v>
      </c>
      <c r="AE520" s="11">
        <f t="shared" si="73"/>
        <v>-9736.49</v>
      </c>
    </row>
    <row r="521" spans="1:31" x14ac:dyDescent="0.3">
      <c r="A521">
        <v>8</v>
      </c>
      <c r="B521">
        <v>4878397</v>
      </c>
      <c r="C521" t="s">
        <v>217</v>
      </c>
      <c r="D521">
        <v>1160621</v>
      </c>
      <c r="E521" t="s">
        <v>571</v>
      </c>
      <c r="F521" t="s">
        <v>18</v>
      </c>
      <c r="G521" t="s">
        <v>215</v>
      </c>
      <c r="H521" t="s">
        <v>216</v>
      </c>
      <c r="I521" s="9" t="s">
        <v>3239</v>
      </c>
      <c r="J521" s="9">
        <v>51156216718</v>
      </c>
      <c r="K521" s="14" t="s">
        <v>3165</v>
      </c>
      <c r="L521" s="13" t="s">
        <v>4975</v>
      </c>
      <c r="M521" s="14">
        <v>420</v>
      </c>
      <c r="N521" s="14">
        <v>45.17</v>
      </c>
      <c r="O521" s="10">
        <f t="shared" si="68"/>
        <v>18971.400000000001</v>
      </c>
      <c r="P521" s="11">
        <v>0</v>
      </c>
      <c r="Q521" s="11">
        <v>3921.84</v>
      </c>
      <c r="R521" s="10">
        <f>IF(COUNTIF($J$2:J521,J521)=1,SUMIFS($O:$O,$J:$J,J521)+SUMIFS($P:$P,$J:$J,J521)+SUMIFS($Q:$Q,$J:$J,J521),"")</f>
        <v>22893.24</v>
      </c>
      <c r="S521">
        <v>39048.26</v>
      </c>
      <c r="T521" s="11" t="str">
        <f t="shared" si="72"/>
        <v>Check</v>
      </c>
      <c r="U521" s="12">
        <v>46070</v>
      </c>
      <c r="V521" s="10">
        <v>16155.02</v>
      </c>
      <c r="W521" s="10" t="str">
        <f t="shared" si="69"/>
        <v>Short Paid</v>
      </c>
      <c r="X521" t="s">
        <v>468</v>
      </c>
      <c r="Y521" t="s">
        <v>28</v>
      </c>
      <c r="Z521">
        <v>100126</v>
      </c>
      <c r="AA521" t="s">
        <v>3123</v>
      </c>
      <c r="AB521" t="s">
        <v>523</v>
      </c>
      <c r="AC521" s="9">
        <f t="shared" si="70"/>
        <v>1</v>
      </c>
      <c r="AD521" s="9" t="str">
        <f t="shared" si="71"/>
        <v>Check</v>
      </c>
      <c r="AE521" s="11">
        <f t="shared" si="73"/>
        <v>-16155.02</v>
      </c>
    </row>
    <row r="522" spans="1:31" x14ac:dyDescent="0.3">
      <c r="A522">
        <v>8</v>
      </c>
      <c r="B522">
        <v>4884241</v>
      </c>
      <c r="C522" t="s">
        <v>217</v>
      </c>
      <c r="D522">
        <v>1067606</v>
      </c>
      <c r="E522" t="s">
        <v>374</v>
      </c>
      <c r="F522" t="s">
        <v>20</v>
      </c>
      <c r="G522" t="s">
        <v>233</v>
      </c>
      <c r="H522" t="s">
        <v>234</v>
      </c>
      <c r="I522" s="9" t="s">
        <v>3322</v>
      </c>
      <c r="J522" s="9">
        <v>51156537727</v>
      </c>
      <c r="K522" s="14" t="s">
        <v>3165</v>
      </c>
      <c r="L522" s="13" t="s">
        <v>4976</v>
      </c>
      <c r="M522" s="14">
        <v>12</v>
      </c>
      <c r="N522" s="14">
        <v>117.14</v>
      </c>
      <c r="O522" s="10">
        <f t="shared" si="68"/>
        <v>1405.68</v>
      </c>
      <c r="P522" s="11">
        <v>0</v>
      </c>
      <c r="Q522" s="11">
        <v>0</v>
      </c>
      <c r="R522" s="10">
        <f>IF(COUNTIF($J$2:J522,J522)=1,SUMIFS($O:$O,$J:$J,J522)+SUMIFS($P:$P,$J:$J,J522)+SUMIFS($Q:$Q,$J:$J,J522),"")</f>
        <v>1405.68</v>
      </c>
      <c r="S522">
        <v>2611.69</v>
      </c>
      <c r="T522" s="11" t="str">
        <f t="shared" si="72"/>
        <v>Check</v>
      </c>
      <c r="U522" s="12">
        <v>46120</v>
      </c>
      <c r="V522" s="10">
        <v>216</v>
      </c>
      <c r="W522" s="10" t="str">
        <f t="shared" si="69"/>
        <v>Short Paid</v>
      </c>
      <c r="X522" t="s">
        <v>476</v>
      </c>
      <c r="Y522" t="s">
        <v>28</v>
      </c>
      <c r="Z522">
        <v>100155</v>
      </c>
      <c r="AA522" t="s">
        <v>3072</v>
      </c>
      <c r="AB522" t="s">
        <v>521</v>
      </c>
      <c r="AC522" s="9">
        <f t="shared" si="70"/>
        <v>1</v>
      </c>
      <c r="AD522" s="9" t="str">
        <f t="shared" si="71"/>
        <v>Check</v>
      </c>
      <c r="AE522" s="11">
        <f t="shared" si="73"/>
        <v>-1206.01</v>
      </c>
    </row>
    <row r="523" spans="1:31" x14ac:dyDescent="0.3">
      <c r="A523">
        <v>8</v>
      </c>
      <c r="B523">
        <v>4914295</v>
      </c>
      <c r="C523" t="s">
        <v>239</v>
      </c>
      <c r="D523">
        <v>1571373</v>
      </c>
      <c r="E523" t="s">
        <v>588</v>
      </c>
      <c r="F523" t="s">
        <v>20</v>
      </c>
      <c r="G523" t="s">
        <v>2919</v>
      </c>
      <c r="H523" t="s">
        <v>2920</v>
      </c>
      <c r="I523" s="9" t="s">
        <v>3195</v>
      </c>
      <c r="J523" s="9">
        <v>51157447149</v>
      </c>
      <c r="K523" s="14" t="s">
        <v>3203</v>
      </c>
      <c r="L523" s="13" t="s">
        <v>3580</v>
      </c>
      <c r="M523" s="14">
        <v>200</v>
      </c>
      <c r="N523" s="14">
        <v>1.4979100000000001</v>
      </c>
      <c r="O523" s="10">
        <f t="shared" si="68"/>
        <v>299.58199999999999</v>
      </c>
      <c r="P523" s="11">
        <v>0</v>
      </c>
      <c r="Q523" s="11">
        <v>0</v>
      </c>
      <c r="R523" s="10">
        <f>IF(COUNTIF($J$2:J523,J523)=1,SUMIFS($O:$O,$J:$J,J523)+SUMIFS($P:$P,$J:$J,J523)+SUMIFS($Q:$Q,$J:$J,J523),"")</f>
        <v>299.58199999999999</v>
      </c>
      <c r="S523" s="10">
        <v>299.58</v>
      </c>
      <c r="T523" s="11" t="str">
        <f t="shared" si="72"/>
        <v>Check</v>
      </c>
      <c r="U523" s="12">
        <v>46059</v>
      </c>
      <c r="V523" s="10">
        <v>299.58</v>
      </c>
      <c r="W523" s="10" t="str">
        <f t="shared" si="69"/>
        <v>Not Paid</v>
      </c>
      <c r="X523" t="s">
        <v>476</v>
      </c>
      <c r="Y523" t="s">
        <v>28</v>
      </c>
      <c r="Z523">
        <v>100115</v>
      </c>
      <c r="AA523" t="s">
        <v>504</v>
      </c>
      <c r="AB523" t="s">
        <v>521</v>
      </c>
      <c r="AC523" s="9">
        <f t="shared" si="70"/>
        <v>1</v>
      </c>
      <c r="AD523" s="9" t="str">
        <f t="shared" si="71"/>
        <v>Check</v>
      </c>
      <c r="AE523" s="11">
        <f t="shared" si="73"/>
        <v>2.0000000000095497E-3</v>
      </c>
    </row>
    <row r="524" spans="1:31" x14ac:dyDescent="0.3">
      <c r="A524">
        <v>7</v>
      </c>
      <c r="B524">
        <v>4890920</v>
      </c>
      <c r="C524" t="s">
        <v>160</v>
      </c>
      <c r="D524">
        <v>1507694</v>
      </c>
      <c r="E524" t="s">
        <v>351</v>
      </c>
      <c r="F524" t="s">
        <v>24</v>
      </c>
      <c r="G524" t="s">
        <v>2926</v>
      </c>
      <c r="H524" t="s">
        <v>2927</v>
      </c>
      <c r="I524" s="9" t="s">
        <v>3195</v>
      </c>
      <c r="J524" s="9">
        <v>51156848093</v>
      </c>
      <c r="K524" s="14" t="s">
        <v>3570</v>
      </c>
      <c r="L524" s="13" t="s">
        <v>3569</v>
      </c>
      <c r="M524" s="14">
        <v>1500</v>
      </c>
      <c r="N524" s="14">
        <v>9.76</v>
      </c>
      <c r="O524" s="10">
        <f t="shared" si="68"/>
        <v>14640</v>
      </c>
      <c r="P524" s="11">
        <v>0</v>
      </c>
      <c r="Q524" s="11">
        <v>0</v>
      </c>
      <c r="R524" s="10">
        <f>IF(COUNTIF($J$2:J524,J524)=1,SUMIFS($O:$O,$J:$J,J524)+SUMIFS($P:$P,$J:$J,J524)+SUMIFS($Q:$Q,$J:$J,J524),"")</f>
        <v>14640</v>
      </c>
      <c r="S524" s="10">
        <v>14640</v>
      </c>
      <c r="T524" s="11" t="str">
        <f t="shared" si="72"/>
        <v>Ok</v>
      </c>
      <c r="U524" s="12">
        <v>46169</v>
      </c>
      <c r="V524" s="10">
        <v>6030</v>
      </c>
      <c r="W524" s="10" t="str">
        <f t="shared" si="69"/>
        <v>Short Paid</v>
      </c>
      <c r="X524" t="s">
        <v>438</v>
      </c>
      <c r="Y524" t="s">
        <v>40</v>
      </c>
      <c r="Z524">
        <v>100263</v>
      </c>
      <c r="AA524" t="s">
        <v>3156</v>
      </c>
      <c r="AB524" t="s">
        <v>522</v>
      </c>
      <c r="AC524" s="9">
        <f t="shared" si="70"/>
        <v>1</v>
      </c>
      <c r="AD524" s="9" t="str">
        <f t="shared" si="71"/>
        <v>Ok</v>
      </c>
      <c r="AE524" s="11">
        <f t="shared" si="73"/>
        <v>0</v>
      </c>
    </row>
    <row r="525" spans="1:31" x14ac:dyDescent="0.3">
      <c r="A525">
        <v>7</v>
      </c>
      <c r="B525">
        <v>4892033</v>
      </c>
      <c r="C525" t="s">
        <v>160</v>
      </c>
      <c r="D525">
        <v>1469829</v>
      </c>
      <c r="E525" t="s">
        <v>224</v>
      </c>
      <c r="F525" t="s">
        <v>24</v>
      </c>
      <c r="G525" t="s">
        <v>156</v>
      </c>
      <c r="H525" t="s">
        <v>157</v>
      </c>
      <c r="I525" s="9" t="s">
        <v>3349</v>
      </c>
      <c r="J525" s="9">
        <v>51156611329</v>
      </c>
      <c r="K525" s="14" t="s">
        <v>3165</v>
      </c>
      <c r="L525" s="13" t="s">
        <v>4977</v>
      </c>
      <c r="M525" s="14">
        <v>2000</v>
      </c>
      <c r="N525" s="14">
        <v>0.99</v>
      </c>
      <c r="O525" s="10">
        <f t="shared" si="68"/>
        <v>1980</v>
      </c>
      <c r="P525" s="11">
        <v>0</v>
      </c>
      <c r="Q525" s="11">
        <v>312.47000000000003</v>
      </c>
      <c r="R525" s="10">
        <f>IF(COUNTIF($J$2:J525,J525)=1,SUMIFS($O:$O,$J:$J,J525)+SUMIFS($P:$P,$J:$J,J525)+SUMIFS($Q:$Q,$J:$J,J525),"")</f>
        <v>2292.4700000000003</v>
      </c>
      <c r="S525">
        <v>2715.87</v>
      </c>
      <c r="T525" s="11" t="str">
        <f t="shared" si="72"/>
        <v>Check</v>
      </c>
      <c r="U525" s="12">
        <v>46106</v>
      </c>
      <c r="V525" s="10">
        <v>492.27</v>
      </c>
      <c r="W525" s="10" t="str">
        <f t="shared" si="69"/>
        <v>Short Paid</v>
      </c>
      <c r="X525" t="s">
        <v>470</v>
      </c>
      <c r="Y525" t="s">
        <v>40</v>
      </c>
      <c r="Z525">
        <v>100148</v>
      </c>
      <c r="AA525" t="s">
        <v>3097</v>
      </c>
      <c r="AB525" t="s">
        <v>522</v>
      </c>
      <c r="AC525" s="9">
        <f t="shared" si="70"/>
        <v>1</v>
      </c>
      <c r="AD525" s="9" t="str">
        <f t="shared" si="71"/>
        <v>Check</v>
      </c>
      <c r="AE525" s="11">
        <f t="shared" si="73"/>
        <v>-423.39999999999964</v>
      </c>
    </row>
    <row r="526" spans="1:31" x14ac:dyDescent="0.3">
      <c r="A526">
        <v>7</v>
      </c>
      <c r="B526">
        <v>4892589</v>
      </c>
      <c r="C526" t="s">
        <v>220</v>
      </c>
      <c r="D526">
        <v>1560144</v>
      </c>
      <c r="E526" t="s">
        <v>565</v>
      </c>
      <c r="F526" t="s">
        <v>20</v>
      </c>
      <c r="G526" t="s">
        <v>2928</v>
      </c>
      <c r="H526" t="s">
        <v>2929</v>
      </c>
      <c r="I526" s="9" t="s">
        <v>3217</v>
      </c>
      <c r="J526" s="9">
        <v>51156778527</v>
      </c>
      <c r="K526" s="14" t="s">
        <v>3183</v>
      </c>
      <c r="L526" s="13" t="s">
        <v>3568</v>
      </c>
      <c r="M526" s="14">
        <v>25000</v>
      </c>
      <c r="N526" s="14">
        <v>0.18</v>
      </c>
      <c r="O526" s="10">
        <f t="shared" si="68"/>
        <v>4500</v>
      </c>
      <c r="P526" s="11">
        <v>0</v>
      </c>
      <c r="Q526" s="11">
        <v>1926</v>
      </c>
      <c r="R526" s="10">
        <f>IF(COUNTIF($J$2:J526,J526)=1,SUMIFS($O:$O,$J:$J,J526)+SUMIFS($P:$P,$J:$J,J526)+SUMIFS($Q:$Q,$J:$J,J526),"")</f>
        <v>6426</v>
      </c>
      <c r="S526" s="10">
        <v>6426</v>
      </c>
      <c r="T526" s="11" t="str">
        <f t="shared" si="72"/>
        <v>Ok</v>
      </c>
      <c r="U526" s="12">
        <v>46051</v>
      </c>
      <c r="V526" s="10">
        <v>6426</v>
      </c>
      <c r="W526" s="10" t="str">
        <f t="shared" si="69"/>
        <v>Not Paid</v>
      </c>
      <c r="X526" t="s">
        <v>468</v>
      </c>
      <c r="Y526" t="s">
        <v>28</v>
      </c>
      <c r="Z526">
        <v>100156</v>
      </c>
      <c r="AA526" t="s">
        <v>3112</v>
      </c>
      <c r="AB526" t="s">
        <v>521</v>
      </c>
      <c r="AC526" s="9">
        <f t="shared" si="70"/>
        <v>1</v>
      </c>
      <c r="AD526" s="9" t="str">
        <f t="shared" si="71"/>
        <v>Ok</v>
      </c>
      <c r="AE526" s="11">
        <f t="shared" ref="AE526:AE540" si="74">R526-S526</f>
        <v>0</v>
      </c>
    </row>
    <row r="527" spans="1:31" x14ac:dyDescent="0.3">
      <c r="A527">
        <v>7</v>
      </c>
      <c r="B527">
        <v>4927931</v>
      </c>
      <c r="C527" t="s">
        <v>239</v>
      </c>
      <c r="D527">
        <v>1449770</v>
      </c>
      <c r="E527" t="s">
        <v>560</v>
      </c>
      <c r="F527" t="s">
        <v>47</v>
      </c>
      <c r="G527" t="s">
        <v>2930</v>
      </c>
      <c r="H527" t="s">
        <v>2931</v>
      </c>
      <c r="I527" s="9" t="s">
        <v>3300</v>
      </c>
      <c r="J527" s="9">
        <v>51158053460</v>
      </c>
      <c r="K527" s="14" t="s">
        <v>3586</v>
      </c>
      <c r="L527" s="13" t="s">
        <v>3585</v>
      </c>
      <c r="M527" s="14">
        <v>1000</v>
      </c>
      <c r="N527" s="14">
        <v>2.06</v>
      </c>
      <c r="O527" s="10">
        <f t="shared" si="68"/>
        <v>2060</v>
      </c>
      <c r="P527" s="11">
        <v>0</v>
      </c>
      <c r="Q527" s="11">
        <v>685.98</v>
      </c>
      <c r="R527" s="10">
        <f>IF(COUNTIF($J$2:J527,J527)=1,SUMIFS($O:$O,$J:$J,J527)+SUMIFS($P:$P,$J:$J,J527)+SUMIFS($Q:$Q,$J:$J,J527),"")</f>
        <v>2745.98</v>
      </c>
      <c r="S527" s="10">
        <v>2745.98</v>
      </c>
      <c r="T527" s="11" t="str">
        <f t="shared" si="72"/>
        <v>Ok</v>
      </c>
      <c r="U527" s="12">
        <v>46101</v>
      </c>
      <c r="V527" s="10">
        <v>2745.98</v>
      </c>
      <c r="W527" s="10" t="str">
        <f t="shared" si="69"/>
        <v>Not Paid</v>
      </c>
      <c r="X527" t="s">
        <v>450</v>
      </c>
      <c r="Y527" t="s">
        <v>28</v>
      </c>
      <c r="Z527">
        <v>100287</v>
      </c>
      <c r="AA527" t="s">
        <v>503</v>
      </c>
      <c r="AB527" t="s">
        <v>3039</v>
      </c>
      <c r="AC527" s="9">
        <f t="shared" si="70"/>
        <v>1</v>
      </c>
      <c r="AD527" s="9" t="str">
        <f t="shared" si="71"/>
        <v>Ok</v>
      </c>
      <c r="AE527" s="11">
        <f t="shared" si="74"/>
        <v>0</v>
      </c>
    </row>
    <row r="528" spans="1:31" x14ac:dyDescent="0.3">
      <c r="A528">
        <v>7</v>
      </c>
      <c r="B528">
        <v>4928210</v>
      </c>
      <c r="C528" t="s">
        <v>239</v>
      </c>
      <c r="D528">
        <v>1449770</v>
      </c>
      <c r="E528" t="s">
        <v>560</v>
      </c>
      <c r="F528" t="s">
        <v>47</v>
      </c>
      <c r="G528" t="s">
        <v>2932</v>
      </c>
      <c r="H528" t="s">
        <v>2933</v>
      </c>
      <c r="I528" s="9" t="s">
        <v>3234</v>
      </c>
      <c r="J528" s="9">
        <v>51157989199</v>
      </c>
      <c r="K528" s="14" t="s">
        <v>3207</v>
      </c>
      <c r="L528" s="13" t="s">
        <v>3584</v>
      </c>
      <c r="M528" s="14">
        <v>2000</v>
      </c>
      <c r="N528" s="14">
        <v>0.17199999999999999</v>
      </c>
      <c r="O528" s="10">
        <f t="shared" si="68"/>
        <v>344</v>
      </c>
      <c r="P528" s="11">
        <v>0</v>
      </c>
      <c r="Q528" s="11">
        <v>49.19</v>
      </c>
      <c r="R528" s="10">
        <f>IF(COUNTIF($J$2:J528,J528)=1,SUMIFS($O:$O,$J:$J,J528)+SUMIFS($P:$P,$J:$J,J528)+SUMIFS($Q:$Q,$J:$J,J528),"")</f>
        <v>393.19</v>
      </c>
      <c r="S528" s="10">
        <v>393.19</v>
      </c>
      <c r="T528" s="11" t="str">
        <f t="shared" si="72"/>
        <v>Ok</v>
      </c>
      <c r="U528" s="12">
        <v>46106</v>
      </c>
      <c r="V528" s="10">
        <v>393.19</v>
      </c>
      <c r="W528" s="10" t="str">
        <f t="shared" si="69"/>
        <v>Not Paid</v>
      </c>
      <c r="X528" t="s">
        <v>450</v>
      </c>
      <c r="Y528" t="s">
        <v>28</v>
      </c>
      <c r="Z528">
        <v>100117</v>
      </c>
      <c r="AA528" t="s">
        <v>451</v>
      </c>
      <c r="AB528" t="s">
        <v>3039</v>
      </c>
      <c r="AC528" s="9">
        <f t="shared" si="70"/>
        <v>1</v>
      </c>
      <c r="AD528" s="9" t="str">
        <f t="shared" si="71"/>
        <v>Ok</v>
      </c>
      <c r="AE528" s="11">
        <f t="shared" si="74"/>
        <v>0</v>
      </c>
    </row>
    <row r="529" spans="1:31" x14ac:dyDescent="0.3">
      <c r="A529">
        <v>7</v>
      </c>
      <c r="B529">
        <v>4928766</v>
      </c>
      <c r="C529" t="s">
        <v>239</v>
      </c>
      <c r="D529">
        <v>1449770</v>
      </c>
      <c r="E529" t="s">
        <v>560</v>
      </c>
      <c r="F529" t="s">
        <v>47</v>
      </c>
      <c r="G529" t="s">
        <v>251</v>
      </c>
      <c r="H529" t="s">
        <v>252</v>
      </c>
      <c r="I529" s="9" t="s">
        <v>3390</v>
      </c>
      <c r="J529" s="9">
        <v>51158075697</v>
      </c>
      <c r="K529" s="14" t="s">
        <v>3165</v>
      </c>
      <c r="L529" s="13" t="s">
        <v>4931</v>
      </c>
      <c r="M529" s="14">
        <v>2400</v>
      </c>
      <c r="N529" s="14">
        <v>0.5</v>
      </c>
      <c r="O529" s="10">
        <f t="shared" si="68"/>
        <v>1200</v>
      </c>
      <c r="P529" s="11">
        <v>0</v>
      </c>
      <c r="Q529" s="11">
        <v>41.23</v>
      </c>
      <c r="R529" s="10">
        <f>IF(COUNTIF($J$2:J529,J529)=1,SUMIFS($O:$O,$J:$J,J529)+SUMIFS($P:$P,$J:$J,J529)+SUMIFS($Q:$Q,$J:$J,J529),"")</f>
        <v>1241.23</v>
      </c>
      <c r="S529">
        <v>1675.23</v>
      </c>
      <c r="T529" s="11" t="str">
        <f t="shared" si="72"/>
        <v>Check</v>
      </c>
      <c r="U529" s="12">
        <v>46113</v>
      </c>
      <c r="V529" s="10">
        <v>475.23</v>
      </c>
      <c r="W529" s="10" t="str">
        <f t="shared" si="69"/>
        <v>Short Paid</v>
      </c>
      <c r="X529" t="s">
        <v>450</v>
      </c>
      <c r="Y529" t="s">
        <v>28</v>
      </c>
      <c r="Z529">
        <v>100157</v>
      </c>
      <c r="AA529" t="s">
        <v>3124</v>
      </c>
      <c r="AB529" t="s">
        <v>3039</v>
      </c>
      <c r="AC529" s="9">
        <f t="shared" si="70"/>
        <v>1</v>
      </c>
      <c r="AD529" s="9" t="str">
        <f t="shared" si="71"/>
        <v>Check</v>
      </c>
      <c r="AE529" s="11">
        <f t="shared" si="74"/>
        <v>-434</v>
      </c>
    </row>
    <row r="530" spans="1:31" x14ac:dyDescent="0.3">
      <c r="A530">
        <v>7</v>
      </c>
      <c r="B530">
        <v>4930158</v>
      </c>
      <c r="C530" t="s">
        <v>160</v>
      </c>
      <c r="D530">
        <v>1470631</v>
      </c>
      <c r="E530" t="s">
        <v>214</v>
      </c>
      <c r="F530" t="s">
        <v>18</v>
      </c>
      <c r="G530" t="s">
        <v>384</v>
      </c>
      <c r="H530" t="s">
        <v>385</v>
      </c>
      <c r="I530" s="9" t="s">
        <v>3309</v>
      </c>
      <c r="J530" s="9">
        <v>50117555282</v>
      </c>
      <c r="K530" s="14" t="s">
        <v>3165</v>
      </c>
      <c r="L530" s="13" t="s">
        <v>4920</v>
      </c>
      <c r="M530" s="14">
        <v>270</v>
      </c>
      <c r="N530" s="14">
        <v>21.2</v>
      </c>
      <c r="O530" s="10">
        <f t="shared" si="68"/>
        <v>5724</v>
      </c>
      <c r="P530" s="11">
        <v>0</v>
      </c>
      <c r="Q530" s="11">
        <v>0</v>
      </c>
      <c r="R530" s="10">
        <f>IF(COUNTIF($J$2:J530,J530)=1,SUMIFS($O:$O,$J:$J,J530)+SUMIFS($P:$P,$J:$J,J530)+SUMIFS($Q:$Q,$J:$J,J530),"")</f>
        <v>5724</v>
      </c>
      <c r="S530">
        <v>5978.6</v>
      </c>
      <c r="T530" s="11" t="str">
        <f t="shared" si="72"/>
        <v>Check</v>
      </c>
      <c r="U530" s="12">
        <v>46092</v>
      </c>
      <c r="V530" s="10">
        <v>558.9</v>
      </c>
      <c r="W530" s="10" t="str">
        <f t="shared" si="69"/>
        <v>Short Paid</v>
      </c>
      <c r="X530" t="s">
        <v>450</v>
      </c>
      <c r="Y530" t="s">
        <v>28</v>
      </c>
      <c r="Z530">
        <v>100247</v>
      </c>
      <c r="AA530" t="s">
        <v>452</v>
      </c>
      <c r="AB530" t="s">
        <v>523</v>
      </c>
      <c r="AC530" s="9">
        <f t="shared" si="70"/>
        <v>1</v>
      </c>
      <c r="AD530" s="9" t="str">
        <f t="shared" si="71"/>
        <v>Check</v>
      </c>
      <c r="AE530" s="11">
        <f t="shared" si="74"/>
        <v>-254.60000000000036</v>
      </c>
    </row>
    <row r="531" spans="1:31" x14ac:dyDescent="0.3">
      <c r="A531">
        <v>6</v>
      </c>
      <c r="B531">
        <v>4936002</v>
      </c>
      <c r="C531" t="s">
        <v>167</v>
      </c>
      <c r="D531">
        <v>1098309</v>
      </c>
      <c r="E531" t="s">
        <v>544</v>
      </c>
      <c r="F531" t="s">
        <v>49</v>
      </c>
      <c r="G531" t="s">
        <v>256</v>
      </c>
      <c r="H531" t="s">
        <v>257</v>
      </c>
      <c r="I531" s="9" t="s">
        <v>3327</v>
      </c>
      <c r="J531" s="9">
        <v>51155097831</v>
      </c>
      <c r="K531" s="14" t="s">
        <v>3165</v>
      </c>
      <c r="L531" s="13" t="s">
        <v>4970</v>
      </c>
      <c r="M531" s="14">
        <v>3000</v>
      </c>
      <c r="N531" s="14">
        <v>0.47</v>
      </c>
      <c r="O531" s="10">
        <f t="shared" si="68"/>
        <v>1410</v>
      </c>
      <c r="P531" s="11">
        <v>2656.25</v>
      </c>
      <c r="Q531" s="11">
        <v>9.34</v>
      </c>
      <c r="R531" s="10">
        <f>IF(COUNTIF($J$2:J531,J531)=1,SUMIFS($O:$O,$J:$J,J531)+SUMIFS($P:$P,$J:$J,J531)+SUMIFS($Q:$Q,$J:$J,J531),"")</f>
        <v>4075.59</v>
      </c>
      <c r="S531">
        <v>46575.59</v>
      </c>
      <c r="T531" s="11" t="str">
        <f t="shared" si="72"/>
        <v>Check</v>
      </c>
      <c r="U531" s="12">
        <v>46119</v>
      </c>
      <c r="V531" s="10">
        <v>2656.25</v>
      </c>
      <c r="W531" s="10" t="str">
        <f t="shared" si="69"/>
        <v>Short Paid</v>
      </c>
      <c r="X531" t="s">
        <v>476</v>
      </c>
      <c r="Y531" t="s">
        <v>29</v>
      </c>
      <c r="Z531">
        <v>100295</v>
      </c>
      <c r="AA531" t="s">
        <v>3127</v>
      </c>
      <c r="AB531" t="s">
        <v>3041</v>
      </c>
      <c r="AC531" s="9">
        <f t="shared" si="70"/>
        <v>1</v>
      </c>
      <c r="AD531" s="9" t="str">
        <f t="shared" si="71"/>
        <v>Check</v>
      </c>
      <c r="AE531" s="11">
        <f t="shared" si="74"/>
        <v>-42500</v>
      </c>
    </row>
    <row r="532" spans="1:31" x14ac:dyDescent="0.3">
      <c r="A532">
        <v>6</v>
      </c>
      <c r="B532">
        <v>4934610</v>
      </c>
      <c r="C532" t="s">
        <v>239</v>
      </c>
      <c r="D532">
        <v>1035325</v>
      </c>
      <c r="E532" t="s">
        <v>556</v>
      </c>
      <c r="F532" t="s">
        <v>20</v>
      </c>
      <c r="G532" t="s">
        <v>2938</v>
      </c>
      <c r="H532" t="s">
        <v>2939</v>
      </c>
      <c r="I532" s="9" t="s">
        <v>3287</v>
      </c>
      <c r="J532" s="9">
        <v>51156262836</v>
      </c>
      <c r="K532" s="14" t="s">
        <v>3203</v>
      </c>
      <c r="L532" s="13" t="s">
        <v>3566</v>
      </c>
      <c r="M532" s="14">
        <v>4350</v>
      </c>
      <c r="N532" s="14">
        <v>0.17080000000000001</v>
      </c>
      <c r="O532" s="10">
        <f t="shared" si="68"/>
        <v>742.98</v>
      </c>
      <c r="P532" s="11">
        <v>0</v>
      </c>
      <c r="Q532" s="11">
        <v>0</v>
      </c>
      <c r="R532" s="10">
        <f>IF(COUNTIF($J$2:J532,J532)=1,SUMIFS($O:$O,$J:$J,J532)+SUMIFS($P:$P,$J:$J,J532)+SUMIFS($Q:$Q,$J:$J,J532),"")</f>
        <v>742.98</v>
      </c>
      <c r="S532" s="10">
        <v>742.98</v>
      </c>
      <c r="T532" s="11" t="str">
        <f t="shared" si="72"/>
        <v>Ok</v>
      </c>
      <c r="U532" s="12">
        <v>46121</v>
      </c>
      <c r="V532" s="10">
        <v>137.68</v>
      </c>
      <c r="W532" s="10" t="str">
        <f t="shared" si="69"/>
        <v>Short Paid</v>
      </c>
      <c r="X532" t="s">
        <v>476</v>
      </c>
      <c r="Y532" t="s">
        <v>28</v>
      </c>
      <c r="Z532">
        <v>100165</v>
      </c>
      <c r="AA532" t="s">
        <v>3100</v>
      </c>
      <c r="AB532" t="s">
        <v>521</v>
      </c>
      <c r="AC532" s="9">
        <f t="shared" si="70"/>
        <v>1</v>
      </c>
      <c r="AD532" s="9" t="str">
        <f t="shared" si="71"/>
        <v>Ok</v>
      </c>
      <c r="AE532" s="11">
        <f t="shared" si="74"/>
        <v>0</v>
      </c>
    </row>
    <row r="533" spans="1:31" x14ac:dyDescent="0.3">
      <c r="A533">
        <v>4</v>
      </c>
      <c r="B533">
        <v>4897598</v>
      </c>
      <c r="C533" t="s">
        <v>167</v>
      </c>
      <c r="D533">
        <v>1124420</v>
      </c>
      <c r="E533" t="s">
        <v>221</v>
      </c>
      <c r="F533" t="s">
        <v>20</v>
      </c>
      <c r="G533" t="s">
        <v>2944</v>
      </c>
      <c r="H533" t="s">
        <v>2945</v>
      </c>
      <c r="I533" s="9" t="s">
        <v>3528</v>
      </c>
      <c r="J533" s="9">
        <v>51160045879</v>
      </c>
      <c r="K533" s="14" t="s">
        <v>3244</v>
      </c>
      <c r="L533" s="13" t="s">
        <v>3518</v>
      </c>
      <c r="M533" s="14">
        <v>114</v>
      </c>
      <c r="N533" s="14">
        <v>142.15</v>
      </c>
      <c r="O533" s="10">
        <f t="shared" si="68"/>
        <v>16205.1</v>
      </c>
      <c r="P533" s="11">
        <v>0</v>
      </c>
      <c r="Q533" s="11">
        <v>0</v>
      </c>
      <c r="R533" s="10">
        <f>IF(COUNTIF($J$2:J533,J533)=1,SUMIFS($O:$O,$J:$J,J533)+SUMIFS($P:$P,$J:$J,J533)+SUMIFS($Q:$Q,$J:$J,J533),"")</f>
        <v>16205.1</v>
      </c>
      <c r="S533" s="10">
        <v>16205.1</v>
      </c>
      <c r="T533" s="11" t="str">
        <f t="shared" si="72"/>
        <v>Ok</v>
      </c>
      <c r="U533" s="12">
        <v>46080</v>
      </c>
      <c r="V533" s="10">
        <v>16205.1</v>
      </c>
      <c r="W533" s="10" t="str">
        <f t="shared" si="69"/>
        <v>Not Paid</v>
      </c>
      <c r="X533" t="s">
        <v>470</v>
      </c>
      <c r="Y533" t="s">
        <v>28</v>
      </c>
      <c r="Z533">
        <v>100118</v>
      </c>
      <c r="AA533" t="s">
        <v>494</v>
      </c>
      <c r="AB533" t="s">
        <v>521</v>
      </c>
      <c r="AC533" s="9">
        <f t="shared" si="70"/>
        <v>1</v>
      </c>
      <c r="AD533" s="9" t="str">
        <f t="shared" si="71"/>
        <v>Ok</v>
      </c>
      <c r="AE533" s="11">
        <f t="shared" si="74"/>
        <v>0</v>
      </c>
    </row>
    <row r="534" spans="1:31" x14ac:dyDescent="0.3">
      <c r="A534">
        <v>4</v>
      </c>
      <c r="B534">
        <v>4897877</v>
      </c>
      <c r="C534" t="s">
        <v>167</v>
      </c>
      <c r="D534">
        <v>1124420</v>
      </c>
      <c r="E534" t="s">
        <v>221</v>
      </c>
      <c r="F534" t="s">
        <v>20</v>
      </c>
      <c r="G534" t="s">
        <v>2946</v>
      </c>
      <c r="H534" t="s">
        <v>2947</v>
      </c>
      <c r="I534" s="9" t="s">
        <v>3257</v>
      </c>
      <c r="J534" s="9">
        <v>51152044198</v>
      </c>
      <c r="K534" s="14" t="s">
        <v>3244</v>
      </c>
      <c r="L534" s="13" t="s">
        <v>3518</v>
      </c>
      <c r="M534" s="14">
        <v>75</v>
      </c>
      <c r="N534" s="14">
        <v>142.15</v>
      </c>
      <c r="O534" s="10">
        <f t="shared" si="68"/>
        <v>10661.25</v>
      </c>
      <c r="P534" s="11">
        <v>0</v>
      </c>
      <c r="Q534" s="11">
        <v>0</v>
      </c>
      <c r="R534" s="10">
        <f>IF(COUNTIF($J$2:J534,J534)=1,SUMIFS($O:$O,$J:$J,J534)+SUMIFS($P:$P,$J:$J,J534)+SUMIFS($Q:$Q,$J:$J,J534),"")</f>
        <v>10661.25</v>
      </c>
      <c r="S534" s="10">
        <v>10661.25</v>
      </c>
      <c r="T534" s="11" t="str">
        <f t="shared" si="72"/>
        <v>Ok</v>
      </c>
      <c r="U534" s="12">
        <v>46080</v>
      </c>
      <c r="V534" s="10">
        <v>10661.25</v>
      </c>
      <c r="W534" s="10" t="str">
        <f t="shared" si="69"/>
        <v>Not Paid</v>
      </c>
      <c r="X534" t="s">
        <v>470</v>
      </c>
      <c r="Y534" t="s">
        <v>28</v>
      </c>
      <c r="Z534">
        <v>100128</v>
      </c>
      <c r="AA534" t="s">
        <v>508</v>
      </c>
      <c r="AB534" t="s">
        <v>521</v>
      </c>
      <c r="AC534" s="9">
        <f t="shared" si="70"/>
        <v>1</v>
      </c>
      <c r="AD534" s="9" t="str">
        <f t="shared" si="71"/>
        <v>Ok</v>
      </c>
      <c r="AE534" s="11">
        <f t="shared" si="74"/>
        <v>0</v>
      </c>
    </row>
    <row r="535" spans="1:31" x14ac:dyDescent="0.3">
      <c r="A535">
        <v>4</v>
      </c>
      <c r="B535">
        <v>4944907</v>
      </c>
      <c r="C535" t="s">
        <v>167</v>
      </c>
      <c r="D535">
        <v>1292196</v>
      </c>
      <c r="E535" t="s">
        <v>593</v>
      </c>
      <c r="F535" t="s">
        <v>25</v>
      </c>
      <c r="G535" t="s">
        <v>258</v>
      </c>
      <c r="H535" t="s">
        <v>259</v>
      </c>
      <c r="I535" s="9" t="s">
        <v>3260</v>
      </c>
      <c r="J535" s="9">
        <v>51158294959</v>
      </c>
      <c r="K535" s="14" t="s">
        <v>3165</v>
      </c>
      <c r="L535" s="13" t="s">
        <v>4922</v>
      </c>
      <c r="M535" s="14">
        <v>715</v>
      </c>
      <c r="N535" s="14">
        <v>0.4</v>
      </c>
      <c r="O535" s="10">
        <f t="shared" si="68"/>
        <v>286</v>
      </c>
      <c r="P535" s="11">
        <v>214.4</v>
      </c>
      <c r="Q535" s="11">
        <v>0</v>
      </c>
      <c r="R535" s="10">
        <f>IF(COUNTIF($J$2:J535,J535)=1,SUMIFS($O:$O,$J:$J,J535)+SUMIFS($P:$P,$J:$J,J535)+SUMIFS($Q:$Q,$J:$J,J535),"")</f>
        <v>500.4</v>
      </c>
      <c r="S535">
        <v>3180.42</v>
      </c>
      <c r="T535" s="11" t="str">
        <f t="shared" si="72"/>
        <v>Check</v>
      </c>
      <c r="U535" s="12">
        <v>45891</v>
      </c>
      <c r="V535" s="10">
        <v>2894.42</v>
      </c>
      <c r="W535" s="10" t="str">
        <f t="shared" si="69"/>
        <v>Short Paid</v>
      </c>
      <c r="X535" t="s">
        <v>450</v>
      </c>
      <c r="Y535" t="s">
        <v>28</v>
      </c>
      <c r="Z535">
        <v>100117</v>
      </c>
      <c r="AA535" t="s">
        <v>451</v>
      </c>
      <c r="AB535" t="s">
        <v>525</v>
      </c>
      <c r="AC535" s="9">
        <f t="shared" si="70"/>
        <v>1</v>
      </c>
      <c r="AD535" s="9" t="str">
        <f t="shared" si="71"/>
        <v>Check</v>
      </c>
      <c r="AE535" s="11">
        <f t="shared" si="74"/>
        <v>-2680.02</v>
      </c>
    </row>
    <row r="536" spans="1:31" x14ac:dyDescent="0.3">
      <c r="A536">
        <v>4</v>
      </c>
      <c r="B536">
        <v>4940176</v>
      </c>
      <c r="C536" t="s">
        <v>217</v>
      </c>
      <c r="D536">
        <v>1518030</v>
      </c>
      <c r="E536" t="s">
        <v>562</v>
      </c>
      <c r="F536" t="s">
        <v>18</v>
      </c>
      <c r="G536" t="s">
        <v>2951</v>
      </c>
      <c r="H536" t="s">
        <v>2952</v>
      </c>
      <c r="I536" s="9" t="s">
        <v>3253</v>
      </c>
      <c r="J536" s="9">
        <v>51160092206</v>
      </c>
      <c r="K536" s="14" t="s">
        <v>3351</v>
      </c>
      <c r="L536" s="13" t="s">
        <v>3615</v>
      </c>
      <c r="M536" s="14">
        <v>6000</v>
      </c>
      <c r="N536" s="14">
        <v>0.20019999999999999</v>
      </c>
      <c r="O536" s="10">
        <f t="shared" si="68"/>
        <v>1201.2</v>
      </c>
      <c r="P536" s="11">
        <v>0</v>
      </c>
      <c r="Q536" s="11">
        <v>0</v>
      </c>
      <c r="R536" s="10">
        <f>IF(COUNTIF($J$2:J536,J536)=1,SUMIFS($O:$O,$J:$J,J536)+SUMIFS($P:$P,$J:$J,J536)+SUMIFS($Q:$Q,$J:$J,J536),"")</f>
        <v>1201.2</v>
      </c>
      <c r="S536" s="10">
        <v>1201.2</v>
      </c>
      <c r="T536" s="11" t="str">
        <f t="shared" si="72"/>
        <v>Ok</v>
      </c>
      <c r="U536" s="12">
        <v>46100</v>
      </c>
      <c r="V536" s="10">
        <v>1201.2</v>
      </c>
      <c r="W536" s="10" t="str">
        <f t="shared" si="69"/>
        <v>Not Paid</v>
      </c>
      <c r="X536" t="s">
        <v>468</v>
      </c>
      <c r="Y536" t="s">
        <v>28</v>
      </c>
      <c r="Z536">
        <v>100166</v>
      </c>
      <c r="AA536" t="s">
        <v>3069</v>
      </c>
      <c r="AB536" t="s">
        <v>523</v>
      </c>
      <c r="AC536" s="9">
        <f t="shared" si="70"/>
        <v>1</v>
      </c>
      <c r="AD536" s="9" t="str">
        <f t="shared" si="71"/>
        <v>Ok</v>
      </c>
      <c r="AE536" s="11">
        <f t="shared" si="74"/>
        <v>0</v>
      </c>
    </row>
    <row r="537" spans="1:31" x14ac:dyDescent="0.3">
      <c r="A537">
        <v>4</v>
      </c>
      <c r="B537">
        <v>4940454</v>
      </c>
      <c r="C537" t="s">
        <v>220</v>
      </c>
      <c r="D537">
        <v>1770254</v>
      </c>
      <c r="E537" t="s">
        <v>402</v>
      </c>
      <c r="F537" t="s">
        <v>18</v>
      </c>
      <c r="G537" t="s">
        <v>403</v>
      </c>
      <c r="H537" t="s">
        <v>404</v>
      </c>
      <c r="I537" s="9" t="s">
        <v>3169</v>
      </c>
      <c r="J537" s="9">
        <v>51160968675</v>
      </c>
      <c r="K537" s="14" t="s">
        <v>3165</v>
      </c>
      <c r="L537" s="13" t="s">
        <v>4995</v>
      </c>
      <c r="M537" s="14">
        <v>2200</v>
      </c>
      <c r="N537" s="14">
        <v>1.44</v>
      </c>
      <c r="O537" s="10">
        <f t="shared" si="68"/>
        <v>3168</v>
      </c>
      <c r="P537" s="11">
        <v>1024.8999999999999</v>
      </c>
      <c r="Q537" s="11">
        <v>0</v>
      </c>
      <c r="R537" s="10">
        <f>IF(COUNTIF($J$2:J537,J537)=1,SUMIFS($O:$O,$J:$J,J537)+SUMIFS($P:$P,$J:$J,J537)+SUMIFS($Q:$Q,$J:$J,J537),"")</f>
        <v>4192.8999999999996</v>
      </c>
      <c r="S537">
        <v>11037</v>
      </c>
      <c r="T537" s="11" t="str">
        <f t="shared" si="72"/>
        <v>Check</v>
      </c>
      <c r="U537" s="12">
        <v>46112</v>
      </c>
      <c r="V537" s="10">
        <v>3168</v>
      </c>
      <c r="W537" s="10" t="str">
        <f t="shared" si="69"/>
        <v>Short Paid</v>
      </c>
      <c r="X537" t="s">
        <v>474</v>
      </c>
      <c r="Y537" t="s">
        <v>28</v>
      </c>
      <c r="Z537">
        <v>100199</v>
      </c>
      <c r="AA537" t="s">
        <v>481</v>
      </c>
      <c r="AB537" t="s">
        <v>523</v>
      </c>
      <c r="AC537" s="9">
        <f t="shared" si="70"/>
        <v>1</v>
      </c>
      <c r="AD537" s="9" t="str">
        <f t="shared" si="71"/>
        <v>Check</v>
      </c>
      <c r="AE537" s="11">
        <f t="shared" si="74"/>
        <v>-6844.1</v>
      </c>
    </row>
    <row r="538" spans="1:31" x14ac:dyDescent="0.3">
      <c r="A538">
        <v>4</v>
      </c>
      <c r="B538">
        <v>4942959</v>
      </c>
      <c r="C538" t="s">
        <v>220</v>
      </c>
      <c r="D538">
        <v>1770254</v>
      </c>
      <c r="E538" t="s">
        <v>402</v>
      </c>
      <c r="F538" t="s">
        <v>18</v>
      </c>
      <c r="G538" t="s">
        <v>405</v>
      </c>
      <c r="H538" t="s">
        <v>406</v>
      </c>
      <c r="I538" s="9" t="s">
        <v>3525</v>
      </c>
      <c r="J538" s="9">
        <v>51159728466</v>
      </c>
      <c r="K538" s="14" t="s">
        <v>3165</v>
      </c>
      <c r="L538" s="13" t="s">
        <v>4979</v>
      </c>
      <c r="M538" s="14">
        <v>2880</v>
      </c>
      <c r="N538" s="14">
        <v>3.42</v>
      </c>
      <c r="O538" s="10">
        <f t="shared" si="68"/>
        <v>9849.6</v>
      </c>
      <c r="P538" s="11">
        <v>0</v>
      </c>
      <c r="Q538" s="11">
        <v>0</v>
      </c>
      <c r="R538" s="10">
        <f>IF(COUNTIF($J$2:J538,J538)=1,SUMIFS($O:$O,$J:$J,J538)+SUMIFS($P:$P,$J:$J,J538)+SUMIFS($Q:$Q,$J:$J,J538),"")</f>
        <v>9849.6</v>
      </c>
      <c r="S538">
        <v>10904.800000000001</v>
      </c>
      <c r="T538" s="11" t="str">
        <f t="shared" si="72"/>
        <v>Check</v>
      </c>
      <c r="U538" s="12">
        <v>46113</v>
      </c>
      <c r="V538" s="10">
        <v>28.71</v>
      </c>
      <c r="W538" s="10" t="str">
        <f t="shared" si="69"/>
        <v>Short Paid</v>
      </c>
      <c r="X538" t="s">
        <v>474</v>
      </c>
      <c r="Y538" t="s">
        <v>28</v>
      </c>
      <c r="Z538">
        <v>100169</v>
      </c>
      <c r="AA538" t="s">
        <v>489</v>
      </c>
      <c r="AB538" t="s">
        <v>523</v>
      </c>
      <c r="AC538" s="9">
        <f t="shared" si="70"/>
        <v>1</v>
      </c>
      <c r="AD538" s="9" t="str">
        <f t="shared" si="71"/>
        <v>Check</v>
      </c>
      <c r="AE538" s="11">
        <f t="shared" si="74"/>
        <v>-1055.2000000000007</v>
      </c>
    </row>
    <row r="539" spans="1:31" x14ac:dyDescent="0.3">
      <c r="A539">
        <v>4</v>
      </c>
      <c r="B539">
        <v>4941011</v>
      </c>
      <c r="C539" t="s">
        <v>220</v>
      </c>
      <c r="D539">
        <v>1770254</v>
      </c>
      <c r="E539" t="s">
        <v>402</v>
      </c>
      <c r="F539" t="s">
        <v>18</v>
      </c>
      <c r="G539" t="s">
        <v>407</v>
      </c>
      <c r="H539" t="s">
        <v>408</v>
      </c>
      <c r="I539" s="9" t="s">
        <v>3232</v>
      </c>
      <c r="J539" s="9">
        <v>51160727893</v>
      </c>
      <c r="K539" s="14" t="s">
        <v>3165</v>
      </c>
      <c r="L539" s="13" t="s">
        <v>4979</v>
      </c>
      <c r="M539" s="14">
        <v>2880</v>
      </c>
      <c r="N539" s="14">
        <v>3.42</v>
      </c>
      <c r="O539" s="10">
        <f t="shared" si="68"/>
        <v>9849.6</v>
      </c>
      <c r="P539" s="11">
        <v>0</v>
      </c>
      <c r="Q539" s="11">
        <v>0</v>
      </c>
      <c r="R539" s="10">
        <f>IF(COUNTIF($J$2:J539,J539)=1,SUMIFS($O:$O,$J:$J,J539)+SUMIFS($P:$P,$J:$J,J539)+SUMIFS($Q:$Q,$J:$J,J539),"")</f>
        <v>9849.6</v>
      </c>
      <c r="S539">
        <v>16330.900000000001</v>
      </c>
      <c r="T539" s="11" t="str">
        <f t="shared" si="72"/>
        <v>Check</v>
      </c>
      <c r="U539" s="12">
        <v>46125</v>
      </c>
      <c r="V539" s="10">
        <v>9849.6</v>
      </c>
      <c r="W539" s="10" t="str">
        <f t="shared" si="69"/>
        <v>Short Paid</v>
      </c>
      <c r="X539" t="s">
        <v>474</v>
      </c>
      <c r="Y539" t="s">
        <v>28</v>
      </c>
      <c r="Z539">
        <v>100239</v>
      </c>
      <c r="AA539" t="s">
        <v>482</v>
      </c>
      <c r="AB539" t="s">
        <v>523</v>
      </c>
      <c r="AC539" s="9">
        <f t="shared" si="70"/>
        <v>1</v>
      </c>
      <c r="AD539" s="9" t="str">
        <f t="shared" si="71"/>
        <v>Check</v>
      </c>
      <c r="AE539" s="11">
        <f t="shared" si="74"/>
        <v>-6481.3000000000011</v>
      </c>
    </row>
    <row r="540" spans="1:31" x14ac:dyDescent="0.3">
      <c r="A540">
        <v>4</v>
      </c>
      <c r="B540">
        <v>4941289</v>
      </c>
      <c r="C540" t="s">
        <v>220</v>
      </c>
      <c r="D540">
        <v>1770254</v>
      </c>
      <c r="E540" t="s">
        <v>402</v>
      </c>
      <c r="F540" t="s">
        <v>18</v>
      </c>
      <c r="G540" t="s">
        <v>230</v>
      </c>
      <c r="H540" t="s">
        <v>231</v>
      </c>
      <c r="I540" s="9" t="s">
        <v>3397</v>
      </c>
      <c r="J540" s="9">
        <v>51160425892</v>
      </c>
      <c r="K540" s="14" t="s">
        <v>3165</v>
      </c>
      <c r="L540" s="13" t="s">
        <v>4991</v>
      </c>
      <c r="M540" s="14">
        <v>3836</v>
      </c>
      <c r="N540" s="14">
        <v>0.31</v>
      </c>
      <c r="O540" s="10">
        <f t="shared" si="68"/>
        <v>1189.1600000000001</v>
      </c>
      <c r="P540" s="11">
        <v>0</v>
      </c>
      <c r="Q540" s="11">
        <v>0</v>
      </c>
      <c r="R540" s="10">
        <f>IF(COUNTIF($J$2:J540,J540)=1,SUMIFS($O:$O,$J:$J,J540)+SUMIFS($P:$P,$J:$J,J540)+SUMIFS($Q:$Q,$J:$J,J540),"")</f>
        <v>4328.32</v>
      </c>
      <c r="S540">
        <v>3139.16</v>
      </c>
      <c r="T540" s="11" t="str">
        <f t="shared" si="72"/>
        <v>Check</v>
      </c>
      <c r="U540" s="12">
        <v>46129</v>
      </c>
      <c r="V540" s="10">
        <v>1950</v>
      </c>
      <c r="W540" s="10" t="str">
        <f t="shared" si="69"/>
        <v>Short Paid</v>
      </c>
      <c r="X540" t="s">
        <v>474</v>
      </c>
      <c r="Y540" t="s">
        <v>28</v>
      </c>
      <c r="Z540">
        <v>100249</v>
      </c>
      <c r="AA540" t="s">
        <v>484</v>
      </c>
      <c r="AB540" t="s">
        <v>523</v>
      </c>
      <c r="AC540" s="9">
        <f t="shared" si="70"/>
        <v>3</v>
      </c>
      <c r="AD540" s="9" t="str">
        <f t="shared" si="71"/>
        <v>Check</v>
      </c>
      <c r="AE540" s="11">
        <f t="shared" si="74"/>
        <v>1189.1599999999999</v>
      </c>
    </row>
    <row r="541" spans="1:31" x14ac:dyDescent="0.3">
      <c r="A541">
        <v>4</v>
      </c>
      <c r="B541">
        <v>4941567</v>
      </c>
      <c r="C541" t="s">
        <v>220</v>
      </c>
      <c r="D541">
        <v>1770254</v>
      </c>
      <c r="E541" t="s">
        <v>402</v>
      </c>
      <c r="F541" t="s">
        <v>18</v>
      </c>
      <c r="G541" t="s">
        <v>413</v>
      </c>
      <c r="H541" t="s">
        <v>414</v>
      </c>
      <c r="I541" s="9" t="s">
        <v>3365</v>
      </c>
      <c r="J541" s="9">
        <v>51160412291</v>
      </c>
      <c r="K541" s="14" t="s">
        <v>3165</v>
      </c>
      <c r="L541" s="13" t="s">
        <v>4990</v>
      </c>
      <c r="M541" s="14">
        <v>2000</v>
      </c>
      <c r="N541" s="14">
        <v>2.4700000000000002</v>
      </c>
      <c r="O541" s="10">
        <f t="shared" si="68"/>
        <v>4940</v>
      </c>
      <c r="P541" s="11">
        <v>0</v>
      </c>
      <c r="Q541" s="11">
        <v>0</v>
      </c>
      <c r="R541" s="10">
        <f>IF(COUNTIF($J$2:J541,J541)=1,SUMIFS($O:$O,$J:$J,J541)+SUMIFS($P:$P,$J:$J,J541)+SUMIFS($Q:$Q,$J:$J,J541),"")</f>
        <v>4940</v>
      </c>
      <c r="S541">
        <v>5791.22</v>
      </c>
      <c r="T541" s="11" t="str">
        <f t="shared" si="72"/>
        <v>Check</v>
      </c>
      <c r="U541" s="12">
        <v>46132</v>
      </c>
      <c r="V541" s="10">
        <v>4940</v>
      </c>
      <c r="W541" s="10" t="str">
        <f t="shared" si="69"/>
        <v>Short Paid</v>
      </c>
      <c r="X541" t="s">
        <v>474</v>
      </c>
      <c r="Y541" t="s">
        <v>28</v>
      </c>
      <c r="Z541">
        <v>100279</v>
      </c>
      <c r="AA541" t="s">
        <v>485</v>
      </c>
      <c r="AB541" t="s">
        <v>523</v>
      </c>
      <c r="AC541" s="9">
        <f t="shared" si="70"/>
        <v>1</v>
      </c>
      <c r="AD541" s="9" t="str">
        <f t="shared" si="71"/>
        <v>Check</v>
      </c>
      <c r="AE541" s="11">
        <f t="shared" ref="AE541:AE552" si="75">R541-S541</f>
        <v>-851.22000000000025</v>
      </c>
    </row>
    <row r="542" spans="1:31" x14ac:dyDescent="0.3">
      <c r="A542">
        <v>4</v>
      </c>
      <c r="B542">
        <v>4941846</v>
      </c>
      <c r="C542" t="s">
        <v>220</v>
      </c>
      <c r="D542">
        <v>1770254</v>
      </c>
      <c r="E542" t="s">
        <v>402</v>
      </c>
      <c r="F542" t="s">
        <v>18</v>
      </c>
      <c r="G542" t="s">
        <v>417</v>
      </c>
      <c r="H542" t="s">
        <v>418</v>
      </c>
      <c r="I542" s="9" t="s">
        <v>3247</v>
      </c>
      <c r="J542" s="9">
        <v>51161343610</v>
      </c>
      <c r="K542" s="14" t="s">
        <v>3165</v>
      </c>
      <c r="L542" s="13" t="s">
        <v>4979</v>
      </c>
      <c r="M542" s="14">
        <v>500</v>
      </c>
      <c r="N542" s="14">
        <v>3.42</v>
      </c>
      <c r="O542" s="10">
        <f t="shared" si="68"/>
        <v>1710</v>
      </c>
      <c r="P542" s="11">
        <v>0</v>
      </c>
      <c r="Q542" s="11">
        <v>0</v>
      </c>
      <c r="R542" s="10">
        <f>IF(COUNTIF($J$2:J542,J542)=1,SUMIFS($O:$O,$J:$J,J542)+SUMIFS($P:$P,$J:$J,J542)+SUMIFS($Q:$Q,$J:$J,J542),"")</f>
        <v>1710</v>
      </c>
      <c r="S542">
        <v>5400</v>
      </c>
      <c r="T542" s="11" t="str">
        <f t="shared" si="72"/>
        <v>Check</v>
      </c>
      <c r="U542" s="12">
        <v>46140</v>
      </c>
      <c r="V542" s="10">
        <v>1710</v>
      </c>
      <c r="W542" s="10" t="str">
        <f t="shared" si="69"/>
        <v>Short Paid</v>
      </c>
      <c r="X542" t="s">
        <v>474</v>
      </c>
      <c r="Y542" t="s">
        <v>28</v>
      </c>
      <c r="Z542">
        <v>100289</v>
      </c>
      <c r="AA542" t="s">
        <v>475</v>
      </c>
      <c r="AB542" t="s">
        <v>523</v>
      </c>
      <c r="AC542" s="9">
        <f t="shared" si="70"/>
        <v>1</v>
      </c>
      <c r="AD542" s="9" t="str">
        <f t="shared" si="71"/>
        <v>Check</v>
      </c>
      <c r="AE542" s="11">
        <f t="shared" si="75"/>
        <v>-3690</v>
      </c>
    </row>
    <row r="543" spans="1:31" x14ac:dyDescent="0.3">
      <c r="A543">
        <v>4</v>
      </c>
      <c r="B543">
        <v>4942124</v>
      </c>
      <c r="C543" t="s">
        <v>220</v>
      </c>
      <c r="D543">
        <v>1770254</v>
      </c>
      <c r="E543" t="s">
        <v>402</v>
      </c>
      <c r="F543" t="s">
        <v>18</v>
      </c>
      <c r="G543" t="s">
        <v>422</v>
      </c>
      <c r="H543" t="s">
        <v>423</v>
      </c>
      <c r="I543" s="9" t="s">
        <v>3505</v>
      </c>
      <c r="J543" s="9">
        <v>51157507529</v>
      </c>
      <c r="K543" s="14" t="s">
        <v>3165</v>
      </c>
      <c r="L543" s="13" t="s">
        <v>4979</v>
      </c>
      <c r="M543" s="14">
        <v>2880</v>
      </c>
      <c r="N543" s="14">
        <v>3.42</v>
      </c>
      <c r="O543" s="10">
        <f t="shared" si="68"/>
        <v>9849.6</v>
      </c>
      <c r="P543" s="11">
        <v>0</v>
      </c>
      <c r="Q543" s="11">
        <v>0</v>
      </c>
      <c r="R543" s="10">
        <f>IF(COUNTIF($J$2:J543,J543)=1,SUMIFS($O:$O,$J:$J,J543)+SUMIFS($P:$P,$J:$J,J543)+SUMIFS($Q:$Q,$J:$J,J543),"")</f>
        <v>9849.6</v>
      </c>
      <c r="S543">
        <v>11971.220000000001</v>
      </c>
      <c r="T543" s="11" t="str">
        <f t="shared" si="72"/>
        <v>Check</v>
      </c>
      <c r="U543" s="12">
        <v>46148</v>
      </c>
      <c r="V543" s="10">
        <v>9849.6</v>
      </c>
      <c r="W543" s="10" t="str">
        <f t="shared" si="69"/>
        <v>Short Paid</v>
      </c>
      <c r="X543" t="s">
        <v>474</v>
      </c>
      <c r="Y543" t="s">
        <v>28</v>
      </c>
      <c r="Z543">
        <v>100119</v>
      </c>
      <c r="AA543" t="s">
        <v>491</v>
      </c>
      <c r="AB543" t="s">
        <v>523</v>
      </c>
      <c r="AC543" s="9">
        <f t="shared" si="70"/>
        <v>1</v>
      </c>
      <c r="AD543" s="9" t="str">
        <f t="shared" si="71"/>
        <v>Check</v>
      </c>
      <c r="AE543" s="11">
        <f t="shared" si="75"/>
        <v>-2121.6200000000008</v>
      </c>
    </row>
    <row r="544" spans="1:31" x14ac:dyDescent="0.3">
      <c r="A544">
        <v>4</v>
      </c>
      <c r="B544">
        <v>4942402</v>
      </c>
      <c r="C544" t="s">
        <v>220</v>
      </c>
      <c r="D544">
        <v>1770254</v>
      </c>
      <c r="E544" t="s">
        <v>402</v>
      </c>
      <c r="F544" t="s">
        <v>18</v>
      </c>
      <c r="G544" t="s">
        <v>427</v>
      </c>
      <c r="H544" t="s">
        <v>428</v>
      </c>
      <c r="I544" s="9" t="s">
        <v>3435</v>
      </c>
      <c r="J544" s="9">
        <v>51138030628</v>
      </c>
      <c r="K544" s="14" t="s">
        <v>3165</v>
      </c>
      <c r="L544" s="13" t="s">
        <v>4937</v>
      </c>
      <c r="M544" s="14">
        <v>2000</v>
      </c>
      <c r="N544" s="14">
        <v>1.68</v>
      </c>
      <c r="O544" s="10">
        <f t="shared" si="68"/>
        <v>3360</v>
      </c>
      <c r="P544" s="11">
        <v>0</v>
      </c>
      <c r="Q544" s="11">
        <v>0</v>
      </c>
      <c r="R544" s="10">
        <f>IF(COUNTIF($J$2:J544,J544)=1,SUMIFS($O:$O,$J:$J,J544)+SUMIFS($P:$P,$J:$J,J544)+SUMIFS($Q:$Q,$J:$J,J544),"")</f>
        <v>3360</v>
      </c>
      <c r="S544">
        <v>4170</v>
      </c>
      <c r="T544" s="11" t="str">
        <f t="shared" si="72"/>
        <v>Check</v>
      </c>
      <c r="U544" s="12">
        <v>46153</v>
      </c>
      <c r="V544" s="10">
        <v>3360</v>
      </c>
      <c r="W544" s="10" t="str">
        <f t="shared" si="69"/>
        <v>Short Paid</v>
      </c>
      <c r="X544" t="s">
        <v>474</v>
      </c>
      <c r="Y544" t="s">
        <v>28</v>
      </c>
      <c r="Z544">
        <v>100129</v>
      </c>
      <c r="AA544" t="s">
        <v>495</v>
      </c>
      <c r="AB544" t="s">
        <v>523</v>
      </c>
      <c r="AC544" s="9">
        <f t="shared" si="70"/>
        <v>1</v>
      </c>
      <c r="AD544" s="9" t="str">
        <f t="shared" si="71"/>
        <v>Check</v>
      </c>
      <c r="AE544" s="11">
        <f t="shared" si="75"/>
        <v>-810</v>
      </c>
    </row>
    <row r="545" spans="1:31" x14ac:dyDescent="0.3">
      <c r="A545">
        <v>3</v>
      </c>
      <c r="B545">
        <v>4900103</v>
      </c>
      <c r="C545" t="s">
        <v>220</v>
      </c>
      <c r="D545">
        <v>1122365</v>
      </c>
      <c r="E545" t="s">
        <v>725</v>
      </c>
      <c r="F545" t="s">
        <v>18</v>
      </c>
      <c r="G545" t="s">
        <v>2957</v>
      </c>
      <c r="H545" t="s">
        <v>213</v>
      </c>
      <c r="I545" s="9" t="s">
        <v>3249</v>
      </c>
      <c r="J545" s="9">
        <v>51150622220</v>
      </c>
      <c r="K545" s="14" t="s">
        <v>3165</v>
      </c>
      <c r="L545" s="13" t="s">
        <v>4928</v>
      </c>
      <c r="M545" s="14">
        <v>1000</v>
      </c>
      <c r="N545" s="14">
        <v>1.99292</v>
      </c>
      <c r="O545" s="10">
        <f t="shared" si="68"/>
        <v>1992.92</v>
      </c>
      <c r="P545" s="11">
        <v>0</v>
      </c>
      <c r="Q545" s="11">
        <v>0</v>
      </c>
      <c r="R545" s="10">
        <f>IF(COUNTIF($J$2:J545,J545)=1,SUMIFS($O:$O,$J:$J,J545)+SUMIFS($P:$P,$J:$J,J545)+SUMIFS($Q:$Q,$J:$J,J545),"")</f>
        <v>1992.92</v>
      </c>
      <c r="S545">
        <v>3492.92</v>
      </c>
      <c r="T545" s="11" t="str">
        <f t="shared" si="72"/>
        <v>Check</v>
      </c>
      <c r="U545" s="12">
        <v>46099</v>
      </c>
      <c r="V545" s="10">
        <v>186</v>
      </c>
      <c r="W545" s="10" t="str">
        <f t="shared" si="69"/>
        <v>Short Paid</v>
      </c>
      <c r="X545" t="s">
        <v>470</v>
      </c>
      <c r="Y545" t="s">
        <v>28</v>
      </c>
      <c r="Z545">
        <v>100288</v>
      </c>
      <c r="AA545" t="s">
        <v>471</v>
      </c>
      <c r="AB545" t="s">
        <v>523</v>
      </c>
      <c r="AC545" s="9">
        <f t="shared" si="70"/>
        <v>1</v>
      </c>
      <c r="AD545" s="9" t="str">
        <f t="shared" si="71"/>
        <v>Check</v>
      </c>
      <c r="AE545" s="11">
        <f t="shared" si="75"/>
        <v>-1500</v>
      </c>
    </row>
    <row r="546" spans="1:31" x14ac:dyDescent="0.3">
      <c r="A546">
        <v>3</v>
      </c>
      <c r="B546">
        <v>4958264</v>
      </c>
      <c r="C546" t="s">
        <v>167</v>
      </c>
      <c r="D546">
        <v>1276402</v>
      </c>
      <c r="E546" t="s">
        <v>540</v>
      </c>
      <c r="F546" t="s">
        <v>20</v>
      </c>
      <c r="G546" t="s">
        <v>264</v>
      </c>
      <c r="H546" t="s">
        <v>265</v>
      </c>
      <c r="I546" s="9" t="s">
        <v>3357</v>
      </c>
      <c r="J546" s="9">
        <v>50117676091</v>
      </c>
      <c r="K546" s="14" t="s">
        <v>3165</v>
      </c>
      <c r="L546" s="13" t="s">
        <v>4922</v>
      </c>
      <c r="M546" s="14">
        <v>495</v>
      </c>
      <c r="N546" s="14">
        <v>0.4</v>
      </c>
      <c r="O546" s="10">
        <f t="shared" si="68"/>
        <v>198</v>
      </c>
      <c r="P546" s="11">
        <v>0</v>
      </c>
      <c r="Q546" s="11">
        <v>0</v>
      </c>
      <c r="R546" s="10">
        <f>IF(COUNTIF($J$2:J546,J546)=1,SUMIFS($O:$O,$J:$J,J546)+SUMIFS($P:$P,$J:$J,J546)+SUMIFS($Q:$Q,$J:$J,J546),"")</f>
        <v>198</v>
      </c>
      <c r="S546">
        <v>302</v>
      </c>
      <c r="T546" s="11" t="str">
        <f t="shared" si="72"/>
        <v>Check</v>
      </c>
      <c r="U546" s="12">
        <v>45678</v>
      </c>
      <c r="V546" s="10">
        <v>104</v>
      </c>
      <c r="W546" s="10" t="str">
        <f t="shared" si="69"/>
        <v>Short Paid</v>
      </c>
      <c r="X546" t="s">
        <v>478</v>
      </c>
      <c r="Y546" t="s">
        <v>28</v>
      </c>
      <c r="Z546">
        <v>100272</v>
      </c>
      <c r="AA546" t="s">
        <v>3084</v>
      </c>
      <c r="AB546" t="s">
        <v>521</v>
      </c>
      <c r="AC546" s="9">
        <f t="shared" si="70"/>
        <v>1</v>
      </c>
      <c r="AD546" s="9" t="str">
        <f t="shared" si="71"/>
        <v>Check</v>
      </c>
      <c r="AE546" s="11">
        <f t="shared" si="75"/>
        <v>-104</v>
      </c>
    </row>
    <row r="547" spans="1:31" x14ac:dyDescent="0.3">
      <c r="A547">
        <v>3</v>
      </c>
      <c r="B547">
        <v>4956316</v>
      </c>
      <c r="C547" t="s">
        <v>217</v>
      </c>
      <c r="D547">
        <v>1150978</v>
      </c>
      <c r="E547" t="s">
        <v>553</v>
      </c>
      <c r="F547" t="s">
        <v>24</v>
      </c>
      <c r="G547" t="s">
        <v>262</v>
      </c>
      <c r="H547" t="s">
        <v>263</v>
      </c>
      <c r="I547" s="9" t="s">
        <v>3444</v>
      </c>
      <c r="J547" s="9">
        <v>51161156118</v>
      </c>
      <c r="K547" s="14" t="s">
        <v>3165</v>
      </c>
      <c r="L547" s="13" t="s">
        <v>4923</v>
      </c>
      <c r="M547" s="14">
        <v>315</v>
      </c>
      <c r="N547" s="14">
        <v>123.76</v>
      </c>
      <c r="O547" s="10">
        <f t="shared" si="68"/>
        <v>38984.400000000001</v>
      </c>
      <c r="P547" s="11">
        <v>0</v>
      </c>
      <c r="Q547" s="11">
        <v>0</v>
      </c>
      <c r="R547" s="10">
        <f>IF(COUNTIF($J$2:J547,J547)=1,SUMIFS($O:$O,$J:$J,J547)+SUMIFS($P:$P,$J:$J,J547)+SUMIFS($Q:$Q,$J:$J,J547),"")</f>
        <v>38984.400000000001</v>
      </c>
      <c r="S547">
        <v>49345.5</v>
      </c>
      <c r="T547" s="11" t="str">
        <f t="shared" si="72"/>
        <v>Check</v>
      </c>
      <c r="U547" s="12">
        <v>46073</v>
      </c>
      <c r="V547" s="10">
        <v>191.02</v>
      </c>
      <c r="W547" s="10" t="str">
        <f t="shared" si="69"/>
        <v>Short Paid</v>
      </c>
      <c r="X547" t="s">
        <v>468</v>
      </c>
      <c r="Y547" t="s">
        <v>40</v>
      </c>
      <c r="Z547">
        <v>100146</v>
      </c>
      <c r="AA547" t="s">
        <v>3145</v>
      </c>
      <c r="AB547" t="s">
        <v>522</v>
      </c>
      <c r="AC547" s="9">
        <f t="shared" si="70"/>
        <v>1</v>
      </c>
      <c r="AD547" s="9" t="str">
        <f t="shared" si="71"/>
        <v>Check</v>
      </c>
      <c r="AE547" s="11">
        <f t="shared" si="75"/>
        <v>-10361.099999999999</v>
      </c>
    </row>
    <row r="548" spans="1:31" x14ac:dyDescent="0.3">
      <c r="A548">
        <v>3</v>
      </c>
      <c r="B548">
        <v>4951307</v>
      </c>
      <c r="C548" t="s">
        <v>239</v>
      </c>
      <c r="D548">
        <v>1085063</v>
      </c>
      <c r="E548" t="s">
        <v>601</v>
      </c>
      <c r="F548" t="s">
        <v>18</v>
      </c>
      <c r="G548" t="s">
        <v>2968</v>
      </c>
      <c r="H548" t="s">
        <v>2969</v>
      </c>
      <c r="I548" s="9" t="s">
        <v>3336</v>
      </c>
      <c r="J548" s="9">
        <v>51158416456</v>
      </c>
      <c r="K548" s="14" t="s">
        <v>3379</v>
      </c>
      <c r="L548" s="13" t="s">
        <v>3589</v>
      </c>
      <c r="M548" s="14">
        <v>50000</v>
      </c>
      <c r="N548" s="14">
        <v>2.31E-3</v>
      </c>
      <c r="O548" s="10">
        <f t="shared" si="68"/>
        <v>115.5</v>
      </c>
      <c r="P548" s="11">
        <v>0</v>
      </c>
      <c r="Q548" s="11">
        <v>10.97</v>
      </c>
      <c r="R548" s="10">
        <f>IF(COUNTIF($J$2:J548,J548)=1,SUMIFS($O:$O,$J:$J,J548)+SUMIFS($P:$P,$J:$J,J548)+SUMIFS($Q:$Q,$J:$J,J548),"")</f>
        <v>126.47</v>
      </c>
      <c r="S548" s="10">
        <v>126.47</v>
      </c>
      <c r="T548" s="11" t="str">
        <f t="shared" si="72"/>
        <v>Ok</v>
      </c>
      <c r="U548" s="12">
        <v>46099</v>
      </c>
      <c r="V548" s="10">
        <v>126.47</v>
      </c>
      <c r="W548" s="10" t="str">
        <f t="shared" si="69"/>
        <v>Not Paid</v>
      </c>
      <c r="X548" t="s">
        <v>476</v>
      </c>
      <c r="Y548" t="s">
        <v>28</v>
      </c>
      <c r="Z548">
        <v>100165</v>
      </c>
      <c r="AA548" t="s">
        <v>3100</v>
      </c>
      <c r="AB548" t="s">
        <v>523</v>
      </c>
      <c r="AC548" s="9">
        <f t="shared" si="70"/>
        <v>1</v>
      </c>
      <c r="AD548" s="9" t="str">
        <f t="shared" si="71"/>
        <v>Ok</v>
      </c>
      <c r="AE548" s="11">
        <f t="shared" si="75"/>
        <v>0</v>
      </c>
    </row>
    <row r="549" spans="1:31" x14ac:dyDescent="0.3">
      <c r="A549">
        <v>3</v>
      </c>
      <c r="B549">
        <v>4951586</v>
      </c>
      <c r="C549" t="s">
        <v>239</v>
      </c>
      <c r="D549">
        <v>1085063</v>
      </c>
      <c r="E549" t="s">
        <v>601</v>
      </c>
      <c r="F549" t="s">
        <v>18</v>
      </c>
      <c r="G549" t="s">
        <v>260</v>
      </c>
      <c r="H549" t="s">
        <v>261</v>
      </c>
      <c r="I549" s="9" t="s">
        <v>3551</v>
      </c>
      <c r="J549" s="9">
        <v>51158434775</v>
      </c>
      <c r="K549" s="14" t="s">
        <v>3165</v>
      </c>
      <c r="L549" s="13" t="s">
        <v>4982</v>
      </c>
      <c r="M549" s="14">
        <v>65</v>
      </c>
      <c r="N549" s="14">
        <v>23.11</v>
      </c>
      <c r="O549" s="10">
        <f t="shared" si="68"/>
        <v>1502.1499999999999</v>
      </c>
      <c r="P549" s="11">
        <v>0</v>
      </c>
      <c r="Q549" s="11">
        <v>154.72</v>
      </c>
      <c r="R549" s="10">
        <f>IF(COUNTIF($J$2:J549,J549)=1,SUMIFS($O:$O,$J:$J,J549)+SUMIFS($P:$P,$J:$J,J549)+SUMIFS($Q:$Q,$J:$J,J549),"")</f>
        <v>1656.87</v>
      </c>
      <c r="S549">
        <v>2830.7</v>
      </c>
      <c r="T549" s="11" t="str">
        <f t="shared" si="72"/>
        <v>Check</v>
      </c>
      <c r="U549" s="12">
        <v>46112</v>
      </c>
      <c r="V549" s="10">
        <v>516.22</v>
      </c>
      <c r="W549" s="10" t="str">
        <f t="shared" si="69"/>
        <v>Short Paid</v>
      </c>
      <c r="X549" t="s">
        <v>476</v>
      </c>
      <c r="Y549" t="s">
        <v>28</v>
      </c>
      <c r="Z549">
        <v>100195</v>
      </c>
      <c r="AA549" t="s">
        <v>3070</v>
      </c>
      <c r="AB549" t="s">
        <v>523</v>
      </c>
      <c r="AC549" s="9">
        <f t="shared" si="70"/>
        <v>1</v>
      </c>
      <c r="AD549" s="9" t="str">
        <f t="shared" si="71"/>
        <v>Check</v>
      </c>
      <c r="AE549" s="11">
        <f t="shared" si="75"/>
        <v>-1173.83</v>
      </c>
    </row>
    <row r="550" spans="1:31" x14ac:dyDescent="0.3">
      <c r="A550">
        <v>3</v>
      </c>
      <c r="B550">
        <v>4958821</v>
      </c>
      <c r="C550" t="s">
        <v>220</v>
      </c>
      <c r="D550">
        <v>1379208</v>
      </c>
      <c r="E550" t="s">
        <v>603</v>
      </c>
      <c r="F550" t="s">
        <v>20</v>
      </c>
      <c r="G550" t="s">
        <v>2974</v>
      </c>
      <c r="H550" t="s">
        <v>266</v>
      </c>
      <c r="I550" s="9" t="s">
        <v>3327</v>
      </c>
      <c r="J550" s="9">
        <v>51161918069</v>
      </c>
      <c r="K550" s="14" t="s">
        <v>3165</v>
      </c>
      <c r="L550" s="13" t="s">
        <v>4926</v>
      </c>
      <c r="M550" s="14">
        <v>570</v>
      </c>
      <c r="N550" s="14">
        <v>0.46</v>
      </c>
      <c r="O550" s="10">
        <f t="shared" si="68"/>
        <v>262.2</v>
      </c>
      <c r="P550" s="11">
        <v>0</v>
      </c>
      <c r="Q550" s="11">
        <v>0</v>
      </c>
      <c r="R550" s="10">
        <f>IF(COUNTIF($J$2:J550,J550)=1,SUMIFS($O:$O,$J:$J,J550)+SUMIFS($P:$P,$J:$J,J550)+SUMIFS($Q:$Q,$J:$J,J550),"")</f>
        <v>262.2</v>
      </c>
      <c r="S550">
        <v>1854.1200000000001</v>
      </c>
      <c r="T550" s="11" t="str">
        <f t="shared" si="72"/>
        <v>Check</v>
      </c>
      <c r="U550" s="12">
        <v>46129</v>
      </c>
      <c r="V550" s="10">
        <v>1591.92</v>
      </c>
      <c r="W550" s="10" t="str">
        <f t="shared" si="69"/>
        <v>Short Paid</v>
      </c>
      <c r="X550" t="s">
        <v>470</v>
      </c>
      <c r="Y550" t="s">
        <v>28</v>
      </c>
      <c r="Z550">
        <v>100118</v>
      </c>
      <c r="AA550" t="s">
        <v>494</v>
      </c>
      <c r="AB550" t="s">
        <v>521</v>
      </c>
      <c r="AC550" s="9">
        <f t="shared" si="70"/>
        <v>1</v>
      </c>
      <c r="AD550" s="9" t="str">
        <f t="shared" si="71"/>
        <v>Check</v>
      </c>
      <c r="AE550" s="11">
        <f t="shared" si="75"/>
        <v>-1591.92</v>
      </c>
    </row>
    <row r="551" spans="1:31" x14ac:dyDescent="0.3">
      <c r="A551">
        <v>3</v>
      </c>
      <c r="B551">
        <v>4959099</v>
      </c>
      <c r="C551" t="s">
        <v>220</v>
      </c>
      <c r="D551">
        <v>1379208</v>
      </c>
      <c r="E551" t="s">
        <v>603</v>
      </c>
      <c r="F551" t="s">
        <v>20</v>
      </c>
      <c r="G551" t="s">
        <v>2975</v>
      </c>
      <c r="H551" t="s">
        <v>2976</v>
      </c>
      <c r="I551" s="9" t="s">
        <v>3315</v>
      </c>
      <c r="J551" s="9">
        <v>51158646588</v>
      </c>
      <c r="K551" s="14">
        <v>46082</v>
      </c>
      <c r="L551" s="13" t="s">
        <v>3592</v>
      </c>
      <c r="M551" s="14">
        <v>72</v>
      </c>
      <c r="N551" s="14">
        <v>7.37</v>
      </c>
      <c r="O551" s="10">
        <f t="shared" si="68"/>
        <v>530.64</v>
      </c>
      <c r="P551" s="11">
        <v>0</v>
      </c>
      <c r="Q551" s="11">
        <v>0</v>
      </c>
      <c r="R551" s="10">
        <f>IF(COUNTIF($J$2:J551,J551)=1,SUMIFS($O:$O,$J:$J,J551)+SUMIFS($P:$P,$J:$J,J551)+SUMIFS($Q:$Q,$J:$J,J551),"")</f>
        <v>530.64</v>
      </c>
      <c r="S551" s="10">
        <v>530.64</v>
      </c>
      <c r="T551" s="11" t="str">
        <f t="shared" si="72"/>
        <v>Ok</v>
      </c>
      <c r="U551" s="12">
        <v>46129</v>
      </c>
      <c r="V551" s="10">
        <v>530.64</v>
      </c>
      <c r="W551" s="10" t="str">
        <f t="shared" si="69"/>
        <v>Not Paid</v>
      </c>
      <c r="X551" t="s">
        <v>470</v>
      </c>
      <c r="Y551" t="s">
        <v>28</v>
      </c>
      <c r="Z551">
        <v>100128</v>
      </c>
      <c r="AA551" t="s">
        <v>508</v>
      </c>
      <c r="AB551" t="s">
        <v>521</v>
      </c>
      <c r="AC551" s="9">
        <f t="shared" si="70"/>
        <v>1</v>
      </c>
      <c r="AD551" s="9" t="str">
        <f t="shared" si="71"/>
        <v>Ok</v>
      </c>
      <c r="AE551" s="11">
        <f t="shared" si="75"/>
        <v>0</v>
      </c>
    </row>
    <row r="552" spans="1:31" x14ac:dyDescent="0.3">
      <c r="A552">
        <v>3</v>
      </c>
      <c r="B552">
        <v>4959378</v>
      </c>
      <c r="C552" t="s">
        <v>220</v>
      </c>
      <c r="D552">
        <v>1379208</v>
      </c>
      <c r="E552" t="s">
        <v>603</v>
      </c>
      <c r="F552" t="s">
        <v>20</v>
      </c>
      <c r="G552" t="s">
        <v>2977</v>
      </c>
      <c r="H552" t="s">
        <v>2978</v>
      </c>
      <c r="I552" s="9" t="s">
        <v>3468</v>
      </c>
      <c r="J552" s="9">
        <v>51161871157</v>
      </c>
      <c r="K552" s="14">
        <v>46082</v>
      </c>
      <c r="L552" s="13" t="s">
        <v>3592</v>
      </c>
      <c r="M552" s="14">
        <v>216</v>
      </c>
      <c r="N552" s="14">
        <v>7.37</v>
      </c>
      <c r="O552" s="10">
        <f t="shared" si="68"/>
        <v>1591.92</v>
      </c>
      <c r="P552" s="11">
        <v>0</v>
      </c>
      <c r="Q552" s="11">
        <v>0</v>
      </c>
      <c r="R552" s="10">
        <f>IF(COUNTIF($J$2:J552,J552)=1,SUMIFS($O:$O,$J:$J,J552)+SUMIFS($P:$P,$J:$J,J552)+SUMIFS($Q:$Q,$J:$J,J552),"")</f>
        <v>1591.92</v>
      </c>
      <c r="S552" s="10">
        <v>1591.92</v>
      </c>
      <c r="T552" s="11" t="str">
        <f t="shared" si="72"/>
        <v>Ok</v>
      </c>
      <c r="U552" s="12">
        <v>46129</v>
      </c>
      <c r="V552" s="10">
        <v>1591.92</v>
      </c>
      <c r="W552" s="10" t="str">
        <f t="shared" si="69"/>
        <v>Not Paid</v>
      </c>
      <c r="X552" t="s">
        <v>470</v>
      </c>
      <c r="Y552" t="s">
        <v>28</v>
      </c>
      <c r="Z552">
        <v>100158</v>
      </c>
      <c r="AA552" t="s">
        <v>510</v>
      </c>
      <c r="AB552" t="s">
        <v>521</v>
      </c>
      <c r="AC552" s="9">
        <f t="shared" si="70"/>
        <v>1</v>
      </c>
      <c r="AD552" s="9" t="str">
        <f t="shared" si="71"/>
        <v>Ok</v>
      </c>
      <c r="AE552" s="11">
        <f t="shared" si="75"/>
        <v>0</v>
      </c>
    </row>
    <row r="553" spans="1:31" x14ac:dyDescent="0.3">
      <c r="A553">
        <v>3</v>
      </c>
      <c r="B553">
        <v>4955760</v>
      </c>
      <c r="C553" t="s">
        <v>56</v>
      </c>
      <c r="D553">
        <v>1588891</v>
      </c>
      <c r="E553" t="s">
        <v>61</v>
      </c>
      <c r="F553" t="s">
        <v>18</v>
      </c>
      <c r="G553" t="s">
        <v>312</v>
      </c>
      <c r="H553" t="s">
        <v>313</v>
      </c>
      <c r="I553" s="9" t="s">
        <v>3349</v>
      </c>
      <c r="J553" s="9">
        <v>51159173080</v>
      </c>
      <c r="K553" s="14" t="s">
        <v>3165</v>
      </c>
      <c r="L553" s="13" t="s">
        <v>4919</v>
      </c>
      <c r="M553" s="14">
        <v>1000</v>
      </c>
      <c r="N553" s="14">
        <v>2.4456000000000002</v>
      </c>
      <c r="O553" s="10">
        <f t="shared" si="68"/>
        <v>2445.6000000000004</v>
      </c>
      <c r="P553" s="11">
        <v>0</v>
      </c>
      <c r="Q553" s="11">
        <v>0</v>
      </c>
      <c r="R553" s="10">
        <f>IF(COUNTIF($J$2:J553,J553)=1,SUMIFS($O:$O,$J:$J,J553)+SUMIFS($P:$P,$J:$J,J553)+SUMIFS($Q:$Q,$J:$J,J553),"")</f>
        <v>2445.6000000000004</v>
      </c>
      <c r="S553">
        <v>5008.74</v>
      </c>
      <c r="T553" s="11" t="str">
        <f t="shared" si="72"/>
        <v>Check</v>
      </c>
      <c r="U553" s="12">
        <v>46021</v>
      </c>
      <c r="V553" s="10">
        <v>180.04</v>
      </c>
      <c r="W553" s="10" t="str">
        <f t="shared" si="69"/>
        <v>Short Paid</v>
      </c>
      <c r="X553" t="s">
        <v>438</v>
      </c>
      <c r="Y553" t="s">
        <v>28</v>
      </c>
      <c r="Z553">
        <v>100283</v>
      </c>
      <c r="AA553" t="s">
        <v>439</v>
      </c>
      <c r="AB553" t="s">
        <v>523</v>
      </c>
      <c r="AC553" s="9">
        <f t="shared" si="70"/>
        <v>1</v>
      </c>
      <c r="AD553" s="9" t="str">
        <f t="shared" si="71"/>
        <v>Check</v>
      </c>
      <c r="AE553" s="11">
        <f t="shared" ref="AE553:AE563" si="76">R553-S553</f>
        <v>-2563.1399999999994</v>
      </c>
    </row>
    <row r="554" spans="1:31" x14ac:dyDescent="0.3">
      <c r="A554">
        <v>2</v>
      </c>
      <c r="B554">
        <v>4910400</v>
      </c>
      <c r="C554" t="s">
        <v>220</v>
      </c>
      <c r="D554">
        <v>1314471</v>
      </c>
      <c r="E554" t="s">
        <v>740</v>
      </c>
      <c r="F554" t="s">
        <v>20</v>
      </c>
      <c r="G554" t="s">
        <v>2981</v>
      </c>
      <c r="H554" t="s">
        <v>2982</v>
      </c>
      <c r="I554" s="9" t="s">
        <v>3325</v>
      </c>
      <c r="J554" s="9">
        <v>51157195063</v>
      </c>
      <c r="K554" s="14" t="s">
        <v>3168</v>
      </c>
      <c r="L554" s="13" t="s">
        <v>3540</v>
      </c>
      <c r="M554" s="14">
        <v>45000</v>
      </c>
      <c r="N554" s="14">
        <v>8.0999999999999996E-3</v>
      </c>
      <c r="O554" s="10">
        <f t="shared" si="68"/>
        <v>364.5</v>
      </c>
      <c r="P554" s="11">
        <v>0</v>
      </c>
      <c r="Q554" s="11">
        <v>0</v>
      </c>
      <c r="R554" s="10">
        <f>IF(COUNTIF($J$2:J554,J554)=1,SUMIFS($O:$O,$J:$J,J554)+SUMIFS($P:$P,$J:$J,J554)+SUMIFS($Q:$Q,$J:$J,J554),"")</f>
        <v>364.5</v>
      </c>
      <c r="S554" s="10">
        <v>364.5</v>
      </c>
      <c r="T554" s="11" t="str">
        <f t="shared" si="72"/>
        <v>Ok</v>
      </c>
      <c r="U554" s="12">
        <v>45985</v>
      </c>
      <c r="V554" s="10">
        <v>364.5</v>
      </c>
      <c r="W554" s="10" t="str">
        <f t="shared" si="69"/>
        <v>Not Paid</v>
      </c>
      <c r="X554" t="s">
        <v>450</v>
      </c>
      <c r="Y554" t="s">
        <v>28</v>
      </c>
      <c r="Z554">
        <v>100237</v>
      </c>
      <c r="AA554" t="s">
        <v>3094</v>
      </c>
      <c r="AB554" t="s">
        <v>521</v>
      </c>
      <c r="AC554" s="9">
        <f t="shared" si="70"/>
        <v>1</v>
      </c>
      <c r="AD554" s="9" t="str">
        <f t="shared" si="71"/>
        <v>Ok</v>
      </c>
      <c r="AE554" s="11">
        <f t="shared" si="76"/>
        <v>0</v>
      </c>
    </row>
    <row r="555" spans="1:31" x14ac:dyDescent="0.3">
      <c r="A555">
        <v>2</v>
      </c>
      <c r="B555">
        <v>4960212</v>
      </c>
      <c r="C555" t="s">
        <v>240</v>
      </c>
      <c r="D555">
        <v>1188745</v>
      </c>
      <c r="E555" t="s">
        <v>605</v>
      </c>
      <c r="F555" t="s">
        <v>24</v>
      </c>
      <c r="G555" t="s">
        <v>267</v>
      </c>
      <c r="H555" t="s">
        <v>268</v>
      </c>
      <c r="I555" s="9" t="s">
        <v>3476</v>
      </c>
      <c r="J555" s="9">
        <v>51158549454</v>
      </c>
      <c r="K555" s="14" t="s">
        <v>3165</v>
      </c>
      <c r="L555" s="13" t="s">
        <v>4983</v>
      </c>
      <c r="M555" s="14">
        <v>2325</v>
      </c>
      <c r="N555" s="14">
        <v>0.51</v>
      </c>
      <c r="O555" s="10">
        <f t="shared" si="68"/>
        <v>1185.75</v>
      </c>
      <c r="P555" s="11">
        <v>864.94</v>
      </c>
      <c r="Q555" s="11">
        <v>0</v>
      </c>
      <c r="R555" s="10">
        <f>IF(COUNTIF($J$2:J555,J555)=1,SUMIFS($O:$O,$J:$J,J555)+SUMIFS($P:$P,$J:$J,J555)+SUMIFS($Q:$Q,$J:$J,J555),"")</f>
        <v>2050.69</v>
      </c>
      <c r="S555">
        <v>8704.09</v>
      </c>
      <c r="T555" s="11" t="str">
        <f t="shared" si="72"/>
        <v>Check</v>
      </c>
      <c r="U555" s="12">
        <v>45852</v>
      </c>
      <c r="V555" s="10">
        <v>4497.9799999999996</v>
      </c>
      <c r="W555" s="10" t="str">
        <f t="shared" si="69"/>
        <v>Short Paid</v>
      </c>
      <c r="X555" t="s">
        <v>453</v>
      </c>
      <c r="Y555" t="s">
        <v>40</v>
      </c>
      <c r="Z555">
        <v>100264</v>
      </c>
      <c r="AA555" t="s">
        <v>3154</v>
      </c>
      <c r="AB555" t="s">
        <v>522</v>
      </c>
      <c r="AC555" s="9">
        <f t="shared" si="70"/>
        <v>1</v>
      </c>
      <c r="AD555" s="9" t="str">
        <f t="shared" si="71"/>
        <v>Check</v>
      </c>
      <c r="AE555" s="11">
        <f t="shared" si="76"/>
        <v>-6653.4</v>
      </c>
    </row>
    <row r="556" spans="1:31" x14ac:dyDescent="0.3">
      <c r="A556">
        <v>2</v>
      </c>
      <c r="B556">
        <v>4966335</v>
      </c>
      <c r="C556" t="s">
        <v>239</v>
      </c>
      <c r="D556">
        <v>1029060</v>
      </c>
      <c r="E556" t="s">
        <v>554</v>
      </c>
      <c r="F556" t="s">
        <v>24</v>
      </c>
      <c r="G556" t="s">
        <v>2983</v>
      </c>
      <c r="H556" t="s">
        <v>2984</v>
      </c>
      <c r="I556" s="9" t="s">
        <v>3217</v>
      </c>
      <c r="J556" s="9">
        <v>51161917892</v>
      </c>
      <c r="K556" s="14" t="s">
        <v>3375</v>
      </c>
      <c r="L556" s="13" t="s">
        <v>3452</v>
      </c>
      <c r="M556" s="14">
        <v>1000</v>
      </c>
      <c r="N556" s="14">
        <v>0.66520000000000001</v>
      </c>
      <c r="O556" s="10">
        <f t="shared" si="68"/>
        <v>665.2</v>
      </c>
      <c r="P556" s="11">
        <v>0</v>
      </c>
      <c r="Q556" s="11">
        <v>0</v>
      </c>
      <c r="R556" s="10">
        <f>IF(COUNTIF($J$2:J556,J556)=1,SUMIFS($O:$O,$J:$J,J556)+SUMIFS($P:$P,$J:$J,J556)+SUMIFS($Q:$Q,$J:$J,J556),"")</f>
        <v>665.2</v>
      </c>
      <c r="S556" s="10">
        <v>665.2</v>
      </c>
      <c r="T556" s="11" t="str">
        <f t="shared" si="72"/>
        <v>Ok</v>
      </c>
      <c r="U556" s="12">
        <v>46088</v>
      </c>
      <c r="V556" s="10">
        <v>120.1</v>
      </c>
      <c r="W556" s="10" t="str">
        <f t="shared" si="69"/>
        <v>Short Paid</v>
      </c>
      <c r="X556" t="s">
        <v>476</v>
      </c>
      <c r="Y556" t="s">
        <v>40</v>
      </c>
      <c r="Z556">
        <v>100225</v>
      </c>
      <c r="AA556" t="s">
        <v>3160</v>
      </c>
      <c r="AB556" t="s">
        <v>522</v>
      </c>
      <c r="AC556" s="9">
        <f t="shared" si="70"/>
        <v>1</v>
      </c>
      <c r="AD556" s="9" t="str">
        <f t="shared" si="71"/>
        <v>Ok</v>
      </c>
      <c r="AE556" s="11">
        <f t="shared" si="76"/>
        <v>0</v>
      </c>
    </row>
    <row r="557" spans="1:31" x14ac:dyDescent="0.3">
      <c r="A557">
        <v>2</v>
      </c>
      <c r="B557">
        <v>4967170</v>
      </c>
      <c r="C557" t="s">
        <v>217</v>
      </c>
      <c r="D557">
        <v>1208231</v>
      </c>
      <c r="E557" t="s">
        <v>288</v>
      </c>
      <c r="F557" t="s">
        <v>49</v>
      </c>
      <c r="G557" t="s">
        <v>273</v>
      </c>
      <c r="H557" t="s">
        <v>274</v>
      </c>
      <c r="I557" s="9" t="s">
        <v>3361</v>
      </c>
      <c r="J557" s="9">
        <v>51161917889</v>
      </c>
      <c r="K557" s="14" t="s">
        <v>3165</v>
      </c>
      <c r="L557" s="13" t="s">
        <v>4922</v>
      </c>
      <c r="M557" s="14">
        <v>495</v>
      </c>
      <c r="N557" s="14">
        <v>0.4</v>
      </c>
      <c r="O557" s="10">
        <f t="shared" si="68"/>
        <v>198</v>
      </c>
      <c r="P557" s="11">
        <v>360.43</v>
      </c>
      <c r="Q557" s="11">
        <v>0</v>
      </c>
      <c r="R557" s="10">
        <f>IF(COUNTIF($J$2:J557,J557)=1,SUMIFS($O:$O,$J:$J,J557)+SUMIFS($P:$P,$J:$J,J557)+SUMIFS($Q:$Q,$J:$J,J557),"")</f>
        <v>558.43000000000006</v>
      </c>
      <c r="S557">
        <v>4519.2</v>
      </c>
      <c r="T557" s="11" t="str">
        <f t="shared" si="72"/>
        <v>Check</v>
      </c>
      <c r="U557" s="12">
        <v>46099</v>
      </c>
      <c r="V557" s="10">
        <v>360.43</v>
      </c>
      <c r="W557" s="10" t="str">
        <f t="shared" si="69"/>
        <v>Short Paid</v>
      </c>
      <c r="X557" t="s">
        <v>450</v>
      </c>
      <c r="Y557" t="s">
        <v>29</v>
      </c>
      <c r="Z557">
        <v>100297</v>
      </c>
      <c r="AA557" t="s">
        <v>3119</v>
      </c>
      <c r="AB557" t="s">
        <v>3041</v>
      </c>
      <c r="AC557" s="9">
        <f t="shared" si="70"/>
        <v>1</v>
      </c>
      <c r="AD557" s="9" t="str">
        <f t="shared" si="71"/>
        <v>Check</v>
      </c>
      <c r="AE557" s="11">
        <f t="shared" si="76"/>
        <v>-3960.7699999999995</v>
      </c>
    </row>
    <row r="558" spans="1:31" x14ac:dyDescent="0.3">
      <c r="A558">
        <v>2</v>
      </c>
      <c r="B558">
        <v>4967448</v>
      </c>
      <c r="C558" t="s">
        <v>217</v>
      </c>
      <c r="D558">
        <v>1208231</v>
      </c>
      <c r="E558" t="s">
        <v>288</v>
      </c>
      <c r="F558" t="s">
        <v>49</v>
      </c>
      <c r="G558" t="s">
        <v>271</v>
      </c>
      <c r="H558" t="s">
        <v>272</v>
      </c>
      <c r="I558" s="9" t="s">
        <v>3323</v>
      </c>
      <c r="J558" s="9">
        <v>51161917848</v>
      </c>
      <c r="K558" s="14" t="s">
        <v>3165</v>
      </c>
      <c r="L558" s="13" t="s">
        <v>4926</v>
      </c>
      <c r="M558" s="14">
        <v>684</v>
      </c>
      <c r="N558" s="14">
        <v>0.46</v>
      </c>
      <c r="O558" s="10">
        <f t="shared" si="68"/>
        <v>314.64</v>
      </c>
      <c r="P558" s="11">
        <v>360.43</v>
      </c>
      <c r="Q558" s="11">
        <v>0</v>
      </c>
      <c r="R558" s="10">
        <f>IF(COUNTIF($J$2:J558,J558)=1,SUMIFS($O:$O,$J:$J,J558)+SUMIFS($P:$P,$J:$J,J558)+SUMIFS($Q:$Q,$J:$J,J558),"")</f>
        <v>675.06999999999994</v>
      </c>
      <c r="S558">
        <v>4635.84</v>
      </c>
      <c r="T558" s="11" t="str">
        <f t="shared" si="72"/>
        <v>Check</v>
      </c>
      <c r="U558" s="12">
        <v>46099</v>
      </c>
      <c r="V558" s="10">
        <v>360.43</v>
      </c>
      <c r="W558" s="10" t="str">
        <f t="shared" si="69"/>
        <v>Short Paid</v>
      </c>
      <c r="X558" t="s">
        <v>450</v>
      </c>
      <c r="Y558" t="s">
        <v>29</v>
      </c>
      <c r="Z558">
        <v>100297</v>
      </c>
      <c r="AA558" t="s">
        <v>3119</v>
      </c>
      <c r="AB558" t="s">
        <v>3041</v>
      </c>
      <c r="AC558" s="9">
        <f t="shared" si="70"/>
        <v>1</v>
      </c>
      <c r="AD558" s="9" t="str">
        <f t="shared" si="71"/>
        <v>Check</v>
      </c>
      <c r="AE558" s="11">
        <f t="shared" si="76"/>
        <v>-3960.7700000000004</v>
      </c>
    </row>
    <row r="559" spans="1:31" x14ac:dyDescent="0.3">
      <c r="A559">
        <v>2</v>
      </c>
      <c r="B559">
        <v>4968004</v>
      </c>
      <c r="C559" t="s">
        <v>217</v>
      </c>
      <c r="D559">
        <v>1208231</v>
      </c>
      <c r="E559" t="s">
        <v>288</v>
      </c>
      <c r="F559" t="s">
        <v>49</v>
      </c>
      <c r="G559" t="s">
        <v>2985</v>
      </c>
      <c r="H559" t="s">
        <v>2986</v>
      </c>
      <c r="I559" s="9" t="s">
        <v>3303</v>
      </c>
      <c r="J559" s="9">
        <v>51160618386</v>
      </c>
      <c r="K559" s="14" t="s">
        <v>3630</v>
      </c>
      <c r="L559" s="13" t="s">
        <v>3629</v>
      </c>
      <c r="M559" s="14">
        <v>6000</v>
      </c>
      <c r="N559" s="14">
        <v>8.9249999999999996E-2</v>
      </c>
      <c r="O559" s="10">
        <f t="shared" si="68"/>
        <v>535.5</v>
      </c>
      <c r="P559" s="11">
        <v>48.73</v>
      </c>
      <c r="Q559" s="11">
        <v>0</v>
      </c>
      <c r="R559" s="10">
        <f>IF(COUNTIF($J$2:J559,J559)=1,SUMIFS($O:$O,$J:$J,J559)+SUMIFS($P:$P,$J:$J,J559)+SUMIFS($Q:$Q,$J:$J,J559),"")</f>
        <v>584.23</v>
      </c>
      <c r="S559" s="10">
        <v>584.23</v>
      </c>
      <c r="T559" s="11" t="str">
        <f t="shared" si="72"/>
        <v>Ok</v>
      </c>
      <c r="U559" s="12">
        <v>46099</v>
      </c>
      <c r="V559" s="10">
        <v>48.73</v>
      </c>
      <c r="W559" s="10" t="str">
        <f t="shared" si="69"/>
        <v>Short Paid</v>
      </c>
      <c r="X559" t="s">
        <v>450</v>
      </c>
      <c r="Y559" t="s">
        <v>29</v>
      </c>
      <c r="Z559">
        <v>100297</v>
      </c>
      <c r="AA559" t="s">
        <v>3119</v>
      </c>
      <c r="AB559" t="s">
        <v>3041</v>
      </c>
      <c r="AC559" s="9">
        <f t="shared" si="70"/>
        <v>1</v>
      </c>
      <c r="AD559" s="9" t="str">
        <f t="shared" si="71"/>
        <v>Ok</v>
      </c>
      <c r="AE559" s="11">
        <f t="shared" si="76"/>
        <v>0</v>
      </c>
    </row>
    <row r="560" spans="1:31" x14ac:dyDescent="0.3">
      <c r="A560">
        <v>2</v>
      </c>
      <c r="B560">
        <v>4968839</v>
      </c>
      <c r="C560" t="s">
        <v>217</v>
      </c>
      <c r="D560">
        <v>1208231</v>
      </c>
      <c r="E560" t="s">
        <v>288</v>
      </c>
      <c r="F560" t="s">
        <v>49</v>
      </c>
      <c r="G560" t="s">
        <v>275</v>
      </c>
      <c r="H560" t="s">
        <v>276</v>
      </c>
      <c r="I560" s="9" t="s">
        <v>3535</v>
      </c>
      <c r="J560" s="9">
        <v>51160676323</v>
      </c>
      <c r="K560" s="14" t="s">
        <v>3165</v>
      </c>
      <c r="L560" s="13" t="s">
        <v>4993</v>
      </c>
      <c r="M560" s="14">
        <v>4</v>
      </c>
      <c r="N560" s="14">
        <v>640.61</v>
      </c>
      <c r="O560" s="10">
        <f t="shared" si="68"/>
        <v>2562.44</v>
      </c>
      <c r="P560" s="11">
        <v>22.54</v>
      </c>
      <c r="Q560" s="11">
        <v>0</v>
      </c>
      <c r="R560" s="10">
        <f>IF(COUNTIF($J$2:J560,J560)=1,SUMIFS($O:$O,$J:$J,J560)+SUMIFS($P:$P,$J:$J,J560)+SUMIFS($Q:$Q,$J:$J,J560),"")</f>
        <v>2584.98</v>
      </c>
      <c r="S560">
        <v>2832.6800000000003</v>
      </c>
      <c r="T560" s="11" t="str">
        <f t="shared" si="72"/>
        <v>Check</v>
      </c>
      <c r="U560" s="12">
        <v>46099</v>
      </c>
      <c r="V560" s="10">
        <v>22.54</v>
      </c>
      <c r="W560" s="10" t="str">
        <f t="shared" si="69"/>
        <v>Short Paid</v>
      </c>
      <c r="X560" t="s">
        <v>450</v>
      </c>
      <c r="Y560" t="s">
        <v>29</v>
      </c>
      <c r="Z560">
        <v>100297</v>
      </c>
      <c r="AA560" t="s">
        <v>3119</v>
      </c>
      <c r="AB560" t="s">
        <v>3041</v>
      </c>
      <c r="AC560" s="9">
        <f t="shared" si="70"/>
        <v>1</v>
      </c>
      <c r="AD560" s="9" t="str">
        <f t="shared" si="71"/>
        <v>Check</v>
      </c>
      <c r="AE560" s="11">
        <f t="shared" si="76"/>
        <v>-247.70000000000027</v>
      </c>
    </row>
    <row r="561" spans="1:31" x14ac:dyDescent="0.3">
      <c r="A561">
        <v>2</v>
      </c>
      <c r="B561">
        <v>4972457</v>
      </c>
      <c r="C561" t="s">
        <v>220</v>
      </c>
      <c r="D561">
        <v>1880594</v>
      </c>
      <c r="E561" t="s">
        <v>397</v>
      </c>
      <c r="F561" t="s">
        <v>24</v>
      </c>
      <c r="G561" t="s">
        <v>2987</v>
      </c>
      <c r="H561" t="s">
        <v>2988</v>
      </c>
      <c r="I561" s="9" t="s">
        <v>3239</v>
      </c>
      <c r="J561" s="9">
        <v>50117748400</v>
      </c>
      <c r="K561" s="14" t="s">
        <v>3241</v>
      </c>
      <c r="L561" s="13" t="s">
        <v>3240</v>
      </c>
      <c r="M561" s="14">
        <v>10000</v>
      </c>
      <c r="N561" s="14">
        <v>8.3000000000000001E-4</v>
      </c>
      <c r="O561" s="10">
        <f t="shared" si="68"/>
        <v>8.3000000000000007</v>
      </c>
      <c r="P561" s="11">
        <v>0</v>
      </c>
      <c r="Q561" s="11">
        <v>2.76</v>
      </c>
      <c r="R561" s="10">
        <f>IF(COUNTIF($J$2:J561,J561)=1,SUMIFS($O:$O,$J:$J,J561)+SUMIFS($P:$P,$J:$J,J561)+SUMIFS($Q:$Q,$J:$J,J561),"")</f>
        <v>11.06</v>
      </c>
      <c r="S561" s="10">
        <v>11.06</v>
      </c>
      <c r="T561" s="11" t="str">
        <f t="shared" si="72"/>
        <v>Ok</v>
      </c>
      <c r="U561" s="12">
        <v>46137</v>
      </c>
      <c r="V561" s="10">
        <v>8.3000000000000007</v>
      </c>
      <c r="W561" s="10" t="str">
        <f t="shared" si="69"/>
        <v>Short Paid</v>
      </c>
      <c r="X561" t="s">
        <v>435</v>
      </c>
      <c r="Y561" t="s">
        <v>40</v>
      </c>
      <c r="Z561">
        <v>100181</v>
      </c>
      <c r="AA561" t="s">
        <v>517</v>
      </c>
      <c r="AB561" t="s">
        <v>522</v>
      </c>
      <c r="AC561" s="9">
        <f t="shared" si="70"/>
        <v>1</v>
      </c>
      <c r="AD561" s="9" t="str">
        <f t="shared" si="71"/>
        <v>Ok</v>
      </c>
      <c r="AE561" s="11">
        <f t="shared" si="76"/>
        <v>0</v>
      </c>
    </row>
    <row r="562" spans="1:31" x14ac:dyDescent="0.3">
      <c r="A562">
        <v>2</v>
      </c>
      <c r="B562">
        <v>4961326</v>
      </c>
      <c r="C562" t="s">
        <v>160</v>
      </c>
      <c r="D562">
        <v>1262308</v>
      </c>
      <c r="E562" t="s">
        <v>611</v>
      </c>
      <c r="F562" t="s">
        <v>24</v>
      </c>
      <c r="G562" t="s">
        <v>286</v>
      </c>
      <c r="H562" t="s">
        <v>287</v>
      </c>
      <c r="I562" s="9" t="s">
        <v>3462</v>
      </c>
      <c r="J562" s="9">
        <v>51162145640</v>
      </c>
      <c r="K562" s="14" t="s">
        <v>3165</v>
      </c>
      <c r="L562" s="13" t="s">
        <v>4997</v>
      </c>
      <c r="M562" s="14">
        <v>2898</v>
      </c>
      <c r="N562" s="14">
        <v>4.0599999999999996</v>
      </c>
      <c r="O562" s="10">
        <f t="shared" si="68"/>
        <v>11765.88</v>
      </c>
      <c r="P562" s="11">
        <v>0</v>
      </c>
      <c r="Q562" s="11">
        <v>338.15</v>
      </c>
      <c r="R562" s="10">
        <f>IF(COUNTIF($J$2:J562,J562)=1,SUMIFS($O:$O,$J:$J,J562)+SUMIFS($P:$P,$J:$J,J562)+SUMIFS($Q:$Q,$J:$J,J562),"")</f>
        <v>12104.029999999999</v>
      </c>
      <c r="S562">
        <v>15663.529999999999</v>
      </c>
      <c r="T562" s="11" t="str">
        <f t="shared" si="72"/>
        <v>Check</v>
      </c>
      <c r="U562" s="12">
        <v>46143</v>
      </c>
      <c r="V562" s="10">
        <v>3559.5</v>
      </c>
      <c r="W562" s="10" t="str">
        <f t="shared" si="69"/>
        <v>Short Paid</v>
      </c>
      <c r="X562" t="s">
        <v>453</v>
      </c>
      <c r="Y562" t="s">
        <v>40</v>
      </c>
      <c r="Z562">
        <v>100104</v>
      </c>
      <c r="AA562" t="s">
        <v>3077</v>
      </c>
      <c r="AB562" t="s">
        <v>522</v>
      </c>
      <c r="AC562" s="9">
        <f t="shared" si="70"/>
        <v>1</v>
      </c>
      <c r="AD562" s="9" t="str">
        <f t="shared" si="71"/>
        <v>Check</v>
      </c>
      <c r="AE562" s="11">
        <f t="shared" si="76"/>
        <v>-3559.5</v>
      </c>
    </row>
    <row r="563" spans="1:31" x14ac:dyDescent="0.3">
      <c r="A563">
        <v>2</v>
      </c>
      <c r="B563">
        <v>4972735</v>
      </c>
      <c r="C563" t="s">
        <v>220</v>
      </c>
      <c r="D563">
        <v>1880594</v>
      </c>
      <c r="E563" t="s">
        <v>397</v>
      </c>
      <c r="F563" t="s">
        <v>24</v>
      </c>
      <c r="G563" t="s">
        <v>2994</v>
      </c>
      <c r="H563" t="s">
        <v>2995</v>
      </c>
      <c r="I563" s="9" t="s">
        <v>3498</v>
      </c>
      <c r="J563" s="9">
        <v>51161646779</v>
      </c>
      <c r="K563" s="14" t="s">
        <v>3207</v>
      </c>
      <c r="L563" s="13" t="s">
        <v>3668</v>
      </c>
      <c r="M563" s="14">
        <v>10000</v>
      </c>
      <c r="N563" s="14">
        <v>0.34100000000000003</v>
      </c>
      <c r="O563" s="10">
        <f t="shared" si="68"/>
        <v>3410.0000000000005</v>
      </c>
      <c r="P563" s="11">
        <v>0</v>
      </c>
      <c r="Q563" s="11">
        <v>323.95</v>
      </c>
      <c r="R563" s="10">
        <f>IF(COUNTIF($J$2:J563,J563)=1,SUMIFS($O:$O,$J:$J,J563)+SUMIFS($P:$P,$J:$J,J563)+SUMIFS($Q:$Q,$J:$J,J563),"")</f>
        <v>3733.9500000000003</v>
      </c>
      <c r="S563" s="10">
        <v>3733.95</v>
      </c>
      <c r="T563" s="11" t="str">
        <f t="shared" si="72"/>
        <v>Ok</v>
      </c>
      <c r="U563" s="12">
        <v>46161</v>
      </c>
      <c r="V563" s="10">
        <v>3410</v>
      </c>
      <c r="W563" s="10" t="str">
        <f t="shared" si="69"/>
        <v>Short Paid</v>
      </c>
      <c r="X563" t="s">
        <v>435</v>
      </c>
      <c r="Y563" t="s">
        <v>40</v>
      </c>
      <c r="Z563">
        <v>100221</v>
      </c>
      <c r="AA563" t="s">
        <v>518</v>
      </c>
      <c r="AB563" t="s">
        <v>522</v>
      </c>
      <c r="AC563" s="9">
        <f t="shared" si="70"/>
        <v>1</v>
      </c>
      <c r="AD563" s="9" t="str">
        <f t="shared" si="71"/>
        <v>Ok</v>
      </c>
      <c r="AE563" s="11">
        <f t="shared" si="76"/>
        <v>0</v>
      </c>
    </row>
    <row r="564" spans="1:31" x14ac:dyDescent="0.3">
      <c r="A564">
        <v>2</v>
      </c>
      <c r="B564">
        <v>4975240</v>
      </c>
      <c r="C564" t="s">
        <v>220</v>
      </c>
      <c r="D564">
        <v>1880594</v>
      </c>
      <c r="E564" t="s">
        <v>397</v>
      </c>
      <c r="F564" t="s">
        <v>24</v>
      </c>
      <c r="G564" t="s">
        <v>431</v>
      </c>
      <c r="H564" t="s">
        <v>432</v>
      </c>
      <c r="I564" s="9" t="s">
        <v>3421</v>
      </c>
      <c r="J564" s="9">
        <v>51160814390</v>
      </c>
      <c r="K564" s="14" t="s">
        <v>3165</v>
      </c>
      <c r="L564" s="13" t="s">
        <v>4994</v>
      </c>
      <c r="M564" s="14">
        <v>41</v>
      </c>
      <c r="N564" s="14">
        <v>289.56</v>
      </c>
      <c r="O564" s="10">
        <f t="shared" si="68"/>
        <v>11871.960000000001</v>
      </c>
      <c r="P564" s="11">
        <v>0</v>
      </c>
      <c r="Q564" s="11">
        <v>3628.7599999999998</v>
      </c>
      <c r="R564" s="10">
        <f>IF(COUNTIF($J$2:J564,J564)=1,SUMIFS($O:$O,$J:$J,J564)+SUMIFS($P:$P,$J:$J,J564)+SUMIFS($Q:$Q,$J:$J,J564),"")</f>
        <v>15500.720000000001</v>
      </c>
      <c r="S564">
        <v>18020.72</v>
      </c>
      <c r="T564" s="11" t="str">
        <f t="shared" si="72"/>
        <v>Check</v>
      </c>
      <c r="U564" s="12">
        <v>46157</v>
      </c>
      <c r="V564" s="10">
        <v>11871.96</v>
      </c>
      <c r="W564" s="10" t="str">
        <f t="shared" si="69"/>
        <v>Short Paid</v>
      </c>
      <c r="X564" t="s">
        <v>435</v>
      </c>
      <c r="Y564" t="s">
        <v>40</v>
      </c>
      <c r="Z564">
        <v>100181</v>
      </c>
      <c r="AA564" t="s">
        <v>517</v>
      </c>
      <c r="AB564" t="s">
        <v>522</v>
      </c>
      <c r="AC564" s="9">
        <f t="shared" si="70"/>
        <v>1</v>
      </c>
      <c r="AD564" s="9" t="str">
        <f t="shared" si="71"/>
        <v>Check</v>
      </c>
      <c r="AE564" s="11">
        <f t="shared" ref="AE564:AE574" si="77">R564-S564</f>
        <v>-2520</v>
      </c>
    </row>
    <row r="565" spans="1:31" x14ac:dyDescent="0.3">
      <c r="A565">
        <v>2</v>
      </c>
      <c r="B565">
        <v>4974127</v>
      </c>
      <c r="C565" t="s">
        <v>220</v>
      </c>
      <c r="D565">
        <v>1880594</v>
      </c>
      <c r="E565" t="s">
        <v>397</v>
      </c>
      <c r="F565" t="s">
        <v>24</v>
      </c>
      <c r="G565" t="s">
        <v>433</v>
      </c>
      <c r="H565" t="s">
        <v>434</v>
      </c>
      <c r="I565" s="9" t="s">
        <v>3329</v>
      </c>
      <c r="J565" s="9">
        <v>51158586614</v>
      </c>
      <c r="K565" s="14" t="s">
        <v>3165</v>
      </c>
      <c r="L565" s="13" t="s">
        <v>4984</v>
      </c>
      <c r="M565" s="14">
        <v>11</v>
      </c>
      <c r="N565" s="14">
        <v>31.04</v>
      </c>
      <c r="O565" s="10">
        <f t="shared" si="68"/>
        <v>341.44</v>
      </c>
      <c r="P565" s="11">
        <v>0</v>
      </c>
      <c r="Q565" s="11">
        <v>0.04</v>
      </c>
      <c r="R565" s="10">
        <f>IF(COUNTIF($J$2:J565,J565)=1,SUMIFS($O:$O,$J:$J,J565)+SUMIFS($P:$P,$J:$J,J565)+SUMIFS($Q:$Q,$J:$J,J565),"")</f>
        <v>341.48</v>
      </c>
      <c r="S565">
        <v>25180.41</v>
      </c>
      <c r="T565" s="11" t="str">
        <f t="shared" si="72"/>
        <v>Check</v>
      </c>
      <c r="U565" s="12">
        <v>46156</v>
      </c>
      <c r="V565" s="10">
        <v>341.44</v>
      </c>
      <c r="W565" s="10" t="str">
        <f t="shared" si="69"/>
        <v>Short Paid</v>
      </c>
      <c r="X565" t="s">
        <v>435</v>
      </c>
      <c r="Y565" t="s">
        <v>40</v>
      </c>
      <c r="Z565">
        <v>100221</v>
      </c>
      <c r="AA565" t="s">
        <v>518</v>
      </c>
      <c r="AB565" t="s">
        <v>522</v>
      </c>
      <c r="AC565" s="9">
        <f t="shared" si="70"/>
        <v>1</v>
      </c>
      <c r="AD565" s="9" t="str">
        <f t="shared" si="71"/>
        <v>Check</v>
      </c>
      <c r="AE565" s="11">
        <f t="shared" si="77"/>
        <v>-24838.93</v>
      </c>
    </row>
    <row r="566" spans="1:31" x14ac:dyDescent="0.3">
      <c r="A566">
        <v>2</v>
      </c>
      <c r="B566">
        <v>4968561</v>
      </c>
      <c r="C566" t="s">
        <v>217</v>
      </c>
      <c r="D566">
        <v>1208231</v>
      </c>
      <c r="E566" t="s">
        <v>288</v>
      </c>
      <c r="F566" t="s">
        <v>49</v>
      </c>
      <c r="G566" t="s">
        <v>269</v>
      </c>
      <c r="H566" t="s">
        <v>270</v>
      </c>
      <c r="I566" s="9" t="s">
        <v>3169</v>
      </c>
      <c r="J566" s="9">
        <v>51159114374</v>
      </c>
      <c r="K566" s="14" t="s">
        <v>3165</v>
      </c>
      <c r="L566" s="13" t="s">
        <v>4987</v>
      </c>
      <c r="M566" s="14">
        <v>8</v>
      </c>
      <c r="N566" s="14">
        <v>195.36</v>
      </c>
      <c r="O566" s="10">
        <f t="shared" si="68"/>
        <v>1562.88</v>
      </c>
      <c r="P566" s="11">
        <v>28.43</v>
      </c>
      <c r="Q566" s="11">
        <v>0</v>
      </c>
      <c r="R566" s="10">
        <f>IF(COUNTIF($J$2:J566,J566)=1,SUMIFS($O:$O,$J:$J,J566)+SUMIFS($P:$P,$J:$J,J566)+SUMIFS($Q:$Q,$J:$J,J566),"")</f>
        <v>1591.3100000000002</v>
      </c>
      <c r="S566">
        <v>1903.69</v>
      </c>
      <c r="T566" s="11" t="str">
        <f t="shared" si="72"/>
        <v>Check</v>
      </c>
      <c r="U566" s="12">
        <v>46099</v>
      </c>
      <c r="V566" s="10">
        <v>28.43</v>
      </c>
      <c r="W566" s="10" t="str">
        <f t="shared" si="69"/>
        <v>Short Paid</v>
      </c>
      <c r="X566" t="s">
        <v>450</v>
      </c>
      <c r="Y566" t="s">
        <v>29</v>
      </c>
      <c r="Z566">
        <v>100297</v>
      </c>
      <c r="AA566" t="s">
        <v>3119</v>
      </c>
      <c r="AB566" t="s">
        <v>3041</v>
      </c>
      <c r="AC566" s="9">
        <f t="shared" si="70"/>
        <v>1</v>
      </c>
      <c r="AD566" s="9" t="str">
        <f t="shared" si="71"/>
        <v>Check</v>
      </c>
      <c r="AE566" s="11">
        <f t="shared" si="77"/>
        <v>-312.37999999999988</v>
      </c>
    </row>
    <row r="567" spans="1:31" x14ac:dyDescent="0.3">
      <c r="A567">
        <v>1</v>
      </c>
      <c r="B567">
        <v>4912069</v>
      </c>
      <c r="C567" t="s">
        <v>239</v>
      </c>
      <c r="D567">
        <v>1297839</v>
      </c>
      <c r="E567" t="s">
        <v>742</v>
      </c>
      <c r="F567" t="s">
        <v>19</v>
      </c>
      <c r="G567" t="s">
        <v>2999</v>
      </c>
      <c r="H567" t="s">
        <v>3000</v>
      </c>
      <c r="I567" s="9" t="s">
        <v>3535</v>
      </c>
      <c r="J567" s="9">
        <v>51158513137</v>
      </c>
      <c r="K567" s="14" t="s">
        <v>3241</v>
      </c>
      <c r="L567" s="13" t="s">
        <v>3590</v>
      </c>
      <c r="M567" s="14">
        <v>10000</v>
      </c>
      <c r="N567" s="14">
        <v>5.1999999999999998E-3</v>
      </c>
      <c r="O567" s="10">
        <f t="shared" si="68"/>
        <v>52</v>
      </c>
      <c r="P567" s="11">
        <v>0</v>
      </c>
      <c r="Q567" s="11">
        <v>0</v>
      </c>
      <c r="R567" s="10">
        <f>IF(COUNTIF($J$2:J567,J567)=1,SUMIFS($O:$O,$J:$J,J567)+SUMIFS($P:$P,$J:$J,J567)+SUMIFS($Q:$Q,$J:$J,J567),"")</f>
        <v>52</v>
      </c>
      <c r="S567" s="10">
        <v>52</v>
      </c>
      <c r="T567" s="11" t="str">
        <f t="shared" si="72"/>
        <v>Ok</v>
      </c>
      <c r="U567" s="12">
        <v>46070</v>
      </c>
      <c r="V567" s="10">
        <v>52</v>
      </c>
      <c r="W567" s="10" t="str">
        <f t="shared" si="69"/>
        <v>Not Paid</v>
      </c>
      <c r="X567" t="s">
        <v>470</v>
      </c>
      <c r="Y567" t="s">
        <v>28</v>
      </c>
      <c r="Z567">
        <v>100158</v>
      </c>
      <c r="AA567" t="s">
        <v>510</v>
      </c>
      <c r="AB567" t="s">
        <v>524</v>
      </c>
      <c r="AC567" s="9">
        <f t="shared" si="70"/>
        <v>1</v>
      </c>
      <c r="AD567" s="9" t="str">
        <f t="shared" si="71"/>
        <v>Ok</v>
      </c>
      <c r="AE567" s="11">
        <f t="shared" si="77"/>
        <v>0</v>
      </c>
    </row>
    <row r="568" spans="1:31" x14ac:dyDescent="0.3">
      <c r="A568">
        <v>1</v>
      </c>
      <c r="B568">
        <v>4914574</v>
      </c>
      <c r="C568" t="s">
        <v>239</v>
      </c>
      <c r="D568">
        <v>1571373</v>
      </c>
      <c r="E568" t="s">
        <v>604</v>
      </c>
      <c r="F568" t="s">
        <v>20</v>
      </c>
      <c r="G568" t="s">
        <v>3001</v>
      </c>
      <c r="H568" t="s">
        <v>3002</v>
      </c>
      <c r="I568" s="9" t="s">
        <v>3242</v>
      </c>
      <c r="J568" s="9">
        <v>51157302778</v>
      </c>
      <c r="K568" s="14" t="s">
        <v>3370</v>
      </c>
      <c r="L568" s="13" t="s">
        <v>3578</v>
      </c>
      <c r="M568" s="14">
        <v>5000</v>
      </c>
      <c r="N568" s="14">
        <v>4.5319999999999999E-2</v>
      </c>
      <c r="O568" s="10">
        <f t="shared" si="68"/>
        <v>226.6</v>
      </c>
      <c r="P568" s="11">
        <v>0</v>
      </c>
      <c r="Q568" s="11">
        <v>0</v>
      </c>
      <c r="R568" s="10">
        <f>IF(COUNTIF($J$2:J568,J568)=1,SUMIFS($O:$O,$J:$J,J568)+SUMIFS($P:$P,$J:$J,J568)+SUMIFS($Q:$Q,$J:$J,J568),"")</f>
        <v>226.6</v>
      </c>
      <c r="S568" s="10">
        <v>226.6</v>
      </c>
      <c r="T568" s="11" t="str">
        <f t="shared" si="72"/>
        <v>Ok</v>
      </c>
      <c r="U568" s="12">
        <v>46066</v>
      </c>
      <c r="V568" s="10">
        <v>226.6</v>
      </c>
      <c r="W568" s="10" t="str">
        <f t="shared" si="69"/>
        <v>Not Paid</v>
      </c>
      <c r="X568" t="s">
        <v>476</v>
      </c>
      <c r="Y568" t="s">
        <v>28</v>
      </c>
      <c r="Z568">
        <v>100125</v>
      </c>
      <c r="AA568" t="s">
        <v>477</v>
      </c>
      <c r="AB568" t="s">
        <v>521</v>
      </c>
      <c r="AC568" s="9">
        <f t="shared" si="70"/>
        <v>1</v>
      </c>
      <c r="AD568" s="9" t="str">
        <f t="shared" si="71"/>
        <v>Ok</v>
      </c>
      <c r="AE568" s="11">
        <f t="shared" si="77"/>
        <v>0</v>
      </c>
    </row>
    <row r="569" spans="1:31" x14ac:dyDescent="0.3">
      <c r="A569">
        <v>1</v>
      </c>
      <c r="B569">
        <v>4915687</v>
      </c>
      <c r="C569" t="s">
        <v>217</v>
      </c>
      <c r="D569">
        <v>1150978</v>
      </c>
      <c r="E569" t="s">
        <v>553</v>
      </c>
      <c r="F569" t="s">
        <v>18</v>
      </c>
      <c r="G569" t="s">
        <v>244</v>
      </c>
      <c r="H569" t="s">
        <v>245</v>
      </c>
      <c r="I569" s="9" t="s">
        <v>3435</v>
      </c>
      <c r="J569" s="9">
        <v>51160197644</v>
      </c>
      <c r="K569" s="14" t="s">
        <v>3165</v>
      </c>
      <c r="L569" s="13" t="s">
        <v>4923</v>
      </c>
      <c r="M569" s="14">
        <v>30</v>
      </c>
      <c r="N569" s="14">
        <v>123.76</v>
      </c>
      <c r="O569" s="10">
        <f t="shared" si="68"/>
        <v>3712.8</v>
      </c>
      <c r="P569" s="11">
        <v>0</v>
      </c>
      <c r="Q569" s="11">
        <v>0</v>
      </c>
      <c r="R569" s="10">
        <f>IF(COUNTIF($J$2:J569,J569)=1,SUMIFS($O:$O,$J:$J,J569)+SUMIFS($P:$P,$J:$J,J569)+SUMIFS($Q:$Q,$J:$J,J569),"")</f>
        <v>3712.8</v>
      </c>
      <c r="S569">
        <v>5718.24</v>
      </c>
      <c r="T569" s="11" t="str">
        <f t="shared" si="72"/>
        <v>Check</v>
      </c>
      <c r="U569" s="12">
        <v>46052</v>
      </c>
      <c r="V569" s="10">
        <v>213.35</v>
      </c>
      <c r="W569" s="10" t="str">
        <f t="shared" si="69"/>
        <v>Short Paid</v>
      </c>
      <c r="X569" t="s">
        <v>468</v>
      </c>
      <c r="Y569" t="s">
        <v>28</v>
      </c>
      <c r="Z569">
        <v>100206</v>
      </c>
      <c r="AA569" t="s">
        <v>3058</v>
      </c>
      <c r="AB569" t="s">
        <v>523</v>
      </c>
      <c r="AC569" s="9">
        <f t="shared" si="70"/>
        <v>1</v>
      </c>
      <c r="AD569" s="9" t="str">
        <f t="shared" si="71"/>
        <v>Check</v>
      </c>
      <c r="AE569" s="11">
        <f t="shared" si="77"/>
        <v>-2005.4399999999996</v>
      </c>
    </row>
    <row r="570" spans="1:31" x14ac:dyDescent="0.3">
      <c r="A570">
        <v>1</v>
      </c>
      <c r="B570">
        <v>4917635</v>
      </c>
      <c r="C570" t="s">
        <v>220</v>
      </c>
      <c r="D570">
        <v>1125734</v>
      </c>
      <c r="E570" t="s">
        <v>532</v>
      </c>
      <c r="F570" t="s">
        <v>18</v>
      </c>
      <c r="G570" t="s">
        <v>3003</v>
      </c>
      <c r="H570" t="s">
        <v>3004</v>
      </c>
      <c r="I570" s="9" t="s">
        <v>3163</v>
      </c>
      <c r="J570" s="9">
        <v>51159998767</v>
      </c>
      <c r="K570" s="14" t="s">
        <v>3252</v>
      </c>
      <c r="L570" s="13" t="s">
        <v>3613</v>
      </c>
      <c r="M570" s="14">
        <v>45000</v>
      </c>
      <c r="N570" s="14">
        <v>4.5700000000000003E-3</v>
      </c>
      <c r="O570" s="10">
        <f t="shared" si="68"/>
        <v>205.65</v>
      </c>
      <c r="P570" s="11">
        <v>71.290000000000006</v>
      </c>
      <c r="Q570" s="11">
        <v>0</v>
      </c>
      <c r="R570" s="10">
        <f>IF(COUNTIF($J$2:J570,J570)=1,SUMIFS($O:$O,$J:$J,J570)+SUMIFS($P:$P,$J:$J,J570)+SUMIFS($Q:$Q,$J:$J,J570),"")</f>
        <v>276.94</v>
      </c>
      <c r="S570" s="10">
        <v>5858.77</v>
      </c>
      <c r="T570" s="11" t="str">
        <f t="shared" si="72"/>
        <v>Check</v>
      </c>
      <c r="U570" s="12">
        <v>46133</v>
      </c>
      <c r="V570" s="10">
        <v>476.28</v>
      </c>
      <c r="W570" s="10" t="str">
        <f t="shared" si="69"/>
        <v>Short Paid</v>
      </c>
      <c r="X570" t="s">
        <v>470</v>
      </c>
      <c r="Y570" t="s">
        <v>28</v>
      </c>
      <c r="Z570">
        <v>100158</v>
      </c>
      <c r="AA570" t="s">
        <v>510</v>
      </c>
      <c r="AB570" t="s">
        <v>523</v>
      </c>
      <c r="AC570" s="9">
        <f t="shared" si="70"/>
        <v>1</v>
      </c>
      <c r="AD570" s="9" t="str">
        <f t="shared" si="71"/>
        <v>Check</v>
      </c>
      <c r="AE570" s="11">
        <f t="shared" si="77"/>
        <v>-5581.8300000000008</v>
      </c>
    </row>
    <row r="571" spans="1:31" x14ac:dyDescent="0.3">
      <c r="A571">
        <v>1</v>
      </c>
      <c r="B571">
        <v>4918748</v>
      </c>
      <c r="C571" t="s">
        <v>220</v>
      </c>
      <c r="D571">
        <v>1125734</v>
      </c>
      <c r="E571" t="s">
        <v>532</v>
      </c>
      <c r="F571" t="s">
        <v>18</v>
      </c>
      <c r="G571" t="s">
        <v>3007</v>
      </c>
      <c r="H571" t="s">
        <v>3008</v>
      </c>
      <c r="I571" s="9" t="s">
        <v>3376</v>
      </c>
      <c r="J571" s="9">
        <v>51159885053</v>
      </c>
      <c r="K571" s="14" t="s">
        <v>3351</v>
      </c>
      <c r="L571" s="13" t="s">
        <v>3553</v>
      </c>
      <c r="M571" s="14">
        <v>179000</v>
      </c>
      <c r="N571" s="14">
        <v>0.68283000000000005</v>
      </c>
      <c r="O571" s="10">
        <f t="shared" si="68"/>
        <v>122226.57</v>
      </c>
      <c r="P571" s="11">
        <v>0</v>
      </c>
      <c r="Q571" s="11">
        <v>0</v>
      </c>
      <c r="R571" s="10">
        <f>IF(COUNTIF($J$2:J571,J571)=1,SUMIFS($O:$O,$J:$J,J571)+SUMIFS($P:$P,$J:$J,J571)+SUMIFS($Q:$Q,$J:$J,J571),"")</f>
        <v>122226.57</v>
      </c>
      <c r="S571" s="10">
        <v>168054.75</v>
      </c>
      <c r="T571" s="11" t="str">
        <f t="shared" si="72"/>
        <v>Check</v>
      </c>
      <c r="U571" s="12">
        <v>46133</v>
      </c>
      <c r="V571" s="10">
        <v>317.52</v>
      </c>
      <c r="W571" s="10" t="str">
        <f t="shared" si="69"/>
        <v>Short Paid</v>
      </c>
      <c r="X571" t="s">
        <v>470</v>
      </c>
      <c r="Y571" t="s">
        <v>28</v>
      </c>
      <c r="Z571">
        <v>100238</v>
      </c>
      <c r="AA571" t="s">
        <v>3078</v>
      </c>
      <c r="AB571" t="s">
        <v>523</v>
      </c>
      <c r="AC571" s="9">
        <f t="shared" si="70"/>
        <v>1</v>
      </c>
      <c r="AD571" s="9" t="str">
        <f t="shared" si="71"/>
        <v>Check</v>
      </c>
      <c r="AE571" s="11">
        <f t="shared" si="77"/>
        <v>-45828.179999999993</v>
      </c>
    </row>
    <row r="572" spans="1:31" x14ac:dyDescent="0.3">
      <c r="A572">
        <v>1</v>
      </c>
      <c r="B572">
        <v>4919861</v>
      </c>
      <c r="C572" t="s">
        <v>220</v>
      </c>
      <c r="D572">
        <v>1125734</v>
      </c>
      <c r="E572" t="s">
        <v>532</v>
      </c>
      <c r="F572" t="s">
        <v>18</v>
      </c>
      <c r="G572" t="s">
        <v>3011</v>
      </c>
      <c r="H572" t="s">
        <v>3012</v>
      </c>
      <c r="I572" s="9" t="s">
        <v>3467</v>
      </c>
      <c r="J572" s="9">
        <v>51157575079</v>
      </c>
      <c r="K572" s="14" t="s">
        <v>3209</v>
      </c>
      <c r="L572" s="13" t="s">
        <v>3547</v>
      </c>
      <c r="M572" s="14">
        <v>15000</v>
      </c>
      <c r="N572" s="14">
        <v>2.07E-2</v>
      </c>
      <c r="O572" s="10">
        <f t="shared" si="68"/>
        <v>310.5</v>
      </c>
      <c r="P572" s="11">
        <v>51.23</v>
      </c>
      <c r="Q572" s="11">
        <v>0</v>
      </c>
      <c r="R572" s="10">
        <f>IF(COUNTIF($J$2:J572,J572)=1,SUMIFS($O:$O,$J:$J,J572)+SUMIFS($P:$P,$J:$J,J572)+SUMIFS($Q:$Q,$J:$J,J572),"")</f>
        <v>361.73</v>
      </c>
      <c r="S572" s="10">
        <v>1229.73</v>
      </c>
      <c r="T572" s="11" t="str">
        <f t="shared" si="72"/>
        <v>Check</v>
      </c>
      <c r="U572" s="12">
        <v>46135</v>
      </c>
      <c r="V572" s="10">
        <v>132.5</v>
      </c>
      <c r="W572" s="10" t="str">
        <f t="shared" si="69"/>
        <v>Short Paid</v>
      </c>
      <c r="X572" t="s">
        <v>470</v>
      </c>
      <c r="Y572" t="s">
        <v>28</v>
      </c>
      <c r="Z572">
        <v>100118</v>
      </c>
      <c r="AA572" t="s">
        <v>494</v>
      </c>
      <c r="AB572" t="s">
        <v>523</v>
      </c>
      <c r="AC572" s="9">
        <f t="shared" si="70"/>
        <v>1</v>
      </c>
      <c r="AD572" s="9" t="str">
        <f t="shared" si="71"/>
        <v>Check</v>
      </c>
      <c r="AE572" s="11">
        <f t="shared" si="77"/>
        <v>-868</v>
      </c>
    </row>
    <row r="573" spans="1:31" x14ac:dyDescent="0.3">
      <c r="A573">
        <v>1</v>
      </c>
      <c r="B573">
        <v>4921253</v>
      </c>
      <c r="C573" t="s">
        <v>220</v>
      </c>
      <c r="D573">
        <v>1125734</v>
      </c>
      <c r="E573" t="s">
        <v>532</v>
      </c>
      <c r="F573" t="s">
        <v>18</v>
      </c>
      <c r="G573" t="s">
        <v>3013</v>
      </c>
      <c r="H573" t="s">
        <v>3014</v>
      </c>
      <c r="I573" s="9" t="s">
        <v>3316</v>
      </c>
      <c r="J573" s="9">
        <v>51157701824</v>
      </c>
      <c r="K573" s="14" t="s">
        <v>3488</v>
      </c>
      <c r="L573" s="13" t="s">
        <v>3582</v>
      </c>
      <c r="M573" s="14">
        <v>16000</v>
      </c>
      <c r="N573" s="14">
        <v>3.7499999999999999E-2</v>
      </c>
      <c r="O573" s="10">
        <f t="shared" si="68"/>
        <v>600</v>
      </c>
      <c r="P573" s="11">
        <v>0</v>
      </c>
      <c r="Q573" s="11">
        <v>0</v>
      </c>
      <c r="R573" s="10">
        <f>IF(COUNTIF($J$2:J573,J573)=1,SUMIFS($O:$O,$J:$J,J573)+SUMIFS($P:$P,$J:$J,J573)+SUMIFS($Q:$Q,$J:$J,J573),"")</f>
        <v>600</v>
      </c>
      <c r="S573" s="10">
        <v>1757.5</v>
      </c>
      <c r="T573" s="11" t="str">
        <f t="shared" si="72"/>
        <v>Check</v>
      </c>
      <c r="U573" s="12">
        <v>46133</v>
      </c>
      <c r="V573" s="10">
        <v>132.5</v>
      </c>
      <c r="W573" s="10" t="str">
        <f t="shared" si="69"/>
        <v>Short Paid</v>
      </c>
      <c r="X573" t="s">
        <v>470</v>
      </c>
      <c r="Y573" t="s">
        <v>28</v>
      </c>
      <c r="Z573">
        <v>100208</v>
      </c>
      <c r="AA573" t="s">
        <v>3098</v>
      </c>
      <c r="AB573" t="s">
        <v>523</v>
      </c>
      <c r="AC573" s="9">
        <f t="shared" si="70"/>
        <v>1</v>
      </c>
      <c r="AD573" s="9" t="str">
        <f t="shared" si="71"/>
        <v>Check</v>
      </c>
      <c r="AE573" s="11">
        <f t="shared" si="77"/>
        <v>-1157.5</v>
      </c>
    </row>
    <row r="574" spans="1:31" x14ac:dyDescent="0.3">
      <c r="A574">
        <v>1</v>
      </c>
      <c r="B574">
        <v>4923201</v>
      </c>
      <c r="C574" t="s">
        <v>220</v>
      </c>
      <c r="D574">
        <v>1196260</v>
      </c>
      <c r="E574" t="s">
        <v>743</v>
      </c>
      <c r="F574" t="s">
        <v>24</v>
      </c>
      <c r="G574" t="s">
        <v>3015</v>
      </c>
      <c r="H574" t="s">
        <v>3016</v>
      </c>
      <c r="I574" s="9" t="s">
        <v>3221</v>
      </c>
      <c r="J574" s="9">
        <v>50117402497</v>
      </c>
      <c r="K574" s="14" t="s">
        <v>3223</v>
      </c>
      <c r="L574" s="13" t="s">
        <v>3222</v>
      </c>
      <c r="M574" s="14">
        <v>40000</v>
      </c>
      <c r="N574" s="14">
        <v>0.1</v>
      </c>
      <c r="O574" s="10">
        <f t="shared" si="68"/>
        <v>4000</v>
      </c>
      <c r="P574" s="11">
        <v>399.84</v>
      </c>
      <c r="Q574" s="11">
        <v>1712</v>
      </c>
      <c r="R574" s="10">
        <f>IF(COUNTIF($J$2:J574,J574)=1,SUMIFS($O:$O,$J:$J,J574)+SUMIFS($P:$P,$J:$J,J574)+SUMIFS($Q:$Q,$J:$J,J574),"")</f>
        <v>6111.84</v>
      </c>
      <c r="S574" s="10">
        <v>6111.84</v>
      </c>
      <c r="T574" s="11" t="str">
        <f t="shared" si="72"/>
        <v>Ok</v>
      </c>
      <c r="U574" s="12">
        <v>46057</v>
      </c>
      <c r="V574" s="10">
        <v>2111.84</v>
      </c>
      <c r="W574" s="10" t="str">
        <f t="shared" si="69"/>
        <v>Short Paid</v>
      </c>
      <c r="X574" t="s">
        <v>478</v>
      </c>
      <c r="Y574" t="s">
        <v>40</v>
      </c>
      <c r="Z574">
        <v>100182</v>
      </c>
      <c r="AA574" t="s">
        <v>3161</v>
      </c>
      <c r="AB574" t="s">
        <v>522</v>
      </c>
      <c r="AC574" s="9">
        <f t="shared" si="70"/>
        <v>1</v>
      </c>
      <c r="AD574" s="9" t="str">
        <f t="shared" si="71"/>
        <v>Ok</v>
      </c>
      <c r="AE574" s="11">
        <f t="shared" si="77"/>
        <v>0</v>
      </c>
    </row>
    <row r="575" spans="1:31" x14ac:dyDescent="0.3">
      <c r="A575">
        <v>0</v>
      </c>
      <c r="B575">
        <v>4926262</v>
      </c>
      <c r="C575" t="s">
        <v>160</v>
      </c>
      <c r="D575">
        <v>1135370</v>
      </c>
      <c r="E575" t="s">
        <v>744</v>
      </c>
      <c r="F575" t="s">
        <v>22</v>
      </c>
      <c r="G575" t="s">
        <v>242</v>
      </c>
      <c r="H575" t="s">
        <v>243</v>
      </c>
      <c r="I575" s="9" t="s">
        <v>3419</v>
      </c>
      <c r="J575" s="9">
        <v>51159735446</v>
      </c>
      <c r="K575" s="14" t="s">
        <v>3165</v>
      </c>
      <c r="L575" s="13" t="s">
        <v>4988</v>
      </c>
      <c r="M575" s="14">
        <v>200</v>
      </c>
      <c r="N575" s="14">
        <v>81.93</v>
      </c>
      <c r="O575" s="10">
        <f t="shared" si="68"/>
        <v>16386</v>
      </c>
      <c r="P575" s="11">
        <v>0</v>
      </c>
      <c r="Q575" s="11">
        <v>34.14</v>
      </c>
      <c r="R575" s="10">
        <f>IF(COUNTIF($J$2:J575,J575)=1,SUMIFS($O:$O,$J:$J,J575)+SUMIFS($P:$P,$J:$J,J575)+SUMIFS($Q:$Q,$J:$J,J575),"")</f>
        <v>16420.14</v>
      </c>
      <c r="S575">
        <v>25382.190000000002</v>
      </c>
      <c r="T575" s="11" t="str">
        <f t="shared" si="72"/>
        <v>Check</v>
      </c>
      <c r="U575" s="12">
        <v>46122</v>
      </c>
      <c r="V575" s="10">
        <v>393.54</v>
      </c>
      <c r="W575" s="10" t="str">
        <f t="shared" si="69"/>
        <v>Short Paid</v>
      </c>
      <c r="X575" t="s">
        <v>453</v>
      </c>
      <c r="Y575" t="s">
        <v>28</v>
      </c>
      <c r="Z575">
        <v>100164</v>
      </c>
      <c r="AA575" t="s">
        <v>490</v>
      </c>
      <c r="AB575" t="s">
        <v>3035</v>
      </c>
      <c r="AC575" s="9">
        <f t="shared" si="70"/>
        <v>1</v>
      </c>
      <c r="AD575" s="9" t="str">
        <f t="shared" si="71"/>
        <v>Check</v>
      </c>
      <c r="AE575" s="11">
        <f t="shared" ref="AE575:AE582" si="78">R575-S575</f>
        <v>-8962.0500000000029</v>
      </c>
    </row>
    <row r="576" spans="1:31" x14ac:dyDescent="0.3">
      <c r="A576">
        <v>0</v>
      </c>
      <c r="B576">
        <v>4930714</v>
      </c>
      <c r="C576" t="s">
        <v>38</v>
      </c>
      <c r="D576">
        <v>1080749</v>
      </c>
      <c r="E576" t="s">
        <v>683</v>
      </c>
      <c r="F576" t="s">
        <v>24</v>
      </c>
      <c r="G576" t="s">
        <v>3020</v>
      </c>
      <c r="H576" t="s">
        <v>3021</v>
      </c>
      <c r="I576" s="9" t="s">
        <v>3543</v>
      </c>
      <c r="J576" s="9">
        <v>51154159530</v>
      </c>
      <c r="K576" s="14" t="s">
        <v>3379</v>
      </c>
      <c r="L576" s="13" t="s">
        <v>3461</v>
      </c>
      <c r="M576" s="14">
        <v>60000</v>
      </c>
      <c r="N576" s="14">
        <v>2.7E-2</v>
      </c>
      <c r="O576" s="10">
        <f t="shared" si="68"/>
        <v>1620</v>
      </c>
      <c r="P576" s="11">
        <v>0</v>
      </c>
      <c r="Q576" s="11">
        <v>0</v>
      </c>
      <c r="R576" s="10">
        <f>IF(COUNTIF($J$2:J576,J576)=1,SUMIFS($O:$O,$J:$J,J576)+SUMIFS($P:$P,$J:$J,J576)+SUMIFS($Q:$Q,$J:$J,J576),"")</f>
        <v>1620</v>
      </c>
      <c r="S576" s="10">
        <v>160772.4</v>
      </c>
      <c r="T576" s="11" t="str">
        <f t="shared" si="72"/>
        <v>Check</v>
      </c>
      <c r="U576" s="12">
        <v>46111</v>
      </c>
      <c r="V576" s="10">
        <v>9500</v>
      </c>
      <c r="W576" s="10" t="str">
        <f t="shared" si="69"/>
        <v>Short Paid</v>
      </c>
      <c r="X576" t="s">
        <v>476</v>
      </c>
      <c r="Y576" t="s">
        <v>40</v>
      </c>
      <c r="Z576">
        <v>100225</v>
      </c>
      <c r="AA576" t="s">
        <v>3160</v>
      </c>
      <c r="AB576" t="s">
        <v>522</v>
      </c>
      <c r="AC576" s="9">
        <f t="shared" si="70"/>
        <v>1</v>
      </c>
      <c r="AD576" s="9" t="str">
        <f t="shared" si="71"/>
        <v>Check</v>
      </c>
      <c r="AE576" s="11">
        <f t="shared" si="78"/>
        <v>-159152.4</v>
      </c>
    </row>
    <row r="577" spans="1:31" x14ac:dyDescent="0.3">
      <c r="A577">
        <v>0</v>
      </c>
      <c r="B577">
        <v>4982753</v>
      </c>
      <c r="C577" t="s">
        <v>217</v>
      </c>
      <c r="D577">
        <v>1206689</v>
      </c>
      <c r="E577" t="s">
        <v>533</v>
      </c>
      <c r="F577" t="s">
        <v>18</v>
      </c>
      <c r="G577" t="s">
        <v>3023</v>
      </c>
      <c r="H577" t="s">
        <v>3024</v>
      </c>
      <c r="I577" s="9" t="s">
        <v>3236</v>
      </c>
      <c r="J577" s="9">
        <v>50117741863</v>
      </c>
      <c r="K577" s="14" t="s">
        <v>3238</v>
      </c>
      <c r="L577" s="13" t="s">
        <v>3237</v>
      </c>
      <c r="M577" s="14">
        <v>2000</v>
      </c>
      <c r="N577" s="14">
        <v>1.93</v>
      </c>
      <c r="O577" s="10">
        <f t="shared" si="68"/>
        <v>3860</v>
      </c>
      <c r="P577" s="11">
        <v>0</v>
      </c>
      <c r="Q577" s="11">
        <v>551.98</v>
      </c>
      <c r="R577" s="10">
        <f>IF(COUNTIF($J$2:J577,J577)=1,SUMIFS($O:$O,$J:$J,J577)+SUMIFS($P:$P,$J:$J,J577)+SUMIFS($Q:$Q,$J:$J,J577),"")</f>
        <v>4411.9799999999996</v>
      </c>
      <c r="S577" s="10">
        <v>4411.9799999999996</v>
      </c>
      <c r="T577" s="11" t="str">
        <f t="shared" si="72"/>
        <v>Ok</v>
      </c>
      <c r="U577" s="12">
        <v>46078</v>
      </c>
      <c r="V577" s="10">
        <v>4411.9799999999996</v>
      </c>
      <c r="W577" s="10" t="str">
        <f t="shared" si="69"/>
        <v>Not Paid</v>
      </c>
      <c r="X577" t="s">
        <v>450</v>
      </c>
      <c r="Y577" t="s">
        <v>28</v>
      </c>
      <c r="Z577">
        <v>100237</v>
      </c>
      <c r="AA577" t="s">
        <v>3094</v>
      </c>
      <c r="AB577" t="s">
        <v>523</v>
      </c>
      <c r="AC577" s="9">
        <f t="shared" si="70"/>
        <v>1</v>
      </c>
      <c r="AD577" s="9" t="str">
        <f t="shared" si="71"/>
        <v>Ok</v>
      </c>
      <c r="AE577" s="11">
        <f t="shared" si="78"/>
        <v>0</v>
      </c>
    </row>
    <row r="578" spans="1:31" x14ac:dyDescent="0.3">
      <c r="A578">
        <v>0</v>
      </c>
      <c r="B578">
        <v>4983588</v>
      </c>
      <c r="C578" t="s">
        <v>167</v>
      </c>
      <c r="D578">
        <v>1246361</v>
      </c>
      <c r="E578" t="s">
        <v>623</v>
      </c>
      <c r="F578" t="s">
        <v>49</v>
      </c>
      <c r="G578" t="s">
        <v>3025</v>
      </c>
      <c r="H578" t="s">
        <v>3026</v>
      </c>
      <c r="I578" s="9" t="s">
        <v>3419</v>
      </c>
      <c r="J578" s="9">
        <v>54206295180</v>
      </c>
      <c r="K578" s="14" t="s">
        <v>3165</v>
      </c>
      <c r="L578" s="13" t="s">
        <v>3793</v>
      </c>
      <c r="M578" s="14">
        <v>1</v>
      </c>
      <c r="N578" s="14">
        <v>25200</v>
      </c>
      <c r="O578" s="10">
        <f t="shared" ref="O578:O641" si="79">M578*N578</f>
        <v>25200</v>
      </c>
      <c r="P578" s="11">
        <v>1575</v>
      </c>
      <c r="Q578" s="11">
        <v>0</v>
      </c>
      <c r="R578" s="10">
        <f>IF(COUNTIF($J$2:J578,J578)=1,SUMIFS($O:$O,$J:$J,J578)+SUMIFS($P:$P,$J:$J,J578)+SUMIFS($Q:$Q,$J:$J,J578),"")</f>
        <v>26775</v>
      </c>
      <c r="S578" s="10">
        <v>26775</v>
      </c>
      <c r="T578" s="11" t="str">
        <f t="shared" si="72"/>
        <v>Ok</v>
      </c>
      <c r="U578" s="12">
        <v>46127</v>
      </c>
      <c r="V578" s="10">
        <v>1575</v>
      </c>
      <c r="W578" s="10" t="str">
        <f t="shared" ref="W578:W641" si="80">IF(OR(S578="",V578=""),"N/A",IF(S578&lt;&gt;V578,"Short Paid","Not Paid"))</f>
        <v>Short Paid</v>
      </c>
      <c r="X578" t="s">
        <v>455</v>
      </c>
      <c r="Y578" t="s">
        <v>29</v>
      </c>
      <c r="Z578">
        <v>100290</v>
      </c>
      <c r="AA578" t="s">
        <v>3136</v>
      </c>
      <c r="AB578" t="s">
        <v>3041</v>
      </c>
      <c r="AC578" s="9">
        <f t="shared" ref="AC578:AC584" si="81">COUNTIF(J:J,J578)</f>
        <v>1</v>
      </c>
      <c r="AD578" s="9" t="str">
        <f t="shared" ref="AD578:AD641" si="82">IF(AND(R578="",S578=""),"N/A",IF(R578=S578,"Ok","Check"))</f>
        <v>Ok</v>
      </c>
      <c r="AE578" s="11">
        <f t="shared" si="78"/>
        <v>0</v>
      </c>
    </row>
    <row r="579" spans="1:31" x14ac:dyDescent="0.3">
      <c r="A579">
        <v>0</v>
      </c>
      <c r="B579">
        <v>4982197</v>
      </c>
      <c r="C579" t="s">
        <v>160</v>
      </c>
      <c r="D579">
        <v>1422097</v>
      </c>
      <c r="E579" t="s">
        <v>388</v>
      </c>
      <c r="F579" t="s">
        <v>18</v>
      </c>
      <c r="G579" t="s">
        <v>3028</v>
      </c>
      <c r="H579" t="s">
        <v>3029</v>
      </c>
      <c r="I579" s="9" t="s">
        <v>3496</v>
      </c>
      <c r="J579" s="9">
        <v>51161336085</v>
      </c>
      <c r="K579" s="14" t="s">
        <v>3650</v>
      </c>
      <c r="L579" s="13" t="s">
        <v>3655</v>
      </c>
      <c r="M579" s="14">
        <v>190</v>
      </c>
      <c r="N579" s="14">
        <v>15.26</v>
      </c>
      <c r="O579" s="10">
        <f t="shared" si="79"/>
        <v>2899.4</v>
      </c>
      <c r="P579" s="11">
        <v>0</v>
      </c>
      <c r="Q579" s="11">
        <v>0</v>
      </c>
      <c r="R579" s="10">
        <f>IF(COUNTIF($J$2:J579,J579)=1,SUMIFS($O:$O,$J:$J,J579)+SUMIFS($P:$P,$J:$J,J579)+SUMIFS($Q:$Q,$J:$J,J579),"")</f>
        <v>2899.4</v>
      </c>
      <c r="S579" s="10">
        <v>2899.4</v>
      </c>
      <c r="T579" s="11" t="str">
        <f t="shared" ref="T579:T642" si="83">IFERROR(INDEX(AD:AD,MATCH(J579,J:J,0)),"")</f>
        <v>Ok</v>
      </c>
      <c r="U579" s="12">
        <v>46150</v>
      </c>
      <c r="V579" s="10">
        <v>513</v>
      </c>
      <c r="W579" s="10" t="str">
        <f t="shared" si="80"/>
        <v>Short Paid</v>
      </c>
      <c r="X579" t="s">
        <v>453</v>
      </c>
      <c r="Y579" t="s">
        <v>28</v>
      </c>
      <c r="Z579">
        <v>100194</v>
      </c>
      <c r="AA579" t="s">
        <v>487</v>
      </c>
      <c r="AB579" t="s">
        <v>523</v>
      </c>
      <c r="AC579" s="9">
        <f t="shared" si="81"/>
        <v>1</v>
      </c>
      <c r="AD579" s="9" t="str">
        <f t="shared" si="82"/>
        <v>Ok</v>
      </c>
      <c r="AE579" s="11">
        <f t="shared" si="78"/>
        <v>0</v>
      </c>
    </row>
    <row r="580" spans="1:31" x14ac:dyDescent="0.3">
      <c r="A580">
        <v>0</v>
      </c>
      <c r="B580">
        <v>4983032</v>
      </c>
      <c r="C580" t="s">
        <v>220</v>
      </c>
      <c r="D580">
        <v>1117216</v>
      </c>
      <c r="E580" t="s">
        <v>379</v>
      </c>
      <c r="F580" t="s">
        <v>24</v>
      </c>
      <c r="G580" t="s">
        <v>280</v>
      </c>
      <c r="H580" t="s">
        <v>281</v>
      </c>
      <c r="I580" s="9" t="s">
        <v>3309</v>
      </c>
      <c r="J580" s="9">
        <v>54206295182</v>
      </c>
      <c r="K580" s="14" t="s">
        <v>3165</v>
      </c>
      <c r="L580" s="13" t="s">
        <v>4969</v>
      </c>
      <c r="M580" s="14">
        <v>6</v>
      </c>
      <c r="N580" s="14">
        <v>197.80000000000004</v>
      </c>
      <c r="O580" s="10">
        <f t="shared" si="79"/>
        <v>1186.8000000000002</v>
      </c>
      <c r="P580" s="11">
        <v>0</v>
      </c>
      <c r="Q580" s="11">
        <v>285.86</v>
      </c>
      <c r="R580" s="10">
        <f>IF(COUNTIF($J$2:J580,J580)=1,SUMIFS($O:$O,$J:$J,J580)+SUMIFS($P:$P,$J:$J,J580)+SUMIFS($Q:$Q,$J:$J,J580),"")</f>
        <v>1472.6600000000003</v>
      </c>
      <c r="S580">
        <v>2865.66</v>
      </c>
      <c r="T580" s="11" t="str">
        <f t="shared" si="83"/>
        <v>Check</v>
      </c>
      <c r="U580" s="12">
        <v>46161</v>
      </c>
      <c r="V580" s="10">
        <v>592.91999999999996</v>
      </c>
      <c r="W580" s="10" t="str">
        <f t="shared" si="80"/>
        <v>Short Paid</v>
      </c>
      <c r="X580" t="s">
        <v>470</v>
      </c>
      <c r="Y580" t="s">
        <v>40</v>
      </c>
      <c r="Z580">
        <v>100228</v>
      </c>
      <c r="AA580" t="s">
        <v>496</v>
      </c>
      <c r="AB580" t="s">
        <v>522</v>
      </c>
      <c r="AC580" s="9">
        <f t="shared" si="81"/>
        <v>1</v>
      </c>
      <c r="AD580" s="9" t="str">
        <f t="shared" si="82"/>
        <v>Check</v>
      </c>
      <c r="AE580" s="11">
        <f t="shared" si="78"/>
        <v>-1392.9999999999995</v>
      </c>
    </row>
    <row r="581" spans="1:31" x14ac:dyDescent="0.3">
      <c r="A581">
        <v>6</v>
      </c>
      <c r="B581">
        <v>4933775</v>
      </c>
      <c r="C581" t="s">
        <v>160</v>
      </c>
      <c r="D581">
        <v>1648570</v>
      </c>
      <c r="E581" t="s">
        <v>208</v>
      </c>
      <c r="F581" t="s">
        <v>18</v>
      </c>
      <c r="G581" t="s">
        <v>227</v>
      </c>
      <c r="H581" t="s">
        <v>228</v>
      </c>
      <c r="I581" s="9" t="s">
        <v>3347</v>
      </c>
      <c r="J581" s="9">
        <v>51156356529</v>
      </c>
      <c r="K581" s="14" t="s">
        <v>3165</v>
      </c>
      <c r="L581" s="13" t="s">
        <v>4928</v>
      </c>
      <c r="M581" s="14">
        <v>6462</v>
      </c>
      <c r="N581" s="14">
        <v>2.7822399999999998</v>
      </c>
      <c r="O581" s="10">
        <f t="shared" si="79"/>
        <v>17978.834879999999</v>
      </c>
      <c r="P581" s="11">
        <v>0</v>
      </c>
      <c r="Q581" s="11">
        <v>0</v>
      </c>
      <c r="R581" s="10">
        <f>IF(COUNTIF($J$2:J581,J581)=1,SUMIFS($O:$O,$J:$J,J581)+SUMIFS($P:$P,$J:$J,J581)+SUMIFS($Q:$Q,$J:$J,J581),"")</f>
        <v>17978.834879999999</v>
      </c>
      <c r="S581">
        <v>20962.72</v>
      </c>
      <c r="T581" s="11" t="str">
        <f t="shared" si="83"/>
        <v>Check</v>
      </c>
      <c r="U581" s="12">
        <v>46108</v>
      </c>
      <c r="V581" s="10">
        <v>381.78</v>
      </c>
      <c r="W581" s="10" t="str">
        <f t="shared" si="80"/>
        <v>Short Paid</v>
      </c>
      <c r="X581" t="s">
        <v>453</v>
      </c>
      <c r="Y581" t="s">
        <v>28</v>
      </c>
      <c r="Z581">
        <v>100114</v>
      </c>
      <c r="AA581" t="s">
        <v>498</v>
      </c>
      <c r="AB581" t="s">
        <v>523</v>
      </c>
      <c r="AC581" s="9">
        <f t="shared" si="81"/>
        <v>1</v>
      </c>
      <c r="AD581" s="9" t="str">
        <f t="shared" si="82"/>
        <v>Check</v>
      </c>
      <c r="AE581" s="11">
        <f t="shared" si="78"/>
        <v>-2983.8851200000026</v>
      </c>
    </row>
    <row r="582" spans="1:31" x14ac:dyDescent="0.3">
      <c r="A582">
        <v>2</v>
      </c>
      <c r="B582">
        <v>4961882</v>
      </c>
      <c r="C582" t="s">
        <v>160</v>
      </c>
      <c r="D582">
        <v>1648570</v>
      </c>
      <c r="E582" t="s">
        <v>208</v>
      </c>
      <c r="F582" t="s">
        <v>18</v>
      </c>
      <c r="G582" t="s">
        <v>283</v>
      </c>
      <c r="H582" t="s">
        <v>284</v>
      </c>
      <c r="I582" s="9" t="s">
        <v>3326</v>
      </c>
      <c r="J582" s="9">
        <v>51162069918</v>
      </c>
      <c r="K582" s="14" t="s">
        <v>3165</v>
      </c>
      <c r="L582" s="13" t="s">
        <v>4996</v>
      </c>
      <c r="M582" s="14">
        <v>1587</v>
      </c>
      <c r="N582" s="14">
        <v>0.8</v>
      </c>
      <c r="O582" s="10">
        <f t="shared" si="79"/>
        <v>1269.6000000000001</v>
      </c>
      <c r="P582" s="11">
        <v>0</v>
      </c>
      <c r="Q582" s="11">
        <v>0</v>
      </c>
      <c r="R582" s="10">
        <f>IF(COUNTIF($J$2:J582,J582)=1,SUMIFS($O:$O,$J:$J,J582)+SUMIFS($P:$P,$J:$J,J582)+SUMIFS($Q:$Q,$J:$J,J582),"")</f>
        <v>1269.6000000000001</v>
      </c>
      <c r="S582">
        <v>4821.8500000000004</v>
      </c>
      <c r="T582" s="11" t="str">
        <f t="shared" si="83"/>
        <v>Check</v>
      </c>
      <c r="U582" s="12">
        <v>46140</v>
      </c>
      <c r="V582" s="10">
        <v>454.5</v>
      </c>
      <c r="W582" s="10" t="str">
        <f t="shared" si="80"/>
        <v>Short Paid</v>
      </c>
      <c r="X582" t="s">
        <v>453</v>
      </c>
      <c r="Y582" t="s">
        <v>28</v>
      </c>
      <c r="Z582">
        <v>100124</v>
      </c>
      <c r="AA582" t="s">
        <v>486</v>
      </c>
      <c r="AB582" t="s">
        <v>523</v>
      </c>
      <c r="AC582" s="9">
        <f t="shared" si="81"/>
        <v>1</v>
      </c>
      <c r="AD582" s="9" t="str">
        <f t="shared" si="82"/>
        <v>Check</v>
      </c>
      <c r="AE582" s="11">
        <f t="shared" si="78"/>
        <v>-3552.25</v>
      </c>
    </row>
    <row r="583" spans="1:31" x14ac:dyDescent="0.3">
      <c r="A583">
        <v>7</v>
      </c>
      <c r="B583">
        <v>4925983</v>
      </c>
      <c r="C583" t="s">
        <v>160</v>
      </c>
      <c r="D583">
        <v>1166379</v>
      </c>
      <c r="E583" t="s">
        <v>750</v>
      </c>
      <c r="F583" t="s">
        <v>20</v>
      </c>
      <c r="G583" t="s">
        <v>3033</v>
      </c>
      <c r="H583" t="s">
        <v>253</v>
      </c>
      <c r="I583" s="9" t="s">
        <v>3188</v>
      </c>
      <c r="J583" s="9">
        <v>51156911757</v>
      </c>
      <c r="K583" s="14" t="s">
        <v>3165</v>
      </c>
      <c r="L583" s="13" t="s">
        <v>4931</v>
      </c>
      <c r="M583" s="14">
        <v>940</v>
      </c>
      <c r="N583" s="14">
        <v>0.5</v>
      </c>
      <c r="O583" s="10">
        <f t="shared" si="79"/>
        <v>470</v>
      </c>
      <c r="P583" s="11">
        <v>0</v>
      </c>
      <c r="Q583" s="11">
        <v>0</v>
      </c>
      <c r="R583" s="10">
        <f>IF(COUNTIF($J$2:J583,J583)=1,SUMIFS($O:$O,$J:$J,J583)+SUMIFS($P:$P,$J:$J,J583)+SUMIFS($Q:$Q,$J:$J,J583),"")</f>
        <v>470</v>
      </c>
      <c r="S583">
        <v>1948</v>
      </c>
      <c r="T583" s="11" t="str">
        <f t="shared" si="83"/>
        <v>Check</v>
      </c>
      <c r="U583" s="12">
        <v>46136</v>
      </c>
      <c r="V583" s="10">
        <v>1478</v>
      </c>
      <c r="W583" s="10" t="str">
        <f t="shared" si="80"/>
        <v>Short Paid</v>
      </c>
      <c r="X583" t="s">
        <v>438</v>
      </c>
      <c r="Y583" t="s">
        <v>28</v>
      </c>
      <c r="Z583">
        <v>100153</v>
      </c>
      <c r="AA583" t="s">
        <v>445</v>
      </c>
      <c r="AB583" t="s">
        <v>521</v>
      </c>
      <c r="AC583" s="9">
        <f t="shared" si="81"/>
        <v>1</v>
      </c>
      <c r="AD583" s="9" t="str">
        <f t="shared" si="82"/>
        <v>Check</v>
      </c>
      <c r="AE583" s="11">
        <f t="shared" ref="AE583:AE646" si="84">R583-S583</f>
        <v>-1478</v>
      </c>
    </row>
    <row r="584" spans="1:31" x14ac:dyDescent="0.3">
      <c r="A584">
        <v>6</v>
      </c>
      <c r="B584">
        <v>4935723</v>
      </c>
      <c r="C584" t="s">
        <v>160</v>
      </c>
      <c r="D584">
        <v>1640970</v>
      </c>
      <c r="E584" t="s">
        <v>751</v>
      </c>
      <c r="F584" t="s">
        <v>24</v>
      </c>
      <c r="G584" t="s">
        <v>254</v>
      </c>
      <c r="H584" t="s">
        <v>255</v>
      </c>
      <c r="I584" s="9" t="s">
        <v>3309</v>
      </c>
      <c r="J584" s="9">
        <v>51156241432</v>
      </c>
      <c r="K584" s="14" t="s">
        <v>3165</v>
      </c>
      <c r="L584" s="13" t="s">
        <v>4931</v>
      </c>
      <c r="M584" s="14">
        <v>800</v>
      </c>
      <c r="N584" s="14">
        <v>0.5</v>
      </c>
      <c r="O584" s="10">
        <f t="shared" si="79"/>
        <v>400</v>
      </c>
      <c r="P584" s="11">
        <v>0</v>
      </c>
      <c r="Q584" s="11">
        <v>163.74</v>
      </c>
      <c r="R584" s="10">
        <f>IF(COUNTIF($J$2:J584,J584)=1,SUMIFS($O:$O,$J:$J,J584)+SUMIFS($P:$P,$J:$J,J584)+SUMIFS($Q:$Q,$J:$J,J584),"")</f>
        <v>563.74</v>
      </c>
      <c r="S584">
        <v>1270.2</v>
      </c>
      <c r="T584" s="11" t="str">
        <f t="shared" si="83"/>
        <v>Check</v>
      </c>
      <c r="U584" s="12">
        <v>46160</v>
      </c>
      <c r="V584" s="10">
        <v>600</v>
      </c>
      <c r="W584" s="10" t="str">
        <f t="shared" si="80"/>
        <v>Short Paid</v>
      </c>
      <c r="X584" t="s">
        <v>450</v>
      </c>
      <c r="Y584" t="s">
        <v>40</v>
      </c>
      <c r="Z584">
        <v>100227</v>
      </c>
      <c r="AA584" t="s">
        <v>3139</v>
      </c>
      <c r="AB584" t="s">
        <v>522</v>
      </c>
      <c r="AC584" s="9">
        <f t="shared" si="81"/>
        <v>1</v>
      </c>
      <c r="AD584" s="9" t="str">
        <f t="shared" si="82"/>
        <v>Check</v>
      </c>
      <c r="AE584" s="11">
        <f t="shared" si="84"/>
        <v>-706.46</v>
      </c>
    </row>
    <row r="585" spans="1:31" x14ac:dyDescent="0.3">
      <c r="A585">
        <v>93</v>
      </c>
      <c r="B585">
        <v>4564213</v>
      </c>
      <c r="C585" t="s">
        <v>160</v>
      </c>
      <c r="D585">
        <v>1262308</v>
      </c>
      <c r="E585" t="s">
        <v>611</v>
      </c>
      <c r="F585" t="s">
        <v>20</v>
      </c>
      <c r="G585" t="s">
        <v>58</v>
      </c>
      <c r="H585" t="s">
        <v>59</v>
      </c>
      <c r="I585" t="s">
        <v>3349</v>
      </c>
      <c r="J585">
        <v>51108086197</v>
      </c>
      <c r="K585" t="s">
        <v>3165</v>
      </c>
      <c r="L585" t="s">
        <v>4921</v>
      </c>
      <c r="M585">
        <v>4000</v>
      </c>
      <c r="N585">
        <v>0.4</v>
      </c>
      <c r="O585" s="10">
        <f t="shared" si="79"/>
        <v>1600</v>
      </c>
      <c r="P585">
        <v>0</v>
      </c>
      <c r="Q585">
        <v>0</v>
      </c>
      <c r="R585">
        <v>2797</v>
      </c>
      <c r="S585">
        <v>2799.6</v>
      </c>
      <c r="T585" s="11" t="str">
        <f t="shared" si="83"/>
        <v>Check</v>
      </c>
      <c r="U585" s="12">
        <v>46098</v>
      </c>
      <c r="V585" s="10">
        <v>197.75</v>
      </c>
      <c r="W585" s="10" t="str">
        <f t="shared" si="80"/>
        <v>Short Paid</v>
      </c>
      <c r="X585" t="s">
        <v>453</v>
      </c>
      <c r="Y585" t="s">
        <v>28</v>
      </c>
      <c r="Z585">
        <v>100154</v>
      </c>
      <c r="AA585" t="s">
        <v>480</v>
      </c>
      <c r="AB585" t="s">
        <v>521</v>
      </c>
      <c r="AC585">
        <v>2</v>
      </c>
      <c r="AD585" s="9" t="str">
        <f t="shared" si="82"/>
        <v>Check</v>
      </c>
      <c r="AE585" s="11">
        <f t="shared" si="84"/>
        <v>-2.5999999999999091</v>
      </c>
    </row>
    <row r="586" spans="1:31" x14ac:dyDescent="0.3">
      <c r="A586">
        <v>93</v>
      </c>
      <c r="B586">
        <v>4564213</v>
      </c>
      <c r="C586" t="s">
        <v>160</v>
      </c>
      <c r="D586">
        <v>1262308</v>
      </c>
      <c r="E586" t="s">
        <v>611</v>
      </c>
      <c r="F586" t="s">
        <v>20</v>
      </c>
      <c r="G586" t="s">
        <v>58</v>
      </c>
      <c r="H586" t="s">
        <v>59</v>
      </c>
      <c r="I586" t="s">
        <v>3342</v>
      </c>
      <c r="J586">
        <v>51108086197</v>
      </c>
      <c r="K586" t="s">
        <v>3165</v>
      </c>
      <c r="L586" t="s">
        <v>4925</v>
      </c>
      <c r="M586">
        <v>7</v>
      </c>
      <c r="N586">
        <v>171</v>
      </c>
      <c r="O586" s="10">
        <f t="shared" si="79"/>
        <v>1197</v>
      </c>
      <c r="P586" t="s">
        <v>5006</v>
      </c>
      <c r="Q586" t="s">
        <v>5006</v>
      </c>
      <c r="R586" t="s">
        <v>5006</v>
      </c>
      <c r="S586" t="s">
        <v>5006</v>
      </c>
      <c r="T586" s="11" t="str">
        <f t="shared" si="83"/>
        <v>Check</v>
      </c>
      <c r="U586" s="12">
        <v>46098</v>
      </c>
      <c r="V586" s="10">
        <v>197.75</v>
      </c>
      <c r="W586" s="10" t="str">
        <f t="shared" si="80"/>
        <v>N/A</v>
      </c>
      <c r="X586" t="s">
        <v>453</v>
      </c>
      <c r="Y586" t="s">
        <v>28</v>
      </c>
      <c r="Z586">
        <v>100154</v>
      </c>
      <c r="AA586" t="s">
        <v>480</v>
      </c>
      <c r="AB586" t="s">
        <v>521</v>
      </c>
      <c r="AC586">
        <v>2</v>
      </c>
      <c r="AD586" s="9" t="str">
        <f t="shared" si="82"/>
        <v>N/A</v>
      </c>
      <c r="AE586" s="11" t="e">
        <f t="shared" si="84"/>
        <v>#VALUE!</v>
      </c>
    </row>
    <row r="587" spans="1:31" x14ac:dyDescent="0.3">
      <c r="A587">
        <v>85</v>
      </c>
      <c r="B587">
        <v>4607904</v>
      </c>
      <c r="C587" t="s">
        <v>38</v>
      </c>
      <c r="D587">
        <v>1963277</v>
      </c>
      <c r="E587" t="s">
        <v>250</v>
      </c>
      <c r="F587" t="s">
        <v>18</v>
      </c>
      <c r="G587" t="s">
        <v>86</v>
      </c>
      <c r="H587" t="s">
        <v>87</v>
      </c>
      <c r="I587" t="s">
        <v>3198</v>
      </c>
      <c r="J587">
        <v>51137871300</v>
      </c>
      <c r="K587" t="s">
        <v>3165</v>
      </c>
      <c r="L587" t="s">
        <v>4933</v>
      </c>
      <c r="M587">
        <v>1500</v>
      </c>
      <c r="N587">
        <v>1.1845000000000001</v>
      </c>
      <c r="O587" s="10">
        <f t="shared" si="79"/>
        <v>1776.7500000000002</v>
      </c>
      <c r="P587">
        <v>0</v>
      </c>
      <c r="Q587">
        <v>0</v>
      </c>
      <c r="R587">
        <v>4604.37</v>
      </c>
      <c r="S587">
        <v>4604.37</v>
      </c>
      <c r="T587" s="11" t="str">
        <f t="shared" si="83"/>
        <v>Check</v>
      </c>
      <c r="U587" s="12">
        <v>46015</v>
      </c>
      <c r="V587" s="10">
        <v>1147.44</v>
      </c>
      <c r="W587" s="10" t="str">
        <f t="shared" si="80"/>
        <v>Short Paid</v>
      </c>
      <c r="X587" t="s">
        <v>474</v>
      </c>
      <c r="Y587" t="s">
        <v>28</v>
      </c>
      <c r="Z587">
        <v>100289</v>
      </c>
      <c r="AA587" t="s">
        <v>475</v>
      </c>
      <c r="AB587" t="s">
        <v>523</v>
      </c>
      <c r="AC587">
        <v>2</v>
      </c>
      <c r="AD587" s="9" t="str">
        <f t="shared" si="82"/>
        <v>Ok</v>
      </c>
      <c r="AE587" s="11">
        <f t="shared" si="84"/>
        <v>0</v>
      </c>
    </row>
    <row r="588" spans="1:31" x14ac:dyDescent="0.3">
      <c r="A588">
        <v>85</v>
      </c>
      <c r="B588">
        <v>4607904</v>
      </c>
      <c r="C588" t="s">
        <v>38</v>
      </c>
      <c r="D588">
        <v>1963277</v>
      </c>
      <c r="E588" t="s">
        <v>250</v>
      </c>
      <c r="F588" t="s">
        <v>18</v>
      </c>
      <c r="G588" t="s">
        <v>86</v>
      </c>
      <c r="H588" t="s">
        <v>87</v>
      </c>
      <c r="I588" t="s">
        <v>3485</v>
      </c>
      <c r="J588">
        <v>51137871300</v>
      </c>
      <c r="K588" t="s">
        <v>3165</v>
      </c>
      <c r="L588" t="s">
        <v>4936</v>
      </c>
      <c r="M588">
        <v>4098</v>
      </c>
      <c r="N588">
        <v>0.69</v>
      </c>
      <c r="O588" s="10">
        <f t="shared" si="79"/>
        <v>2827.62</v>
      </c>
      <c r="P588" t="s">
        <v>5006</v>
      </c>
      <c r="Q588" t="s">
        <v>5006</v>
      </c>
      <c r="R588" t="s">
        <v>5006</v>
      </c>
      <c r="S588" t="s">
        <v>5006</v>
      </c>
      <c r="T588" s="11" t="str">
        <f t="shared" si="83"/>
        <v>Check</v>
      </c>
      <c r="U588" s="12">
        <v>46015</v>
      </c>
      <c r="V588" s="10">
        <v>1147.44</v>
      </c>
      <c r="W588" s="10" t="str">
        <f t="shared" si="80"/>
        <v>N/A</v>
      </c>
      <c r="X588" t="s">
        <v>474</v>
      </c>
      <c r="Y588" t="s">
        <v>28</v>
      </c>
      <c r="Z588">
        <v>100289</v>
      </c>
      <c r="AA588" t="s">
        <v>475</v>
      </c>
      <c r="AB588" t="s">
        <v>523</v>
      </c>
      <c r="AC588">
        <v>2</v>
      </c>
      <c r="AD588" s="9" t="str">
        <f t="shared" si="82"/>
        <v>N/A</v>
      </c>
      <c r="AE588" s="11" t="e">
        <f t="shared" si="84"/>
        <v>#VALUE!</v>
      </c>
    </row>
    <row r="589" spans="1:31" x14ac:dyDescent="0.3">
      <c r="A589">
        <v>18</v>
      </c>
      <c r="B589">
        <v>4858917</v>
      </c>
      <c r="C589" t="s">
        <v>240</v>
      </c>
      <c r="D589">
        <v>1267403</v>
      </c>
      <c r="E589" t="s">
        <v>419</v>
      </c>
      <c r="F589" t="s">
        <v>20</v>
      </c>
      <c r="G589" t="s">
        <v>218</v>
      </c>
      <c r="H589" t="s">
        <v>219</v>
      </c>
      <c r="I589" t="s">
        <v>3285</v>
      </c>
      <c r="J589">
        <v>51151418088</v>
      </c>
      <c r="K589" t="s">
        <v>3165</v>
      </c>
      <c r="L589" t="s">
        <v>4959</v>
      </c>
      <c r="M589">
        <v>1</v>
      </c>
      <c r="N589">
        <v>250</v>
      </c>
      <c r="O589" s="10">
        <f t="shared" si="79"/>
        <v>250</v>
      </c>
      <c r="P589">
        <v>0</v>
      </c>
      <c r="Q589">
        <v>566.21</v>
      </c>
      <c r="R589">
        <v>5201.0600999999997</v>
      </c>
      <c r="S589">
        <v>5201.0600000000004</v>
      </c>
      <c r="T589" s="11" t="str">
        <f t="shared" si="83"/>
        <v>Check</v>
      </c>
      <c r="U589" s="12">
        <v>46150</v>
      </c>
      <c r="V589" s="10">
        <v>250</v>
      </c>
      <c r="W589" s="10" t="str">
        <f t="shared" si="80"/>
        <v>Short Paid</v>
      </c>
      <c r="X589" t="s">
        <v>478</v>
      </c>
      <c r="Y589" t="s">
        <v>28</v>
      </c>
      <c r="Z589">
        <v>100122</v>
      </c>
      <c r="AA589" t="s">
        <v>516</v>
      </c>
      <c r="AB589" t="s">
        <v>521</v>
      </c>
      <c r="AC589">
        <v>2</v>
      </c>
      <c r="AD589" s="9" t="str">
        <f t="shared" si="82"/>
        <v>Check</v>
      </c>
      <c r="AE589" s="11">
        <f t="shared" si="84"/>
        <v>9.999999929277692E-5</v>
      </c>
    </row>
    <row r="590" spans="1:31" x14ac:dyDescent="0.3">
      <c r="A590">
        <v>18</v>
      </c>
      <c r="B590">
        <v>4858917</v>
      </c>
      <c r="C590" t="s">
        <v>240</v>
      </c>
      <c r="D590">
        <v>1267403</v>
      </c>
      <c r="E590" t="s">
        <v>419</v>
      </c>
      <c r="F590" t="s">
        <v>20</v>
      </c>
      <c r="G590" t="s">
        <v>218</v>
      </c>
      <c r="H590" t="s">
        <v>219</v>
      </c>
      <c r="I590" t="s">
        <v>3300</v>
      </c>
      <c r="J590">
        <v>51151418088</v>
      </c>
      <c r="K590" t="s">
        <v>3203</v>
      </c>
      <c r="L590" t="s">
        <v>4966</v>
      </c>
      <c r="M590">
        <v>6217</v>
      </c>
      <c r="N590">
        <v>0.70529999999999993</v>
      </c>
      <c r="O590" s="10">
        <f t="shared" si="79"/>
        <v>4384.8500999999997</v>
      </c>
      <c r="P590" t="s">
        <v>5006</v>
      </c>
      <c r="Q590" t="s">
        <v>5006</v>
      </c>
      <c r="R590" t="s">
        <v>5006</v>
      </c>
      <c r="S590" t="s">
        <v>5006</v>
      </c>
      <c r="T590" s="11" t="str">
        <f t="shared" si="83"/>
        <v>Check</v>
      </c>
      <c r="U590" s="12">
        <v>46150</v>
      </c>
      <c r="V590" s="10">
        <v>250</v>
      </c>
      <c r="W590" s="10" t="str">
        <f t="shared" si="80"/>
        <v>N/A</v>
      </c>
      <c r="X590" t="s">
        <v>478</v>
      </c>
      <c r="Y590" t="s">
        <v>28</v>
      </c>
      <c r="Z590">
        <v>100122</v>
      </c>
      <c r="AA590" t="s">
        <v>516</v>
      </c>
      <c r="AB590" t="s">
        <v>521</v>
      </c>
      <c r="AC590">
        <v>2</v>
      </c>
      <c r="AD590" s="9" t="str">
        <f t="shared" si="82"/>
        <v>N/A</v>
      </c>
      <c r="AE590" s="11" t="e">
        <f t="shared" si="84"/>
        <v>#VALUE!</v>
      </c>
    </row>
    <row r="591" spans="1:31" x14ac:dyDescent="0.3">
      <c r="A591">
        <v>2</v>
      </c>
      <c r="B591">
        <v>4970787</v>
      </c>
      <c r="C591" t="s">
        <v>56</v>
      </c>
      <c r="D591">
        <v>1880594</v>
      </c>
      <c r="E591" t="s">
        <v>397</v>
      </c>
      <c r="F591" t="s">
        <v>24</v>
      </c>
      <c r="G591" t="s">
        <v>429</v>
      </c>
      <c r="H591" t="s">
        <v>430</v>
      </c>
      <c r="I591" t="s">
        <v>3381</v>
      </c>
      <c r="J591">
        <v>51158646116</v>
      </c>
      <c r="K591" t="s">
        <v>3165</v>
      </c>
      <c r="L591" t="s">
        <v>4985</v>
      </c>
      <c r="M591">
        <v>17</v>
      </c>
      <c r="N591">
        <v>6.27</v>
      </c>
      <c r="O591" s="10">
        <f t="shared" si="79"/>
        <v>106.58999999999999</v>
      </c>
      <c r="P591">
        <v>0</v>
      </c>
      <c r="Q591">
        <v>6.48</v>
      </c>
      <c r="R591">
        <v>207.30999999999997</v>
      </c>
      <c r="S591">
        <v>22991.53</v>
      </c>
      <c r="T591" s="11" t="str">
        <f t="shared" si="83"/>
        <v>Check</v>
      </c>
      <c r="U591" s="12">
        <v>46154</v>
      </c>
      <c r="V591" s="10">
        <v>485.05</v>
      </c>
      <c r="W591" s="10" t="str">
        <f t="shared" si="80"/>
        <v>Short Paid</v>
      </c>
      <c r="X591" t="s">
        <v>435</v>
      </c>
      <c r="Y591" t="s">
        <v>40</v>
      </c>
      <c r="Z591">
        <v>100141</v>
      </c>
      <c r="AA591" t="s">
        <v>440</v>
      </c>
      <c r="AB591" t="s">
        <v>522</v>
      </c>
      <c r="AC591">
        <v>2</v>
      </c>
      <c r="AD591" s="9" t="str">
        <f t="shared" si="82"/>
        <v>Check</v>
      </c>
      <c r="AE591" s="11">
        <f t="shared" si="84"/>
        <v>-22784.219999999998</v>
      </c>
    </row>
    <row r="592" spans="1:31" x14ac:dyDescent="0.3">
      <c r="A592">
        <v>2</v>
      </c>
      <c r="B592">
        <v>4970787</v>
      </c>
      <c r="C592" t="s">
        <v>56</v>
      </c>
      <c r="D592">
        <v>1880594</v>
      </c>
      <c r="E592" t="s">
        <v>397</v>
      </c>
      <c r="F592" t="s">
        <v>24</v>
      </c>
      <c r="G592" t="s">
        <v>429</v>
      </c>
      <c r="H592" t="s">
        <v>430</v>
      </c>
      <c r="I592" t="s">
        <v>3381</v>
      </c>
      <c r="J592">
        <v>51158646116</v>
      </c>
      <c r="K592" t="s">
        <v>3165</v>
      </c>
      <c r="L592" t="s">
        <v>4986</v>
      </c>
      <c r="M592">
        <v>16</v>
      </c>
      <c r="N592">
        <v>5.89</v>
      </c>
      <c r="O592" s="10">
        <f t="shared" si="79"/>
        <v>94.24</v>
      </c>
      <c r="P592" t="s">
        <v>5006</v>
      </c>
      <c r="Q592" t="s">
        <v>5006</v>
      </c>
      <c r="R592" t="s">
        <v>5006</v>
      </c>
      <c r="S592" t="s">
        <v>5006</v>
      </c>
      <c r="T592" s="11" t="str">
        <f t="shared" si="83"/>
        <v>Check</v>
      </c>
      <c r="U592" s="12">
        <v>46154</v>
      </c>
      <c r="V592" s="10">
        <v>485.05</v>
      </c>
      <c r="W592" s="10" t="str">
        <f t="shared" si="80"/>
        <v>N/A</v>
      </c>
      <c r="X592" t="s">
        <v>435</v>
      </c>
      <c r="Y592" t="s">
        <v>40</v>
      </c>
      <c r="Z592">
        <v>100141</v>
      </c>
      <c r="AA592" t="s">
        <v>440</v>
      </c>
      <c r="AB592" t="s">
        <v>522</v>
      </c>
      <c r="AC592">
        <v>2</v>
      </c>
      <c r="AD592" s="9" t="str">
        <f t="shared" si="82"/>
        <v>N/A</v>
      </c>
      <c r="AE592" s="11" t="e">
        <f t="shared" si="84"/>
        <v>#VALUE!</v>
      </c>
    </row>
    <row r="593" spans="1:31" x14ac:dyDescent="0.3">
      <c r="A593">
        <v>4</v>
      </c>
      <c r="B593">
        <v>4941289</v>
      </c>
      <c r="C593" t="s">
        <v>38</v>
      </c>
      <c r="D593">
        <v>1770254</v>
      </c>
      <c r="E593" t="s">
        <v>402</v>
      </c>
      <c r="F593" t="s">
        <v>18</v>
      </c>
      <c r="G593" t="s">
        <v>230</v>
      </c>
      <c r="H593" t="s">
        <v>231</v>
      </c>
      <c r="I593" t="s">
        <v>3397</v>
      </c>
      <c r="J593">
        <v>51160425892</v>
      </c>
      <c r="K593" t="s">
        <v>3165</v>
      </c>
      <c r="L593" t="s">
        <v>4991</v>
      </c>
      <c r="M593">
        <v>3836</v>
      </c>
      <c r="N593">
        <v>0.31</v>
      </c>
      <c r="O593" s="10">
        <f t="shared" si="79"/>
        <v>1189.1600000000001</v>
      </c>
      <c r="P593">
        <v>0</v>
      </c>
      <c r="Q593">
        <v>0</v>
      </c>
      <c r="R593">
        <v>3139.16</v>
      </c>
      <c r="S593">
        <v>3139.16</v>
      </c>
      <c r="T593" s="11" t="str">
        <f t="shared" si="83"/>
        <v>Check</v>
      </c>
      <c r="U593" s="12">
        <v>46129</v>
      </c>
      <c r="V593" s="10">
        <v>1950</v>
      </c>
      <c r="W593" s="10" t="str">
        <f t="shared" si="80"/>
        <v>Short Paid</v>
      </c>
      <c r="X593" t="s">
        <v>474</v>
      </c>
      <c r="Y593" t="s">
        <v>28</v>
      </c>
      <c r="Z593">
        <v>100249</v>
      </c>
      <c r="AA593" t="s">
        <v>484</v>
      </c>
      <c r="AB593" t="s">
        <v>523</v>
      </c>
      <c r="AC593">
        <v>2</v>
      </c>
      <c r="AD593" s="9" t="str">
        <f t="shared" si="82"/>
        <v>Ok</v>
      </c>
      <c r="AE593" s="11">
        <f t="shared" si="84"/>
        <v>0</v>
      </c>
    </row>
    <row r="594" spans="1:31" x14ac:dyDescent="0.3">
      <c r="A594">
        <v>4</v>
      </c>
      <c r="B594">
        <v>4941289</v>
      </c>
      <c r="C594" t="s">
        <v>38</v>
      </c>
      <c r="D594">
        <v>1770254</v>
      </c>
      <c r="E594" t="s">
        <v>402</v>
      </c>
      <c r="F594" t="s">
        <v>18</v>
      </c>
      <c r="G594" t="s">
        <v>230</v>
      </c>
      <c r="H594" t="s">
        <v>231</v>
      </c>
      <c r="I594" t="s">
        <v>3202</v>
      </c>
      <c r="J594">
        <v>51160425892</v>
      </c>
      <c r="K594" t="s">
        <v>3165</v>
      </c>
      <c r="L594" t="s">
        <v>4992</v>
      </c>
      <c r="M594">
        <v>1500</v>
      </c>
      <c r="N594">
        <v>1.3</v>
      </c>
      <c r="O594" s="10">
        <f t="shared" si="79"/>
        <v>1950</v>
      </c>
      <c r="P594" t="s">
        <v>5006</v>
      </c>
      <c r="Q594" t="s">
        <v>5006</v>
      </c>
      <c r="R594" t="s">
        <v>5006</v>
      </c>
      <c r="S594" t="s">
        <v>5006</v>
      </c>
      <c r="T594" s="11" t="str">
        <f t="shared" si="83"/>
        <v>Check</v>
      </c>
      <c r="U594" s="12">
        <v>46129</v>
      </c>
      <c r="V594" s="10">
        <v>1950</v>
      </c>
      <c r="W594" s="10" t="str">
        <f t="shared" si="80"/>
        <v>N/A</v>
      </c>
      <c r="X594" t="s">
        <v>474</v>
      </c>
      <c r="Y594" t="s">
        <v>28</v>
      </c>
      <c r="Z594">
        <v>100249</v>
      </c>
      <c r="AA594" t="s">
        <v>484</v>
      </c>
      <c r="AB594" t="s">
        <v>523</v>
      </c>
      <c r="AC594">
        <v>2</v>
      </c>
      <c r="AD594" s="9" t="str">
        <f t="shared" si="82"/>
        <v>N/A</v>
      </c>
      <c r="AE594" s="11" t="e">
        <f t="shared" si="84"/>
        <v>#VALUE!</v>
      </c>
    </row>
    <row r="595" spans="1:31" x14ac:dyDescent="0.3">
      <c r="A595">
        <v>2</v>
      </c>
      <c r="B595">
        <v>4974962</v>
      </c>
      <c r="C595" t="s">
        <v>56</v>
      </c>
      <c r="D595">
        <v>1880594</v>
      </c>
      <c r="E595" t="s">
        <v>397</v>
      </c>
      <c r="F595" t="s">
        <v>24</v>
      </c>
      <c r="G595" t="s">
        <v>5005</v>
      </c>
      <c r="H595" t="s">
        <v>279</v>
      </c>
      <c r="I595" t="s">
        <v>3254</v>
      </c>
      <c r="J595">
        <v>51162147621</v>
      </c>
      <c r="K595" t="s">
        <v>3165</v>
      </c>
      <c r="L595" t="s">
        <v>4998</v>
      </c>
      <c r="M595">
        <v>22</v>
      </c>
      <c r="N595">
        <v>24.54</v>
      </c>
      <c r="O595" s="10">
        <f t="shared" si="79"/>
        <v>539.88</v>
      </c>
      <c r="P595">
        <v>0</v>
      </c>
      <c r="Q595">
        <v>0.1</v>
      </c>
      <c r="R595">
        <v>1912.6499999999999</v>
      </c>
      <c r="S595">
        <v>4785.09</v>
      </c>
      <c r="T595" s="11" t="str">
        <f t="shared" si="83"/>
        <v>Check</v>
      </c>
      <c r="U595" s="12">
        <v>46156</v>
      </c>
      <c r="V595" s="10">
        <v>4256.99</v>
      </c>
      <c r="W595" s="10" t="str">
        <f t="shared" si="80"/>
        <v>Short Paid</v>
      </c>
      <c r="X595" t="s">
        <v>435</v>
      </c>
      <c r="Y595" t="s">
        <v>40</v>
      </c>
      <c r="Z595">
        <v>100141</v>
      </c>
      <c r="AA595" t="s">
        <v>440</v>
      </c>
      <c r="AB595" t="s">
        <v>522</v>
      </c>
      <c r="AC595">
        <v>5</v>
      </c>
      <c r="AD595" s="9" t="str">
        <f t="shared" si="82"/>
        <v>Check</v>
      </c>
      <c r="AE595" s="11">
        <f t="shared" si="84"/>
        <v>-2872.4400000000005</v>
      </c>
    </row>
    <row r="596" spans="1:31" x14ac:dyDescent="0.3">
      <c r="A596">
        <v>2</v>
      </c>
      <c r="B596">
        <v>4974962</v>
      </c>
      <c r="C596" t="s">
        <v>56</v>
      </c>
      <c r="D596">
        <v>1880594</v>
      </c>
      <c r="E596" t="s">
        <v>397</v>
      </c>
      <c r="F596" t="s">
        <v>24</v>
      </c>
      <c r="G596" t="s">
        <v>5005</v>
      </c>
      <c r="H596" t="s">
        <v>279</v>
      </c>
      <c r="I596" t="s">
        <v>3254</v>
      </c>
      <c r="J596">
        <v>51162147621</v>
      </c>
      <c r="K596" t="s">
        <v>3165</v>
      </c>
      <c r="L596" t="s">
        <v>4999</v>
      </c>
      <c r="M596">
        <v>11</v>
      </c>
      <c r="N596">
        <v>24.19</v>
      </c>
      <c r="O596" s="10">
        <f t="shared" si="79"/>
        <v>266.09000000000003</v>
      </c>
      <c r="P596" t="s">
        <v>5006</v>
      </c>
      <c r="Q596" t="s">
        <v>5006</v>
      </c>
      <c r="R596" t="s">
        <v>5006</v>
      </c>
      <c r="S596" t="s">
        <v>5006</v>
      </c>
      <c r="T596" s="11" t="str">
        <f t="shared" si="83"/>
        <v>Check</v>
      </c>
      <c r="U596" s="12">
        <v>46156</v>
      </c>
      <c r="V596" s="10">
        <v>4256.99</v>
      </c>
      <c r="W596" s="10" t="str">
        <f t="shared" si="80"/>
        <v>N/A</v>
      </c>
      <c r="X596" t="s">
        <v>435</v>
      </c>
      <c r="Y596" t="s">
        <v>40</v>
      </c>
      <c r="Z596">
        <v>100141</v>
      </c>
      <c r="AA596" t="s">
        <v>440</v>
      </c>
      <c r="AB596" t="s">
        <v>522</v>
      </c>
      <c r="AC596">
        <v>5</v>
      </c>
      <c r="AD596" s="9" t="str">
        <f t="shared" si="82"/>
        <v>N/A</v>
      </c>
      <c r="AE596" s="11" t="e">
        <f t="shared" si="84"/>
        <v>#VALUE!</v>
      </c>
    </row>
    <row r="597" spans="1:31" x14ac:dyDescent="0.3">
      <c r="A597">
        <v>2</v>
      </c>
      <c r="B597">
        <v>4974962</v>
      </c>
      <c r="C597" t="s">
        <v>56</v>
      </c>
      <c r="D597">
        <v>1880594</v>
      </c>
      <c r="E597" t="s">
        <v>397</v>
      </c>
      <c r="F597" t="s">
        <v>24</v>
      </c>
      <c r="G597" t="s">
        <v>5005</v>
      </c>
      <c r="H597" t="s">
        <v>279</v>
      </c>
      <c r="I597" t="s">
        <v>3254</v>
      </c>
      <c r="J597">
        <v>51162147621</v>
      </c>
      <c r="K597" t="s">
        <v>3165</v>
      </c>
      <c r="L597" t="s">
        <v>5000</v>
      </c>
      <c r="M597">
        <v>14</v>
      </c>
      <c r="N597">
        <v>23.47</v>
      </c>
      <c r="O597" s="10">
        <f t="shared" si="79"/>
        <v>328.58</v>
      </c>
      <c r="P597" t="s">
        <v>5006</v>
      </c>
      <c r="Q597" t="s">
        <v>5006</v>
      </c>
      <c r="R597" t="s">
        <v>5006</v>
      </c>
      <c r="S597" t="s">
        <v>5006</v>
      </c>
      <c r="T597" s="11" t="str">
        <f t="shared" si="83"/>
        <v>Check</v>
      </c>
      <c r="U597" s="12">
        <v>46156</v>
      </c>
      <c r="V597" s="10">
        <v>4256.99</v>
      </c>
      <c r="W597" s="10" t="str">
        <f t="shared" si="80"/>
        <v>N/A</v>
      </c>
      <c r="X597" t="s">
        <v>435</v>
      </c>
      <c r="Y597" t="s">
        <v>40</v>
      </c>
      <c r="Z597">
        <v>100141</v>
      </c>
      <c r="AA597" t="s">
        <v>440</v>
      </c>
      <c r="AB597" t="s">
        <v>522</v>
      </c>
      <c r="AC597">
        <v>5</v>
      </c>
      <c r="AD597" s="9" t="str">
        <f t="shared" si="82"/>
        <v>N/A</v>
      </c>
      <c r="AE597" s="11" t="e">
        <f t="shared" si="84"/>
        <v>#VALUE!</v>
      </c>
    </row>
    <row r="598" spans="1:31" x14ac:dyDescent="0.3">
      <c r="A598">
        <v>2</v>
      </c>
      <c r="B598">
        <v>4974962</v>
      </c>
      <c r="C598" t="s">
        <v>56</v>
      </c>
      <c r="D598">
        <v>1880594</v>
      </c>
      <c r="E598" t="s">
        <v>397</v>
      </c>
      <c r="F598" t="s">
        <v>24</v>
      </c>
      <c r="G598" t="s">
        <v>5005</v>
      </c>
      <c r="H598" t="s">
        <v>279</v>
      </c>
      <c r="I598" t="s">
        <v>3254</v>
      </c>
      <c r="J598">
        <v>51162147621</v>
      </c>
      <c r="K598" t="s">
        <v>3165</v>
      </c>
      <c r="L598" t="s">
        <v>4959</v>
      </c>
      <c r="M598">
        <v>1</v>
      </c>
      <c r="N598">
        <v>250</v>
      </c>
      <c r="O598" s="10">
        <f t="shared" si="79"/>
        <v>250</v>
      </c>
      <c r="P598" t="s">
        <v>5006</v>
      </c>
      <c r="Q598" t="s">
        <v>5006</v>
      </c>
      <c r="R598" t="s">
        <v>5006</v>
      </c>
      <c r="S598" t="s">
        <v>5006</v>
      </c>
      <c r="T598" s="11" t="str">
        <f t="shared" si="83"/>
        <v>Check</v>
      </c>
      <c r="U598" s="12">
        <v>46156</v>
      </c>
      <c r="V598" s="10">
        <v>4256.99</v>
      </c>
      <c r="W598" s="10" t="str">
        <f t="shared" si="80"/>
        <v>N/A</v>
      </c>
      <c r="X598" t="s">
        <v>435</v>
      </c>
      <c r="Y598" t="s">
        <v>40</v>
      </c>
      <c r="Z598">
        <v>100141</v>
      </c>
      <c r="AA598" t="s">
        <v>440</v>
      </c>
      <c r="AB598" t="s">
        <v>522</v>
      </c>
      <c r="AC598">
        <v>5</v>
      </c>
      <c r="AD598" s="9" t="str">
        <f t="shared" si="82"/>
        <v>N/A</v>
      </c>
      <c r="AE598" s="11" t="e">
        <f t="shared" si="84"/>
        <v>#VALUE!</v>
      </c>
    </row>
    <row r="599" spans="1:31" x14ac:dyDescent="0.3">
      <c r="A599">
        <v>2</v>
      </c>
      <c r="B599">
        <v>4974962</v>
      </c>
      <c r="C599" t="s">
        <v>56</v>
      </c>
      <c r="D599">
        <v>1880594</v>
      </c>
      <c r="E599" t="s">
        <v>397</v>
      </c>
      <c r="F599" t="s">
        <v>24</v>
      </c>
      <c r="G599" t="s">
        <v>5005</v>
      </c>
      <c r="H599" t="s">
        <v>279</v>
      </c>
      <c r="I599" t="s">
        <v>3423</v>
      </c>
      <c r="J599">
        <v>51162147621</v>
      </c>
      <c r="K599" t="s">
        <v>3165</v>
      </c>
      <c r="L599" t="s">
        <v>5001</v>
      </c>
      <c r="M599">
        <v>1650</v>
      </c>
      <c r="N599">
        <v>0.32</v>
      </c>
      <c r="O599" s="10">
        <f t="shared" si="79"/>
        <v>528</v>
      </c>
      <c r="P599" t="s">
        <v>5006</v>
      </c>
      <c r="Q599" t="s">
        <v>5006</v>
      </c>
      <c r="R599" t="s">
        <v>5006</v>
      </c>
      <c r="S599" t="s">
        <v>5006</v>
      </c>
      <c r="T599" s="11" t="str">
        <f t="shared" si="83"/>
        <v>Check</v>
      </c>
      <c r="U599" s="12">
        <v>46156</v>
      </c>
      <c r="V599" s="10">
        <v>4256.99</v>
      </c>
      <c r="W599" s="10" t="str">
        <f t="shared" si="80"/>
        <v>N/A</v>
      </c>
      <c r="X599" t="s">
        <v>435</v>
      </c>
      <c r="Y599" t="s">
        <v>40</v>
      </c>
      <c r="Z599">
        <v>100141</v>
      </c>
      <c r="AA599" t="s">
        <v>440</v>
      </c>
      <c r="AB599" t="s">
        <v>522</v>
      </c>
      <c r="AC599">
        <v>5</v>
      </c>
      <c r="AD599" s="9" t="str">
        <f t="shared" si="82"/>
        <v>N/A</v>
      </c>
      <c r="AE599" s="11" t="e">
        <f t="shared" si="84"/>
        <v>#VALUE!</v>
      </c>
    </row>
    <row r="600" spans="1:31" x14ac:dyDescent="0.3">
      <c r="A600">
        <v>144</v>
      </c>
      <c r="B600">
        <v>4424632</v>
      </c>
      <c r="C600" t="s">
        <v>239</v>
      </c>
      <c r="D600">
        <v>1037347</v>
      </c>
      <c r="E600" t="s">
        <v>291</v>
      </c>
      <c r="F600" t="s">
        <v>20</v>
      </c>
      <c r="G600" t="s">
        <v>5002</v>
      </c>
      <c r="H600" t="s">
        <v>5003</v>
      </c>
      <c r="I600" t="s">
        <v>3342</v>
      </c>
      <c r="J600">
        <v>51162336626</v>
      </c>
      <c r="K600" t="s">
        <v>3165</v>
      </c>
      <c r="L600" t="s">
        <v>4959</v>
      </c>
      <c r="M600">
        <v>1</v>
      </c>
      <c r="N600">
        <v>250</v>
      </c>
      <c r="O600" s="10">
        <f t="shared" si="79"/>
        <v>250</v>
      </c>
      <c r="P600">
        <v>0</v>
      </c>
      <c r="Q600">
        <v>0</v>
      </c>
      <c r="R600">
        <v>560</v>
      </c>
      <c r="S600">
        <v>560</v>
      </c>
      <c r="T600" s="11" t="str">
        <f t="shared" si="83"/>
        <v>Ok</v>
      </c>
      <c r="U600" s="12">
        <v>45987</v>
      </c>
      <c r="V600" s="10">
        <v>560</v>
      </c>
      <c r="W600" s="10" t="str">
        <f t="shared" si="80"/>
        <v>Not Paid</v>
      </c>
      <c r="X600" t="s">
        <v>476</v>
      </c>
      <c r="Y600" t="s">
        <v>28</v>
      </c>
      <c r="Z600">
        <v>100115</v>
      </c>
      <c r="AA600" t="s">
        <v>504</v>
      </c>
      <c r="AB600" t="s">
        <v>521</v>
      </c>
      <c r="AC600">
        <v>2</v>
      </c>
      <c r="AD600" s="9" t="str">
        <f t="shared" si="82"/>
        <v>Ok</v>
      </c>
      <c r="AE600" s="11">
        <f t="shared" si="84"/>
        <v>0</v>
      </c>
    </row>
    <row r="601" spans="1:31" x14ac:dyDescent="0.3">
      <c r="A601">
        <v>144</v>
      </c>
      <c r="B601">
        <v>4424632</v>
      </c>
      <c r="C601" t="s">
        <v>239</v>
      </c>
      <c r="D601">
        <v>1037347</v>
      </c>
      <c r="E601" t="s">
        <v>291</v>
      </c>
      <c r="F601" t="s">
        <v>20</v>
      </c>
      <c r="G601" t="s">
        <v>5002</v>
      </c>
      <c r="H601" t="s">
        <v>5003</v>
      </c>
      <c r="I601" t="s">
        <v>3342</v>
      </c>
      <c r="J601">
        <v>51162336626</v>
      </c>
      <c r="K601" t="s">
        <v>3165</v>
      </c>
      <c r="L601" t="s">
        <v>5004</v>
      </c>
      <c r="M601">
        <v>500</v>
      </c>
      <c r="N601">
        <v>0.62</v>
      </c>
      <c r="O601" s="10">
        <f t="shared" si="79"/>
        <v>310</v>
      </c>
      <c r="P601" t="s">
        <v>5006</v>
      </c>
      <c r="Q601" t="s">
        <v>5006</v>
      </c>
      <c r="R601" t="s">
        <v>5006</v>
      </c>
      <c r="S601" t="s">
        <v>5006</v>
      </c>
      <c r="T601" s="11" t="str">
        <f t="shared" si="83"/>
        <v>Ok</v>
      </c>
      <c r="U601" s="12">
        <v>45987</v>
      </c>
      <c r="V601" s="10">
        <v>560</v>
      </c>
      <c r="W601" s="10" t="str">
        <f t="shared" si="80"/>
        <v>N/A</v>
      </c>
      <c r="X601" t="s">
        <v>476</v>
      </c>
      <c r="Y601" t="s">
        <v>28</v>
      </c>
      <c r="Z601">
        <v>100115</v>
      </c>
      <c r="AA601" t="s">
        <v>504</v>
      </c>
      <c r="AB601" t="s">
        <v>521</v>
      </c>
      <c r="AC601">
        <v>2</v>
      </c>
      <c r="AD601" s="9" t="str">
        <f t="shared" si="82"/>
        <v>N/A</v>
      </c>
      <c r="AE601" s="11" t="e">
        <f t="shared" si="84"/>
        <v>#VALUE!</v>
      </c>
    </row>
    <row r="602" spans="1:31" x14ac:dyDescent="0.3">
      <c r="A602">
        <v>95</v>
      </c>
      <c r="B602">
        <v>4561987</v>
      </c>
      <c r="C602" t="s">
        <v>160</v>
      </c>
      <c r="D602">
        <v>1176121</v>
      </c>
      <c r="E602" t="s">
        <v>642</v>
      </c>
      <c r="F602" t="s">
        <v>20</v>
      </c>
      <c r="G602" t="s">
        <v>2607</v>
      </c>
      <c r="H602" t="s">
        <v>2608</v>
      </c>
      <c r="I602" t="s">
        <v>3277</v>
      </c>
      <c r="J602">
        <v>50111827685</v>
      </c>
      <c r="K602" t="s">
        <v>3226</v>
      </c>
      <c r="L602" t="s">
        <v>3812</v>
      </c>
      <c r="M602">
        <v>3</v>
      </c>
      <c r="N602" s="10">
        <v>11.54</v>
      </c>
      <c r="O602" s="10">
        <f t="shared" si="79"/>
        <v>34.619999999999997</v>
      </c>
      <c r="P602" s="10">
        <v>0</v>
      </c>
      <c r="Q602" s="10">
        <v>1737.45</v>
      </c>
      <c r="R602" s="10">
        <f>IF(COUNTIF($J$2:J602,J602)=1,SUMIFS($O:$O,$J:$J,J602)+SUMIFS($P:$P,$J:$J,J602)+SUMIFS($Q:$Q,$J:$J,J602),"")</f>
        <v>13922.070000000002</v>
      </c>
      <c r="S602" s="10">
        <v>13922.070000000002</v>
      </c>
      <c r="T602" s="11" t="str">
        <f t="shared" si="83"/>
        <v>Ok</v>
      </c>
      <c r="U602" s="12">
        <v>46049</v>
      </c>
      <c r="V602" s="10">
        <v>34.619999999999997</v>
      </c>
      <c r="W602" s="10" t="str">
        <f t="shared" si="80"/>
        <v>Short Paid</v>
      </c>
      <c r="X602" t="s">
        <v>453</v>
      </c>
      <c r="Y602" t="s">
        <v>28</v>
      </c>
      <c r="Z602">
        <v>100194</v>
      </c>
      <c r="AA602" t="s">
        <v>487</v>
      </c>
      <c r="AB602" t="s">
        <v>521</v>
      </c>
      <c r="AC602" s="9">
        <v>2</v>
      </c>
      <c r="AD602" s="9" t="str">
        <f t="shared" si="82"/>
        <v>Ok</v>
      </c>
      <c r="AE602" s="11">
        <f t="shared" si="84"/>
        <v>0</v>
      </c>
    </row>
    <row r="603" spans="1:31" x14ac:dyDescent="0.3">
      <c r="A603">
        <v>95</v>
      </c>
      <c r="B603">
        <v>4561987</v>
      </c>
      <c r="C603" t="s">
        <v>160</v>
      </c>
      <c r="D603">
        <v>1176121</v>
      </c>
      <c r="E603" t="s">
        <v>642</v>
      </c>
      <c r="F603" t="s">
        <v>20</v>
      </c>
      <c r="G603" t="s">
        <v>2607</v>
      </c>
      <c r="H603" t="s">
        <v>2608</v>
      </c>
      <c r="I603" t="s">
        <v>3347</v>
      </c>
      <c r="J603">
        <v>50111827685</v>
      </c>
      <c r="K603" t="s">
        <v>3401</v>
      </c>
      <c r="L603" t="s">
        <v>3813</v>
      </c>
      <c r="M603">
        <v>6075</v>
      </c>
      <c r="N603" s="10">
        <v>2</v>
      </c>
      <c r="O603" s="10">
        <f t="shared" si="79"/>
        <v>12150</v>
      </c>
      <c r="P603" s="10" t="s">
        <v>5006</v>
      </c>
      <c r="Q603" s="10" t="s">
        <v>5006</v>
      </c>
      <c r="R603" s="10" t="str">
        <f>IF(COUNTIF($J$2:J603,J603)=1,SUMIFS($O:$O,$J:$J,J603)+SUMIFS($P:$P,$J:$J,J603)+SUMIFS($Q:$Q,$J:$J,J603),"")</f>
        <v/>
      </c>
      <c r="S603" s="10" t="s">
        <v>5006</v>
      </c>
      <c r="T603" s="11" t="str">
        <f t="shared" si="83"/>
        <v>Ok</v>
      </c>
      <c r="U603" s="12">
        <v>46049</v>
      </c>
      <c r="V603" s="10">
        <v>34.619999999999997</v>
      </c>
      <c r="W603" s="10" t="str">
        <f t="shared" si="80"/>
        <v>N/A</v>
      </c>
      <c r="X603" t="s">
        <v>453</v>
      </c>
      <c r="Y603" t="s">
        <v>28</v>
      </c>
      <c r="Z603">
        <v>100194</v>
      </c>
      <c r="AA603" t="s">
        <v>487</v>
      </c>
      <c r="AB603" t="s">
        <v>521</v>
      </c>
      <c r="AC603" s="9">
        <v>2</v>
      </c>
      <c r="AD603" s="9" t="str">
        <f t="shared" si="82"/>
        <v>N/A</v>
      </c>
      <c r="AE603" s="11" t="e">
        <f t="shared" si="84"/>
        <v>#VALUE!</v>
      </c>
    </row>
    <row r="604" spans="1:31" x14ac:dyDescent="0.3">
      <c r="A604">
        <v>93</v>
      </c>
      <c r="B604">
        <v>4564770</v>
      </c>
      <c r="C604" t="s">
        <v>160</v>
      </c>
      <c r="D604">
        <v>1262308</v>
      </c>
      <c r="E604" t="s">
        <v>611</v>
      </c>
      <c r="F604" t="s">
        <v>20</v>
      </c>
      <c r="G604" t="s">
        <v>756</v>
      </c>
      <c r="H604" t="s">
        <v>757</v>
      </c>
      <c r="I604" t="s">
        <v>3329</v>
      </c>
      <c r="J604">
        <v>50112414225</v>
      </c>
      <c r="K604" t="s">
        <v>3815</v>
      </c>
      <c r="L604" t="s">
        <v>3814</v>
      </c>
      <c r="M604">
        <v>2</v>
      </c>
      <c r="N604" s="10">
        <v>161.25</v>
      </c>
      <c r="O604" s="10">
        <f t="shared" si="79"/>
        <v>322.5</v>
      </c>
      <c r="P604" s="10">
        <v>0</v>
      </c>
      <c r="Q604" s="10" t="s">
        <v>5006</v>
      </c>
      <c r="R604" s="10">
        <f>IF(COUNTIF($J$2:J604,J604)=1,SUMIFS($O:$O,$J:$J,J604)+SUMIFS($P:$P,$J:$J,J604)+SUMIFS($Q:$Q,$J:$J,J604),"")</f>
        <v>323.5</v>
      </c>
      <c r="S604" s="10">
        <v>323.5</v>
      </c>
      <c r="T604" s="11" t="str">
        <f t="shared" si="83"/>
        <v>Ok</v>
      </c>
      <c r="U604" s="12">
        <v>46098</v>
      </c>
      <c r="V604" s="10">
        <v>664.44</v>
      </c>
      <c r="W604" s="10" t="str">
        <f t="shared" si="80"/>
        <v>Short Paid</v>
      </c>
      <c r="X604" t="s">
        <v>453</v>
      </c>
      <c r="Y604" t="s">
        <v>28</v>
      </c>
      <c r="Z604">
        <v>100194</v>
      </c>
      <c r="AA604" t="s">
        <v>487</v>
      </c>
      <c r="AB604" t="s">
        <v>521</v>
      </c>
      <c r="AC604" s="9">
        <v>2</v>
      </c>
      <c r="AD604" s="9" t="str">
        <f t="shared" si="82"/>
        <v>Ok</v>
      </c>
      <c r="AE604" s="11">
        <f t="shared" si="84"/>
        <v>0</v>
      </c>
    </row>
    <row r="605" spans="1:31" x14ac:dyDescent="0.3">
      <c r="A605">
        <v>93</v>
      </c>
      <c r="B605">
        <v>4564770</v>
      </c>
      <c r="C605" t="s">
        <v>160</v>
      </c>
      <c r="D605">
        <v>1262308</v>
      </c>
      <c r="E605" t="s">
        <v>611</v>
      </c>
      <c r="F605" t="s">
        <v>20</v>
      </c>
      <c r="G605" t="s">
        <v>756</v>
      </c>
      <c r="H605" t="s">
        <v>757</v>
      </c>
      <c r="I605" t="s">
        <v>3329</v>
      </c>
      <c r="J605">
        <v>50112414225</v>
      </c>
      <c r="K605" t="s">
        <v>3183</v>
      </c>
      <c r="L605" t="s">
        <v>3816</v>
      </c>
      <c r="M605">
        <v>4</v>
      </c>
      <c r="N605" s="10">
        <v>0.25</v>
      </c>
      <c r="O605" s="10">
        <f t="shared" si="79"/>
        <v>1</v>
      </c>
      <c r="P605" s="10" t="s">
        <v>5006</v>
      </c>
      <c r="Q605" s="10" t="s">
        <v>5006</v>
      </c>
      <c r="R605" s="10" t="str">
        <f>IF(COUNTIF($J$2:J605,J605)=1,SUMIFS($O:$O,$J:$J,J605)+SUMIFS($P:$P,$J:$J,J605)+SUMIFS($Q:$Q,$J:$J,J605),"")</f>
        <v/>
      </c>
      <c r="S605" s="10" t="s">
        <v>5006</v>
      </c>
      <c r="T605" s="11" t="str">
        <f t="shared" si="83"/>
        <v>Ok</v>
      </c>
      <c r="U605" s="12">
        <v>46098</v>
      </c>
      <c r="V605" s="10">
        <v>664.44</v>
      </c>
      <c r="W605" s="10" t="str">
        <f t="shared" si="80"/>
        <v>N/A</v>
      </c>
      <c r="X605" t="s">
        <v>453</v>
      </c>
      <c r="Y605" t="s">
        <v>28</v>
      </c>
      <c r="Z605">
        <v>100194</v>
      </c>
      <c r="AA605" t="s">
        <v>487</v>
      </c>
      <c r="AB605" t="s">
        <v>521</v>
      </c>
      <c r="AC605" s="9">
        <v>2</v>
      </c>
      <c r="AD605" s="9" t="str">
        <f t="shared" si="82"/>
        <v>N/A</v>
      </c>
      <c r="AE605" s="11" t="e">
        <f t="shared" si="84"/>
        <v>#VALUE!</v>
      </c>
    </row>
    <row r="606" spans="1:31" x14ac:dyDescent="0.3">
      <c r="A606">
        <v>93</v>
      </c>
      <c r="B606">
        <v>4565327</v>
      </c>
      <c r="C606" t="s">
        <v>160</v>
      </c>
      <c r="D606">
        <v>1262308</v>
      </c>
      <c r="E606" t="s">
        <v>611</v>
      </c>
      <c r="F606" t="s">
        <v>20</v>
      </c>
      <c r="G606" t="s">
        <v>758</v>
      </c>
      <c r="H606" t="s">
        <v>759</v>
      </c>
      <c r="I606" t="s">
        <v>3260</v>
      </c>
      <c r="J606">
        <v>50112845453</v>
      </c>
      <c r="K606" t="s">
        <v>3815</v>
      </c>
      <c r="L606" t="s">
        <v>3817</v>
      </c>
      <c r="M606">
        <v>1</v>
      </c>
      <c r="N606" s="10">
        <v>906.16</v>
      </c>
      <c r="O606" s="10">
        <f t="shared" si="79"/>
        <v>906.16</v>
      </c>
      <c r="P606" s="10">
        <v>0</v>
      </c>
      <c r="Q606" s="10">
        <v>0</v>
      </c>
      <c r="R606" s="10">
        <f>IF(COUNTIF($J$2:J606,J606)=1,SUMIFS($O:$O,$J:$J,J606)+SUMIFS($P:$P,$J:$J,J606)+SUMIFS($Q:$Q,$J:$J,J606),"")</f>
        <v>24986.66</v>
      </c>
      <c r="S606" s="10">
        <v>38746.660000000003</v>
      </c>
      <c r="T606" s="11" t="str">
        <f t="shared" si="83"/>
        <v>Check</v>
      </c>
      <c r="U606" s="12">
        <v>46098</v>
      </c>
      <c r="V606" s="10">
        <v>1091.58</v>
      </c>
      <c r="W606" s="10" t="str">
        <f t="shared" si="80"/>
        <v>Short Paid</v>
      </c>
      <c r="X606" t="s">
        <v>453</v>
      </c>
      <c r="Y606" t="s">
        <v>28</v>
      </c>
      <c r="Z606">
        <v>100234</v>
      </c>
      <c r="AA606" t="s">
        <v>502</v>
      </c>
      <c r="AB606" t="s">
        <v>521</v>
      </c>
      <c r="AC606" s="9">
        <v>3</v>
      </c>
      <c r="AD606" s="9" t="str">
        <f t="shared" si="82"/>
        <v>Check</v>
      </c>
      <c r="AE606" s="11">
        <f t="shared" si="84"/>
        <v>-13760.000000000004</v>
      </c>
    </row>
    <row r="607" spans="1:31" x14ac:dyDescent="0.3">
      <c r="A607">
        <v>93</v>
      </c>
      <c r="B607">
        <v>4565327</v>
      </c>
      <c r="C607" t="s">
        <v>160</v>
      </c>
      <c r="D607">
        <v>1262308</v>
      </c>
      <c r="E607" t="s">
        <v>611</v>
      </c>
      <c r="F607" t="s">
        <v>20</v>
      </c>
      <c r="G607" t="s">
        <v>758</v>
      </c>
      <c r="H607" t="s">
        <v>759</v>
      </c>
      <c r="I607" t="s">
        <v>3260</v>
      </c>
      <c r="J607">
        <v>50112845453</v>
      </c>
      <c r="K607" t="s">
        <v>3183</v>
      </c>
      <c r="L607" t="s">
        <v>3816</v>
      </c>
      <c r="M607">
        <v>2</v>
      </c>
      <c r="N607" s="10">
        <v>0.25</v>
      </c>
      <c r="O607" s="10">
        <f t="shared" si="79"/>
        <v>0.5</v>
      </c>
      <c r="P607" s="10" t="s">
        <v>5006</v>
      </c>
      <c r="Q607" s="10" t="s">
        <v>5006</v>
      </c>
      <c r="R607" s="10" t="str">
        <f>IF(COUNTIF($J$2:J607,J607)=1,SUMIFS($O:$O,$J:$J,J607)+SUMIFS($P:$P,$J:$J,J607)+SUMIFS($Q:$Q,$J:$J,J607),"")</f>
        <v/>
      </c>
      <c r="S607" s="10" t="s">
        <v>5006</v>
      </c>
      <c r="T607" s="11" t="str">
        <f t="shared" si="83"/>
        <v>Check</v>
      </c>
      <c r="U607" s="12">
        <v>46098</v>
      </c>
      <c r="V607" s="10">
        <v>1091.58</v>
      </c>
      <c r="W607" s="10" t="str">
        <f t="shared" si="80"/>
        <v>N/A</v>
      </c>
      <c r="X607" t="s">
        <v>453</v>
      </c>
      <c r="Y607" t="s">
        <v>28</v>
      </c>
      <c r="Z607">
        <v>100234</v>
      </c>
      <c r="AA607" t="s">
        <v>502</v>
      </c>
      <c r="AB607" t="s">
        <v>521</v>
      </c>
      <c r="AC607" s="9">
        <v>3</v>
      </c>
      <c r="AD607" s="9" t="str">
        <f t="shared" si="82"/>
        <v>N/A</v>
      </c>
      <c r="AE607" s="11" t="e">
        <f t="shared" si="84"/>
        <v>#VALUE!</v>
      </c>
    </row>
    <row r="608" spans="1:31" x14ac:dyDescent="0.3">
      <c r="A608">
        <v>93</v>
      </c>
      <c r="B608">
        <v>4565327</v>
      </c>
      <c r="C608" t="s">
        <v>160</v>
      </c>
      <c r="D608">
        <v>1262308</v>
      </c>
      <c r="E608" t="s">
        <v>611</v>
      </c>
      <c r="F608" t="s">
        <v>20</v>
      </c>
      <c r="G608" t="s">
        <v>758</v>
      </c>
      <c r="H608" t="s">
        <v>759</v>
      </c>
      <c r="I608" t="s">
        <v>3387</v>
      </c>
      <c r="J608">
        <v>50112845453</v>
      </c>
      <c r="K608" t="s">
        <v>3434</v>
      </c>
      <c r="L608" t="s">
        <v>3818</v>
      </c>
      <c r="M608">
        <v>7000</v>
      </c>
      <c r="N608" s="10">
        <v>3.44</v>
      </c>
      <c r="O608" s="10">
        <f t="shared" si="79"/>
        <v>24080</v>
      </c>
      <c r="P608" s="10" t="s">
        <v>5006</v>
      </c>
      <c r="Q608" s="10" t="s">
        <v>5006</v>
      </c>
      <c r="R608" s="10" t="str">
        <f>IF(COUNTIF($J$2:J608,J608)=1,SUMIFS($O:$O,$J:$J,J608)+SUMIFS($P:$P,$J:$J,J608)+SUMIFS($Q:$Q,$J:$J,J608),"")</f>
        <v/>
      </c>
      <c r="S608" s="10" t="s">
        <v>5006</v>
      </c>
      <c r="T608" s="11" t="str">
        <f t="shared" si="83"/>
        <v>Check</v>
      </c>
      <c r="U608" s="12">
        <v>46098</v>
      </c>
      <c r="V608" s="10">
        <v>1091.58</v>
      </c>
      <c r="W608" s="10" t="str">
        <f t="shared" si="80"/>
        <v>N/A</v>
      </c>
      <c r="X608" t="s">
        <v>453</v>
      </c>
      <c r="Y608" t="s">
        <v>28</v>
      </c>
      <c r="Z608">
        <v>100234</v>
      </c>
      <c r="AA608" t="s">
        <v>502</v>
      </c>
      <c r="AB608" t="s">
        <v>521</v>
      </c>
      <c r="AC608" s="9">
        <v>3</v>
      </c>
      <c r="AD608" s="9" t="str">
        <f t="shared" si="82"/>
        <v>N/A</v>
      </c>
      <c r="AE608" s="11" t="e">
        <f t="shared" si="84"/>
        <v>#VALUE!</v>
      </c>
    </row>
    <row r="609" spans="1:31" x14ac:dyDescent="0.3">
      <c r="A609">
        <v>93</v>
      </c>
      <c r="B609">
        <v>4566161</v>
      </c>
      <c r="C609" t="s">
        <v>220</v>
      </c>
      <c r="D609">
        <v>1142492</v>
      </c>
      <c r="E609" t="s">
        <v>548</v>
      </c>
      <c r="F609" t="s">
        <v>20</v>
      </c>
      <c r="G609" t="s">
        <v>2617</v>
      </c>
      <c r="H609" t="s">
        <v>2618</v>
      </c>
      <c r="I609" t="s">
        <v>3218</v>
      </c>
      <c r="J609">
        <v>50112882930</v>
      </c>
      <c r="K609" t="s">
        <v>3165</v>
      </c>
      <c r="L609" t="s">
        <v>3819</v>
      </c>
      <c r="M609">
        <v>1</v>
      </c>
      <c r="N609" s="10">
        <v>2121</v>
      </c>
      <c r="O609" s="10">
        <f t="shared" si="79"/>
        <v>2121</v>
      </c>
      <c r="P609" s="10">
        <v>0</v>
      </c>
      <c r="Q609" s="10">
        <v>0</v>
      </c>
      <c r="R609" s="10">
        <f>IF(COUNTIF($J$2:J609,J609)=1,SUMIFS($O:$O,$J:$J,J609)+SUMIFS($P:$P,$J:$J,J609)+SUMIFS($Q:$Q,$J:$J,J609),"")</f>
        <v>29980.5</v>
      </c>
      <c r="S609" s="10">
        <v>30326.01</v>
      </c>
      <c r="T609" s="11" t="str">
        <f t="shared" si="83"/>
        <v>Check</v>
      </c>
      <c r="U609" s="12">
        <v>45965</v>
      </c>
      <c r="V609" s="10">
        <v>2121</v>
      </c>
      <c r="W609" s="10" t="str">
        <f t="shared" si="80"/>
        <v>Short Paid</v>
      </c>
      <c r="X609" t="s">
        <v>470</v>
      </c>
      <c r="Y609" t="s">
        <v>28</v>
      </c>
      <c r="Z609">
        <v>100288</v>
      </c>
      <c r="AA609" t="s">
        <v>471</v>
      </c>
      <c r="AB609" t="s">
        <v>521</v>
      </c>
      <c r="AC609" s="9">
        <v>2</v>
      </c>
      <c r="AD609" s="9" t="str">
        <f t="shared" si="82"/>
        <v>Check</v>
      </c>
      <c r="AE609" s="11">
        <f t="shared" si="84"/>
        <v>-345.5099999999984</v>
      </c>
    </row>
    <row r="610" spans="1:31" x14ac:dyDescent="0.3">
      <c r="A610">
        <v>93</v>
      </c>
      <c r="B610">
        <v>4566161</v>
      </c>
      <c r="C610" t="s">
        <v>220</v>
      </c>
      <c r="D610">
        <v>1142492</v>
      </c>
      <c r="E610" t="s">
        <v>548</v>
      </c>
      <c r="F610" t="s">
        <v>20</v>
      </c>
      <c r="G610" t="s">
        <v>2617</v>
      </c>
      <c r="H610" t="s">
        <v>2618</v>
      </c>
      <c r="I610" t="s">
        <v>3166</v>
      </c>
      <c r="J610">
        <v>50112882930</v>
      </c>
      <c r="K610" t="s">
        <v>3611</v>
      </c>
      <c r="L610" t="s">
        <v>3693</v>
      </c>
      <c r="M610">
        <v>615000</v>
      </c>
      <c r="N610" s="10">
        <v>4.53E-2</v>
      </c>
      <c r="O610" s="10">
        <f t="shared" si="79"/>
        <v>27859.5</v>
      </c>
      <c r="P610" s="10" t="s">
        <v>5006</v>
      </c>
      <c r="Q610" s="10" t="s">
        <v>5006</v>
      </c>
      <c r="R610" s="10" t="str">
        <f>IF(COUNTIF($J$2:J610,J610)=1,SUMIFS($O:$O,$J:$J,J610)+SUMIFS($P:$P,$J:$J,J610)+SUMIFS($Q:$Q,$J:$J,J610),"")</f>
        <v/>
      </c>
      <c r="S610" s="10" t="s">
        <v>5006</v>
      </c>
      <c r="T610" s="11" t="str">
        <f t="shared" si="83"/>
        <v>Check</v>
      </c>
      <c r="U610" s="12">
        <v>45965</v>
      </c>
      <c r="V610" s="10">
        <v>2121</v>
      </c>
      <c r="W610" s="10" t="str">
        <f t="shared" si="80"/>
        <v>N/A</v>
      </c>
      <c r="X610" t="s">
        <v>470</v>
      </c>
      <c r="Y610" t="s">
        <v>28</v>
      </c>
      <c r="Z610">
        <v>100288</v>
      </c>
      <c r="AA610" t="s">
        <v>471</v>
      </c>
      <c r="AB610" t="s">
        <v>521</v>
      </c>
      <c r="AC610" s="9">
        <v>2</v>
      </c>
      <c r="AD610" s="9" t="str">
        <f t="shared" si="82"/>
        <v>N/A</v>
      </c>
      <c r="AE610" s="11" t="e">
        <f t="shared" si="84"/>
        <v>#VALUE!</v>
      </c>
    </row>
    <row r="611" spans="1:31" x14ac:dyDescent="0.3">
      <c r="A611">
        <v>93</v>
      </c>
      <c r="B611">
        <v>4565883</v>
      </c>
      <c r="C611" t="s">
        <v>160</v>
      </c>
      <c r="D611">
        <v>1262308</v>
      </c>
      <c r="E611" t="s">
        <v>611</v>
      </c>
      <c r="F611" t="s">
        <v>20</v>
      </c>
      <c r="G611" t="s">
        <v>2615</v>
      </c>
      <c r="H611" t="s">
        <v>2616</v>
      </c>
      <c r="I611" t="s">
        <v>3218</v>
      </c>
      <c r="J611">
        <v>50112882931</v>
      </c>
      <c r="K611" t="s">
        <v>3650</v>
      </c>
      <c r="L611" t="s">
        <v>3820</v>
      </c>
      <c r="M611">
        <v>4970</v>
      </c>
      <c r="N611" s="10">
        <v>6.32</v>
      </c>
      <c r="O611" s="10">
        <f t="shared" si="79"/>
        <v>31410.400000000001</v>
      </c>
      <c r="P611" s="10">
        <v>2279.54</v>
      </c>
      <c r="Q611" s="10">
        <v>0</v>
      </c>
      <c r="R611" s="10">
        <f>IF(COUNTIF($J$2:J611,J611)=1,SUMIFS($O:$O,$J:$J,J611)+SUMIFS($P:$P,$J:$J,J611)+SUMIFS($Q:$Q,$J:$J,J611),"")</f>
        <v>34433.94</v>
      </c>
      <c r="S611" s="10">
        <v>34508.299999999996</v>
      </c>
      <c r="T611" s="11" t="str">
        <f t="shared" si="83"/>
        <v>Check</v>
      </c>
      <c r="U611" s="12">
        <v>46044</v>
      </c>
      <c r="V611" s="10">
        <v>6274.13</v>
      </c>
      <c r="W611" s="10" t="str">
        <f t="shared" si="80"/>
        <v>Short Paid</v>
      </c>
      <c r="X611" t="s">
        <v>453</v>
      </c>
      <c r="Y611" t="s">
        <v>28</v>
      </c>
      <c r="Z611">
        <v>100274</v>
      </c>
      <c r="AA611" t="s">
        <v>454</v>
      </c>
      <c r="AB611" t="s">
        <v>521</v>
      </c>
      <c r="AC611" s="9">
        <v>2</v>
      </c>
      <c r="AD611" s="9" t="str">
        <f t="shared" si="82"/>
        <v>Check</v>
      </c>
      <c r="AE611" s="11">
        <f t="shared" si="84"/>
        <v>-74.359999999993306</v>
      </c>
    </row>
    <row r="612" spans="1:31" x14ac:dyDescent="0.3">
      <c r="A612">
        <v>93</v>
      </c>
      <c r="B612">
        <v>4565883</v>
      </c>
      <c r="C612" t="s">
        <v>160</v>
      </c>
      <c r="D612">
        <v>1262308</v>
      </c>
      <c r="E612" t="s">
        <v>611</v>
      </c>
      <c r="F612" t="s">
        <v>20</v>
      </c>
      <c r="G612" t="s">
        <v>2615</v>
      </c>
      <c r="H612" t="s">
        <v>2616</v>
      </c>
      <c r="I612" t="s">
        <v>3513</v>
      </c>
      <c r="J612">
        <v>50112882931</v>
      </c>
      <c r="K612" t="s">
        <v>3375</v>
      </c>
      <c r="L612" t="s">
        <v>3821</v>
      </c>
      <c r="M612">
        <v>120</v>
      </c>
      <c r="N612" s="10">
        <v>6.2</v>
      </c>
      <c r="O612" s="10">
        <f t="shared" si="79"/>
        <v>744</v>
      </c>
      <c r="P612" s="10" t="s">
        <v>5006</v>
      </c>
      <c r="Q612" s="10" t="s">
        <v>5006</v>
      </c>
      <c r="R612" s="10" t="str">
        <f>IF(COUNTIF($J$2:J612,J612)=1,SUMIFS($O:$O,$J:$J,J612)+SUMIFS($P:$P,$J:$J,J612)+SUMIFS($Q:$Q,$J:$J,J612),"")</f>
        <v/>
      </c>
      <c r="S612" s="10" t="s">
        <v>5006</v>
      </c>
      <c r="T612" s="11" t="str">
        <f t="shared" si="83"/>
        <v>Check</v>
      </c>
      <c r="U612" s="12">
        <v>46044</v>
      </c>
      <c r="V612" s="10">
        <v>6274.13</v>
      </c>
      <c r="W612" s="10" t="str">
        <f t="shared" si="80"/>
        <v>N/A</v>
      </c>
      <c r="X612" t="s">
        <v>453</v>
      </c>
      <c r="Y612" t="s">
        <v>28</v>
      </c>
      <c r="Z612">
        <v>100274</v>
      </c>
      <c r="AA612" t="s">
        <v>454</v>
      </c>
      <c r="AB612" t="s">
        <v>521</v>
      </c>
      <c r="AC612" s="9">
        <v>2</v>
      </c>
      <c r="AD612" s="9" t="str">
        <f t="shared" si="82"/>
        <v>N/A</v>
      </c>
      <c r="AE612" s="11" t="e">
        <f t="shared" si="84"/>
        <v>#VALUE!</v>
      </c>
    </row>
    <row r="613" spans="1:31" x14ac:dyDescent="0.3">
      <c r="A613">
        <v>93</v>
      </c>
      <c r="B613">
        <v>4565605</v>
      </c>
      <c r="C613" t="s">
        <v>239</v>
      </c>
      <c r="D613">
        <v>1030332</v>
      </c>
      <c r="E613" t="s">
        <v>659</v>
      </c>
      <c r="F613" t="s">
        <v>24</v>
      </c>
      <c r="G613" t="s">
        <v>2613</v>
      </c>
      <c r="H613" t="s">
        <v>2614</v>
      </c>
      <c r="I613" t="s">
        <v>3361</v>
      </c>
      <c r="J613">
        <v>50112882932</v>
      </c>
      <c r="K613" t="s">
        <v>3526</v>
      </c>
      <c r="L613" t="s">
        <v>3591</v>
      </c>
      <c r="M613">
        <v>1</v>
      </c>
      <c r="N613" s="10">
        <v>21375</v>
      </c>
      <c r="O613" s="10">
        <f t="shared" si="79"/>
        <v>21375</v>
      </c>
      <c r="P613" s="10">
        <v>0</v>
      </c>
      <c r="Q613" s="10">
        <v>0</v>
      </c>
      <c r="R613" s="10">
        <f>IF(COUNTIF($J$2:J613,J613)=1,SUMIFS($O:$O,$J:$J,J613)+SUMIFS($P:$P,$J:$J,J613)+SUMIFS($Q:$Q,$J:$J,J613),"")</f>
        <v>24399</v>
      </c>
      <c r="S613" s="10">
        <v>24399</v>
      </c>
      <c r="T613" s="11" t="str">
        <f t="shared" si="83"/>
        <v>Ok</v>
      </c>
      <c r="U613" s="12">
        <v>45855</v>
      </c>
      <c r="V613" s="10">
        <v>14375</v>
      </c>
      <c r="W613" s="10" t="str">
        <f t="shared" si="80"/>
        <v>Short Paid</v>
      </c>
      <c r="X613" t="s">
        <v>476</v>
      </c>
      <c r="Y613" t="s">
        <v>40</v>
      </c>
      <c r="Z613">
        <v>100105</v>
      </c>
      <c r="AA613" t="s">
        <v>3092</v>
      </c>
      <c r="AB613" t="s">
        <v>522</v>
      </c>
      <c r="AC613" s="9">
        <v>2</v>
      </c>
      <c r="AD613" s="9" t="str">
        <f t="shared" si="82"/>
        <v>Ok</v>
      </c>
      <c r="AE613" s="11">
        <f t="shared" si="84"/>
        <v>0</v>
      </c>
    </row>
    <row r="614" spans="1:31" x14ac:dyDescent="0.3">
      <c r="A614">
        <v>93</v>
      </c>
      <c r="B614">
        <v>4565605</v>
      </c>
      <c r="C614" t="s">
        <v>239</v>
      </c>
      <c r="D614">
        <v>1030332</v>
      </c>
      <c r="E614" t="s">
        <v>659</v>
      </c>
      <c r="F614" t="s">
        <v>24</v>
      </c>
      <c r="G614" t="s">
        <v>2613</v>
      </c>
      <c r="H614" t="s">
        <v>2614</v>
      </c>
      <c r="I614" t="s">
        <v>3416</v>
      </c>
      <c r="J614">
        <v>50112882932</v>
      </c>
      <c r="K614" t="s">
        <v>3209</v>
      </c>
      <c r="L614" t="s">
        <v>3822</v>
      </c>
      <c r="M614">
        <v>240000</v>
      </c>
      <c r="N614" s="10">
        <v>1.26E-2</v>
      </c>
      <c r="O614" s="10">
        <f t="shared" si="79"/>
        <v>3024</v>
      </c>
      <c r="P614" s="10" t="s">
        <v>5006</v>
      </c>
      <c r="Q614" s="10" t="s">
        <v>5006</v>
      </c>
      <c r="R614" s="10" t="str">
        <f>IF(COUNTIF($J$2:J614,J614)=1,SUMIFS($O:$O,$J:$J,J614)+SUMIFS($P:$P,$J:$J,J614)+SUMIFS($Q:$Q,$J:$J,J614),"")</f>
        <v/>
      </c>
      <c r="S614" s="10" t="s">
        <v>5006</v>
      </c>
      <c r="T614" s="11" t="str">
        <f t="shared" si="83"/>
        <v>Ok</v>
      </c>
      <c r="U614" s="12">
        <v>45855</v>
      </c>
      <c r="V614" s="10">
        <v>14375</v>
      </c>
      <c r="W614" s="10" t="str">
        <f t="shared" si="80"/>
        <v>N/A</v>
      </c>
      <c r="X614" t="s">
        <v>476</v>
      </c>
      <c r="Y614" t="s">
        <v>40</v>
      </c>
      <c r="Z614">
        <v>100105</v>
      </c>
      <c r="AA614" t="s">
        <v>3092</v>
      </c>
      <c r="AB614" t="s">
        <v>522</v>
      </c>
      <c r="AC614" s="9">
        <v>2</v>
      </c>
      <c r="AD614" s="9" t="str">
        <f t="shared" si="82"/>
        <v>N/A</v>
      </c>
      <c r="AE614" s="11" t="e">
        <f t="shared" si="84"/>
        <v>#VALUE!</v>
      </c>
    </row>
    <row r="615" spans="1:31" x14ac:dyDescent="0.3">
      <c r="A615">
        <v>93</v>
      </c>
      <c r="B615">
        <v>4566440</v>
      </c>
      <c r="C615" t="s">
        <v>220</v>
      </c>
      <c r="D615">
        <v>1142492</v>
      </c>
      <c r="E615" t="s">
        <v>548</v>
      </c>
      <c r="F615" t="s">
        <v>20</v>
      </c>
      <c r="G615" t="s">
        <v>2619</v>
      </c>
      <c r="H615" t="s">
        <v>2620</v>
      </c>
      <c r="I615" t="s">
        <v>3402</v>
      </c>
      <c r="J615">
        <v>50112882939</v>
      </c>
      <c r="K615" t="s">
        <v>3165</v>
      </c>
      <c r="L615" t="s">
        <v>3819</v>
      </c>
      <c r="M615">
        <v>1</v>
      </c>
      <c r="N615" s="10">
        <v>2121</v>
      </c>
      <c r="O615" s="10">
        <f t="shared" si="79"/>
        <v>2121</v>
      </c>
      <c r="P615" s="10">
        <v>0</v>
      </c>
      <c r="Q615" s="10">
        <v>0</v>
      </c>
      <c r="R615" s="10">
        <f>IF(COUNTIF($J$2:J615,J615)=1,SUMIFS($O:$O,$J:$J,J615)+SUMIFS($P:$P,$J:$J,J615)+SUMIFS($Q:$Q,$J:$J,J615),"")</f>
        <v>3295.4</v>
      </c>
      <c r="S615" s="10">
        <v>3295.4</v>
      </c>
      <c r="T615" s="11" t="str">
        <f t="shared" si="83"/>
        <v>Ok</v>
      </c>
      <c r="U615" s="12">
        <v>46024</v>
      </c>
      <c r="V615" s="10">
        <v>2121</v>
      </c>
      <c r="W615" s="10" t="str">
        <f t="shared" si="80"/>
        <v>Short Paid</v>
      </c>
      <c r="X615" t="s">
        <v>470</v>
      </c>
      <c r="Y615" t="s">
        <v>28</v>
      </c>
      <c r="Z615">
        <v>100118</v>
      </c>
      <c r="AA615" t="s">
        <v>494</v>
      </c>
      <c r="AB615" t="s">
        <v>521</v>
      </c>
      <c r="AC615" s="9">
        <v>2</v>
      </c>
      <c r="AD615" s="9" t="str">
        <f t="shared" si="82"/>
        <v>Ok</v>
      </c>
      <c r="AE615" s="11">
        <f t="shared" si="84"/>
        <v>0</v>
      </c>
    </row>
    <row r="616" spans="1:31" x14ac:dyDescent="0.3">
      <c r="A616">
        <v>93</v>
      </c>
      <c r="B616">
        <v>4566440</v>
      </c>
      <c r="C616" t="s">
        <v>220</v>
      </c>
      <c r="D616">
        <v>1142492</v>
      </c>
      <c r="E616" t="s">
        <v>548</v>
      </c>
      <c r="F616" t="s">
        <v>20</v>
      </c>
      <c r="G616" t="s">
        <v>2619</v>
      </c>
      <c r="H616" t="s">
        <v>2620</v>
      </c>
      <c r="I616" t="s">
        <v>3581</v>
      </c>
      <c r="J616">
        <v>50112882939</v>
      </c>
      <c r="K616" t="s">
        <v>3168</v>
      </c>
      <c r="L616" t="s">
        <v>3823</v>
      </c>
      <c r="M616">
        <v>8000</v>
      </c>
      <c r="N616" s="10">
        <v>0.14680000000000001</v>
      </c>
      <c r="O616" s="10">
        <f t="shared" si="79"/>
        <v>1174.4000000000001</v>
      </c>
      <c r="P616" s="10" t="s">
        <v>5006</v>
      </c>
      <c r="Q616" s="10" t="s">
        <v>5006</v>
      </c>
      <c r="R616" s="10" t="str">
        <f>IF(COUNTIF($J$2:J616,J616)=1,SUMIFS($O:$O,$J:$J,J616)+SUMIFS($P:$P,$J:$J,J616)+SUMIFS($Q:$Q,$J:$J,J616),"")</f>
        <v/>
      </c>
      <c r="S616" s="10" t="s">
        <v>5006</v>
      </c>
      <c r="T616" s="11" t="str">
        <f t="shared" si="83"/>
        <v>Ok</v>
      </c>
      <c r="U616" s="12">
        <v>46024</v>
      </c>
      <c r="V616" s="10">
        <v>2121</v>
      </c>
      <c r="W616" s="10" t="str">
        <f t="shared" si="80"/>
        <v>N/A</v>
      </c>
      <c r="X616" t="s">
        <v>470</v>
      </c>
      <c r="Y616" t="s">
        <v>28</v>
      </c>
      <c r="Z616">
        <v>100118</v>
      </c>
      <c r="AA616" t="s">
        <v>494</v>
      </c>
      <c r="AB616" t="s">
        <v>521</v>
      </c>
      <c r="AC616" s="9">
        <v>2</v>
      </c>
      <c r="AD616" s="9" t="str">
        <f t="shared" si="82"/>
        <v>N/A</v>
      </c>
      <c r="AE616" s="11" t="e">
        <f t="shared" si="84"/>
        <v>#VALUE!</v>
      </c>
    </row>
    <row r="617" spans="1:31" x14ac:dyDescent="0.3">
      <c r="A617">
        <v>93</v>
      </c>
      <c r="B617">
        <v>4568388</v>
      </c>
      <c r="C617" t="s">
        <v>60</v>
      </c>
      <c r="D617">
        <v>1588891</v>
      </c>
      <c r="E617" t="s">
        <v>61</v>
      </c>
      <c r="F617" t="s">
        <v>19</v>
      </c>
      <c r="G617" t="s">
        <v>2629</v>
      </c>
      <c r="H617" t="s">
        <v>2630</v>
      </c>
      <c r="I617" t="s">
        <v>3476</v>
      </c>
      <c r="J617">
        <v>50113163492</v>
      </c>
      <c r="K617" t="s">
        <v>3177</v>
      </c>
      <c r="L617" t="s">
        <v>3176</v>
      </c>
      <c r="M617">
        <v>3000</v>
      </c>
      <c r="N617" s="10">
        <v>6.5799999999999997E-2</v>
      </c>
      <c r="O617" s="10">
        <f t="shared" si="79"/>
        <v>197.4</v>
      </c>
      <c r="P617" s="10">
        <v>0</v>
      </c>
      <c r="Q617" s="10">
        <v>0</v>
      </c>
      <c r="R617" s="10">
        <f>IF(COUNTIF($J$2:J617,J617)=1,SUMIFS($O:$O,$J:$J,J617)+SUMIFS($P:$P,$J:$J,J617)+SUMIFS($Q:$Q,$J:$J,J617),"")</f>
        <v>897.4</v>
      </c>
      <c r="S617" s="10">
        <v>1255.8</v>
      </c>
      <c r="T617" s="11" t="str">
        <f t="shared" si="83"/>
        <v>Check</v>
      </c>
      <c r="U617" s="12">
        <v>45777</v>
      </c>
      <c r="V617" s="10">
        <v>394.8</v>
      </c>
      <c r="W617" s="10" t="str">
        <f t="shared" si="80"/>
        <v>Short Paid</v>
      </c>
      <c r="X617" t="s">
        <v>438</v>
      </c>
      <c r="Y617" t="s">
        <v>28</v>
      </c>
      <c r="Z617">
        <v>100243</v>
      </c>
      <c r="AA617" t="s">
        <v>446</v>
      </c>
      <c r="AB617" t="s">
        <v>524</v>
      </c>
      <c r="AC617" s="9">
        <v>2</v>
      </c>
      <c r="AD617" s="9" t="str">
        <f t="shared" si="82"/>
        <v>Check</v>
      </c>
      <c r="AE617" s="11">
        <f t="shared" si="84"/>
        <v>-358.4</v>
      </c>
    </row>
    <row r="618" spans="1:31" x14ac:dyDescent="0.3">
      <c r="A618">
        <v>93</v>
      </c>
      <c r="B618">
        <v>4568388</v>
      </c>
      <c r="C618" t="s">
        <v>60</v>
      </c>
      <c r="D618">
        <v>1588891</v>
      </c>
      <c r="E618" t="s">
        <v>61</v>
      </c>
      <c r="F618" t="s">
        <v>19</v>
      </c>
      <c r="G618" t="s">
        <v>2629</v>
      </c>
      <c r="H618" t="s">
        <v>2630</v>
      </c>
      <c r="I618" t="s">
        <v>3326</v>
      </c>
      <c r="J618">
        <v>50113163492</v>
      </c>
      <c r="K618" t="s">
        <v>3183</v>
      </c>
      <c r="L618" t="s">
        <v>3824</v>
      </c>
      <c r="M618">
        <v>500</v>
      </c>
      <c r="N618" s="10">
        <v>1.4</v>
      </c>
      <c r="O618" s="10">
        <f t="shared" si="79"/>
        <v>700</v>
      </c>
      <c r="P618" s="10" t="s">
        <v>5006</v>
      </c>
      <c r="Q618" s="10" t="s">
        <v>5006</v>
      </c>
      <c r="R618" s="10" t="str">
        <f>IF(COUNTIF($J$2:J618,J618)=1,SUMIFS($O:$O,$J:$J,J618)+SUMIFS($P:$P,$J:$J,J618)+SUMIFS($Q:$Q,$J:$J,J618),"")</f>
        <v/>
      </c>
      <c r="S618" s="10" t="s">
        <v>5006</v>
      </c>
      <c r="T618" s="11" t="str">
        <f t="shared" si="83"/>
        <v>Check</v>
      </c>
      <c r="U618" s="12">
        <v>45777</v>
      </c>
      <c r="V618" s="10">
        <v>394.8</v>
      </c>
      <c r="W618" s="10" t="str">
        <f t="shared" si="80"/>
        <v>N/A</v>
      </c>
      <c r="X618" t="s">
        <v>438</v>
      </c>
      <c r="Y618" t="s">
        <v>28</v>
      </c>
      <c r="Z618">
        <v>100243</v>
      </c>
      <c r="AA618" t="s">
        <v>446</v>
      </c>
      <c r="AB618" t="s">
        <v>524</v>
      </c>
      <c r="AC618" s="9">
        <v>2</v>
      </c>
      <c r="AD618" s="9" t="str">
        <f t="shared" si="82"/>
        <v>N/A</v>
      </c>
      <c r="AE618" s="11" t="e">
        <f t="shared" si="84"/>
        <v>#VALUE!</v>
      </c>
    </row>
    <row r="619" spans="1:31" x14ac:dyDescent="0.3">
      <c r="A619">
        <v>93</v>
      </c>
      <c r="B619">
        <v>4569779</v>
      </c>
      <c r="C619" t="s">
        <v>60</v>
      </c>
      <c r="D619">
        <v>1588891</v>
      </c>
      <c r="E619" t="s">
        <v>61</v>
      </c>
      <c r="F619" t="s">
        <v>19</v>
      </c>
      <c r="G619" t="s">
        <v>770</v>
      </c>
      <c r="H619" t="s">
        <v>771</v>
      </c>
      <c r="I619" t="s">
        <v>3322</v>
      </c>
      <c r="J619">
        <v>50113288007</v>
      </c>
      <c r="K619" t="s">
        <v>3183</v>
      </c>
      <c r="L619" t="s">
        <v>3825</v>
      </c>
      <c r="M619">
        <v>16</v>
      </c>
      <c r="N619" s="10">
        <v>157.03</v>
      </c>
      <c r="O619" s="10">
        <f t="shared" si="79"/>
        <v>2512.48</v>
      </c>
      <c r="P619" s="10">
        <v>0</v>
      </c>
      <c r="Q619" s="10">
        <v>0</v>
      </c>
      <c r="R619" s="10">
        <f>IF(COUNTIF($J$2:J619,J619)=1,SUMIFS($O:$O,$J:$J,J619)+SUMIFS($P:$P,$J:$J,J619)+SUMIFS($Q:$Q,$J:$J,J619),"")</f>
        <v>2644.08</v>
      </c>
      <c r="S619" s="10">
        <v>5156.5600000000004</v>
      </c>
      <c r="T619" s="11" t="str">
        <f t="shared" si="83"/>
        <v>Check</v>
      </c>
      <c r="U619" s="12">
        <v>45692</v>
      </c>
      <c r="V619" s="10">
        <v>131.6</v>
      </c>
      <c r="W619" s="10" t="str">
        <f t="shared" si="80"/>
        <v>Short Paid</v>
      </c>
      <c r="X619" t="s">
        <v>438</v>
      </c>
      <c r="Y619" t="s">
        <v>28</v>
      </c>
      <c r="Z619">
        <v>100153</v>
      </c>
      <c r="AA619" t="s">
        <v>445</v>
      </c>
      <c r="AB619" t="s">
        <v>524</v>
      </c>
      <c r="AC619" s="9">
        <v>2</v>
      </c>
      <c r="AD619" s="9" t="str">
        <f t="shared" si="82"/>
        <v>Check</v>
      </c>
      <c r="AE619" s="11">
        <f t="shared" si="84"/>
        <v>-2512.4800000000005</v>
      </c>
    </row>
    <row r="620" spans="1:31" x14ac:dyDescent="0.3">
      <c r="A620">
        <v>93</v>
      </c>
      <c r="B620">
        <v>4569779</v>
      </c>
      <c r="C620" t="s">
        <v>60</v>
      </c>
      <c r="D620">
        <v>1588891</v>
      </c>
      <c r="E620" t="s">
        <v>61</v>
      </c>
      <c r="F620" t="s">
        <v>19</v>
      </c>
      <c r="G620" t="s">
        <v>770</v>
      </c>
      <c r="H620" t="s">
        <v>771</v>
      </c>
      <c r="I620" t="s">
        <v>3254</v>
      </c>
      <c r="J620">
        <v>50113288007</v>
      </c>
      <c r="K620" t="s">
        <v>3177</v>
      </c>
      <c r="L620" t="s">
        <v>3176</v>
      </c>
      <c r="M620">
        <v>2000</v>
      </c>
      <c r="N620" s="10">
        <v>6.5799999999999997E-2</v>
      </c>
      <c r="O620" s="10">
        <f t="shared" si="79"/>
        <v>131.6</v>
      </c>
      <c r="P620" s="10" t="s">
        <v>5006</v>
      </c>
      <c r="Q620" s="10" t="s">
        <v>5006</v>
      </c>
      <c r="R620" s="10" t="str">
        <f>IF(COUNTIF($J$2:J620,J620)=1,SUMIFS($O:$O,$J:$J,J620)+SUMIFS($P:$P,$J:$J,J620)+SUMIFS($Q:$Q,$J:$J,J620),"")</f>
        <v/>
      </c>
      <c r="S620" s="10" t="s">
        <v>5006</v>
      </c>
      <c r="T620" s="11" t="str">
        <f t="shared" si="83"/>
        <v>Check</v>
      </c>
      <c r="U620" s="12">
        <v>45692</v>
      </c>
      <c r="V620" s="10">
        <v>131.6</v>
      </c>
      <c r="W620" s="10" t="str">
        <f t="shared" si="80"/>
        <v>N/A</v>
      </c>
      <c r="X620" t="s">
        <v>438</v>
      </c>
      <c r="Y620" t="s">
        <v>28</v>
      </c>
      <c r="Z620">
        <v>100153</v>
      </c>
      <c r="AA620" t="s">
        <v>445</v>
      </c>
      <c r="AB620" t="s">
        <v>524</v>
      </c>
      <c r="AC620" s="9">
        <v>2</v>
      </c>
      <c r="AD620" s="9" t="str">
        <f t="shared" si="82"/>
        <v>N/A</v>
      </c>
      <c r="AE620" s="11" t="e">
        <f t="shared" si="84"/>
        <v>#VALUE!</v>
      </c>
    </row>
    <row r="621" spans="1:31" x14ac:dyDescent="0.3">
      <c r="A621">
        <v>93</v>
      </c>
      <c r="B621">
        <v>4570336</v>
      </c>
      <c r="C621" t="s">
        <v>60</v>
      </c>
      <c r="D621">
        <v>1588891</v>
      </c>
      <c r="E621" t="s">
        <v>61</v>
      </c>
      <c r="F621" t="s">
        <v>19</v>
      </c>
      <c r="G621" t="s">
        <v>772</v>
      </c>
      <c r="H621" t="s">
        <v>773</v>
      </c>
      <c r="I621" t="s">
        <v>3350</v>
      </c>
      <c r="J621">
        <v>50113396785</v>
      </c>
      <c r="K621" t="s">
        <v>3183</v>
      </c>
      <c r="L621" t="s">
        <v>3826</v>
      </c>
      <c r="M621">
        <v>30</v>
      </c>
      <c r="N621" s="10">
        <v>5.3</v>
      </c>
      <c r="O621" s="10">
        <f t="shared" si="79"/>
        <v>159</v>
      </c>
      <c r="P621" s="10">
        <v>0</v>
      </c>
      <c r="Q621" s="10">
        <v>0</v>
      </c>
      <c r="R621" s="10">
        <f>IF(COUNTIF($J$2:J621,J621)=1,SUMIFS($O:$O,$J:$J,J621)+SUMIFS($P:$P,$J:$J,J621)+SUMIFS($Q:$Q,$J:$J,J621),"")</f>
        <v>553.79999999999995</v>
      </c>
      <c r="S621" s="10">
        <v>712.8</v>
      </c>
      <c r="T621" s="11" t="str">
        <f t="shared" si="83"/>
        <v>Check</v>
      </c>
      <c r="U621" s="12">
        <v>45862</v>
      </c>
      <c r="V621" s="10">
        <v>394.8</v>
      </c>
      <c r="W621" s="10" t="str">
        <f t="shared" si="80"/>
        <v>Short Paid</v>
      </c>
      <c r="X621" t="s">
        <v>438</v>
      </c>
      <c r="Y621" t="s">
        <v>28</v>
      </c>
      <c r="Z621">
        <v>100193</v>
      </c>
      <c r="AA621" t="s">
        <v>442</v>
      </c>
      <c r="AB621" t="s">
        <v>524</v>
      </c>
      <c r="AC621" s="9">
        <v>2</v>
      </c>
      <c r="AD621" s="9" t="str">
        <f t="shared" si="82"/>
        <v>Check</v>
      </c>
      <c r="AE621" s="11">
        <f t="shared" si="84"/>
        <v>-159</v>
      </c>
    </row>
    <row r="622" spans="1:31" x14ac:dyDescent="0.3">
      <c r="A622">
        <v>93</v>
      </c>
      <c r="B622">
        <v>4570336</v>
      </c>
      <c r="C622" t="s">
        <v>60</v>
      </c>
      <c r="D622">
        <v>1588891</v>
      </c>
      <c r="E622" t="s">
        <v>61</v>
      </c>
      <c r="F622" t="s">
        <v>19</v>
      </c>
      <c r="G622" t="s">
        <v>772</v>
      </c>
      <c r="H622" t="s">
        <v>773</v>
      </c>
      <c r="I622" t="s">
        <v>3242</v>
      </c>
      <c r="J622">
        <v>50113396785</v>
      </c>
      <c r="K622" t="s">
        <v>3177</v>
      </c>
      <c r="L622" t="s">
        <v>3176</v>
      </c>
      <c r="M622">
        <v>6000</v>
      </c>
      <c r="N622" s="10">
        <v>6.5799999999999997E-2</v>
      </c>
      <c r="O622" s="10">
        <f t="shared" si="79"/>
        <v>394.8</v>
      </c>
      <c r="P622" s="10" t="s">
        <v>5006</v>
      </c>
      <c r="Q622" s="10" t="s">
        <v>5006</v>
      </c>
      <c r="R622" s="10" t="str">
        <f>IF(COUNTIF($J$2:J622,J622)=1,SUMIFS($O:$O,$J:$J,J622)+SUMIFS($P:$P,$J:$J,J622)+SUMIFS($Q:$Q,$J:$J,J622),"")</f>
        <v/>
      </c>
      <c r="S622" s="10" t="s">
        <v>5006</v>
      </c>
      <c r="T622" s="11" t="str">
        <f t="shared" si="83"/>
        <v>Check</v>
      </c>
      <c r="U622" s="12">
        <v>45862</v>
      </c>
      <c r="V622" s="10">
        <v>394.8</v>
      </c>
      <c r="W622" s="10" t="str">
        <f t="shared" si="80"/>
        <v>N/A</v>
      </c>
      <c r="X622" t="s">
        <v>438</v>
      </c>
      <c r="Y622" t="s">
        <v>28</v>
      </c>
      <c r="Z622">
        <v>100193</v>
      </c>
      <c r="AA622" t="s">
        <v>442</v>
      </c>
      <c r="AB622" t="s">
        <v>524</v>
      </c>
      <c r="AC622" s="9">
        <v>2</v>
      </c>
      <c r="AD622" s="9" t="str">
        <f t="shared" si="82"/>
        <v>N/A</v>
      </c>
      <c r="AE622" s="11" t="e">
        <f t="shared" si="84"/>
        <v>#VALUE!</v>
      </c>
    </row>
    <row r="623" spans="1:31" x14ac:dyDescent="0.3">
      <c r="A623">
        <v>93</v>
      </c>
      <c r="B623">
        <v>4575345</v>
      </c>
      <c r="C623" t="s">
        <v>60</v>
      </c>
      <c r="D623">
        <v>1588891</v>
      </c>
      <c r="E623" t="s">
        <v>61</v>
      </c>
      <c r="F623" t="s">
        <v>19</v>
      </c>
      <c r="G623" t="s">
        <v>800</v>
      </c>
      <c r="H623" t="s">
        <v>801</v>
      </c>
      <c r="I623" t="s">
        <v>3169</v>
      </c>
      <c r="J623">
        <v>50113969717</v>
      </c>
      <c r="K623" t="s">
        <v>3339</v>
      </c>
      <c r="L623" t="s">
        <v>3827</v>
      </c>
      <c r="M623">
        <v>7</v>
      </c>
      <c r="N623" s="10">
        <v>661.84</v>
      </c>
      <c r="O623" s="10">
        <f t="shared" si="79"/>
        <v>4632.88</v>
      </c>
      <c r="P623" s="10">
        <v>0</v>
      </c>
      <c r="Q623" s="10">
        <v>0</v>
      </c>
      <c r="R623" s="10">
        <f>IF(COUNTIF($J$2:J623,J623)=1,SUMIFS($O:$O,$J:$J,J623)+SUMIFS($P:$P,$J:$J,J623)+SUMIFS($Q:$Q,$J:$J,J623),"")</f>
        <v>13160.880000000001</v>
      </c>
      <c r="S623" s="10">
        <v>13160.880000000001</v>
      </c>
      <c r="T623" s="11" t="str">
        <f t="shared" si="83"/>
        <v>Ok</v>
      </c>
      <c r="U623" s="12">
        <v>45813</v>
      </c>
      <c r="V623" s="10">
        <v>8528</v>
      </c>
      <c r="W623" s="10" t="str">
        <f t="shared" si="80"/>
        <v>Short Paid</v>
      </c>
      <c r="X623" t="s">
        <v>438</v>
      </c>
      <c r="Y623" t="s">
        <v>28</v>
      </c>
      <c r="Z623">
        <v>100153</v>
      </c>
      <c r="AA623" t="s">
        <v>445</v>
      </c>
      <c r="AB623" t="s">
        <v>524</v>
      </c>
      <c r="AC623" s="9">
        <v>2</v>
      </c>
      <c r="AD623" s="9" t="str">
        <f t="shared" si="82"/>
        <v>Ok</v>
      </c>
      <c r="AE623" s="11">
        <f t="shared" si="84"/>
        <v>0</v>
      </c>
    </row>
    <row r="624" spans="1:31" x14ac:dyDescent="0.3">
      <c r="A624">
        <v>93</v>
      </c>
      <c r="B624">
        <v>4575345</v>
      </c>
      <c r="C624" t="s">
        <v>60</v>
      </c>
      <c r="D624">
        <v>1588891</v>
      </c>
      <c r="E624" t="s">
        <v>61</v>
      </c>
      <c r="F624" t="s">
        <v>19</v>
      </c>
      <c r="G624" t="s">
        <v>800</v>
      </c>
      <c r="H624" t="s">
        <v>801</v>
      </c>
      <c r="I624" t="s">
        <v>3312</v>
      </c>
      <c r="J624">
        <v>50113969717</v>
      </c>
      <c r="K624" t="s">
        <v>3180</v>
      </c>
      <c r="L624" t="s">
        <v>3179</v>
      </c>
      <c r="M624">
        <v>8000</v>
      </c>
      <c r="N624" s="10">
        <v>1.0660000000000001</v>
      </c>
      <c r="O624" s="10">
        <f t="shared" si="79"/>
        <v>8528</v>
      </c>
      <c r="P624" s="10" t="s">
        <v>5006</v>
      </c>
      <c r="Q624" s="10" t="s">
        <v>5006</v>
      </c>
      <c r="R624" s="10" t="str">
        <f>IF(COUNTIF($J$2:J624,J624)=1,SUMIFS($O:$O,$J:$J,J624)+SUMIFS($P:$P,$J:$J,J624)+SUMIFS($Q:$Q,$J:$J,J624),"")</f>
        <v/>
      </c>
      <c r="S624" s="10" t="s">
        <v>5006</v>
      </c>
      <c r="T624" s="11" t="str">
        <f t="shared" si="83"/>
        <v>Ok</v>
      </c>
      <c r="U624" s="12">
        <v>45813</v>
      </c>
      <c r="V624" s="10">
        <v>8528</v>
      </c>
      <c r="W624" s="10" t="str">
        <f t="shared" si="80"/>
        <v>N/A</v>
      </c>
      <c r="X624" t="s">
        <v>438</v>
      </c>
      <c r="Y624" t="s">
        <v>28</v>
      </c>
      <c r="Z624">
        <v>100153</v>
      </c>
      <c r="AA624" t="s">
        <v>445</v>
      </c>
      <c r="AB624" t="s">
        <v>524</v>
      </c>
      <c r="AC624" s="9">
        <v>2</v>
      </c>
      <c r="AD624" s="9" t="str">
        <f t="shared" si="82"/>
        <v>N/A</v>
      </c>
      <c r="AE624" s="11" t="e">
        <f t="shared" si="84"/>
        <v>#VALUE!</v>
      </c>
    </row>
    <row r="625" spans="1:31" x14ac:dyDescent="0.3">
      <c r="A625">
        <v>92</v>
      </c>
      <c r="B625">
        <v>4579241</v>
      </c>
      <c r="C625" t="s">
        <v>94</v>
      </c>
      <c r="D625">
        <v>1470631</v>
      </c>
      <c r="E625" t="s">
        <v>214</v>
      </c>
      <c r="F625" t="s">
        <v>20</v>
      </c>
      <c r="G625" t="s">
        <v>804</v>
      </c>
      <c r="H625" t="s">
        <v>805</v>
      </c>
      <c r="I625" t="s">
        <v>3395</v>
      </c>
      <c r="J625">
        <v>50114480013</v>
      </c>
      <c r="K625" t="s">
        <v>3500</v>
      </c>
      <c r="L625" t="s">
        <v>3828</v>
      </c>
      <c r="M625">
        <v>1</v>
      </c>
      <c r="N625" s="10">
        <v>9737</v>
      </c>
      <c r="O625" s="10">
        <f t="shared" si="79"/>
        <v>9737</v>
      </c>
      <c r="P625" s="10">
        <v>0</v>
      </c>
      <c r="Q625" s="10" t="s">
        <v>5006</v>
      </c>
      <c r="R625" s="10">
        <f>IF(COUNTIF($J$2:J625,J625)=1,SUMIFS($O:$O,$J:$J,J625)+SUMIFS($P:$P,$J:$J,J625)+SUMIFS($Q:$Q,$J:$J,J625),"")</f>
        <v>12337</v>
      </c>
      <c r="S625" s="10">
        <v>12337</v>
      </c>
      <c r="T625" s="11" t="str">
        <f t="shared" si="83"/>
        <v>Ok</v>
      </c>
      <c r="U625" s="12">
        <v>45807</v>
      </c>
      <c r="V625" s="10">
        <v>9737</v>
      </c>
      <c r="W625" s="10" t="str">
        <f t="shared" si="80"/>
        <v>Short Paid</v>
      </c>
      <c r="X625" t="s">
        <v>450</v>
      </c>
      <c r="Y625" t="s">
        <v>28</v>
      </c>
      <c r="Z625">
        <v>100237</v>
      </c>
      <c r="AA625" t="s">
        <v>3094</v>
      </c>
      <c r="AB625" t="s">
        <v>521</v>
      </c>
      <c r="AC625" s="9">
        <v>2</v>
      </c>
      <c r="AD625" s="9" t="str">
        <f t="shared" si="82"/>
        <v>Ok</v>
      </c>
      <c r="AE625" s="11">
        <f t="shared" si="84"/>
        <v>0</v>
      </c>
    </row>
    <row r="626" spans="1:31" x14ac:dyDescent="0.3">
      <c r="A626">
        <v>92</v>
      </c>
      <c r="B626">
        <v>4579241</v>
      </c>
      <c r="C626" t="s">
        <v>94</v>
      </c>
      <c r="D626">
        <v>1470631</v>
      </c>
      <c r="E626" t="s">
        <v>214</v>
      </c>
      <c r="F626" t="s">
        <v>20</v>
      </c>
      <c r="G626" t="s">
        <v>804</v>
      </c>
      <c r="H626" t="s">
        <v>805</v>
      </c>
      <c r="I626" t="s">
        <v>3234</v>
      </c>
      <c r="J626">
        <v>50114480013</v>
      </c>
      <c r="K626" t="s">
        <v>3830</v>
      </c>
      <c r="L626" t="s">
        <v>3829</v>
      </c>
      <c r="M626">
        <v>40</v>
      </c>
      <c r="N626" s="10">
        <v>65</v>
      </c>
      <c r="O626" s="10">
        <f t="shared" si="79"/>
        <v>2600</v>
      </c>
      <c r="P626" s="10" t="s">
        <v>5006</v>
      </c>
      <c r="Q626" s="10" t="s">
        <v>5006</v>
      </c>
      <c r="R626" s="10" t="str">
        <f>IF(COUNTIF($J$2:J626,J626)=1,SUMIFS($O:$O,$J:$J,J626)+SUMIFS($P:$P,$J:$J,J626)+SUMIFS($Q:$Q,$J:$J,J626),"")</f>
        <v/>
      </c>
      <c r="S626" s="10" t="s">
        <v>5006</v>
      </c>
      <c r="T626" s="11" t="str">
        <f t="shared" si="83"/>
        <v>Ok</v>
      </c>
      <c r="U626" s="12">
        <v>45807</v>
      </c>
      <c r="V626" s="10">
        <v>9737</v>
      </c>
      <c r="W626" s="10" t="str">
        <f t="shared" si="80"/>
        <v>N/A</v>
      </c>
      <c r="X626" t="s">
        <v>450</v>
      </c>
      <c r="Y626" t="s">
        <v>28</v>
      </c>
      <c r="Z626">
        <v>100237</v>
      </c>
      <c r="AA626" t="s">
        <v>3094</v>
      </c>
      <c r="AB626" t="s">
        <v>521</v>
      </c>
      <c r="AC626" s="9">
        <v>2</v>
      </c>
      <c r="AD626" s="9" t="str">
        <f t="shared" si="82"/>
        <v>N/A</v>
      </c>
      <c r="AE626" s="11" t="e">
        <f t="shared" si="84"/>
        <v>#VALUE!</v>
      </c>
    </row>
    <row r="627" spans="1:31" x14ac:dyDescent="0.3">
      <c r="A627">
        <v>92</v>
      </c>
      <c r="B627">
        <v>4581745</v>
      </c>
      <c r="C627" t="s">
        <v>94</v>
      </c>
      <c r="D627">
        <v>1200599</v>
      </c>
      <c r="E627" t="s">
        <v>656</v>
      </c>
      <c r="F627" t="s">
        <v>19</v>
      </c>
      <c r="G627" t="s">
        <v>2653</v>
      </c>
      <c r="H627" t="s">
        <v>810</v>
      </c>
      <c r="I627" t="s">
        <v>3273</v>
      </c>
      <c r="J627">
        <v>50114552594</v>
      </c>
      <c r="K627" t="s">
        <v>3289</v>
      </c>
      <c r="L627" t="s">
        <v>3831</v>
      </c>
      <c r="M627">
        <v>402000</v>
      </c>
      <c r="N627" s="10">
        <v>3.7679999999999998E-2</v>
      </c>
      <c r="O627" s="10">
        <f t="shared" si="79"/>
        <v>15147.359999999999</v>
      </c>
      <c r="P627" s="10">
        <v>0</v>
      </c>
      <c r="Q627" s="10">
        <v>0</v>
      </c>
      <c r="R627" s="10">
        <f>IF(COUNTIF($J$2:J627,J627)=1,SUMIFS($O:$O,$J:$J,J627)+SUMIFS($P:$P,$J:$J,J627)+SUMIFS($Q:$Q,$J:$J,J627),"")</f>
        <v>101250.90000000001</v>
      </c>
      <c r="S627" s="10">
        <v>101295.12</v>
      </c>
      <c r="T627" s="11" t="str">
        <f t="shared" si="83"/>
        <v>Check</v>
      </c>
      <c r="U627" s="12">
        <v>46072</v>
      </c>
      <c r="V627" s="10">
        <v>15147.36</v>
      </c>
      <c r="W627" s="10" t="str">
        <f t="shared" si="80"/>
        <v>Short Paid</v>
      </c>
      <c r="X627" t="s">
        <v>450</v>
      </c>
      <c r="Y627" t="s">
        <v>28</v>
      </c>
      <c r="Z627">
        <v>100207</v>
      </c>
      <c r="AA627" t="s">
        <v>519</v>
      </c>
      <c r="AB627" t="s">
        <v>524</v>
      </c>
      <c r="AC627" s="9">
        <v>3</v>
      </c>
      <c r="AD627" s="9" t="str">
        <f t="shared" si="82"/>
        <v>Check</v>
      </c>
      <c r="AE627" s="11">
        <f t="shared" si="84"/>
        <v>-44.219999999986612</v>
      </c>
    </row>
    <row r="628" spans="1:31" x14ac:dyDescent="0.3">
      <c r="A628">
        <v>92</v>
      </c>
      <c r="B628">
        <v>4581745</v>
      </c>
      <c r="C628" t="s">
        <v>94</v>
      </c>
      <c r="D628">
        <v>1200599</v>
      </c>
      <c r="E628" t="s">
        <v>656</v>
      </c>
      <c r="F628" t="s">
        <v>19</v>
      </c>
      <c r="G628" t="s">
        <v>2653</v>
      </c>
      <c r="H628" t="s">
        <v>810</v>
      </c>
      <c r="I628" t="s">
        <v>3253</v>
      </c>
      <c r="J628">
        <v>50114552594</v>
      </c>
      <c r="K628" t="s">
        <v>3362</v>
      </c>
      <c r="L628" t="s">
        <v>3832</v>
      </c>
      <c r="M628">
        <v>3</v>
      </c>
      <c r="N628" s="10">
        <v>28700.68</v>
      </c>
      <c r="O628" s="10">
        <f t="shared" si="79"/>
        <v>86102.040000000008</v>
      </c>
      <c r="P628" s="10" t="s">
        <v>5006</v>
      </c>
      <c r="Q628" s="10" t="s">
        <v>5006</v>
      </c>
      <c r="R628" s="10" t="str">
        <f>IF(COUNTIF($J$2:J628,J628)=1,SUMIFS($O:$O,$J:$J,J628)+SUMIFS($P:$P,$J:$J,J628)+SUMIFS($Q:$Q,$J:$J,J628),"")</f>
        <v/>
      </c>
      <c r="S628" s="10" t="s">
        <v>5006</v>
      </c>
      <c r="T628" s="11" t="str">
        <f t="shared" si="83"/>
        <v>Check</v>
      </c>
      <c r="U628" s="12">
        <v>46072</v>
      </c>
      <c r="V628" s="10">
        <v>15147.36</v>
      </c>
      <c r="W628" s="10" t="str">
        <f t="shared" si="80"/>
        <v>N/A</v>
      </c>
      <c r="X628" t="s">
        <v>450</v>
      </c>
      <c r="Y628" t="s">
        <v>28</v>
      </c>
      <c r="Z628">
        <v>100207</v>
      </c>
      <c r="AA628" t="s">
        <v>519</v>
      </c>
      <c r="AB628" t="s">
        <v>524</v>
      </c>
      <c r="AC628" s="9">
        <v>3</v>
      </c>
      <c r="AD628" s="9" t="str">
        <f t="shared" si="82"/>
        <v>N/A</v>
      </c>
      <c r="AE628" s="11" t="e">
        <f t="shared" si="84"/>
        <v>#VALUE!</v>
      </c>
    </row>
    <row r="629" spans="1:31" x14ac:dyDescent="0.3">
      <c r="A629">
        <v>92</v>
      </c>
      <c r="B629">
        <v>4581745</v>
      </c>
      <c r="C629" t="s">
        <v>94</v>
      </c>
      <c r="D629">
        <v>1200599</v>
      </c>
      <c r="E629" t="s">
        <v>656</v>
      </c>
      <c r="F629" t="s">
        <v>19</v>
      </c>
      <c r="G629" t="s">
        <v>2653</v>
      </c>
      <c r="H629" t="s">
        <v>810</v>
      </c>
      <c r="I629" t="s">
        <v>3253</v>
      </c>
      <c r="J629">
        <v>50114552594</v>
      </c>
      <c r="K629" t="s">
        <v>3183</v>
      </c>
      <c r="L629" t="s">
        <v>3816</v>
      </c>
      <c r="M629">
        <v>6</v>
      </c>
      <c r="N629" s="10">
        <v>0.25</v>
      </c>
      <c r="O629" s="10">
        <f t="shared" si="79"/>
        <v>1.5</v>
      </c>
      <c r="P629" s="10" t="s">
        <v>5006</v>
      </c>
      <c r="Q629" s="10" t="s">
        <v>5006</v>
      </c>
      <c r="R629" s="10" t="str">
        <f>IF(COUNTIF($J$2:J629,J629)=1,SUMIFS($O:$O,$J:$J,J629)+SUMIFS($P:$P,$J:$J,J629)+SUMIFS($Q:$Q,$J:$J,J629),"")</f>
        <v/>
      </c>
      <c r="S629" s="10" t="s">
        <v>5006</v>
      </c>
      <c r="T629" s="11" t="str">
        <f t="shared" si="83"/>
        <v>Check</v>
      </c>
      <c r="U629" s="12">
        <v>46072</v>
      </c>
      <c r="V629" s="10">
        <v>15147.36</v>
      </c>
      <c r="W629" s="10" t="str">
        <f t="shared" si="80"/>
        <v>N/A</v>
      </c>
      <c r="X629" t="s">
        <v>450</v>
      </c>
      <c r="Y629" t="s">
        <v>28</v>
      </c>
      <c r="Z629">
        <v>100207</v>
      </c>
      <c r="AA629" t="s">
        <v>519</v>
      </c>
      <c r="AB629" t="s">
        <v>524</v>
      </c>
      <c r="AC629" s="9">
        <v>3</v>
      </c>
      <c r="AD629" s="9" t="str">
        <f t="shared" si="82"/>
        <v>N/A</v>
      </c>
      <c r="AE629" s="11" t="e">
        <f t="shared" si="84"/>
        <v>#VALUE!</v>
      </c>
    </row>
    <row r="630" spans="1:31" x14ac:dyDescent="0.3">
      <c r="A630">
        <v>92</v>
      </c>
      <c r="B630">
        <v>4585641</v>
      </c>
      <c r="C630" t="s">
        <v>167</v>
      </c>
      <c r="D630">
        <v>1236114</v>
      </c>
      <c r="E630" t="s">
        <v>170</v>
      </c>
      <c r="F630" t="s">
        <v>20</v>
      </c>
      <c r="G630" t="s">
        <v>2656</v>
      </c>
      <c r="H630" t="s">
        <v>2657</v>
      </c>
      <c r="I630" t="s">
        <v>3221</v>
      </c>
      <c r="J630">
        <v>50114792040</v>
      </c>
      <c r="K630" t="s">
        <v>3244</v>
      </c>
      <c r="L630" t="s">
        <v>3833</v>
      </c>
      <c r="M630">
        <v>110</v>
      </c>
      <c r="N630" s="10">
        <v>289.43</v>
      </c>
      <c r="O630" s="10">
        <f t="shared" si="79"/>
        <v>31837.3</v>
      </c>
      <c r="P630" s="10">
        <v>0</v>
      </c>
      <c r="Q630" s="10" t="s">
        <v>5006</v>
      </c>
      <c r="R630" s="10">
        <f>IF(COUNTIF($J$2:J630,J630)=1,SUMIFS($O:$O,$J:$J,J630)+SUMIFS($P:$P,$J:$J,J630)+SUMIFS($Q:$Q,$J:$J,J630),"")</f>
        <v>33024.5</v>
      </c>
      <c r="S630" s="10">
        <v>33297.56</v>
      </c>
      <c r="T630" s="11" t="str">
        <f t="shared" si="83"/>
        <v>Check</v>
      </c>
      <c r="U630" s="12">
        <v>45982</v>
      </c>
      <c r="V630" s="10">
        <v>31837.3</v>
      </c>
      <c r="W630" s="10" t="str">
        <f t="shared" si="80"/>
        <v>Short Paid</v>
      </c>
      <c r="X630" t="s">
        <v>455</v>
      </c>
      <c r="Y630" t="s">
        <v>28</v>
      </c>
      <c r="Z630">
        <v>100280</v>
      </c>
      <c r="AA630" t="s">
        <v>465</v>
      </c>
      <c r="AB630" t="s">
        <v>521</v>
      </c>
      <c r="AC630" s="9">
        <v>2</v>
      </c>
      <c r="AD630" s="9" t="str">
        <f t="shared" si="82"/>
        <v>Check</v>
      </c>
      <c r="AE630" s="11">
        <f t="shared" si="84"/>
        <v>-273.05999999999767</v>
      </c>
    </row>
    <row r="631" spans="1:31" x14ac:dyDescent="0.3">
      <c r="A631">
        <v>92</v>
      </c>
      <c r="B631">
        <v>4585641</v>
      </c>
      <c r="C631" t="s">
        <v>167</v>
      </c>
      <c r="D631">
        <v>1236114</v>
      </c>
      <c r="E631" t="s">
        <v>170</v>
      </c>
      <c r="F631" t="s">
        <v>20</v>
      </c>
      <c r="G631" t="s">
        <v>2656</v>
      </c>
      <c r="H631" t="s">
        <v>2657</v>
      </c>
      <c r="I631" t="s">
        <v>3462</v>
      </c>
      <c r="J631">
        <v>50114792040</v>
      </c>
      <c r="K631" t="s">
        <v>3183</v>
      </c>
      <c r="L631" t="s">
        <v>3182</v>
      </c>
      <c r="M631">
        <v>16</v>
      </c>
      <c r="N631" s="10">
        <v>74.2</v>
      </c>
      <c r="O631" s="10">
        <f t="shared" si="79"/>
        <v>1187.2</v>
      </c>
      <c r="P631" s="10" t="s">
        <v>5006</v>
      </c>
      <c r="Q631" s="10" t="s">
        <v>5006</v>
      </c>
      <c r="R631" s="10" t="str">
        <f>IF(COUNTIF($J$2:J631,J631)=1,SUMIFS($O:$O,$J:$J,J631)+SUMIFS($P:$P,$J:$J,J631)+SUMIFS($Q:$Q,$J:$J,J631),"")</f>
        <v/>
      </c>
      <c r="S631" s="10" t="s">
        <v>5006</v>
      </c>
      <c r="T631" s="11" t="str">
        <f t="shared" si="83"/>
        <v>Check</v>
      </c>
      <c r="U631" s="12">
        <v>45982</v>
      </c>
      <c r="V631" s="10">
        <v>31837.3</v>
      </c>
      <c r="W631" s="10" t="str">
        <f t="shared" si="80"/>
        <v>N/A</v>
      </c>
      <c r="X631" t="s">
        <v>455</v>
      </c>
      <c r="Y631" t="s">
        <v>28</v>
      </c>
      <c r="Z631">
        <v>100280</v>
      </c>
      <c r="AA631" t="s">
        <v>465</v>
      </c>
      <c r="AB631" t="s">
        <v>521</v>
      </c>
      <c r="AC631" s="9">
        <v>2</v>
      </c>
      <c r="AD631" s="9" t="str">
        <f t="shared" si="82"/>
        <v>N/A</v>
      </c>
      <c r="AE631" s="11" t="e">
        <f t="shared" si="84"/>
        <v>#VALUE!</v>
      </c>
    </row>
    <row r="632" spans="1:31" x14ac:dyDescent="0.3">
      <c r="A632">
        <v>92</v>
      </c>
      <c r="B632">
        <v>4585920</v>
      </c>
      <c r="C632" t="s">
        <v>167</v>
      </c>
      <c r="D632">
        <v>1235549</v>
      </c>
      <c r="E632" t="s">
        <v>168</v>
      </c>
      <c r="F632" t="s">
        <v>25</v>
      </c>
      <c r="G632" t="s">
        <v>819</v>
      </c>
      <c r="H632" t="s">
        <v>820</v>
      </c>
      <c r="I632" t="s">
        <v>3419</v>
      </c>
      <c r="J632">
        <v>50114792049</v>
      </c>
      <c r="K632" t="s">
        <v>3599</v>
      </c>
      <c r="L632" t="s">
        <v>3834</v>
      </c>
      <c r="M632">
        <v>3</v>
      </c>
      <c r="N632" s="10">
        <v>275.5</v>
      </c>
      <c r="O632" s="10">
        <f t="shared" si="79"/>
        <v>826.5</v>
      </c>
      <c r="P632" s="10">
        <v>0</v>
      </c>
      <c r="Q632" s="10" t="s">
        <v>5006</v>
      </c>
      <c r="R632" s="10">
        <f>IF(COUNTIF($J$2:J632,J632)=1,SUMIFS($O:$O,$J:$J,J632)+SUMIFS($P:$P,$J:$J,J632)+SUMIFS($Q:$Q,$J:$J,J632),"")</f>
        <v>38816.9</v>
      </c>
      <c r="S632" s="10">
        <v>38816.9</v>
      </c>
      <c r="T632" s="11" t="str">
        <f t="shared" si="83"/>
        <v>Ok</v>
      </c>
      <c r="U632" s="12">
        <v>45407</v>
      </c>
      <c r="V632" s="10">
        <v>826.5</v>
      </c>
      <c r="W632" s="10" t="str">
        <f t="shared" si="80"/>
        <v>Short Paid</v>
      </c>
      <c r="X632" t="s">
        <v>455</v>
      </c>
      <c r="Y632" t="s">
        <v>28</v>
      </c>
      <c r="Z632">
        <v>100110</v>
      </c>
      <c r="AA632" t="s">
        <v>512</v>
      </c>
      <c r="AB632" t="s">
        <v>525</v>
      </c>
      <c r="AC632" s="9">
        <v>2</v>
      </c>
      <c r="AD632" s="9" t="str">
        <f t="shared" si="82"/>
        <v>Ok</v>
      </c>
      <c r="AE632" s="11">
        <f t="shared" si="84"/>
        <v>0</v>
      </c>
    </row>
    <row r="633" spans="1:31" x14ac:dyDescent="0.3">
      <c r="A633">
        <v>92</v>
      </c>
      <c r="B633">
        <v>4585920</v>
      </c>
      <c r="C633" t="s">
        <v>167</v>
      </c>
      <c r="D633">
        <v>1235549</v>
      </c>
      <c r="E633" t="s">
        <v>168</v>
      </c>
      <c r="F633" t="s">
        <v>25</v>
      </c>
      <c r="G633" t="s">
        <v>819</v>
      </c>
      <c r="H633" t="s">
        <v>820</v>
      </c>
      <c r="I633" t="s">
        <v>3357</v>
      </c>
      <c r="J633">
        <v>50114792049</v>
      </c>
      <c r="K633" t="s">
        <v>3197</v>
      </c>
      <c r="L633" t="s">
        <v>3396</v>
      </c>
      <c r="M633">
        <v>512</v>
      </c>
      <c r="N633" s="10">
        <v>74.2</v>
      </c>
      <c r="O633" s="10">
        <f t="shared" si="79"/>
        <v>37990.400000000001</v>
      </c>
      <c r="P633" s="10" t="s">
        <v>5006</v>
      </c>
      <c r="Q633" s="10" t="s">
        <v>5006</v>
      </c>
      <c r="R633" s="10" t="str">
        <f>IF(COUNTIF($J$2:J633,J633)=1,SUMIFS($O:$O,$J:$J,J633)+SUMIFS($P:$P,$J:$J,J633)+SUMIFS($Q:$Q,$J:$J,J633),"")</f>
        <v/>
      </c>
      <c r="S633" s="10" t="s">
        <v>5006</v>
      </c>
      <c r="T633" s="11" t="str">
        <f t="shared" si="83"/>
        <v>Ok</v>
      </c>
      <c r="U633" s="12">
        <v>45407</v>
      </c>
      <c r="V633" s="10">
        <v>826.5</v>
      </c>
      <c r="W633" s="10" t="str">
        <f t="shared" si="80"/>
        <v>N/A</v>
      </c>
      <c r="X633" t="s">
        <v>455</v>
      </c>
      <c r="Y633" t="s">
        <v>28</v>
      </c>
      <c r="Z633">
        <v>100110</v>
      </c>
      <c r="AA633" t="s">
        <v>512</v>
      </c>
      <c r="AB633" t="s">
        <v>525</v>
      </c>
      <c r="AC633" s="9">
        <v>2</v>
      </c>
      <c r="AD633" s="9" t="str">
        <f t="shared" si="82"/>
        <v>N/A</v>
      </c>
      <c r="AE633" s="11" t="e">
        <f t="shared" si="84"/>
        <v>#VALUE!</v>
      </c>
    </row>
    <row r="634" spans="1:31" x14ac:dyDescent="0.3">
      <c r="A634">
        <v>91</v>
      </c>
      <c r="B634">
        <v>4588981</v>
      </c>
      <c r="C634" t="s">
        <v>239</v>
      </c>
      <c r="D634">
        <v>1417746</v>
      </c>
      <c r="E634" t="s">
        <v>634</v>
      </c>
      <c r="F634" t="s">
        <v>20</v>
      </c>
      <c r="G634" t="s">
        <v>821</v>
      </c>
      <c r="H634" t="s">
        <v>822</v>
      </c>
      <c r="I634" t="s">
        <v>3309</v>
      </c>
      <c r="J634">
        <v>50114947188</v>
      </c>
      <c r="K634" t="s">
        <v>3207</v>
      </c>
      <c r="L634" t="s">
        <v>3835</v>
      </c>
      <c r="M634">
        <v>4000</v>
      </c>
      <c r="N634" s="10">
        <v>0.1764</v>
      </c>
      <c r="O634" s="10">
        <f t="shared" si="79"/>
        <v>705.6</v>
      </c>
      <c r="P634" s="10">
        <v>105.66</v>
      </c>
      <c r="Q634" s="10">
        <v>0</v>
      </c>
      <c r="R634" s="10">
        <f>IF(COUNTIF($J$2:J634,J634)=1,SUMIFS($O:$O,$J:$J,J634)+SUMIFS($P:$P,$J:$J,J634)+SUMIFS($Q:$Q,$J:$J,J634),"")</f>
        <v>8058.76</v>
      </c>
      <c r="S634" s="10">
        <v>8058.76</v>
      </c>
      <c r="T634" s="11" t="str">
        <f t="shared" si="83"/>
        <v>Ok</v>
      </c>
      <c r="U634" s="12">
        <v>46010</v>
      </c>
      <c r="V634" s="10">
        <v>811.26</v>
      </c>
      <c r="W634" s="10" t="str">
        <f t="shared" si="80"/>
        <v>Short Paid</v>
      </c>
      <c r="X634" t="s">
        <v>476</v>
      </c>
      <c r="Y634" t="s">
        <v>28</v>
      </c>
      <c r="Z634">
        <v>100125</v>
      </c>
      <c r="AA634" t="s">
        <v>477</v>
      </c>
      <c r="AB634" t="s">
        <v>521</v>
      </c>
      <c r="AC634" s="9">
        <v>2</v>
      </c>
      <c r="AD634" s="9" t="str">
        <f t="shared" si="82"/>
        <v>Ok</v>
      </c>
      <c r="AE634" s="11">
        <f t="shared" si="84"/>
        <v>0</v>
      </c>
    </row>
    <row r="635" spans="1:31" x14ac:dyDescent="0.3">
      <c r="A635">
        <v>91</v>
      </c>
      <c r="B635">
        <v>4588981</v>
      </c>
      <c r="C635" t="s">
        <v>239</v>
      </c>
      <c r="D635">
        <v>1417746</v>
      </c>
      <c r="E635" t="s">
        <v>634</v>
      </c>
      <c r="F635" t="s">
        <v>20</v>
      </c>
      <c r="G635" t="s">
        <v>821</v>
      </c>
      <c r="H635" t="s">
        <v>822</v>
      </c>
      <c r="I635" t="s">
        <v>3543</v>
      </c>
      <c r="J635">
        <v>50114947188</v>
      </c>
      <c r="K635" t="s">
        <v>3837</v>
      </c>
      <c r="L635" t="s">
        <v>3836</v>
      </c>
      <c r="M635">
        <v>2500</v>
      </c>
      <c r="N635" s="10">
        <v>2.899</v>
      </c>
      <c r="O635" s="10">
        <f t="shared" si="79"/>
        <v>7247.5</v>
      </c>
      <c r="P635" s="10" t="s">
        <v>5006</v>
      </c>
      <c r="Q635" s="10" t="s">
        <v>5006</v>
      </c>
      <c r="R635" s="10" t="str">
        <f>IF(COUNTIF($J$2:J635,J635)=1,SUMIFS($O:$O,$J:$J,J635)+SUMIFS($P:$P,$J:$J,J635)+SUMIFS($Q:$Q,$J:$J,J635),"")</f>
        <v/>
      </c>
      <c r="S635" s="10" t="s">
        <v>5006</v>
      </c>
      <c r="T635" s="11" t="str">
        <f t="shared" si="83"/>
        <v>Ok</v>
      </c>
      <c r="U635" s="12">
        <v>46010</v>
      </c>
      <c r="V635" s="10">
        <v>811.26</v>
      </c>
      <c r="W635" s="10" t="str">
        <f t="shared" si="80"/>
        <v>N/A</v>
      </c>
      <c r="X635" t="s">
        <v>476</v>
      </c>
      <c r="Y635" t="s">
        <v>28</v>
      </c>
      <c r="Z635">
        <v>100125</v>
      </c>
      <c r="AA635" t="s">
        <v>477</v>
      </c>
      <c r="AB635" t="s">
        <v>521</v>
      </c>
      <c r="AC635" s="9">
        <v>2</v>
      </c>
      <c r="AD635" s="9" t="str">
        <f t="shared" si="82"/>
        <v>N/A</v>
      </c>
      <c r="AE635" s="11" t="e">
        <f t="shared" si="84"/>
        <v>#VALUE!</v>
      </c>
    </row>
    <row r="636" spans="1:31" x14ac:dyDescent="0.3">
      <c r="A636">
        <v>91</v>
      </c>
      <c r="B636">
        <v>4589537</v>
      </c>
      <c r="C636" t="s">
        <v>60</v>
      </c>
      <c r="D636">
        <v>1101594</v>
      </c>
      <c r="E636" t="s">
        <v>676</v>
      </c>
      <c r="F636" t="s">
        <v>50</v>
      </c>
      <c r="G636" t="s">
        <v>2660</v>
      </c>
      <c r="H636" t="s">
        <v>2661</v>
      </c>
      <c r="I636" t="s">
        <v>3411</v>
      </c>
      <c r="J636">
        <v>50114953236</v>
      </c>
      <c r="K636" t="s">
        <v>3370</v>
      </c>
      <c r="L636" t="s">
        <v>3838</v>
      </c>
      <c r="M636">
        <v>3000</v>
      </c>
      <c r="N636" s="10">
        <v>0.13700000000000001</v>
      </c>
      <c r="O636" s="10">
        <f t="shared" si="79"/>
        <v>411.00000000000006</v>
      </c>
      <c r="P636" s="10">
        <v>39.409999999999997</v>
      </c>
      <c r="Q636" s="10">
        <v>0</v>
      </c>
      <c r="R636" s="10">
        <f>IF(COUNTIF($J$2:J636,J636)=1,SUMIFS($O:$O,$J:$J,J636)+SUMIFS($P:$P,$J:$J,J636)+SUMIFS($Q:$Q,$J:$J,J636),"")</f>
        <v>152647.91000000003</v>
      </c>
      <c r="S636" s="10">
        <v>232484.93</v>
      </c>
      <c r="T636" s="11" t="str">
        <f t="shared" si="83"/>
        <v>Check</v>
      </c>
      <c r="U636" s="12">
        <v>46055</v>
      </c>
      <c r="V636" s="10">
        <v>114.52</v>
      </c>
      <c r="W636" s="10" t="str">
        <f t="shared" si="80"/>
        <v>Short Paid</v>
      </c>
      <c r="X636" t="s">
        <v>438</v>
      </c>
      <c r="Y636" t="s">
        <v>436</v>
      </c>
      <c r="Z636">
        <v>100213</v>
      </c>
      <c r="AA636" t="s">
        <v>3085</v>
      </c>
      <c r="AB636" t="s">
        <v>3042</v>
      </c>
      <c r="AC636" s="9">
        <v>2</v>
      </c>
      <c r="AD636" s="9" t="str">
        <f t="shared" si="82"/>
        <v>Check</v>
      </c>
      <c r="AE636" s="11">
        <f t="shared" si="84"/>
        <v>-79837.01999999996</v>
      </c>
    </row>
    <row r="637" spans="1:31" x14ac:dyDescent="0.3">
      <c r="A637">
        <v>91</v>
      </c>
      <c r="B637">
        <v>4589537</v>
      </c>
      <c r="C637" t="s">
        <v>60</v>
      </c>
      <c r="D637">
        <v>1101594</v>
      </c>
      <c r="E637" t="s">
        <v>676</v>
      </c>
      <c r="F637" t="s">
        <v>50</v>
      </c>
      <c r="G637" t="s">
        <v>2660</v>
      </c>
      <c r="H637" t="s">
        <v>2661</v>
      </c>
      <c r="I637" t="s">
        <v>3326</v>
      </c>
      <c r="J637">
        <v>50114953236</v>
      </c>
      <c r="K637" t="s">
        <v>3837</v>
      </c>
      <c r="L637" t="s">
        <v>3836</v>
      </c>
      <c r="M637">
        <v>52500</v>
      </c>
      <c r="N637" s="10">
        <v>2.8990000000000005</v>
      </c>
      <c r="O637" s="10">
        <f t="shared" si="79"/>
        <v>152197.50000000003</v>
      </c>
      <c r="P637" s="10" t="s">
        <v>5006</v>
      </c>
      <c r="Q637" s="10" t="s">
        <v>5006</v>
      </c>
      <c r="R637" s="10" t="str">
        <f>IF(COUNTIF($J$2:J637,J637)=1,SUMIFS($O:$O,$J:$J,J637)+SUMIFS($P:$P,$J:$J,J637)+SUMIFS($Q:$Q,$J:$J,J637),"")</f>
        <v/>
      </c>
      <c r="S637" s="10" t="s">
        <v>5006</v>
      </c>
      <c r="T637" s="11" t="str">
        <f t="shared" si="83"/>
        <v>Check</v>
      </c>
      <c r="U637" s="12">
        <v>46055</v>
      </c>
      <c r="V637" s="10">
        <v>114.52</v>
      </c>
      <c r="W637" s="10" t="str">
        <f t="shared" si="80"/>
        <v>N/A</v>
      </c>
      <c r="X637" t="s">
        <v>438</v>
      </c>
      <c r="Y637" t="s">
        <v>436</v>
      </c>
      <c r="Z637">
        <v>100213</v>
      </c>
      <c r="AA637" t="s">
        <v>3085</v>
      </c>
      <c r="AB637" t="s">
        <v>3042</v>
      </c>
      <c r="AC637" s="9">
        <v>2</v>
      </c>
      <c r="AD637" s="9" t="str">
        <f t="shared" si="82"/>
        <v>N/A</v>
      </c>
      <c r="AE637" s="11" t="e">
        <f t="shared" si="84"/>
        <v>#VALUE!</v>
      </c>
    </row>
    <row r="638" spans="1:31" x14ac:dyDescent="0.3">
      <c r="A638">
        <v>91</v>
      </c>
      <c r="B638">
        <v>4589259</v>
      </c>
      <c r="C638" t="s">
        <v>60</v>
      </c>
      <c r="D638">
        <v>1101594</v>
      </c>
      <c r="E638" t="s">
        <v>676</v>
      </c>
      <c r="F638" t="s">
        <v>50</v>
      </c>
      <c r="G638" t="s">
        <v>2658</v>
      </c>
      <c r="H638" t="s">
        <v>2659</v>
      </c>
      <c r="I638" t="s">
        <v>3275</v>
      </c>
      <c r="J638">
        <v>50114953237</v>
      </c>
      <c r="K638" t="s">
        <v>3165</v>
      </c>
      <c r="L638" t="s">
        <v>3839</v>
      </c>
      <c r="M638">
        <v>250</v>
      </c>
      <c r="N638" s="10">
        <v>16.371839999999999</v>
      </c>
      <c r="O638" s="10">
        <f t="shared" si="79"/>
        <v>4092.9599999999996</v>
      </c>
      <c r="P638" s="10">
        <v>0</v>
      </c>
      <c r="Q638" s="10">
        <v>0</v>
      </c>
      <c r="R638" s="10">
        <f>IF(COUNTIF($J$2:J638,J638)=1,SUMIFS($O:$O,$J:$J,J638)+SUMIFS($P:$P,$J:$J,J638)+SUMIFS($Q:$Q,$J:$J,J638),"")</f>
        <v>6622.66</v>
      </c>
      <c r="S638" s="10">
        <v>6633.58</v>
      </c>
      <c r="T638" s="11" t="str">
        <f t="shared" si="83"/>
        <v>Check</v>
      </c>
      <c r="U638" s="12">
        <v>46052</v>
      </c>
      <c r="V638" s="10">
        <v>10.92</v>
      </c>
      <c r="W638" s="10" t="str">
        <f t="shared" si="80"/>
        <v>Short Paid</v>
      </c>
      <c r="X638" t="s">
        <v>438</v>
      </c>
      <c r="Y638" t="s">
        <v>436</v>
      </c>
      <c r="Z638">
        <v>100173</v>
      </c>
      <c r="AA638" t="s">
        <v>3088</v>
      </c>
      <c r="AB638" t="s">
        <v>3042</v>
      </c>
      <c r="AC638" s="9">
        <v>2</v>
      </c>
      <c r="AD638" s="9" t="str">
        <f t="shared" si="82"/>
        <v>Check</v>
      </c>
      <c r="AE638" s="11">
        <f t="shared" si="84"/>
        <v>-10.920000000000073</v>
      </c>
    </row>
    <row r="639" spans="1:31" x14ac:dyDescent="0.3">
      <c r="A639">
        <v>91</v>
      </c>
      <c r="B639">
        <v>4589259</v>
      </c>
      <c r="C639" t="s">
        <v>60</v>
      </c>
      <c r="D639">
        <v>1101594</v>
      </c>
      <c r="E639" t="s">
        <v>676</v>
      </c>
      <c r="F639" t="s">
        <v>50</v>
      </c>
      <c r="G639" t="s">
        <v>2658</v>
      </c>
      <c r="H639" t="s">
        <v>2659</v>
      </c>
      <c r="I639" t="s">
        <v>3412</v>
      </c>
      <c r="J639">
        <v>50114953237</v>
      </c>
      <c r="K639" t="s">
        <v>3841</v>
      </c>
      <c r="L639" t="s">
        <v>3840</v>
      </c>
      <c r="M639">
        <v>10</v>
      </c>
      <c r="N639" s="10">
        <v>252.97</v>
      </c>
      <c r="O639" s="10">
        <f t="shared" si="79"/>
        <v>2529.6999999999998</v>
      </c>
      <c r="P639" s="10" t="s">
        <v>5006</v>
      </c>
      <c r="Q639" s="10" t="s">
        <v>5006</v>
      </c>
      <c r="R639" s="10" t="str">
        <f>IF(COUNTIF($J$2:J639,J639)=1,SUMIFS($O:$O,$J:$J,J639)+SUMIFS($P:$P,$J:$J,J639)+SUMIFS($Q:$Q,$J:$J,J639),"")</f>
        <v/>
      </c>
      <c r="S639" s="10" t="s">
        <v>5006</v>
      </c>
      <c r="T639" s="11" t="str">
        <f t="shared" si="83"/>
        <v>Check</v>
      </c>
      <c r="U639" s="12">
        <v>46052</v>
      </c>
      <c r="V639" s="10">
        <v>10.92</v>
      </c>
      <c r="W639" s="10" t="str">
        <f t="shared" si="80"/>
        <v>N/A</v>
      </c>
      <c r="X639" t="s">
        <v>438</v>
      </c>
      <c r="Y639" t="s">
        <v>436</v>
      </c>
      <c r="Z639">
        <v>100173</v>
      </c>
      <c r="AA639" t="s">
        <v>3088</v>
      </c>
      <c r="AB639" t="s">
        <v>3042</v>
      </c>
      <c r="AC639" s="9">
        <v>2</v>
      </c>
      <c r="AD639" s="9" t="str">
        <f t="shared" si="82"/>
        <v>N/A</v>
      </c>
      <c r="AE639" s="11" t="e">
        <f t="shared" si="84"/>
        <v>#VALUE!</v>
      </c>
    </row>
    <row r="640" spans="1:31" x14ac:dyDescent="0.3">
      <c r="A640">
        <v>88</v>
      </c>
      <c r="B640">
        <v>4594547</v>
      </c>
      <c r="C640" t="s">
        <v>239</v>
      </c>
      <c r="D640">
        <v>1062540</v>
      </c>
      <c r="E640" t="s">
        <v>564</v>
      </c>
      <c r="F640" t="s">
        <v>47</v>
      </c>
      <c r="G640" t="s">
        <v>845</v>
      </c>
      <c r="H640" t="s">
        <v>846</v>
      </c>
      <c r="I640" t="s">
        <v>3342</v>
      </c>
      <c r="J640">
        <v>50115131858</v>
      </c>
      <c r="K640" t="s">
        <v>3431</v>
      </c>
      <c r="L640" t="s">
        <v>3842</v>
      </c>
      <c r="M640">
        <v>20</v>
      </c>
      <c r="N640" s="10">
        <v>19.3</v>
      </c>
      <c r="O640" s="10">
        <f t="shared" si="79"/>
        <v>386</v>
      </c>
      <c r="P640" s="10">
        <v>0</v>
      </c>
      <c r="Q640" s="10">
        <v>55.2</v>
      </c>
      <c r="R640" s="10">
        <f>IF(COUNTIF($J$2:J640,J640)=1,SUMIFS($O:$O,$J:$J,J640)+SUMIFS($P:$P,$J:$J,J640)+SUMIFS($Q:$Q,$J:$J,J640),"")</f>
        <v>5128.7</v>
      </c>
      <c r="S640" s="10">
        <v>5128.7</v>
      </c>
      <c r="T640" s="11" t="str">
        <f t="shared" si="83"/>
        <v>Ok</v>
      </c>
      <c r="U640" s="12">
        <v>45944</v>
      </c>
      <c r="V640" s="10">
        <v>441.2</v>
      </c>
      <c r="W640" s="10" t="str">
        <f t="shared" si="80"/>
        <v>Short Paid</v>
      </c>
      <c r="X640" t="s">
        <v>476</v>
      </c>
      <c r="Y640" t="s">
        <v>28</v>
      </c>
      <c r="Z640">
        <v>100125</v>
      </c>
      <c r="AA640" t="s">
        <v>477</v>
      </c>
      <c r="AB640" t="s">
        <v>3039</v>
      </c>
      <c r="AC640" s="9">
        <v>2</v>
      </c>
      <c r="AD640" s="9" t="str">
        <f t="shared" si="82"/>
        <v>Ok</v>
      </c>
      <c r="AE640" s="11">
        <f t="shared" si="84"/>
        <v>0</v>
      </c>
    </row>
    <row r="641" spans="1:31" x14ac:dyDescent="0.3">
      <c r="A641">
        <v>88</v>
      </c>
      <c r="B641">
        <v>4594547</v>
      </c>
      <c r="C641" t="s">
        <v>239</v>
      </c>
      <c r="D641">
        <v>1062540</v>
      </c>
      <c r="E641" t="s">
        <v>564</v>
      </c>
      <c r="F641" t="s">
        <v>47</v>
      </c>
      <c r="G641" t="s">
        <v>845</v>
      </c>
      <c r="H641" t="s">
        <v>846</v>
      </c>
      <c r="I641" t="s">
        <v>3213</v>
      </c>
      <c r="J641">
        <v>50115131858</v>
      </c>
      <c r="K641" t="s">
        <v>3183</v>
      </c>
      <c r="L641" t="s">
        <v>3843</v>
      </c>
      <c r="M641">
        <v>150</v>
      </c>
      <c r="N641" s="10">
        <v>31.25</v>
      </c>
      <c r="O641" s="10">
        <f t="shared" si="79"/>
        <v>4687.5</v>
      </c>
      <c r="P641" s="10" t="s">
        <v>5006</v>
      </c>
      <c r="Q641" s="10" t="s">
        <v>5006</v>
      </c>
      <c r="R641" s="10" t="str">
        <f>IF(COUNTIF($J$2:J641,J641)=1,SUMIFS($O:$O,$J:$J,J641)+SUMIFS($P:$P,$J:$J,J641)+SUMIFS($Q:$Q,$J:$J,J641),"")</f>
        <v/>
      </c>
      <c r="S641" s="10" t="s">
        <v>5006</v>
      </c>
      <c r="T641" s="11" t="str">
        <f t="shared" si="83"/>
        <v>Ok</v>
      </c>
      <c r="U641" s="12">
        <v>45944</v>
      </c>
      <c r="V641" s="10">
        <v>441.2</v>
      </c>
      <c r="W641" s="10" t="str">
        <f t="shared" si="80"/>
        <v>N/A</v>
      </c>
      <c r="X641" t="s">
        <v>476</v>
      </c>
      <c r="Y641" t="s">
        <v>28</v>
      </c>
      <c r="Z641">
        <v>100125</v>
      </c>
      <c r="AA641" t="s">
        <v>477</v>
      </c>
      <c r="AB641" t="s">
        <v>3039</v>
      </c>
      <c r="AC641" s="9">
        <v>2</v>
      </c>
      <c r="AD641" s="9" t="str">
        <f t="shared" si="82"/>
        <v>N/A</v>
      </c>
      <c r="AE641" s="11" t="e">
        <f t="shared" si="84"/>
        <v>#VALUE!</v>
      </c>
    </row>
    <row r="642" spans="1:31" x14ac:dyDescent="0.3">
      <c r="A642">
        <v>91</v>
      </c>
      <c r="B642">
        <v>4591764</v>
      </c>
      <c r="C642" t="s">
        <v>167</v>
      </c>
      <c r="D642">
        <v>1235549</v>
      </c>
      <c r="E642" t="s">
        <v>168</v>
      </c>
      <c r="F642" t="s">
        <v>20</v>
      </c>
      <c r="G642" t="s">
        <v>827</v>
      </c>
      <c r="H642" t="s">
        <v>828</v>
      </c>
      <c r="I642" t="s">
        <v>3408</v>
      </c>
      <c r="J642">
        <v>50115134068</v>
      </c>
      <c r="K642" t="s">
        <v>3165</v>
      </c>
      <c r="L642" t="s">
        <v>3844</v>
      </c>
      <c r="M642">
        <v>8</v>
      </c>
      <c r="N642" s="10">
        <v>85.16</v>
      </c>
      <c r="O642" s="10">
        <f t="shared" ref="O642:O705" si="85">M642*N642</f>
        <v>681.28</v>
      </c>
      <c r="P642" s="10">
        <v>59.61</v>
      </c>
      <c r="Q642" s="10">
        <v>0</v>
      </c>
      <c r="R642" s="10">
        <f>IF(COUNTIF($J$2:J642,J642)=1,SUMIFS($O:$O,$J:$J,J642)+SUMIFS($P:$P,$J:$J,J642)+SUMIFS($Q:$Q,$J:$J,J642),"")</f>
        <v>3234.64</v>
      </c>
      <c r="S642" s="10">
        <v>3234.64</v>
      </c>
      <c r="T642" s="11" t="str">
        <f t="shared" si="83"/>
        <v>Ok</v>
      </c>
      <c r="U642" s="12">
        <v>45545</v>
      </c>
      <c r="V642" s="10">
        <v>740.89</v>
      </c>
      <c r="W642" s="10" t="str">
        <f t="shared" ref="W642:W705" si="86">IF(OR(S642="",V642=""),"N/A",IF(S642&lt;&gt;V642,"Short Paid","Not Paid"))</f>
        <v>Short Paid</v>
      </c>
      <c r="X642" t="s">
        <v>455</v>
      </c>
      <c r="Y642" t="s">
        <v>28</v>
      </c>
      <c r="Z642">
        <v>100120</v>
      </c>
      <c r="AA642" t="s">
        <v>460</v>
      </c>
      <c r="AB642" t="s">
        <v>521</v>
      </c>
      <c r="AC642" s="9">
        <v>2</v>
      </c>
      <c r="AD642" s="9" t="str">
        <f t="shared" ref="AD642:AD705" si="87">IF(AND(R642="",S642=""),"N/A",IF(R642=S642,"Ok","Check"))</f>
        <v>Ok</v>
      </c>
      <c r="AE642" s="11">
        <f t="shared" si="84"/>
        <v>0</v>
      </c>
    </row>
    <row r="643" spans="1:31" x14ac:dyDescent="0.3">
      <c r="A643">
        <v>91</v>
      </c>
      <c r="B643">
        <v>4591764</v>
      </c>
      <c r="C643" t="s">
        <v>167</v>
      </c>
      <c r="D643">
        <v>1235549</v>
      </c>
      <c r="E643" t="s">
        <v>168</v>
      </c>
      <c r="F643" t="s">
        <v>20</v>
      </c>
      <c r="G643" t="s">
        <v>827</v>
      </c>
      <c r="H643" t="s">
        <v>828</v>
      </c>
      <c r="I643" t="s">
        <v>3367</v>
      </c>
      <c r="J643">
        <v>50115134068</v>
      </c>
      <c r="K643" t="s">
        <v>3289</v>
      </c>
      <c r="L643" t="s">
        <v>3511</v>
      </c>
      <c r="M643">
        <v>3000</v>
      </c>
      <c r="N643" s="10">
        <v>0.83125000000000004</v>
      </c>
      <c r="O643" s="10">
        <f t="shared" si="85"/>
        <v>2493.75</v>
      </c>
      <c r="P643" s="10" t="s">
        <v>5006</v>
      </c>
      <c r="Q643" s="10" t="s">
        <v>5006</v>
      </c>
      <c r="R643" s="10" t="str">
        <f>IF(COUNTIF($J$2:J643,J643)=1,SUMIFS($O:$O,$J:$J,J643)+SUMIFS($P:$P,$J:$J,J643)+SUMIFS($Q:$Q,$J:$J,J643),"")</f>
        <v/>
      </c>
      <c r="S643" s="10" t="s">
        <v>5006</v>
      </c>
      <c r="T643" s="11" t="str">
        <f t="shared" ref="T643:T706" si="88">IFERROR(INDEX(AD:AD,MATCH(J643,J:J,0)),"")</f>
        <v>Ok</v>
      </c>
      <c r="U643" s="12">
        <v>45545</v>
      </c>
      <c r="V643" s="10">
        <v>740.89</v>
      </c>
      <c r="W643" s="10" t="str">
        <f t="shared" si="86"/>
        <v>N/A</v>
      </c>
      <c r="X643" t="s">
        <v>455</v>
      </c>
      <c r="Y643" t="s">
        <v>28</v>
      </c>
      <c r="Z643">
        <v>100120</v>
      </c>
      <c r="AA643" t="s">
        <v>460</v>
      </c>
      <c r="AB643" t="s">
        <v>521</v>
      </c>
      <c r="AC643" s="9">
        <v>2</v>
      </c>
      <c r="AD643" s="9" t="str">
        <f t="shared" si="87"/>
        <v>N/A</v>
      </c>
      <c r="AE643" s="11" t="e">
        <f t="shared" si="84"/>
        <v>#VALUE!</v>
      </c>
    </row>
    <row r="644" spans="1:31" x14ac:dyDescent="0.3">
      <c r="A644">
        <v>88</v>
      </c>
      <c r="B644">
        <v>4597051</v>
      </c>
      <c r="C644" t="s">
        <v>38</v>
      </c>
      <c r="D644">
        <v>1531708</v>
      </c>
      <c r="E644" t="s">
        <v>677</v>
      </c>
      <c r="F644" t="s">
        <v>17</v>
      </c>
      <c r="G644" t="s">
        <v>857</v>
      </c>
      <c r="H644" t="s">
        <v>858</v>
      </c>
      <c r="I644" t="s">
        <v>3195</v>
      </c>
      <c r="J644">
        <v>50115184599</v>
      </c>
      <c r="K644" t="s">
        <v>3846</v>
      </c>
      <c r="L644" t="s">
        <v>3845</v>
      </c>
      <c r="M644">
        <v>180</v>
      </c>
      <c r="N644" s="10">
        <v>9</v>
      </c>
      <c r="O644" s="10">
        <f t="shared" si="85"/>
        <v>1620</v>
      </c>
      <c r="P644" s="10">
        <v>402.66</v>
      </c>
      <c r="Q644" s="10">
        <v>0</v>
      </c>
      <c r="R644" s="10">
        <f>IF(COUNTIF($J$2:J644,J644)=1,SUMIFS($O:$O,$J:$J,J644)+SUMIFS($P:$P,$J:$J,J644)+SUMIFS($Q:$Q,$J:$J,J644),"")</f>
        <v>7184.94</v>
      </c>
      <c r="S644" s="10">
        <v>7216.0199999999995</v>
      </c>
      <c r="T644" s="11" t="str">
        <f t="shared" si="88"/>
        <v>Check</v>
      </c>
      <c r="U644" s="12">
        <v>45580</v>
      </c>
      <c r="V644" s="10">
        <v>5564.94</v>
      </c>
      <c r="W644" s="10" t="str">
        <f t="shared" si="86"/>
        <v>Short Paid</v>
      </c>
      <c r="X644" t="s">
        <v>474</v>
      </c>
      <c r="Y644" t="s">
        <v>436</v>
      </c>
      <c r="Z644">
        <v>100139</v>
      </c>
      <c r="AA644" t="s">
        <v>3133</v>
      </c>
      <c r="AB644" t="s">
        <v>528</v>
      </c>
      <c r="AC644" s="9">
        <v>2</v>
      </c>
      <c r="AD644" s="9" t="str">
        <f t="shared" si="87"/>
        <v>Check</v>
      </c>
      <c r="AE644" s="11">
        <f t="shared" si="84"/>
        <v>-31.079999999999927</v>
      </c>
    </row>
    <row r="645" spans="1:31" x14ac:dyDescent="0.3">
      <c r="A645">
        <v>88</v>
      </c>
      <c r="B645">
        <v>4597051</v>
      </c>
      <c r="C645" t="s">
        <v>38</v>
      </c>
      <c r="D645">
        <v>1531708</v>
      </c>
      <c r="E645" t="s">
        <v>677</v>
      </c>
      <c r="F645" t="s">
        <v>17</v>
      </c>
      <c r="G645" t="s">
        <v>857</v>
      </c>
      <c r="H645" t="s">
        <v>858</v>
      </c>
      <c r="I645" t="s">
        <v>3444</v>
      </c>
      <c r="J645">
        <v>50115184599</v>
      </c>
      <c r="K645" t="s">
        <v>3165</v>
      </c>
      <c r="L645" t="s">
        <v>3191</v>
      </c>
      <c r="M645">
        <v>1</v>
      </c>
      <c r="N645" s="10">
        <v>5162.28</v>
      </c>
      <c r="O645" s="10">
        <f t="shared" si="85"/>
        <v>5162.28</v>
      </c>
      <c r="P645" s="10" t="s">
        <v>5006</v>
      </c>
      <c r="Q645" s="10" t="s">
        <v>5006</v>
      </c>
      <c r="R645" s="10" t="str">
        <f>IF(COUNTIF($J$2:J645,J645)=1,SUMIFS($O:$O,$J:$J,J645)+SUMIFS($P:$P,$J:$J,J645)+SUMIFS($Q:$Q,$J:$J,J645),"")</f>
        <v/>
      </c>
      <c r="S645" s="10" t="s">
        <v>5006</v>
      </c>
      <c r="T645" s="11" t="str">
        <f t="shared" si="88"/>
        <v>Check</v>
      </c>
      <c r="U645" s="12">
        <v>45580</v>
      </c>
      <c r="V645" s="10">
        <v>5564.94</v>
      </c>
      <c r="W645" s="10" t="str">
        <f t="shared" si="86"/>
        <v>N/A</v>
      </c>
      <c r="X645" t="s">
        <v>474</v>
      </c>
      <c r="Y645" t="s">
        <v>436</v>
      </c>
      <c r="Z645">
        <v>100139</v>
      </c>
      <c r="AA645" t="s">
        <v>3133</v>
      </c>
      <c r="AB645" t="s">
        <v>528</v>
      </c>
      <c r="AC645" s="9">
        <v>2</v>
      </c>
      <c r="AD645" s="9" t="str">
        <f t="shared" si="87"/>
        <v>N/A</v>
      </c>
      <c r="AE645" s="11" t="e">
        <f t="shared" si="84"/>
        <v>#VALUE!</v>
      </c>
    </row>
    <row r="646" spans="1:31" x14ac:dyDescent="0.3">
      <c r="A646">
        <v>88</v>
      </c>
      <c r="B646">
        <v>4597329</v>
      </c>
      <c r="C646" t="s">
        <v>38</v>
      </c>
      <c r="D646">
        <v>1531708</v>
      </c>
      <c r="E646" t="s">
        <v>677</v>
      </c>
      <c r="F646" t="s">
        <v>17</v>
      </c>
      <c r="G646" t="s">
        <v>2674</v>
      </c>
      <c r="H646" t="s">
        <v>2675</v>
      </c>
      <c r="I646" t="s">
        <v>3419</v>
      </c>
      <c r="J646">
        <v>50115204008</v>
      </c>
      <c r="K646" t="s">
        <v>3846</v>
      </c>
      <c r="L646" t="s">
        <v>3847</v>
      </c>
      <c r="M646">
        <v>240</v>
      </c>
      <c r="N646" s="10">
        <v>200</v>
      </c>
      <c r="O646" s="10">
        <f t="shared" si="85"/>
        <v>48000</v>
      </c>
      <c r="P646" s="10">
        <v>61.49</v>
      </c>
      <c r="Q646" s="10">
        <v>0</v>
      </c>
      <c r="R646" s="10">
        <f>IF(COUNTIF($J$2:J646,J646)=1,SUMIFS($O:$O,$J:$J,J646)+SUMIFS($P:$P,$J:$J,J646)+SUMIFS($Q:$Q,$J:$J,J646),"")</f>
        <v>51116.53</v>
      </c>
      <c r="S646" s="10">
        <v>51164.78</v>
      </c>
      <c r="T646" s="11" t="str">
        <f t="shared" si="88"/>
        <v>Check</v>
      </c>
      <c r="U646" s="12">
        <v>45582</v>
      </c>
      <c r="V646" s="10">
        <v>776.53</v>
      </c>
      <c r="W646" s="10" t="str">
        <f t="shared" si="86"/>
        <v>Short Paid</v>
      </c>
      <c r="X646" t="s">
        <v>474</v>
      </c>
      <c r="Y646" t="s">
        <v>436</v>
      </c>
      <c r="Z646">
        <v>100179</v>
      </c>
      <c r="AA646" t="s">
        <v>3130</v>
      </c>
      <c r="AB646" t="s">
        <v>528</v>
      </c>
      <c r="AC646" s="9">
        <v>3</v>
      </c>
      <c r="AD646" s="9" t="str">
        <f t="shared" si="87"/>
        <v>Check</v>
      </c>
      <c r="AE646" s="11">
        <f t="shared" si="84"/>
        <v>-48.25</v>
      </c>
    </row>
    <row r="647" spans="1:31" x14ac:dyDescent="0.3">
      <c r="A647">
        <v>88</v>
      </c>
      <c r="B647">
        <v>4597329</v>
      </c>
      <c r="C647" t="s">
        <v>38</v>
      </c>
      <c r="D647">
        <v>1531708</v>
      </c>
      <c r="E647" t="s">
        <v>677</v>
      </c>
      <c r="F647" t="s">
        <v>17</v>
      </c>
      <c r="G647" t="s">
        <v>2674</v>
      </c>
      <c r="H647" t="s">
        <v>2675</v>
      </c>
      <c r="I647" t="s">
        <v>3419</v>
      </c>
      <c r="J647">
        <v>50115204008</v>
      </c>
      <c r="K647" t="s">
        <v>3846</v>
      </c>
      <c r="L647" t="s">
        <v>3845</v>
      </c>
      <c r="M647">
        <v>260</v>
      </c>
      <c r="N647" s="10">
        <v>9</v>
      </c>
      <c r="O647" s="10">
        <f t="shared" si="85"/>
        <v>2340</v>
      </c>
      <c r="P647" s="10" t="s">
        <v>5006</v>
      </c>
      <c r="Q647" s="10" t="s">
        <v>5006</v>
      </c>
      <c r="R647" s="10" t="str">
        <f>IF(COUNTIF($J$2:J647,J647)=1,SUMIFS($O:$O,$J:$J,J647)+SUMIFS($P:$P,$J:$J,J647)+SUMIFS($Q:$Q,$J:$J,J647),"")</f>
        <v/>
      </c>
      <c r="S647" s="10" t="s">
        <v>5006</v>
      </c>
      <c r="T647" s="11" t="str">
        <f t="shared" si="88"/>
        <v>Check</v>
      </c>
      <c r="U647" s="12">
        <v>45582</v>
      </c>
      <c r="V647" s="10">
        <v>776.53</v>
      </c>
      <c r="W647" s="10" t="str">
        <f t="shared" si="86"/>
        <v>N/A</v>
      </c>
      <c r="X647" t="s">
        <v>474</v>
      </c>
      <c r="Y647" t="s">
        <v>436</v>
      </c>
      <c r="Z647">
        <v>100179</v>
      </c>
      <c r="AA647" t="s">
        <v>3130</v>
      </c>
      <c r="AB647" t="s">
        <v>528</v>
      </c>
      <c r="AC647" s="9">
        <v>3</v>
      </c>
      <c r="AD647" s="9" t="str">
        <f t="shared" si="87"/>
        <v>N/A</v>
      </c>
      <c r="AE647" s="11" t="e">
        <f t="shared" ref="AE647:AE710" si="89">R647-S647</f>
        <v>#VALUE!</v>
      </c>
    </row>
    <row r="648" spans="1:31" x14ac:dyDescent="0.3">
      <c r="A648">
        <v>88</v>
      </c>
      <c r="B648">
        <v>4597329</v>
      </c>
      <c r="C648" t="s">
        <v>38</v>
      </c>
      <c r="D648">
        <v>1531708</v>
      </c>
      <c r="E648" t="s">
        <v>677</v>
      </c>
      <c r="F648" t="s">
        <v>17</v>
      </c>
      <c r="G648" t="s">
        <v>2674</v>
      </c>
      <c r="H648" t="s">
        <v>2675</v>
      </c>
      <c r="I648" t="s">
        <v>3283</v>
      </c>
      <c r="J648">
        <v>50115204008</v>
      </c>
      <c r="K648" t="s">
        <v>3165</v>
      </c>
      <c r="L648" t="s">
        <v>3191</v>
      </c>
      <c r="M648">
        <v>1</v>
      </c>
      <c r="N648" s="10">
        <v>715.04</v>
      </c>
      <c r="O648" s="10">
        <f t="shared" si="85"/>
        <v>715.04</v>
      </c>
      <c r="P648" s="10" t="s">
        <v>5006</v>
      </c>
      <c r="Q648" s="10" t="s">
        <v>5006</v>
      </c>
      <c r="R648" s="10" t="str">
        <f>IF(COUNTIF($J$2:J648,J648)=1,SUMIFS($O:$O,$J:$J,J648)+SUMIFS($P:$P,$J:$J,J648)+SUMIFS($Q:$Q,$J:$J,J648),"")</f>
        <v/>
      </c>
      <c r="S648" s="10" t="s">
        <v>5006</v>
      </c>
      <c r="T648" s="11" t="str">
        <f t="shared" si="88"/>
        <v>Check</v>
      </c>
      <c r="U648" s="12">
        <v>45582</v>
      </c>
      <c r="V648" s="10">
        <v>776.53</v>
      </c>
      <c r="W648" s="10" t="str">
        <f t="shared" si="86"/>
        <v>N/A</v>
      </c>
      <c r="X648" t="s">
        <v>474</v>
      </c>
      <c r="Y648" t="s">
        <v>436</v>
      </c>
      <c r="Z648">
        <v>100179</v>
      </c>
      <c r="AA648" t="s">
        <v>3130</v>
      </c>
      <c r="AB648" t="s">
        <v>528</v>
      </c>
      <c r="AC648" s="9">
        <v>3</v>
      </c>
      <c r="AD648" s="9" t="str">
        <f t="shared" si="87"/>
        <v>N/A</v>
      </c>
      <c r="AE648" s="11" t="e">
        <f t="shared" si="89"/>
        <v>#VALUE!</v>
      </c>
    </row>
    <row r="649" spans="1:31" x14ac:dyDescent="0.3">
      <c r="A649">
        <v>86</v>
      </c>
      <c r="B649">
        <v>4602895</v>
      </c>
      <c r="C649" t="s">
        <v>38</v>
      </c>
      <c r="D649">
        <v>1963277</v>
      </c>
      <c r="E649" t="s">
        <v>250</v>
      </c>
      <c r="F649" t="s">
        <v>18</v>
      </c>
      <c r="G649" t="s">
        <v>2684</v>
      </c>
      <c r="H649" t="s">
        <v>865</v>
      </c>
      <c r="I649" t="s">
        <v>3163</v>
      </c>
      <c r="J649">
        <v>50115352308</v>
      </c>
      <c r="K649" t="s">
        <v>3837</v>
      </c>
      <c r="L649" t="s">
        <v>3848</v>
      </c>
      <c r="M649">
        <v>2500</v>
      </c>
      <c r="N649" s="10">
        <v>2.3439999999999999</v>
      </c>
      <c r="O649" s="10">
        <f t="shared" si="85"/>
        <v>5860</v>
      </c>
      <c r="P649" s="10">
        <v>0</v>
      </c>
      <c r="Q649" s="10">
        <v>0</v>
      </c>
      <c r="R649" s="10">
        <f>IF(COUNTIF($J$2:J649,J649)=1,SUMIFS($O:$O,$J:$J,J649)+SUMIFS($P:$P,$J:$J,J649)+SUMIFS($Q:$Q,$J:$J,J649),"")</f>
        <v>13665.16</v>
      </c>
      <c r="S649" s="10">
        <v>13665.16</v>
      </c>
      <c r="T649" s="11" t="str">
        <f t="shared" si="88"/>
        <v>Ok</v>
      </c>
      <c r="U649" s="12">
        <v>46007</v>
      </c>
      <c r="V649" s="10">
        <v>650.09</v>
      </c>
      <c r="W649" s="10" t="str">
        <f t="shared" si="86"/>
        <v>Short Paid</v>
      </c>
      <c r="X649" t="s">
        <v>474</v>
      </c>
      <c r="Y649" t="s">
        <v>28</v>
      </c>
      <c r="Z649">
        <v>100129</v>
      </c>
      <c r="AA649" t="s">
        <v>495</v>
      </c>
      <c r="AB649" t="s">
        <v>523</v>
      </c>
      <c r="AC649" s="9">
        <v>2</v>
      </c>
      <c r="AD649" s="9" t="str">
        <f t="shared" si="87"/>
        <v>Ok</v>
      </c>
      <c r="AE649" s="11">
        <f t="shared" si="89"/>
        <v>0</v>
      </c>
    </row>
    <row r="650" spans="1:31" x14ac:dyDescent="0.3">
      <c r="A650">
        <v>86</v>
      </c>
      <c r="B650">
        <v>4602895</v>
      </c>
      <c r="C650" t="s">
        <v>38</v>
      </c>
      <c r="D650">
        <v>1963277</v>
      </c>
      <c r="E650" t="s">
        <v>250</v>
      </c>
      <c r="F650" t="s">
        <v>18</v>
      </c>
      <c r="G650" t="s">
        <v>2684</v>
      </c>
      <c r="H650" t="s">
        <v>865</v>
      </c>
      <c r="I650" t="s">
        <v>3596</v>
      </c>
      <c r="J650">
        <v>50115352308</v>
      </c>
      <c r="K650" t="s">
        <v>3351</v>
      </c>
      <c r="L650" t="s">
        <v>3407</v>
      </c>
      <c r="M650">
        <v>146</v>
      </c>
      <c r="N650" s="10">
        <v>53.46</v>
      </c>
      <c r="O650" s="10">
        <f t="shared" si="85"/>
        <v>7805.16</v>
      </c>
      <c r="P650" s="10" t="s">
        <v>5006</v>
      </c>
      <c r="Q650" s="10" t="s">
        <v>5006</v>
      </c>
      <c r="R650" s="10" t="str">
        <f>IF(COUNTIF($J$2:J650,J650)=1,SUMIFS($O:$O,$J:$J,J650)+SUMIFS($P:$P,$J:$J,J650)+SUMIFS($Q:$Q,$J:$J,J650),"")</f>
        <v/>
      </c>
      <c r="S650" s="10" t="s">
        <v>5006</v>
      </c>
      <c r="T650" s="11" t="str">
        <f t="shared" si="88"/>
        <v>Ok</v>
      </c>
      <c r="U650" s="12">
        <v>46007</v>
      </c>
      <c r="V650" s="10">
        <v>650.09</v>
      </c>
      <c r="W650" s="10" t="str">
        <f t="shared" si="86"/>
        <v>N/A</v>
      </c>
      <c r="X650" t="s">
        <v>474</v>
      </c>
      <c r="Y650" t="s">
        <v>28</v>
      </c>
      <c r="Z650">
        <v>100129</v>
      </c>
      <c r="AA650" t="s">
        <v>495</v>
      </c>
      <c r="AB650" t="s">
        <v>523</v>
      </c>
      <c r="AC650" s="9">
        <v>2</v>
      </c>
      <c r="AD650" s="9" t="str">
        <f t="shared" si="87"/>
        <v>N/A</v>
      </c>
      <c r="AE650" s="11" t="e">
        <f t="shared" si="89"/>
        <v>#VALUE!</v>
      </c>
    </row>
    <row r="651" spans="1:31" x14ac:dyDescent="0.3">
      <c r="A651">
        <v>72</v>
      </c>
      <c r="B651">
        <v>4633228</v>
      </c>
      <c r="C651" t="s">
        <v>217</v>
      </c>
      <c r="D651">
        <v>1161112</v>
      </c>
      <c r="E651" t="s">
        <v>566</v>
      </c>
      <c r="F651" t="s">
        <v>20</v>
      </c>
      <c r="G651" t="s">
        <v>946</v>
      </c>
      <c r="H651" t="s">
        <v>947</v>
      </c>
      <c r="I651" t="s">
        <v>3496</v>
      </c>
      <c r="J651">
        <v>50115661359</v>
      </c>
      <c r="K651" t="s">
        <v>3266</v>
      </c>
      <c r="L651" t="s">
        <v>3403</v>
      </c>
      <c r="M651">
        <v>2090</v>
      </c>
      <c r="N651" s="10">
        <v>4.5999999999999996</v>
      </c>
      <c r="O651" s="10">
        <f t="shared" si="85"/>
        <v>9614</v>
      </c>
      <c r="P651" s="10">
        <v>0</v>
      </c>
      <c r="Q651" s="10">
        <v>0</v>
      </c>
      <c r="R651" s="10">
        <f>IF(COUNTIF($J$2:J651,J651)=1,SUMIFS($O:$O,$J:$J,J651)+SUMIFS($P:$P,$J:$J,J651)+SUMIFS($Q:$Q,$J:$J,J651),"")</f>
        <v>10712.24</v>
      </c>
      <c r="S651" s="10">
        <v>10712.24</v>
      </c>
      <c r="T651" s="11" t="str">
        <f t="shared" si="88"/>
        <v>Ok</v>
      </c>
      <c r="U651" s="12">
        <v>46058</v>
      </c>
      <c r="V651" s="10">
        <v>1098.24</v>
      </c>
      <c r="W651" s="10" t="str">
        <f t="shared" si="86"/>
        <v>Short Paid</v>
      </c>
      <c r="X651" t="s">
        <v>468</v>
      </c>
      <c r="Y651" t="s">
        <v>28</v>
      </c>
      <c r="Z651">
        <v>100116</v>
      </c>
      <c r="AA651" t="s">
        <v>3082</v>
      </c>
      <c r="AB651" t="s">
        <v>521</v>
      </c>
      <c r="AC651" s="9">
        <v>2</v>
      </c>
      <c r="AD651" s="9" t="str">
        <f t="shared" si="87"/>
        <v>Ok</v>
      </c>
      <c r="AE651" s="11">
        <f t="shared" si="89"/>
        <v>0</v>
      </c>
    </row>
    <row r="652" spans="1:31" x14ac:dyDescent="0.3">
      <c r="A652">
        <v>72</v>
      </c>
      <c r="B652">
        <v>4633228</v>
      </c>
      <c r="C652" t="s">
        <v>217</v>
      </c>
      <c r="D652">
        <v>1161112</v>
      </c>
      <c r="E652" t="s">
        <v>566</v>
      </c>
      <c r="F652" t="s">
        <v>20</v>
      </c>
      <c r="G652" t="s">
        <v>946</v>
      </c>
      <c r="H652" t="s">
        <v>947</v>
      </c>
      <c r="I652" t="s">
        <v>3388</v>
      </c>
      <c r="J652">
        <v>50115661359</v>
      </c>
      <c r="K652" t="s">
        <v>3398</v>
      </c>
      <c r="L652" t="s">
        <v>3849</v>
      </c>
      <c r="M652">
        <v>2000</v>
      </c>
      <c r="N652" s="10">
        <v>0.54912000000000005</v>
      </c>
      <c r="O652" s="10">
        <f t="shared" si="85"/>
        <v>1098.24</v>
      </c>
      <c r="P652" s="10" t="s">
        <v>5006</v>
      </c>
      <c r="Q652" s="10" t="s">
        <v>5006</v>
      </c>
      <c r="R652" s="10" t="str">
        <f>IF(COUNTIF($J$2:J652,J652)=1,SUMIFS($O:$O,$J:$J,J652)+SUMIFS($P:$P,$J:$J,J652)+SUMIFS($Q:$Q,$J:$J,J652),"")</f>
        <v/>
      </c>
      <c r="S652" s="10" t="s">
        <v>5006</v>
      </c>
      <c r="T652" s="11" t="str">
        <f t="shared" si="88"/>
        <v>Ok</v>
      </c>
      <c r="U652" s="12">
        <v>46058</v>
      </c>
      <c r="V652" s="10">
        <v>1098.24</v>
      </c>
      <c r="W652" s="10" t="str">
        <f t="shared" si="86"/>
        <v>N/A</v>
      </c>
      <c r="X652" t="s">
        <v>468</v>
      </c>
      <c r="Y652" t="s">
        <v>28</v>
      </c>
      <c r="Z652">
        <v>100116</v>
      </c>
      <c r="AA652" t="s">
        <v>3082</v>
      </c>
      <c r="AB652" t="s">
        <v>521</v>
      </c>
      <c r="AC652" s="9">
        <v>2</v>
      </c>
      <c r="AD652" s="9" t="str">
        <f t="shared" si="87"/>
        <v>N/A</v>
      </c>
      <c r="AE652" s="11" t="e">
        <f t="shared" si="89"/>
        <v>#VALUE!</v>
      </c>
    </row>
    <row r="653" spans="1:31" x14ac:dyDescent="0.3">
      <c r="A653">
        <v>65</v>
      </c>
      <c r="B653">
        <v>4652151</v>
      </c>
      <c r="C653" t="s">
        <v>56</v>
      </c>
      <c r="D653">
        <v>1443616</v>
      </c>
      <c r="E653" t="s">
        <v>285</v>
      </c>
      <c r="F653" t="s">
        <v>19</v>
      </c>
      <c r="G653" t="s">
        <v>981</v>
      </c>
      <c r="H653" t="s">
        <v>982</v>
      </c>
      <c r="I653" t="s">
        <v>3451</v>
      </c>
      <c r="J653">
        <v>50115782001</v>
      </c>
      <c r="K653" t="s">
        <v>3537</v>
      </c>
      <c r="L653" t="s">
        <v>3850</v>
      </c>
      <c r="M653">
        <v>21000</v>
      </c>
      <c r="N653" s="10">
        <v>0.67900000000000005</v>
      </c>
      <c r="O653" s="10">
        <f t="shared" si="85"/>
        <v>14259.000000000002</v>
      </c>
      <c r="P653" s="10">
        <v>0</v>
      </c>
      <c r="Q653" s="10">
        <v>2136.14</v>
      </c>
      <c r="R653" s="10">
        <f>IF(COUNTIF($J$2:J653,J653)=1,SUMIFS($O:$O,$J:$J,J653)+SUMIFS($P:$P,$J:$J,J653)+SUMIFS($Q:$Q,$J:$J,J653),"")</f>
        <v>17956.890000000003</v>
      </c>
      <c r="S653" s="10">
        <v>19260.59</v>
      </c>
      <c r="T653" s="11" t="str">
        <f t="shared" si="88"/>
        <v>Check</v>
      </c>
      <c r="U653" s="12">
        <v>46091</v>
      </c>
      <c r="V653" s="10">
        <v>17074.14</v>
      </c>
      <c r="W653" s="10" t="str">
        <f t="shared" si="86"/>
        <v>Short Paid</v>
      </c>
      <c r="X653" t="s">
        <v>435</v>
      </c>
      <c r="Y653" t="s">
        <v>28</v>
      </c>
      <c r="Z653">
        <v>100111</v>
      </c>
      <c r="AA653" t="s">
        <v>3045</v>
      </c>
      <c r="AB653" t="s">
        <v>524</v>
      </c>
      <c r="AC653" s="9">
        <v>2</v>
      </c>
      <c r="AD653" s="9" t="str">
        <f t="shared" si="87"/>
        <v>Check</v>
      </c>
      <c r="AE653" s="11">
        <f t="shared" si="89"/>
        <v>-1303.6999999999971</v>
      </c>
    </row>
    <row r="654" spans="1:31" x14ac:dyDescent="0.3">
      <c r="A654">
        <v>65</v>
      </c>
      <c r="B654">
        <v>4652151</v>
      </c>
      <c r="C654" t="s">
        <v>56</v>
      </c>
      <c r="D654">
        <v>1443616</v>
      </c>
      <c r="E654" t="s">
        <v>285</v>
      </c>
      <c r="F654" t="s">
        <v>19</v>
      </c>
      <c r="G654" t="s">
        <v>981</v>
      </c>
      <c r="H654" t="s">
        <v>982</v>
      </c>
      <c r="I654" t="s">
        <v>3323</v>
      </c>
      <c r="J654">
        <v>50115782001</v>
      </c>
      <c r="K654" t="s">
        <v>3180</v>
      </c>
      <c r="L654" t="s">
        <v>3851</v>
      </c>
      <c r="M654">
        <v>2500</v>
      </c>
      <c r="N654" s="10">
        <v>0.62470000000000003</v>
      </c>
      <c r="O654" s="10">
        <f t="shared" si="85"/>
        <v>1561.75</v>
      </c>
      <c r="P654" s="10" t="s">
        <v>5006</v>
      </c>
      <c r="Q654" s="10" t="s">
        <v>5006</v>
      </c>
      <c r="R654" s="10" t="str">
        <f>IF(COUNTIF($J$2:J654,J654)=1,SUMIFS($O:$O,$J:$J,J654)+SUMIFS($P:$P,$J:$J,J654)+SUMIFS($Q:$Q,$J:$J,J654),"")</f>
        <v/>
      </c>
      <c r="S654" s="10" t="s">
        <v>5006</v>
      </c>
      <c r="T654" s="11" t="str">
        <f t="shared" si="88"/>
        <v>Check</v>
      </c>
      <c r="U654" s="12">
        <v>46091</v>
      </c>
      <c r="V654" s="10">
        <v>17074.14</v>
      </c>
      <c r="W654" s="10" t="str">
        <f t="shared" si="86"/>
        <v>N/A</v>
      </c>
      <c r="X654" t="s">
        <v>435</v>
      </c>
      <c r="Y654" t="s">
        <v>28</v>
      </c>
      <c r="Z654">
        <v>100111</v>
      </c>
      <c r="AA654" t="s">
        <v>3045</v>
      </c>
      <c r="AB654" t="s">
        <v>524</v>
      </c>
      <c r="AC654" s="9">
        <v>2</v>
      </c>
      <c r="AD654" s="9" t="str">
        <f t="shared" si="87"/>
        <v>N/A</v>
      </c>
      <c r="AE654" s="11" t="e">
        <f t="shared" si="89"/>
        <v>#VALUE!</v>
      </c>
    </row>
    <row r="655" spans="1:31" x14ac:dyDescent="0.3">
      <c r="A655">
        <v>59</v>
      </c>
      <c r="B655">
        <v>4665509</v>
      </c>
      <c r="C655" t="s">
        <v>217</v>
      </c>
      <c r="D655">
        <v>1160621</v>
      </c>
      <c r="E655" t="s">
        <v>571</v>
      </c>
      <c r="F655" t="s">
        <v>18</v>
      </c>
      <c r="G655" t="s">
        <v>1029</v>
      </c>
      <c r="H655" t="s">
        <v>1030</v>
      </c>
      <c r="I655" t="s">
        <v>3395</v>
      </c>
      <c r="J655">
        <v>50115891873</v>
      </c>
      <c r="K655" t="s">
        <v>3434</v>
      </c>
      <c r="L655" t="s">
        <v>3852</v>
      </c>
      <c r="M655">
        <v>3608</v>
      </c>
      <c r="N655" s="10">
        <v>7.1843199999999996</v>
      </c>
      <c r="O655" s="10">
        <f t="shared" si="85"/>
        <v>25921.026559999998</v>
      </c>
      <c r="P655" s="10">
        <v>0</v>
      </c>
      <c r="Q655" s="10">
        <v>0</v>
      </c>
      <c r="R655" s="10">
        <f>IF(COUNTIF($J$2:J655,J655)=1,SUMIFS($O:$O,$J:$J,J655)+SUMIFS($P:$P,$J:$J,J655)+SUMIFS($Q:$Q,$J:$J,J655),"")</f>
        <v>27406.866559999999</v>
      </c>
      <c r="S655" s="10">
        <v>27406.87</v>
      </c>
      <c r="T655" s="11" t="str">
        <f t="shared" si="88"/>
        <v>Check</v>
      </c>
      <c r="U655" s="12">
        <v>46057</v>
      </c>
      <c r="V655" s="10">
        <v>25921.03</v>
      </c>
      <c r="W655" s="10" t="str">
        <f t="shared" si="86"/>
        <v>Short Paid</v>
      </c>
      <c r="X655" t="s">
        <v>468</v>
      </c>
      <c r="Y655" t="s">
        <v>28</v>
      </c>
      <c r="Z655">
        <v>100236</v>
      </c>
      <c r="AA655" t="s">
        <v>3059</v>
      </c>
      <c r="AB655" t="s">
        <v>523</v>
      </c>
      <c r="AC655" s="9">
        <v>2</v>
      </c>
      <c r="AD655" s="9" t="str">
        <f t="shared" si="87"/>
        <v>Check</v>
      </c>
      <c r="AE655" s="11">
        <f t="shared" si="89"/>
        <v>-3.4400000004097819E-3</v>
      </c>
    </row>
    <row r="656" spans="1:31" x14ac:dyDescent="0.3">
      <c r="A656">
        <v>59</v>
      </c>
      <c r="B656">
        <v>4665509</v>
      </c>
      <c r="C656" t="s">
        <v>217</v>
      </c>
      <c r="D656">
        <v>1160621</v>
      </c>
      <c r="E656" t="s">
        <v>571</v>
      </c>
      <c r="F656" t="s">
        <v>18</v>
      </c>
      <c r="G656" t="s">
        <v>1029</v>
      </c>
      <c r="H656" t="s">
        <v>1030</v>
      </c>
      <c r="I656" t="s">
        <v>3410</v>
      </c>
      <c r="J656">
        <v>50115891873</v>
      </c>
      <c r="K656" t="s">
        <v>3379</v>
      </c>
      <c r="L656" t="s">
        <v>3405</v>
      </c>
      <c r="M656">
        <v>6000</v>
      </c>
      <c r="N656" s="10">
        <v>0.24764</v>
      </c>
      <c r="O656" s="10">
        <f t="shared" si="85"/>
        <v>1485.84</v>
      </c>
      <c r="P656" s="10" t="s">
        <v>5006</v>
      </c>
      <c r="Q656" s="10" t="s">
        <v>5006</v>
      </c>
      <c r="R656" s="10" t="str">
        <f>IF(COUNTIF($J$2:J656,J656)=1,SUMIFS($O:$O,$J:$J,J656)+SUMIFS($P:$P,$J:$J,J656)+SUMIFS($Q:$Q,$J:$J,J656),"")</f>
        <v/>
      </c>
      <c r="S656" s="10" t="s">
        <v>5006</v>
      </c>
      <c r="T656" s="11" t="str">
        <f t="shared" si="88"/>
        <v>Check</v>
      </c>
      <c r="U656" s="12">
        <v>46057</v>
      </c>
      <c r="V656" s="10">
        <v>25921.03</v>
      </c>
      <c r="W656" s="10" t="str">
        <f t="shared" si="86"/>
        <v>N/A</v>
      </c>
      <c r="X656" t="s">
        <v>468</v>
      </c>
      <c r="Y656" t="s">
        <v>28</v>
      </c>
      <c r="Z656">
        <v>100236</v>
      </c>
      <c r="AA656" t="s">
        <v>3059</v>
      </c>
      <c r="AB656" t="s">
        <v>523</v>
      </c>
      <c r="AC656" s="9">
        <v>2</v>
      </c>
      <c r="AD656" s="9" t="str">
        <f t="shared" si="87"/>
        <v>N/A</v>
      </c>
      <c r="AE656" s="11" t="e">
        <f t="shared" si="89"/>
        <v>#VALUE!</v>
      </c>
    </row>
    <row r="657" spans="1:31" x14ac:dyDescent="0.3">
      <c r="A657">
        <v>58</v>
      </c>
      <c r="B657">
        <v>4671353</v>
      </c>
      <c r="C657" t="s">
        <v>38</v>
      </c>
      <c r="D657">
        <v>1789479</v>
      </c>
      <c r="E657" t="s">
        <v>692</v>
      </c>
      <c r="F657" t="s">
        <v>20</v>
      </c>
      <c r="G657" t="s">
        <v>2734</v>
      </c>
      <c r="H657" t="s">
        <v>1039</v>
      </c>
      <c r="I657" t="s">
        <v>3305</v>
      </c>
      <c r="J657">
        <v>50115968532</v>
      </c>
      <c r="K657" t="s">
        <v>3351</v>
      </c>
      <c r="L657" t="s">
        <v>3450</v>
      </c>
      <c r="M657">
        <v>8000</v>
      </c>
      <c r="N657" s="10">
        <v>3.8679999999999999</v>
      </c>
      <c r="O657" s="10">
        <f t="shared" si="85"/>
        <v>30944</v>
      </c>
      <c r="P657" s="10">
        <v>0</v>
      </c>
      <c r="Q657" s="10">
        <v>0</v>
      </c>
      <c r="R657" s="10">
        <f>IF(COUNTIF($J$2:J657,J657)=1,SUMIFS($O:$O,$J:$J,J657)+SUMIFS($P:$P,$J:$J,J657)+SUMIFS($Q:$Q,$J:$J,J657),"")</f>
        <v>33085.17</v>
      </c>
      <c r="S657" s="10">
        <v>33085.17</v>
      </c>
      <c r="T657" s="11" t="str">
        <f t="shared" si="88"/>
        <v>Ok</v>
      </c>
      <c r="U657" s="12">
        <v>46000</v>
      </c>
      <c r="V657" s="10">
        <v>2141.17</v>
      </c>
      <c r="W657" s="10" t="str">
        <f t="shared" si="86"/>
        <v>Short Paid</v>
      </c>
      <c r="X657" t="s">
        <v>474</v>
      </c>
      <c r="Y657" t="s">
        <v>28</v>
      </c>
      <c r="Z657">
        <v>100249</v>
      </c>
      <c r="AA657" t="s">
        <v>484</v>
      </c>
      <c r="AB657" t="s">
        <v>521</v>
      </c>
      <c r="AC657" s="9">
        <v>2</v>
      </c>
      <c r="AD657" s="9" t="str">
        <f t="shared" si="87"/>
        <v>Ok</v>
      </c>
      <c r="AE657" s="11">
        <f t="shared" si="89"/>
        <v>0</v>
      </c>
    </row>
    <row r="658" spans="1:31" x14ac:dyDescent="0.3">
      <c r="A658">
        <v>58</v>
      </c>
      <c r="B658">
        <v>4671353</v>
      </c>
      <c r="C658" t="s">
        <v>38</v>
      </c>
      <c r="D658">
        <v>1789479</v>
      </c>
      <c r="E658" t="s">
        <v>692</v>
      </c>
      <c r="F658" t="s">
        <v>20</v>
      </c>
      <c r="G658" t="s">
        <v>2734</v>
      </c>
      <c r="H658" t="s">
        <v>1039</v>
      </c>
      <c r="I658" t="s">
        <v>3420</v>
      </c>
      <c r="J658">
        <v>50115968532</v>
      </c>
      <c r="K658" t="s">
        <v>3406</v>
      </c>
      <c r="L658" t="s">
        <v>3853</v>
      </c>
      <c r="M658">
        <v>1</v>
      </c>
      <c r="N658" s="10">
        <v>2141.17</v>
      </c>
      <c r="O658" s="10">
        <f t="shared" si="85"/>
        <v>2141.17</v>
      </c>
      <c r="P658" s="10" t="s">
        <v>5006</v>
      </c>
      <c r="Q658" s="10" t="s">
        <v>5006</v>
      </c>
      <c r="R658" s="10" t="str">
        <f>IF(COUNTIF($J$2:J658,J658)=1,SUMIFS($O:$O,$J:$J,J658)+SUMIFS($P:$P,$J:$J,J658)+SUMIFS($Q:$Q,$J:$J,J658),"")</f>
        <v/>
      </c>
      <c r="S658" s="10" t="s">
        <v>5006</v>
      </c>
      <c r="T658" s="11" t="str">
        <f t="shared" si="88"/>
        <v>Ok</v>
      </c>
      <c r="U658" s="12">
        <v>46000</v>
      </c>
      <c r="V658" s="10">
        <v>2141.17</v>
      </c>
      <c r="W658" s="10" t="str">
        <f t="shared" si="86"/>
        <v>N/A</v>
      </c>
      <c r="X658" t="s">
        <v>474</v>
      </c>
      <c r="Y658" t="s">
        <v>28</v>
      </c>
      <c r="Z658">
        <v>100249</v>
      </c>
      <c r="AA658" t="s">
        <v>484</v>
      </c>
      <c r="AB658" t="s">
        <v>521</v>
      </c>
      <c r="AC658" s="9">
        <v>2</v>
      </c>
      <c r="AD658" s="9" t="str">
        <f t="shared" si="87"/>
        <v>N/A</v>
      </c>
      <c r="AE658" s="11" t="e">
        <f t="shared" si="89"/>
        <v>#VALUE!</v>
      </c>
    </row>
    <row r="659" spans="1:31" x14ac:dyDescent="0.3">
      <c r="A659">
        <v>58</v>
      </c>
      <c r="B659">
        <v>4671075</v>
      </c>
      <c r="C659" t="s">
        <v>220</v>
      </c>
      <c r="D659">
        <v>1115546</v>
      </c>
      <c r="E659" t="s">
        <v>572</v>
      </c>
      <c r="F659" t="s">
        <v>19</v>
      </c>
      <c r="G659" t="s">
        <v>2723</v>
      </c>
      <c r="H659" t="s">
        <v>1038</v>
      </c>
      <c r="I659" t="s">
        <v>3494</v>
      </c>
      <c r="J659">
        <v>50115968533</v>
      </c>
      <c r="K659" t="s">
        <v>3351</v>
      </c>
      <c r="L659" t="s">
        <v>3854</v>
      </c>
      <c r="M659">
        <v>57120</v>
      </c>
      <c r="N659" s="10">
        <v>1.6734</v>
      </c>
      <c r="O659" s="10">
        <f t="shared" si="85"/>
        <v>95584.607999999993</v>
      </c>
      <c r="P659" s="10">
        <v>0</v>
      </c>
      <c r="Q659" s="10">
        <v>0</v>
      </c>
      <c r="R659" s="10">
        <f>IF(COUNTIF($J$2:J659,J659)=1,SUMIFS($O:$O,$J:$J,J659)+SUMIFS($P:$P,$J:$J,J659)+SUMIFS($Q:$Q,$J:$J,J659),"")</f>
        <v>95894.207999999999</v>
      </c>
      <c r="S659" s="10">
        <v>95894.21</v>
      </c>
      <c r="T659" s="11" t="str">
        <f t="shared" si="88"/>
        <v>Check</v>
      </c>
      <c r="U659" s="12">
        <v>46034</v>
      </c>
      <c r="V659" s="10">
        <v>95584.61</v>
      </c>
      <c r="W659" s="10" t="str">
        <f t="shared" si="86"/>
        <v>Short Paid</v>
      </c>
      <c r="X659" t="s">
        <v>470</v>
      </c>
      <c r="Y659" t="s">
        <v>28</v>
      </c>
      <c r="Z659">
        <v>100238</v>
      </c>
      <c r="AA659" t="s">
        <v>3078</v>
      </c>
      <c r="AB659" t="s">
        <v>524</v>
      </c>
      <c r="AC659" s="9">
        <v>2</v>
      </c>
      <c r="AD659" s="9" t="str">
        <f t="shared" si="87"/>
        <v>Check</v>
      </c>
      <c r="AE659" s="11">
        <f t="shared" si="89"/>
        <v>-2.0000000076834112E-3</v>
      </c>
    </row>
    <row r="660" spans="1:31" x14ac:dyDescent="0.3">
      <c r="A660">
        <v>58</v>
      </c>
      <c r="B660">
        <v>4671075</v>
      </c>
      <c r="C660" t="s">
        <v>220</v>
      </c>
      <c r="D660">
        <v>1115546</v>
      </c>
      <c r="E660" t="s">
        <v>572</v>
      </c>
      <c r="F660" t="s">
        <v>19</v>
      </c>
      <c r="G660" t="s">
        <v>2723</v>
      </c>
      <c r="H660" t="s">
        <v>1038</v>
      </c>
      <c r="I660" t="s">
        <v>3387</v>
      </c>
      <c r="J660">
        <v>50115968533</v>
      </c>
      <c r="K660" t="s">
        <v>3379</v>
      </c>
      <c r="L660" t="s">
        <v>3855</v>
      </c>
      <c r="M660">
        <v>4000</v>
      </c>
      <c r="N660" s="10">
        <v>7.7399999999999997E-2</v>
      </c>
      <c r="O660" s="10">
        <f t="shared" si="85"/>
        <v>309.59999999999997</v>
      </c>
      <c r="P660" s="10" t="s">
        <v>5006</v>
      </c>
      <c r="Q660" s="10" t="s">
        <v>5006</v>
      </c>
      <c r="R660" s="10" t="str">
        <f>IF(COUNTIF($J$2:J660,J660)=1,SUMIFS($O:$O,$J:$J,J660)+SUMIFS($P:$P,$J:$J,J660)+SUMIFS($Q:$Q,$J:$J,J660),"")</f>
        <v/>
      </c>
      <c r="S660" s="10" t="s">
        <v>5006</v>
      </c>
      <c r="T660" s="11" t="str">
        <f t="shared" si="88"/>
        <v>Check</v>
      </c>
      <c r="U660" s="12">
        <v>46034</v>
      </c>
      <c r="V660" s="10">
        <v>95584.61</v>
      </c>
      <c r="W660" s="10" t="str">
        <f t="shared" si="86"/>
        <v>N/A</v>
      </c>
      <c r="X660" t="s">
        <v>470</v>
      </c>
      <c r="Y660" t="s">
        <v>28</v>
      </c>
      <c r="Z660">
        <v>100238</v>
      </c>
      <c r="AA660" t="s">
        <v>3078</v>
      </c>
      <c r="AB660" t="s">
        <v>524</v>
      </c>
      <c r="AC660" s="9">
        <v>2</v>
      </c>
      <c r="AD660" s="9" t="str">
        <f t="shared" si="87"/>
        <v>N/A</v>
      </c>
      <c r="AE660" s="11" t="e">
        <f t="shared" si="89"/>
        <v>#VALUE!</v>
      </c>
    </row>
    <row r="661" spans="1:31" x14ac:dyDescent="0.3">
      <c r="A661">
        <v>39</v>
      </c>
      <c r="B661">
        <v>4718940</v>
      </c>
      <c r="C661" t="s">
        <v>60</v>
      </c>
      <c r="D661">
        <v>1130746</v>
      </c>
      <c r="E661" t="s">
        <v>596</v>
      </c>
      <c r="F661" t="s">
        <v>20</v>
      </c>
      <c r="G661" t="s">
        <v>1191</v>
      </c>
      <c r="H661" t="s">
        <v>1192</v>
      </c>
      <c r="I661" t="s">
        <v>3178</v>
      </c>
      <c r="J661">
        <v>50116493461</v>
      </c>
      <c r="K661" t="s">
        <v>3373</v>
      </c>
      <c r="L661" t="s">
        <v>3856</v>
      </c>
      <c r="M661">
        <v>1000</v>
      </c>
      <c r="N661" s="10">
        <v>2.778</v>
      </c>
      <c r="O661" s="10">
        <f t="shared" si="85"/>
        <v>2778</v>
      </c>
      <c r="P661" s="10">
        <v>0</v>
      </c>
      <c r="Q661" s="10">
        <v>0</v>
      </c>
      <c r="R661" s="10">
        <f>IF(COUNTIF($J$2:J661,J661)=1,SUMIFS($O:$O,$J:$J,J661)+SUMIFS($P:$P,$J:$J,J661)+SUMIFS($Q:$Q,$J:$J,J661),"")</f>
        <v>90807.239999999991</v>
      </c>
      <c r="S661" s="10">
        <v>90807.24</v>
      </c>
      <c r="T661" s="11" t="str">
        <f t="shared" si="88"/>
        <v>Ok</v>
      </c>
      <c r="U661" s="12">
        <v>46094</v>
      </c>
      <c r="V661" s="10">
        <v>88029.24</v>
      </c>
      <c r="W661" s="10" t="str">
        <f t="shared" si="86"/>
        <v>Short Paid</v>
      </c>
      <c r="X661" t="s">
        <v>438</v>
      </c>
      <c r="Y661" t="s">
        <v>28</v>
      </c>
      <c r="Z661">
        <v>100273</v>
      </c>
      <c r="AA661" t="s">
        <v>444</v>
      </c>
      <c r="AB661" t="s">
        <v>521</v>
      </c>
      <c r="AC661" s="9">
        <v>2</v>
      </c>
      <c r="AD661" s="9" t="str">
        <f t="shared" si="87"/>
        <v>Ok</v>
      </c>
      <c r="AE661" s="11">
        <f t="shared" si="89"/>
        <v>0</v>
      </c>
    </row>
    <row r="662" spans="1:31" x14ac:dyDescent="0.3">
      <c r="A662">
        <v>39</v>
      </c>
      <c r="B662">
        <v>4718940</v>
      </c>
      <c r="C662" t="s">
        <v>60</v>
      </c>
      <c r="D662">
        <v>1130746</v>
      </c>
      <c r="E662" t="s">
        <v>596</v>
      </c>
      <c r="F662" t="s">
        <v>20</v>
      </c>
      <c r="G662" t="s">
        <v>1191</v>
      </c>
      <c r="H662" t="s">
        <v>1192</v>
      </c>
      <c r="I662" t="s">
        <v>3462</v>
      </c>
      <c r="J662">
        <v>50116493461</v>
      </c>
      <c r="K662" t="s">
        <v>3289</v>
      </c>
      <c r="L662" t="s">
        <v>3857</v>
      </c>
      <c r="M662">
        <v>312</v>
      </c>
      <c r="N662" s="10">
        <v>282.14499999999998</v>
      </c>
      <c r="O662" s="10">
        <f t="shared" si="85"/>
        <v>88029.239999999991</v>
      </c>
      <c r="P662" s="10" t="s">
        <v>5006</v>
      </c>
      <c r="Q662" s="10" t="s">
        <v>5006</v>
      </c>
      <c r="R662" s="10" t="str">
        <f>IF(COUNTIF($J$2:J662,J662)=1,SUMIFS($O:$O,$J:$J,J662)+SUMIFS($P:$P,$J:$J,J662)+SUMIFS($Q:$Q,$J:$J,J662),"")</f>
        <v/>
      </c>
      <c r="S662" s="10" t="s">
        <v>5006</v>
      </c>
      <c r="T662" s="11" t="str">
        <f t="shared" si="88"/>
        <v>Ok</v>
      </c>
      <c r="U662" s="12">
        <v>46094</v>
      </c>
      <c r="V662" s="10">
        <v>88029.24</v>
      </c>
      <c r="W662" s="10" t="str">
        <f t="shared" si="86"/>
        <v>N/A</v>
      </c>
      <c r="X662" t="s">
        <v>438</v>
      </c>
      <c r="Y662" t="s">
        <v>28</v>
      </c>
      <c r="Z662">
        <v>100273</v>
      </c>
      <c r="AA662" t="s">
        <v>444</v>
      </c>
      <c r="AB662" t="s">
        <v>521</v>
      </c>
      <c r="AC662" s="9">
        <v>2</v>
      </c>
      <c r="AD662" s="9" t="str">
        <f t="shared" si="87"/>
        <v>N/A</v>
      </c>
      <c r="AE662" s="11" t="e">
        <f t="shared" si="89"/>
        <v>#VALUE!</v>
      </c>
    </row>
    <row r="663" spans="1:31" x14ac:dyDescent="0.3">
      <c r="A663">
        <v>38</v>
      </c>
      <c r="B663">
        <v>4731741</v>
      </c>
      <c r="C663" t="s">
        <v>94</v>
      </c>
      <c r="D663">
        <v>1200599</v>
      </c>
      <c r="E663" t="s">
        <v>656</v>
      </c>
      <c r="F663" t="s">
        <v>19</v>
      </c>
      <c r="G663" t="s">
        <v>2792</v>
      </c>
      <c r="H663" t="s">
        <v>1228</v>
      </c>
      <c r="I663" t="s">
        <v>3455</v>
      </c>
      <c r="J663">
        <v>50116613525</v>
      </c>
      <c r="K663" t="s">
        <v>3318</v>
      </c>
      <c r="L663" t="s">
        <v>3317</v>
      </c>
      <c r="M663">
        <v>10000</v>
      </c>
      <c r="N663" s="10">
        <v>0.11169999999999999</v>
      </c>
      <c r="O663" s="10">
        <f t="shared" si="85"/>
        <v>1117</v>
      </c>
      <c r="P663" s="10">
        <v>0</v>
      </c>
      <c r="Q663" s="10">
        <v>0</v>
      </c>
      <c r="R663" s="10">
        <f>IF(COUNTIF($J$2:J663,J663)=1,SUMIFS($O:$O,$J:$J,J663)+SUMIFS($P:$P,$J:$J,J663)+SUMIFS($Q:$Q,$J:$J,J663),"")</f>
        <v>4087</v>
      </c>
      <c r="S663" s="10">
        <v>7057</v>
      </c>
      <c r="T663" s="11" t="str">
        <f t="shared" si="88"/>
        <v>Check</v>
      </c>
      <c r="U663" s="12">
        <v>46098</v>
      </c>
      <c r="V663" s="10">
        <v>5940</v>
      </c>
      <c r="W663" s="10" t="str">
        <f t="shared" si="86"/>
        <v>Short Paid</v>
      </c>
      <c r="X663" t="s">
        <v>450</v>
      </c>
      <c r="Y663" t="s">
        <v>28</v>
      </c>
      <c r="Z663">
        <v>100197</v>
      </c>
      <c r="AA663" t="s">
        <v>493</v>
      </c>
      <c r="AB663" t="s">
        <v>524</v>
      </c>
      <c r="AC663" s="9">
        <v>2</v>
      </c>
      <c r="AD663" s="9" t="str">
        <f t="shared" si="87"/>
        <v>Check</v>
      </c>
      <c r="AE663" s="11">
        <f t="shared" si="89"/>
        <v>-2970</v>
      </c>
    </row>
    <row r="664" spans="1:31" x14ac:dyDescent="0.3">
      <c r="A664">
        <v>38</v>
      </c>
      <c r="B664">
        <v>4731741</v>
      </c>
      <c r="C664" t="s">
        <v>94</v>
      </c>
      <c r="D664">
        <v>1200599</v>
      </c>
      <c r="E664" t="s">
        <v>656</v>
      </c>
      <c r="F664" t="s">
        <v>19</v>
      </c>
      <c r="G664" t="s">
        <v>2792</v>
      </c>
      <c r="H664" t="s">
        <v>1228</v>
      </c>
      <c r="I664" t="s">
        <v>3381</v>
      </c>
      <c r="J664">
        <v>50116613525</v>
      </c>
      <c r="K664" t="s">
        <v>3572</v>
      </c>
      <c r="L664" t="s">
        <v>3571</v>
      </c>
      <c r="M664">
        <v>1</v>
      </c>
      <c r="N664" s="10">
        <v>2970</v>
      </c>
      <c r="O664" s="10">
        <f t="shared" si="85"/>
        <v>2970</v>
      </c>
      <c r="P664" s="10" t="s">
        <v>5006</v>
      </c>
      <c r="Q664" s="10" t="s">
        <v>5006</v>
      </c>
      <c r="R664" s="10" t="str">
        <f>IF(COUNTIF($J$2:J664,J664)=1,SUMIFS($O:$O,$J:$J,J664)+SUMIFS($P:$P,$J:$J,J664)+SUMIFS($Q:$Q,$J:$J,J664),"")</f>
        <v/>
      </c>
      <c r="S664" s="10" t="s">
        <v>5006</v>
      </c>
      <c r="T664" s="11" t="str">
        <f t="shared" si="88"/>
        <v>Check</v>
      </c>
      <c r="U664" s="12">
        <v>46098</v>
      </c>
      <c r="V664" s="10">
        <v>5940</v>
      </c>
      <c r="W664" s="10" t="str">
        <f t="shared" si="86"/>
        <v>N/A</v>
      </c>
      <c r="X664" t="s">
        <v>450</v>
      </c>
      <c r="Y664" t="s">
        <v>28</v>
      </c>
      <c r="Z664">
        <v>100197</v>
      </c>
      <c r="AA664" t="s">
        <v>493</v>
      </c>
      <c r="AB664" t="s">
        <v>524</v>
      </c>
      <c r="AC664" s="9">
        <v>2</v>
      </c>
      <c r="AD664" s="9" t="str">
        <f t="shared" si="87"/>
        <v>N/A</v>
      </c>
      <c r="AE664" s="11" t="e">
        <f t="shared" si="89"/>
        <v>#VALUE!</v>
      </c>
    </row>
    <row r="665" spans="1:31" x14ac:dyDescent="0.3">
      <c r="A665">
        <v>38</v>
      </c>
      <c r="B665">
        <v>4734524</v>
      </c>
      <c r="C665" t="s">
        <v>239</v>
      </c>
      <c r="D665">
        <v>1098309</v>
      </c>
      <c r="E665" t="s">
        <v>544</v>
      </c>
      <c r="F665" t="s">
        <v>49</v>
      </c>
      <c r="G665" t="s">
        <v>2794</v>
      </c>
      <c r="H665" t="s">
        <v>1233</v>
      </c>
      <c r="I665" t="s">
        <v>3185</v>
      </c>
      <c r="J665">
        <v>50116622445</v>
      </c>
      <c r="K665" t="s">
        <v>3339</v>
      </c>
      <c r="L665" t="s">
        <v>3858</v>
      </c>
      <c r="M665">
        <v>1</v>
      </c>
      <c r="N665" s="10">
        <v>165</v>
      </c>
      <c r="O665" s="10">
        <f t="shared" si="85"/>
        <v>165</v>
      </c>
      <c r="P665" s="10">
        <v>15.47</v>
      </c>
      <c r="Q665" s="10">
        <v>0</v>
      </c>
      <c r="R665" s="10">
        <f>IF(COUNTIF($J$2:J665,J665)=1,SUMIFS($O:$O,$J:$J,J665)+SUMIFS($P:$P,$J:$J,J665)+SUMIFS($Q:$Q,$J:$J,J665),"")</f>
        <v>19520.47</v>
      </c>
      <c r="S665" s="10">
        <v>19520.47</v>
      </c>
      <c r="T665" s="11" t="str">
        <f t="shared" si="88"/>
        <v>Ok</v>
      </c>
      <c r="U665" s="12">
        <v>46087</v>
      </c>
      <c r="V665" s="10">
        <v>15.47</v>
      </c>
      <c r="W665" s="10" t="str">
        <f t="shared" si="86"/>
        <v>Short Paid</v>
      </c>
      <c r="X665" t="s">
        <v>476</v>
      </c>
      <c r="Y665" t="s">
        <v>29</v>
      </c>
      <c r="Z665">
        <v>100295</v>
      </c>
      <c r="AA665" t="s">
        <v>3127</v>
      </c>
      <c r="AB665" t="s">
        <v>3041</v>
      </c>
      <c r="AC665" s="9">
        <v>2</v>
      </c>
      <c r="AD665" s="9" t="str">
        <f t="shared" si="87"/>
        <v>Ok</v>
      </c>
      <c r="AE665" s="11">
        <f t="shared" si="89"/>
        <v>0</v>
      </c>
    </row>
    <row r="666" spans="1:31" x14ac:dyDescent="0.3">
      <c r="A666">
        <v>38</v>
      </c>
      <c r="B666">
        <v>4734524</v>
      </c>
      <c r="C666" t="s">
        <v>239</v>
      </c>
      <c r="D666">
        <v>1098309</v>
      </c>
      <c r="E666" t="s">
        <v>544</v>
      </c>
      <c r="F666" t="s">
        <v>49</v>
      </c>
      <c r="G666" t="s">
        <v>2794</v>
      </c>
      <c r="H666" t="s">
        <v>1233</v>
      </c>
      <c r="I666" t="s">
        <v>3166</v>
      </c>
      <c r="J666">
        <v>50116622445</v>
      </c>
      <c r="K666" t="s">
        <v>3351</v>
      </c>
      <c r="L666" t="s">
        <v>3450</v>
      </c>
      <c r="M666">
        <v>5000</v>
      </c>
      <c r="N666" s="10">
        <v>3.8679999999999999</v>
      </c>
      <c r="O666" s="10">
        <f t="shared" si="85"/>
        <v>19340</v>
      </c>
      <c r="P666" s="10" t="s">
        <v>5006</v>
      </c>
      <c r="Q666" s="10" t="s">
        <v>5006</v>
      </c>
      <c r="R666" s="10" t="str">
        <f>IF(COUNTIF($J$2:J666,J666)=1,SUMIFS($O:$O,$J:$J,J666)+SUMIFS($P:$P,$J:$J,J666)+SUMIFS($Q:$Q,$J:$J,J666),"")</f>
        <v/>
      </c>
      <c r="S666" s="10" t="s">
        <v>5006</v>
      </c>
      <c r="T666" s="11" t="str">
        <f t="shared" si="88"/>
        <v>Ok</v>
      </c>
      <c r="U666" s="12">
        <v>46087</v>
      </c>
      <c r="V666" s="10">
        <v>15.47</v>
      </c>
      <c r="W666" s="10" t="str">
        <f t="shared" si="86"/>
        <v>N/A</v>
      </c>
      <c r="X666" t="s">
        <v>476</v>
      </c>
      <c r="Y666" t="s">
        <v>29</v>
      </c>
      <c r="Z666">
        <v>100295</v>
      </c>
      <c r="AA666" t="s">
        <v>3127</v>
      </c>
      <c r="AB666" t="s">
        <v>3041</v>
      </c>
      <c r="AC666" s="9">
        <v>2</v>
      </c>
      <c r="AD666" s="9" t="str">
        <f t="shared" si="87"/>
        <v>N/A</v>
      </c>
      <c r="AE666" s="11" t="e">
        <f t="shared" si="89"/>
        <v>#VALUE!</v>
      </c>
    </row>
    <row r="667" spans="1:31" x14ac:dyDescent="0.3">
      <c r="A667">
        <v>38</v>
      </c>
      <c r="B667">
        <v>4733411</v>
      </c>
      <c r="C667" t="s">
        <v>239</v>
      </c>
      <c r="D667">
        <v>1028314</v>
      </c>
      <c r="E667" t="s">
        <v>552</v>
      </c>
      <c r="F667" t="s">
        <v>18</v>
      </c>
      <c r="G667" t="s">
        <v>2786</v>
      </c>
      <c r="H667" t="s">
        <v>1230</v>
      </c>
      <c r="I667" t="s">
        <v>3218</v>
      </c>
      <c r="J667">
        <v>50116629069</v>
      </c>
      <c r="K667" t="s">
        <v>3201</v>
      </c>
      <c r="L667" t="s">
        <v>3703</v>
      </c>
      <c r="M667">
        <v>4000</v>
      </c>
      <c r="N667" s="10">
        <v>7.0000000000000007E-2</v>
      </c>
      <c r="O667" s="10">
        <f t="shared" si="85"/>
        <v>280</v>
      </c>
      <c r="P667" s="10">
        <v>0</v>
      </c>
      <c r="Q667" s="10">
        <v>0</v>
      </c>
      <c r="R667" s="10">
        <f>IF(COUNTIF($J$2:J667,J667)=1,SUMIFS($O:$O,$J:$J,J667)+SUMIFS($P:$P,$J:$J,J667)+SUMIFS($Q:$Q,$J:$J,J667),"")</f>
        <v>667</v>
      </c>
      <c r="S667" s="10">
        <v>667</v>
      </c>
      <c r="T667" s="11" t="str">
        <f t="shared" si="88"/>
        <v>Ok</v>
      </c>
      <c r="U667" s="12">
        <v>46045</v>
      </c>
      <c r="V667" s="10">
        <v>124</v>
      </c>
      <c r="W667" s="10" t="str">
        <f t="shared" si="86"/>
        <v>Short Paid</v>
      </c>
      <c r="X667" t="s">
        <v>476</v>
      </c>
      <c r="Y667" t="s">
        <v>28</v>
      </c>
      <c r="Z667">
        <v>100115</v>
      </c>
      <c r="AA667" t="s">
        <v>504</v>
      </c>
      <c r="AB667" t="s">
        <v>523</v>
      </c>
      <c r="AC667" s="9">
        <v>2</v>
      </c>
      <c r="AD667" s="9" t="str">
        <f t="shared" si="87"/>
        <v>Ok</v>
      </c>
      <c r="AE667" s="11">
        <f t="shared" si="89"/>
        <v>0</v>
      </c>
    </row>
    <row r="668" spans="1:31" x14ac:dyDescent="0.3">
      <c r="A668">
        <v>38</v>
      </c>
      <c r="B668">
        <v>4733411</v>
      </c>
      <c r="C668" t="s">
        <v>239</v>
      </c>
      <c r="D668">
        <v>1028314</v>
      </c>
      <c r="E668" t="s">
        <v>552</v>
      </c>
      <c r="F668" t="s">
        <v>18</v>
      </c>
      <c r="G668" t="s">
        <v>2786</v>
      </c>
      <c r="H668" t="s">
        <v>1230</v>
      </c>
      <c r="I668" t="s">
        <v>3381</v>
      </c>
      <c r="J668">
        <v>50116629069</v>
      </c>
      <c r="K668" t="s">
        <v>3168</v>
      </c>
      <c r="L668" t="s">
        <v>3497</v>
      </c>
      <c r="M668">
        <v>18000</v>
      </c>
      <c r="N668" s="10">
        <v>2.1499999999999998E-2</v>
      </c>
      <c r="O668" s="10">
        <f t="shared" si="85"/>
        <v>386.99999999999994</v>
      </c>
      <c r="P668" s="10" t="s">
        <v>5006</v>
      </c>
      <c r="Q668" s="10" t="s">
        <v>5006</v>
      </c>
      <c r="R668" s="10" t="str">
        <f>IF(COUNTIF($J$2:J668,J668)=1,SUMIFS($O:$O,$J:$J,J668)+SUMIFS($P:$P,$J:$J,J668)+SUMIFS($Q:$Q,$J:$J,J668),"")</f>
        <v/>
      </c>
      <c r="S668" s="10" t="s">
        <v>5006</v>
      </c>
      <c r="T668" s="11" t="str">
        <f t="shared" si="88"/>
        <v>Ok</v>
      </c>
      <c r="U668" s="12">
        <v>46045</v>
      </c>
      <c r="V668" s="10">
        <v>124</v>
      </c>
      <c r="W668" s="10" t="str">
        <f t="shared" si="86"/>
        <v>N/A</v>
      </c>
      <c r="X668" t="s">
        <v>476</v>
      </c>
      <c r="Y668" t="s">
        <v>28</v>
      </c>
      <c r="Z668">
        <v>100115</v>
      </c>
      <c r="AA668" t="s">
        <v>504</v>
      </c>
      <c r="AB668" t="s">
        <v>523</v>
      </c>
      <c r="AC668" s="9">
        <v>2</v>
      </c>
      <c r="AD668" s="9" t="str">
        <f t="shared" si="87"/>
        <v>N/A</v>
      </c>
      <c r="AE668" s="11" t="e">
        <f t="shared" si="89"/>
        <v>#VALUE!</v>
      </c>
    </row>
    <row r="669" spans="1:31" x14ac:dyDescent="0.3">
      <c r="A669">
        <v>28</v>
      </c>
      <c r="B669">
        <v>4772649</v>
      </c>
      <c r="C669" t="s">
        <v>239</v>
      </c>
      <c r="D669">
        <v>1079286</v>
      </c>
      <c r="E669" t="s">
        <v>629</v>
      </c>
      <c r="F669" t="s">
        <v>20</v>
      </c>
      <c r="G669" t="s">
        <v>2817</v>
      </c>
      <c r="H669" t="s">
        <v>1354</v>
      </c>
      <c r="I669" t="s">
        <v>3344</v>
      </c>
      <c r="J669">
        <v>50116841168</v>
      </c>
      <c r="K669" t="s">
        <v>3207</v>
      </c>
      <c r="L669" t="s">
        <v>3346</v>
      </c>
      <c r="M669">
        <v>17500</v>
      </c>
      <c r="N669" s="10">
        <v>6.6000000000000003E-2</v>
      </c>
      <c r="O669" s="10">
        <f t="shared" si="85"/>
        <v>1155</v>
      </c>
      <c r="P669" s="10">
        <v>0</v>
      </c>
      <c r="Q669" s="10">
        <v>941.55</v>
      </c>
      <c r="R669" s="10">
        <f>IF(COUNTIF($J$2:J669,J669)=1,SUMIFS($O:$O,$J:$J,J669)+SUMIFS($P:$P,$J:$J,J669)+SUMIFS($Q:$Q,$J:$J,J669),"")</f>
        <v>2679.55</v>
      </c>
      <c r="S669" s="10">
        <v>2679.55</v>
      </c>
      <c r="T669" s="11" t="str">
        <f t="shared" si="88"/>
        <v>Ok</v>
      </c>
      <c r="U669" s="12">
        <v>45775</v>
      </c>
      <c r="V669" s="10">
        <v>1524.55</v>
      </c>
      <c r="W669" s="10" t="str">
        <f t="shared" si="86"/>
        <v>Short Paid</v>
      </c>
      <c r="X669" t="s">
        <v>476</v>
      </c>
      <c r="Y669" t="s">
        <v>28</v>
      </c>
      <c r="Z669">
        <v>100125</v>
      </c>
      <c r="AA669" t="s">
        <v>477</v>
      </c>
      <c r="AB669" t="s">
        <v>521</v>
      </c>
      <c r="AC669" s="9">
        <v>2</v>
      </c>
      <c r="AD669" s="9" t="str">
        <f t="shared" si="87"/>
        <v>Ok</v>
      </c>
      <c r="AE669" s="11">
        <f t="shared" si="89"/>
        <v>0</v>
      </c>
    </row>
    <row r="670" spans="1:31" x14ac:dyDescent="0.3">
      <c r="A670">
        <v>28</v>
      </c>
      <c r="B670">
        <v>4772649</v>
      </c>
      <c r="C670" t="s">
        <v>239</v>
      </c>
      <c r="D670">
        <v>1079286</v>
      </c>
      <c r="E670" t="s">
        <v>629</v>
      </c>
      <c r="F670" t="s">
        <v>20</v>
      </c>
      <c r="G670" t="s">
        <v>2817</v>
      </c>
      <c r="H670" t="s">
        <v>1354</v>
      </c>
      <c r="I670" t="s">
        <v>3247</v>
      </c>
      <c r="J670">
        <v>50116841168</v>
      </c>
      <c r="K670" t="s">
        <v>3229</v>
      </c>
      <c r="L670" t="s">
        <v>3514</v>
      </c>
      <c r="M670">
        <v>11000</v>
      </c>
      <c r="N670" s="10">
        <v>5.2999999999999999E-2</v>
      </c>
      <c r="O670" s="10">
        <f t="shared" si="85"/>
        <v>583</v>
      </c>
      <c r="P670" s="10" t="s">
        <v>5006</v>
      </c>
      <c r="Q670" s="10" t="s">
        <v>5006</v>
      </c>
      <c r="R670" s="10" t="str">
        <f>IF(COUNTIF($J$2:J670,J670)=1,SUMIFS($O:$O,$J:$J,J670)+SUMIFS($P:$P,$J:$J,J670)+SUMIFS($Q:$Q,$J:$J,J670),"")</f>
        <v/>
      </c>
      <c r="S670" s="10" t="s">
        <v>5006</v>
      </c>
      <c r="T670" s="11" t="str">
        <f t="shared" si="88"/>
        <v>Ok</v>
      </c>
      <c r="U670" s="12">
        <v>45775</v>
      </c>
      <c r="V670" s="10">
        <v>1524.55</v>
      </c>
      <c r="W670" s="10" t="str">
        <f t="shared" si="86"/>
        <v>N/A</v>
      </c>
      <c r="X670" t="s">
        <v>476</v>
      </c>
      <c r="Y670" t="s">
        <v>28</v>
      </c>
      <c r="Z670">
        <v>100125</v>
      </c>
      <c r="AA670" t="s">
        <v>477</v>
      </c>
      <c r="AB670" t="s">
        <v>521</v>
      </c>
      <c r="AC670" s="9">
        <v>2</v>
      </c>
      <c r="AD670" s="9" t="str">
        <f t="shared" si="87"/>
        <v>N/A</v>
      </c>
      <c r="AE670" s="11" t="e">
        <f t="shared" si="89"/>
        <v>#VALUE!</v>
      </c>
    </row>
    <row r="671" spans="1:31" x14ac:dyDescent="0.3">
      <c r="A671">
        <v>25</v>
      </c>
      <c r="B671">
        <v>4806043</v>
      </c>
      <c r="C671" t="s">
        <v>239</v>
      </c>
      <c r="D671">
        <v>1079286</v>
      </c>
      <c r="E671" t="s">
        <v>629</v>
      </c>
      <c r="F671" t="s">
        <v>20</v>
      </c>
      <c r="G671" t="s">
        <v>1397</v>
      </c>
      <c r="H671" t="s">
        <v>1398</v>
      </c>
      <c r="I671" t="s">
        <v>3551</v>
      </c>
      <c r="J671">
        <v>50117046638</v>
      </c>
      <c r="K671" t="s">
        <v>3266</v>
      </c>
      <c r="L671" t="s">
        <v>3859</v>
      </c>
      <c r="M671">
        <v>4000</v>
      </c>
      <c r="N671" s="10">
        <v>7.5700000000000003E-2</v>
      </c>
      <c r="O671" s="10">
        <f t="shared" si="85"/>
        <v>302.8</v>
      </c>
      <c r="P671" s="10">
        <v>0</v>
      </c>
      <c r="Q671" s="10">
        <v>0</v>
      </c>
      <c r="R671" s="10">
        <f>IF(COUNTIF($J$2:J671,J671)=1,SUMIFS($O:$O,$J:$J,J671)+SUMIFS($P:$P,$J:$J,J671)+SUMIFS($Q:$Q,$J:$J,J671),"")</f>
        <v>1542.55</v>
      </c>
      <c r="S671" s="10">
        <v>1542.55</v>
      </c>
      <c r="T671" s="11" t="str">
        <f t="shared" si="88"/>
        <v>Ok</v>
      </c>
      <c r="U671" s="12">
        <v>45946</v>
      </c>
      <c r="V671" s="10">
        <v>1239.75</v>
      </c>
      <c r="W671" s="10" t="str">
        <f t="shared" si="86"/>
        <v>Short Paid</v>
      </c>
      <c r="X671" t="s">
        <v>476</v>
      </c>
      <c r="Y671" t="s">
        <v>28</v>
      </c>
      <c r="Z671">
        <v>100125</v>
      </c>
      <c r="AA671" t="s">
        <v>477</v>
      </c>
      <c r="AB671" t="s">
        <v>521</v>
      </c>
      <c r="AC671" s="9">
        <v>2</v>
      </c>
      <c r="AD671" s="9" t="str">
        <f t="shared" si="87"/>
        <v>Ok</v>
      </c>
      <c r="AE671" s="11">
        <f t="shared" si="89"/>
        <v>0</v>
      </c>
    </row>
    <row r="672" spans="1:31" x14ac:dyDescent="0.3">
      <c r="A672">
        <v>25</v>
      </c>
      <c r="B672">
        <v>4806043</v>
      </c>
      <c r="C672" t="s">
        <v>239</v>
      </c>
      <c r="D672">
        <v>1079286</v>
      </c>
      <c r="E672" t="s">
        <v>629</v>
      </c>
      <c r="F672" t="s">
        <v>20</v>
      </c>
      <c r="G672" t="s">
        <v>1397</v>
      </c>
      <c r="H672" t="s">
        <v>1398</v>
      </c>
      <c r="I672" t="s">
        <v>3232</v>
      </c>
      <c r="J672">
        <v>50117046638</v>
      </c>
      <c r="K672" t="s">
        <v>3556</v>
      </c>
      <c r="L672" t="s">
        <v>3555</v>
      </c>
      <c r="M672">
        <v>4350</v>
      </c>
      <c r="N672" s="10">
        <v>0.28499999999999998</v>
      </c>
      <c r="O672" s="10">
        <f t="shared" si="85"/>
        <v>1239.75</v>
      </c>
      <c r="P672" s="10" t="s">
        <v>5006</v>
      </c>
      <c r="Q672" s="10" t="s">
        <v>5006</v>
      </c>
      <c r="R672" s="10" t="str">
        <f>IF(COUNTIF($J$2:J672,J672)=1,SUMIFS($O:$O,$J:$J,J672)+SUMIFS($P:$P,$J:$J,J672)+SUMIFS($Q:$Q,$J:$J,J672),"")</f>
        <v/>
      </c>
      <c r="S672" s="10" t="s">
        <v>5006</v>
      </c>
      <c r="T672" s="11" t="str">
        <f t="shared" si="88"/>
        <v>Ok</v>
      </c>
      <c r="U672" s="12">
        <v>45946</v>
      </c>
      <c r="V672" s="10">
        <v>1239.75</v>
      </c>
      <c r="W672" s="10" t="str">
        <f t="shared" si="86"/>
        <v>N/A</v>
      </c>
      <c r="X672" t="s">
        <v>476</v>
      </c>
      <c r="Y672" t="s">
        <v>28</v>
      </c>
      <c r="Z672">
        <v>100125</v>
      </c>
      <c r="AA672" t="s">
        <v>477</v>
      </c>
      <c r="AB672" t="s">
        <v>521</v>
      </c>
      <c r="AC672" s="9">
        <v>2</v>
      </c>
      <c r="AD672" s="9" t="str">
        <f t="shared" si="87"/>
        <v>N/A</v>
      </c>
      <c r="AE672" s="11" t="e">
        <f t="shared" si="89"/>
        <v>#VALUE!</v>
      </c>
    </row>
    <row r="673" spans="1:31" x14ac:dyDescent="0.3">
      <c r="A673">
        <v>22</v>
      </c>
      <c r="B673">
        <v>4843611</v>
      </c>
      <c r="C673" t="s">
        <v>220</v>
      </c>
      <c r="D673">
        <v>1125734</v>
      </c>
      <c r="E673" t="s">
        <v>532</v>
      </c>
      <c r="F673" t="s">
        <v>20</v>
      </c>
      <c r="G673" t="s">
        <v>2865</v>
      </c>
      <c r="H673" t="s">
        <v>2866</v>
      </c>
      <c r="I673" t="s">
        <v>3419</v>
      </c>
      <c r="J673">
        <v>50117108283</v>
      </c>
      <c r="K673" t="s">
        <v>3861</v>
      </c>
      <c r="L673" t="s">
        <v>3860</v>
      </c>
      <c r="M673">
        <v>5000</v>
      </c>
      <c r="N673" s="10">
        <v>2.1825299999999999</v>
      </c>
      <c r="O673" s="10">
        <f t="shared" si="85"/>
        <v>10912.65</v>
      </c>
      <c r="P673" s="10">
        <v>0</v>
      </c>
      <c r="Q673" s="10">
        <v>0</v>
      </c>
      <c r="R673" s="10">
        <f>IF(COUNTIF($J$2:J673,J673)=1,SUMIFS($O:$O,$J:$J,J673)+SUMIFS($P:$P,$J:$J,J673)+SUMIFS($Q:$Q,$J:$J,J673),"")</f>
        <v>52398.149999999994</v>
      </c>
      <c r="S673" s="10">
        <v>61627.65</v>
      </c>
      <c r="T673" s="11" t="str">
        <f t="shared" si="88"/>
        <v>Check</v>
      </c>
      <c r="U673" s="12">
        <v>46046</v>
      </c>
      <c r="V673" s="10">
        <v>10912.65</v>
      </c>
      <c r="W673" s="10" t="str">
        <f t="shared" si="86"/>
        <v>Short Paid</v>
      </c>
      <c r="X673" t="s">
        <v>470</v>
      </c>
      <c r="Y673" t="s">
        <v>28</v>
      </c>
      <c r="Z673">
        <v>100238</v>
      </c>
      <c r="AA673" t="s">
        <v>3078</v>
      </c>
      <c r="AB673" t="s">
        <v>521</v>
      </c>
      <c r="AC673" s="9">
        <v>3</v>
      </c>
      <c r="AD673" s="9" t="str">
        <f t="shared" si="87"/>
        <v>Check</v>
      </c>
      <c r="AE673" s="11">
        <f t="shared" si="89"/>
        <v>-9229.5000000000073</v>
      </c>
    </row>
    <row r="674" spans="1:31" x14ac:dyDescent="0.3">
      <c r="A674">
        <v>22</v>
      </c>
      <c r="B674">
        <v>4843611</v>
      </c>
      <c r="C674" t="s">
        <v>220</v>
      </c>
      <c r="D674">
        <v>1125734</v>
      </c>
      <c r="E674" t="s">
        <v>532</v>
      </c>
      <c r="F674" t="s">
        <v>20</v>
      </c>
      <c r="G674" t="s">
        <v>2865</v>
      </c>
      <c r="H674" t="s">
        <v>2866</v>
      </c>
      <c r="I674" t="s">
        <v>3328</v>
      </c>
      <c r="J674">
        <v>50117108283</v>
      </c>
      <c r="K674" t="s">
        <v>3229</v>
      </c>
      <c r="L674" t="s">
        <v>3862</v>
      </c>
      <c r="M674">
        <v>120000</v>
      </c>
      <c r="N674" s="10">
        <v>8.7899999999999992E-2</v>
      </c>
      <c r="O674" s="10">
        <f t="shared" si="85"/>
        <v>10547.999999999998</v>
      </c>
      <c r="P674" s="10" t="s">
        <v>5006</v>
      </c>
      <c r="Q674" s="10" t="s">
        <v>5006</v>
      </c>
      <c r="R674" s="10" t="str">
        <f>IF(COUNTIF($J$2:J674,J674)=1,SUMIFS($O:$O,$J:$J,J674)+SUMIFS($P:$P,$J:$J,J674)+SUMIFS($Q:$Q,$J:$J,J674),"")</f>
        <v/>
      </c>
      <c r="S674" s="10" t="s">
        <v>5006</v>
      </c>
      <c r="T674" s="11" t="str">
        <f t="shared" si="88"/>
        <v>Check</v>
      </c>
      <c r="U674" s="12">
        <v>46046</v>
      </c>
      <c r="V674" s="10">
        <v>10912.65</v>
      </c>
      <c r="W674" s="10" t="str">
        <f t="shared" si="86"/>
        <v>N/A</v>
      </c>
      <c r="X674" t="s">
        <v>470</v>
      </c>
      <c r="Y674" t="s">
        <v>28</v>
      </c>
      <c r="Z674">
        <v>100238</v>
      </c>
      <c r="AA674" t="s">
        <v>3078</v>
      </c>
      <c r="AB674" t="s">
        <v>521</v>
      </c>
      <c r="AC674" s="9">
        <v>3</v>
      </c>
      <c r="AD674" s="9" t="str">
        <f t="shared" si="87"/>
        <v>N/A</v>
      </c>
      <c r="AE674" s="11" t="e">
        <f t="shared" si="89"/>
        <v>#VALUE!</v>
      </c>
    </row>
    <row r="675" spans="1:31" x14ac:dyDescent="0.3">
      <c r="A675">
        <v>22</v>
      </c>
      <c r="B675">
        <v>4843611</v>
      </c>
      <c r="C675" t="s">
        <v>220</v>
      </c>
      <c r="D675">
        <v>1125734</v>
      </c>
      <c r="E675" t="s">
        <v>532</v>
      </c>
      <c r="F675" t="s">
        <v>20</v>
      </c>
      <c r="G675" t="s">
        <v>2865</v>
      </c>
      <c r="H675" t="s">
        <v>2866</v>
      </c>
      <c r="I675" t="s">
        <v>3328</v>
      </c>
      <c r="J675">
        <v>50117108283</v>
      </c>
      <c r="K675" t="s">
        <v>3183</v>
      </c>
      <c r="L675" t="s">
        <v>3233</v>
      </c>
      <c r="M675">
        <v>99000</v>
      </c>
      <c r="N675" s="10">
        <v>0.3125</v>
      </c>
      <c r="O675" s="10">
        <f t="shared" si="85"/>
        <v>30937.5</v>
      </c>
      <c r="P675" s="10" t="s">
        <v>5006</v>
      </c>
      <c r="Q675" s="10" t="s">
        <v>5006</v>
      </c>
      <c r="R675" s="10" t="str">
        <f>IF(COUNTIF($J$2:J675,J675)=1,SUMIFS($O:$O,$J:$J,J675)+SUMIFS($P:$P,$J:$J,J675)+SUMIFS($Q:$Q,$J:$J,J675),"")</f>
        <v/>
      </c>
      <c r="S675" s="10" t="s">
        <v>5006</v>
      </c>
      <c r="T675" s="11" t="str">
        <f t="shared" si="88"/>
        <v>Check</v>
      </c>
      <c r="U675" s="12">
        <v>46046</v>
      </c>
      <c r="V675" s="10">
        <v>10912.65</v>
      </c>
      <c r="W675" s="10" t="str">
        <f t="shared" si="86"/>
        <v>N/A</v>
      </c>
      <c r="X675" t="s">
        <v>470</v>
      </c>
      <c r="Y675" t="s">
        <v>28</v>
      </c>
      <c r="Z675">
        <v>100238</v>
      </c>
      <c r="AA675" t="s">
        <v>3078</v>
      </c>
      <c r="AB675" t="s">
        <v>521</v>
      </c>
      <c r="AC675" s="9">
        <v>3</v>
      </c>
      <c r="AD675" s="9" t="str">
        <f t="shared" si="87"/>
        <v>N/A</v>
      </c>
      <c r="AE675" s="11" t="e">
        <f t="shared" si="89"/>
        <v>#VALUE!</v>
      </c>
    </row>
    <row r="676" spans="1:31" x14ac:dyDescent="0.3">
      <c r="A676">
        <v>22</v>
      </c>
      <c r="B676">
        <v>4841663</v>
      </c>
      <c r="C676" t="s">
        <v>220</v>
      </c>
      <c r="D676">
        <v>1132830</v>
      </c>
      <c r="E676" t="s">
        <v>229</v>
      </c>
      <c r="F676" t="s">
        <v>19</v>
      </c>
      <c r="G676" t="s">
        <v>1522</v>
      </c>
      <c r="H676" t="s">
        <v>1523</v>
      </c>
      <c r="I676" t="s">
        <v>3328</v>
      </c>
      <c r="J676">
        <v>50117146500</v>
      </c>
      <c r="K676" t="s">
        <v>3289</v>
      </c>
      <c r="L676" t="s">
        <v>3863</v>
      </c>
      <c r="M676">
        <v>4000</v>
      </c>
      <c r="N676" s="10">
        <v>0.44401000000000002</v>
      </c>
      <c r="O676" s="10">
        <f t="shared" si="85"/>
        <v>1776.04</v>
      </c>
      <c r="P676" s="10">
        <v>0</v>
      </c>
      <c r="Q676" s="10">
        <v>0</v>
      </c>
      <c r="R676" s="10">
        <f>IF(COUNTIF($J$2:J676,J676)=1,SUMIFS($O:$O,$J:$J,J676)+SUMIFS($P:$P,$J:$J,J676)+SUMIFS($Q:$Q,$J:$J,J676),"")</f>
        <v>7576.04</v>
      </c>
      <c r="S676" s="10">
        <v>7576.04</v>
      </c>
      <c r="T676" s="11" t="str">
        <f t="shared" si="88"/>
        <v>Ok</v>
      </c>
      <c r="U676" s="12">
        <v>46073</v>
      </c>
      <c r="V676" s="10">
        <v>1776.04</v>
      </c>
      <c r="W676" s="10" t="str">
        <f t="shared" si="86"/>
        <v>Short Paid</v>
      </c>
      <c r="X676" t="s">
        <v>470</v>
      </c>
      <c r="Y676" t="s">
        <v>28</v>
      </c>
      <c r="Z676">
        <v>100288</v>
      </c>
      <c r="AA676" t="s">
        <v>471</v>
      </c>
      <c r="AB676" t="s">
        <v>524</v>
      </c>
      <c r="AC676" s="9">
        <v>2</v>
      </c>
      <c r="AD676" s="9" t="str">
        <f t="shared" si="87"/>
        <v>Ok</v>
      </c>
      <c r="AE676" s="11">
        <f t="shared" si="89"/>
        <v>0</v>
      </c>
    </row>
    <row r="677" spans="1:31" x14ac:dyDescent="0.3">
      <c r="A677">
        <v>22</v>
      </c>
      <c r="B677">
        <v>4841663</v>
      </c>
      <c r="C677" t="s">
        <v>220</v>
      </c>
      <c r="D677">
        <v>1132830</v>
      </c>
      <c r="E677" t="s">
        <v>229</v>
      </c>
      <c r="F677" t="s">
        <v>19</v>
      </c>
      <c r="G677" t="s">
        <v>1522</v>
      </c>
      <c r="H677" t="s">
        <v>1523</v>
      </c>
      <c r="I677" t="s">
        <v>3249</v>
      </c>
      <c r="J677">
        <v>50117146500</v>
      </c>
      <c r="K677" t="s">
        <v>3226</v>
      </c>
      <c r="L677" t="s">
        <v>3864</v>
      </c>
      <c r="M677">
        <v>5000</v>
      </c>
      <c r="N677" s="10">
        <v>1.1599999999999999</v>
      </c>
      <c r="O677" s="10">
        <f t="shared" si="85"/>
        <v>5800</v>
      </c>
      <c r="P677" s="10" t="s">
        <v>5006</v>
      </c>
      <c r="Q677" s="10" t="s">
        <v>5006</v>
      </c>
      <c r="R677" s="10" t="str">
        <f>IF(COUNTIF($J$2:J677,J677)=1,SUMIFS($O:$O,$J:$J,J677)+SUMIFS($P:$P,$J:$J,J677)+SUMIFS($Q:$Q,$J:$J,J677),"")</f>
        <v/>
      </c>
      <c r="S677" s="10" t="s">
        <v>5006</v>
      </c>
      <c r="T677" s="11" t="str">
        <f t="shared" si="88"/>
        <v>Ok</v>
      </c>
      <c r="U677" s="12">
        <v>46073</v>
      </c>
      <c r="V677" s="10">
        <v>1776.04</v>
      </c>
      <c r="W677" s="10" t="str">
        <f t="shared" si="86"/>
        <v>N/A</v>
      </c>
      <c r="X677" t="s">
        <v>470</v>
      </c>
      <c r="Y677" t="s">
        <v>28</v>
      </c>
      <c r="Z677">
        <v>100288</v>
      </c>
      <c r="AA677" t="s">
        <v>471</v>
      </c>
      <c r="AB677" t="s">
        <v>524</v>
      </c>
      <c r="AC677" s="9">
        <v>2</v>
      </c>
      <c r="AD677" s="9" t="str">
        <f t="shared" si="87"/>
        <v>N/A</v>
      </c>
      <c r="AE677" s="11" t="e">
        <f t="shared" si="89"/>
        <v>#VALUE!</v>
      </c>
    </row>
    <row r="678" spans="1:31" x14ac:dyDescent="0.3">
      <c r="A678">
        <v>22</v>
      </c>
      <c r="B678">
        <v>4843055</v>
      </c>
      <c r="C678" t="s">
        <v>220</v>
      </c>
      <c r="D678">
        <v>1125734</v>
      </c>
      <c r="E678" t="s">
        <v>532</v>
      </c>
      <c r="F678" t="s">
        <v>19</v>
      </c>
      <c r="G678" t="s">
        <v>1528</v>
      </c>
      <c r="H678" t="s">
        <v>1529</v>
      </c>
      <c r="I678" t="s">
        <v>3230</v>
      </c>
      <c r="J678">
        <v>50117146505</v>
      </c>
      <c r="K678" t="s">
        <v>3216</v>
      </c>
      <c r="L678" t="s">
        <v>3215</v>
      </c>
      <c r="M678">
        <v>120000</v>
      </c>
      <c r="N678" s="10">
        <v>1.8700000000000001E-2</v>
      </c>
      <c r="O678" s="10">
        <f t="shared" si="85"/>
        <v>2244</v>
      </c>
      <c r="P678" s="10">
        <v>0</v>
      </c>
      <c r="Q678" s="10">
        <v>0</v>
      </c>
      <c r="R678" s="10">
        <f>IF(COUNTIF($J$2:J678,J678)=1,SUMIFS($O:$O,$J:$J,J678)+SUMIFS($P:$P,$J:$J,J678)+SUMIFS($Q:$Q,$J:$J,J678),"")</f>
        <v>42564</v>
      </c>
      <c r="S678" s="10">
        <v>42564</v>
      </c>
      <c r="T678" s="11" t="str">
        <f t="shared" si="88"/>
        <v>Ok</v>
      </c>
      <c r="U678" s="12">
        <v>45996</v>
      </c>
      <c r="V678" s="10">
        <v>40320</v>
      </c>
      <c r="W678" s="10" t="str">
        <f t="shared" si="86"/>
        <v>Short Paid</v>
      </c>
      <c r="X678" t="s">
        <v>470</v>
      </c>
      <c r="Y678" t="s">
        <v>28</v>
      </c>
      <c r="Z678">
        <v>100198</v>
      </c>
      <c r="AA678" t="s">
        <v>473</v>
      </c>
      <c r="AB678" t="s">
        <v>524</v>
      </c>
      <c r="AC678" s="9">
        <v>2</v>
      </c>
      <c r="AD678" s="9" t="str">
        <f t="shared" si="87"/>
        <v>Ok</v>
      </c>
      <c r="AE678" s="11">
        <f t="shared" si="89"/>
        <v>0</v>
      </c>
    </row>
    <row r="679" spans="1:31" x14ac:dyDescent="0.3">
      <c r="A679">
        <v>22</v>
      </c>
      <c r="B679">
        <v>4843055</v>
      </c>
      <c r="C679" t="s">
        <v>220</v>
      </c>
      <c r="D679">
        <v>1125734</v>
      </c>
      <c r="E679" t="s">
        <v>532</v>
      </c>
      <c r="F679" t="s">
        <v>19</v>
      </c>
      <c r="G679" t="s">
        <v>1528</v>
      </c>
      <c r="H679" t="s">
        <v>1529</v>
      </c>
      <c r="I679" t="s">
        <v>3347</v>
      </c>
      <c r="J679">
        <v>50117146505</v>
      </c>
      <c r="K679" t="s">
        <v>3194</v>
      </c>
      <c r="L679" t="s">
        <v>3865</v>
      </c>
      <c r="M679">
        <v>2000</v>
      </c>
      <c r="N679" s="10">
        <v>20.16</v>
      </c>
      <c r="O679" s="10">
        <f t="shared" si="85"/>
        <v>40320</v>
      </c>
      <c r="P679" s="10" t="s">
        <v>5006</v>
      </c>
      <c r="Q679" s="10" t="s">
        <v>5006</v>
      </c>
      <c r="R679" s="10" t="str">
        <f>IF(COUNTIF($J$2:J679,J679)=1,SUMIFS($O:$O,$J:$J,J679)+SUMIFS($P:$P,$J:$J,J679)+SUMIFS($Q:$Q,$J:$J,J679),"")</f>
        <v/>
      </c>
      <c r="S679" s="10" t="s">
        <v>5006</v>
      </c>
      <c r="T679" s="11" t="str">
        <f t="shared" si="88"/>
        <v>Ok</v>
      </c>
      <c r="U679" s="12">
        <v>45996</v>
      </c>
      <c r="V679" s="10">
        <v>40320</v>
      </c>
      <c r="W679" s="10" t="str">
        <f t="shared" si="86"/>
        <v>N/A</v>
      </c>
      <c r="X679" t="s">
        <v>470</v>
      </c>
      <c r="Y679" t="s">
        <v>28</v>
      </c>
      <c r="Z679">
        <v>100198</v>
      </c>
      <c r="AA679" t="s">
        <v>473</v>
      </c>
      <c r="AB679" t="s">
        <v>524</v>
      </c>
      <c r="AC679" s="9">
        <v>2</v>
      </c>
      <c r="AD679" s="9" t="str">
        <f t="shared" si="87"/>
        <v>N/A</v>
      </c>
      <c r="AE679" s="11" t="e">
        <f t="shared" si="89"/>
        <v>#VALUE!</v>
      </c>
    </row>
    <row r="680" spans="1:31" x14ac:dyDescent="0.3">
      <c r="A680">
        <v>22</v>
      </c>
      <c r="B680">
        <v>4842776</v>
      </c>
      <c r="C680" t="s">
        <v>220</v>
      </c>
      <c r="D680">
        <v>1125734</v>
      </c>
      <c r="E680" t="s">
        <v>532</v>
      </c>
      <c r="F680" t="s">
        <v>19</v>
      </c>
      <c r="G680" t="s">
        <v>1526</v>
      </c>
      <c r="H680" t="s">
        <v>1527</v>
      </c>
      <c r="I680" t="s">
        <v>3200</v>
      </c>
      <c r="J680">
        <v>50117146506</v>
      </c>
      <c r="K680" t="s">
        <v>3194</v>
      </c>
      <c r="L680" t="s">
        <v>3865</v>
      </c>
      <c r="M680">
        <v>2000</v>
      </c>
      <c r="N680" s="10">
        <v>20.16</v>
      </c>
      <c r="O680" s="10">
        <f t="shared" si="85"/>
        <v>40320</v>
      </c>
      <c r="P680" s="10">
        <v>0</v>
      </c>
      <c r="Q680" s="10">
        <v>0</v>
      </c>
      <c r="R680" s="10">
        <f>IF(COUNTIF($J$2:J680,J680)=1,SUMIFS($O:$O,$J:$J,J680)+SUMIFS($P:$P,$J:$J,J680)+SUMIFS($Q:$Q,$J:$J,J680),"")</f>
        <v>42564</v>
      </c>
      <c r="S680" s="10">
        <v>42564</v>
      </c>
      <c r="T680" s="11" t="str">
        <f t="shared" si="88"/>
        <v>Ok</v>
      </c>
      <c r="U680" s="12">
        <v>45996</v>
      </c>
      <c r="V680" s="10">
        <v>40320</v>
      </c>
      <c r="W680" s="10" t="str">
        <f t="shared" si="86"/>
        <v>Short Paid</v>
      </c>
      <c r="X680" t="s">
        <v>470</v>
      </c>
      <c r="Y680" t="s">
        <v>28</v>
      </c>
      <c r="Z680">
        <v>100168</v>
      </c>
      <c r="AA680" t="s">
        <v>514</v>
      </c>
      <c r="AB680" t="s">
        <v>524</v>
      </c>
      <c r="AC680" s="9">
        <v>2</v>
      </c>
      <c r="AD680" s="9" t="str">
        <f t="shared" si="87"/>
        <v>Ok</v>
      </c>
      <c r="AE680" s="11">
        <f t="shared" si="89"/>
        <v>0</v>
      </c>
    </row>
    <row r="681" spans="1:31" x14ac:dyDescent="0.3">
      <c r="A681">
        <v>22</v>
      </c>
      <c r="B681">
        <v>4842776</v>
      </c>
      <c r="C681" t="s">
        <v>220</v>
      </c>
      <c r="D681">
        <v>1125734</v>
      </c>
      <c r="E681" t="s">
        <v>532</v>
      </c>
      <c r="F681" t="s">
        <v>19</v>
      </c>
      <c r="G681" t="s">
        <v>1526</v>
      </c>
      <c r="H681" t="s">
        <v>1527</v>
      </c>
      <c r="I681" t="s">
        <v>3439</v>
      </c>
      <c r="J681">
        <v>50117146506</v>
      </c>
      <c r="K681" t="s">
        <v>3216</v>
      </c>
      <c r="L681" t="s">
        <v>3215</v>
      </c>
      <c r="M681">
        <v>120000</v>
      </c>
      <c r="N681" s="10">
        <v>1.8700000000000001E-2</v>
      </c>
      <c r="O681" s="10">
        <f t="shared" si="85"/>
        <v>2244</v>
      </c>
      <c r="P681" s="10" t="s">
        <v>5006</v>
      </c>
      <c r="Q681" s="10" t="s">
        <v>5006</v>
      </c>
      <c r="R681" s="10" t="str">
        <f>IF(COUNTIF($J$2:J681,J681)=1,SUMIFS($O:$O,$J:$J,J681)+SUMIFS($P:$P,$J:$J,J681)+SUMIFS($Q:$Q,$J:$J,J681),"")</f>
        <v/>
      </c>
      <c r="S681" s="10" t="s">
        <v>5006</v>
      </c>
      <c r="T681" s="11" t="str">
        <f t="shared" si="88"/>
        <v>Ok</v>
      </c>
      <c r="U681" s="12">
        <v>45996</v>
      </c>
      <c r="V681" s="10">
        <v>40320</v>
      </c>
      <c r="W681" s="10" t="str">
        <f t="shared" si="86"/>
        <v>N/A</v>
      </c>
      <c r="X681" t="s">
        <v>470</v>
      </c>
      <c r="Y681" t="s">
        <v>28</v>
      </c>
      <c r="Z681">
        <v>100168</v>
      </c>
      <c r="AA681" t="s">
        <v>514</v>
      </c>
      <c r="AB681" t="s">
        <v>524</v>
      </c>
      <c r="AC681" s="9">
        <v>2</v>
      </c>
      <c r="AD681" s="9" t="str">
        <f t="shared" si="87"/>
        <v>N/A</v>
      </c>
      <c r="AE681" s="11" t="e">
        <f t="shared" si="89"/>
        <v>#VALUE!</v>
      </c>
    </row>
    <row r="682" spans="1:31" x14ac:dyDescent="0.3">
      <c r="A682">
        <v>22</v>
      </c>
      <c r="B682">
        <v>4842498</v>
      </c>
      <c r="C682" t="s">
        <v>220</v>
      </c>
      <c r="D682">
        <v>1125734</v>
      </c>
      <c r="E682" t="s">
        <v>532</v>
      </c>
      <c r="F682" t="s">
        <v>20</v>
      </c>
      <c r="G682" t="s">
        <v>1491</v>
      </c>
      <c r="H682" t="s">
        <v>1492</v>
      </c>
      <c r="I682" t="s">
        <v>3285</v>
      </c>
      <c r="J682">
        <v>50117146507</v>
      </c>
      <c r="K682" t="s">
        <v>3341</v>
      </c>
      <c r="L682" t="s">
        <v>3480</v>
      </c>
      <c r="M682">
        <v>600</v>
      </c>
      <c r="N682" s="10">
        <v>4.6651800000000003</v>
      </c>
      <c r="O682" s="10">
        <f t="shared" si="85"/>
        <v>2799.1080000000002</v>
      </c>
      <c r="P682" s="10">
        <v>0</v>
      </c>
      <c r="Q682" s="10">
        <v>0</v>
      </c>
      <c r="R682" s="10">
        <f>IF(COUNTIF($J$2:J682,J682)=1,SUMIFS($O:$O,$J:$J,J682)+SUMIFS($P:$P,$J:$J,J682)+SUMIFS($Q:$Q,$J:$J,J682),"")</f>
        <v>7469.1080000000002</v>
      </c>
      <c r="S682" s="10">
        <v>7469.1100000000006</v>
      </c>
      <c r="T682" s="11" t="str">
        <f t="shared" si="88"/>
        <v>Check</v>
      </c>
      <c r="U682" s="12">
        <v>46004</v>
      </c>
      <c r="V682" s="10">
        <v>4670</v>
      </c>
      <c r="W682" s="10" t="str">
        <f t="shared" si="86"/>
        <v>Short Paid</v>
      </c>
      <c r="X682" t="s">
        <v>470</v>
      </c>
      <c r="Y682" t="s">
        <v>28</v>
      </c>
      <c r="Z682">
        <v>100158</v>
      </c>
      <c r="AA682" t="s">
        <v>510</v>
      </c>
      <c r="AB682" t="s">
        <v>521</v>
      </c>
      <c r="AC682" s="9">
        <v>2</v>
      </c>
      <c r="AD682" s="9" t="str">
        <f t="shared" si="87"/>
        <v>Check</v>
      </c>
      <c r="AE682" s="11">
        <f t="shared" si="89"/>
        <v>-2.0000000004074536E-3</v>
      </c>
    </row>
    <row r="683" spans="1:31" x14ac:dyDescent="0.3">
      <c r="A683">
        <v>22</v>
      </c>
      <c r="B683">
        <v>4842498</v>
      </c>
      <c r="C683" t="s">
        <v>220</v>
      </c>
      <c r="D683">
        <v>1125734</v>
      </c>
      <c r="E683" t="s">
        <v>532</v>
      </c>
      <c r="F683" t="s">
        <v>20</v>
      </c>
      <c r="G683" t="s">
        <v>1491</v>
      </c>
      <c r="H683" t="s">
        <v>1492</v>
      </c>
      <c r="I683" t="s">
        <v>3551</v>
      </c>
      <c r="J683">
        <v>50117146507</v>
      </c>
      <c r="K683" t="s">
        <v>3375</v>
      </c>
      <c r="L683" t="s">
        <v>3644</v>
      </c>
      <c r="M683">
        <v>2500</v>
      </c>
      <c r="N683" s="10">
        <v>1.8680000000000001</v>
      </c>
      <c r="O683" s="10">
        <f t="shared" si="85"/>
        <v>4670</v>
      </c>
      <c r="P683" s="10" t="s">
        <v>5006</v>
      </c>
      <c r="Q683" s="10" t="s">
        <v>5006</v>
      </c>
      <c r="R683" s="10" t="str">
        <f>IF(COUNTIF($J$2:J683,J683)=1,SUMIFS($O:$O,$J:$J,J683)+SUMIFS($P:$P,$J:$J,J683)+SUMIFS($Q:$Q,$J:$J,J683),"")</f>
        <v/>
      </c>
      <c r="S683" s="10" t="s">
        <v>5006</v>
      </c>
      <c r="T683" s="11" t="str">
        <f t="shared" si="88"/>
        <v>Check</v>
      </c>
      <c r="U683" s="12">
        <v>46004</v>
      </c>
      <c r="V683" s="10">
        <v>4670</v>
      </c>
      <c r="W683" s="10" t="str">
        <f t="shared" si="86"/>
        <v>N/A</v>
      </c>
      <c r="X683" t="s">
        <v>470</v>
      </c>
      <c r="Y683" t="s">
        <v>28</v>
      </c>
      <c r="Z683">
        <v>100158</v>
      </c>
      <c r="AA683" t="s">
        <v>510</v>
      </c>
      <c r="AB683" t="s">
        <v>521</v>
      </c>
      <c r="AC683" s="9">
        <v>2</v>
      </c>
      <c r="AD683" s="9" t="str">
        <f t="shared" si="87"/>
        <v>N/A</v>
      </c>
      <c r="AE683" s="11" t="e">
        <f t="shared" si="89"/>
        <v>#VALUE!</v>
      </c>
    </row>
    <row r="684" spans="1:31" x14ac:dyDescent="0.3">
      <c r="A684">
        <v>22</v>
      </c>
      <c r="B684">
        <v>4842220</v>
      </c>
      <c r="C684" t="s">
        <v>220</v>
      </c>
      <c r="D684">
        <v>1132830</v>
      </c>
      <c r="E684" t="s">
        <v>229</v>
      </c>
      <c r="F684" t="s">
        <v>20</v>
      </c>
      <c r="G684" t="s">
        <v>1524</v>
      </c>
      <c r="H684" t="s">
        <v>1525</v>
      </c>
      <c r="I684" t="s">
        <v>3309</v>
      </c>
      <c r="J684">
        <v>50117146508</v>
      </c>
      <c r="K684" t="s">
        <v>3194</v>
      </c>
      <c r="L684" t="s">
        <v>3866</v>
      </c>
      <c r="M684">
        <v>800</v>
      </c>
      <c r="N684" s="10">
        <v>6.46739</v>
      </c>
      <c r="O684" s="10">
        <f t="shared" si="85"/>
        <v>5173.9120000000003</v>
      </c>
      <c r="P684" s="10">
        <v>0</v>
      </c>
      <c r="Q684" s="10">
        <v>0</v>
      </c>
      <c r="R684" s="10">
        <f>IF(COUNTIF($J$2:J684,J684)=1,SUMIFS($O:$O,$J:$J,J684)+SUMIFS($P:$P,$J:$J,J684)+SUMIFS($Q:$Q,$J:$J,J684),"")</f>
        <v>6017.6620000000003</v>
      </c>
      <c r="S684" s="10">
        <v>6017.66</v>
      </c>
      <c r="T684" s="11" t="str">
        <f t="shared" si="88"/>
        <v>Check</v>
      </c>
      <c r="U684" s="12">
        <v>46073</v>
      </c>
      <c r="V684" s="10">
        <v>5173.91</v>
      </c>
      <c r="W684" s="10" t="str">
        <f t="shared" si="86"/>
        <v>Short Paid</v>
      </c>
      <c r="X684" t="s">
        <v>470</v>
      </c>
      <c r="Y684" t="s">
        <v>28</v>
      </c>
      <c r="Z684">
        <v>100128</v>
      </c>
      <c r="AA684" t="s">
        <v>508</v>
      </c>
      <c r="AB684" t="s">
        <v>521</v>
      </c>
      <c r="AC684" s="9">
        <v>2</v>
      </c>
      <c r="AD684" s="9" t="str">
        <f t="shared" si="87"/>
        <v>Check</v>
      </c>
      <c r="AE684" s="11">
        <f t="shared" si="89"/>
        <v>2.0000000004074536E-3</v>
      </c>
    </row>
    <row r="685" spans="1:31" x14ac:dyDescent="0.3">
      <c r="A685">
        <v>22</v>
      </c>
      <c r="B685">
        <v>4842220</v>
      </c>
      <c r="C685" t="s">
        <v>220</v>
      </c>
      <c r="D685">
        <v>1132830</v>
      </c>
      <c r="E685" t="s">
        <v>229</v>
      </c>
      <c r="F685" t="s">
        <v>20</v>
      </c>
      <c r="G685" t="s">
        <v>1524</v>
      </c>
      <c r="H685" t="s">
        <v>1525</v>
      </c>
      <c r="I685" t="s">
        <v>3513</v>
      </c>
      <c r="J685">
        <v>50117146508</v>
      </c>
      <c r="K685" t="s">
        <v>3526</v>
      </c>
      <c r="L685" t="s">
        <v>3867</v>
      </c>
      <c r="M685">
        <v>5000</v>
      </c>
      <c r="N685" s="10">
        <v>0.16875000000000001</v>
      </c>
      <c r="O685" s="10">
        <f t="shared" si="85"/>
        <v>843.75</v>
      </c>
      <c r="P685" s="10" t="s">
        <v>5006</v>
      </c>
      <c r="Q685" s="10" t="s">
        <v>5006</v>
      </c>
      <c r="R685" s="10" t="str">
        <f>IF(COUNTIF($J$2:J685,J685)=1,SUMIFS($O:$O,$J:$J,J685)+SUMIFS($P:$P,$J:$J,J685)+SUMIFS($Q:$Q,$J:$J,J685),"")</f>
        <v/>
      </c>
      <c r="S685" s="10" t="s">
        <v>5006</v>
      </c>
      <c r="T685" s="11" t="str">
        <f t="shared" si="88"/>
        <v>Check</v>
      </c>
      <c r="U685" s="12">
        <v>46073</v>
      </c>
      <c r="V685" s="10">
        <v>5173.91</v>
      </c>
      <c r="W685" s="10" t="str">
        <f t="shared" si="86"/>
        <v>N/A</v>
      </c>
      <c r="X685" t="s">
        <v>470</v>
      </c>
      <c r="Y685" t="s">
        <v>28</v>
      </c>
      <c r="Z685">
        <v>100128</v>
      </c>
      <c r="AA685" t="s">
        <v>508</v>
      </c>
      <c r="AB685" t="s">
        <v>521</v>
      </c>
      <c r="AC685" s="9">
        <v>2</v>
      </c>
      <c r="AD685" s="9" t="str">
        <f t="shared" si="87"/>
        <v>N/A</v>
      </c>
      <c r="AE685" s="11" t="e">
        <f t="shared" si="89"/>
        <v>#VALUE!</v>
      </c>
    </row>
    <row r="686" spans="1:31" x14ac:dyDescent="0.3">
      <c r="A686">
        <v>22</v>
      </c>
      <c r="B686">
        <v>4841942</v>
      </c>
      <c r="C686" t="s">
        <v>220</v>
      </c>
      <c r="D686">
        <v>1132830</v>
      </c>
      <c r="E686" t="s">
        <v>229</v>
      </c>
      <c r="F686" t="s">
        <v>18</v>
      </c>
      <c r="G686" t="s">
        <v>1494</v>
      </c>
      <c r="H686" t="s">
        <v>1495</v>
      </c>
      <c r="I686" t="s">
        <v>3388</v>
      </c>
      <c r="J686">
        <v>50117146509</v>
      </c>
      <c r="K686" t="s">
        <v>3526</v>
      </c>
      <c r="L686" t="s">
        <v>3867</v>
      </c>
      <c r="M686">
        <v>3831</v>
      </c>
      <c r="N686" s="10">
        <v>0.16875000000000001</v>
      </c>
      <c r="O686" s="10">
        <f t="shared" si="85"/>
        <v>646.48125000000005</v>
      </c>
      <c r="P686" s="10">
        <v>0</v>
      </c>
      <c r="Q686" s="10">
        <v>0</v>
      </c>
      <c r="R686" s="10">
        <f>IF(COUNTIF($J$2:J686,J686)=1,SUMIFS($O:$O,$J:$J,J686)+SUMIFS($P:$P,$J:$J,J686)+SUMIFS($Q:$Q,$J:$J,J686),"")</f>
        <v>5778.0412500000002</v>
      </c>
      <c r="S686" s="10">
        <v>5778.0400000000009</v>
      </c>
      <c r="T686" s="11" t="str">
        <f t="shared" si="88"/>
        <v>Check</v>
      </c>
      <c r="U686" s="12">
        <v>46070</v>
      </c>
      <c r="V686" s="10">
        <v>5131.5600000000004</v>
      </c>
      <c r="W686" s="10" t="str">
        <f t="shared" si="86"/>
        <v>Short Paid</v>
      </c>
      <c r="X686" t="s">
        <v>470</v>
      </c>
      <c r="Y686" t="s">
        <v>28</v>
      </c>
      <c r="Z686">
        <v>100118</v>
      </c>
      <c r="AA686" t="s">
        <v>494</v>
      </c>
      <c r="AB686" t="s">
        <v>523</v>
      </c>
      <c r="AC686" s="9">
        <v>2</v>
      </c>
      <c r="AD686" s="9" t="str">
        <f t="shared" si="87"/>
        <v>Check</v>
      </c>
      <c r="AE686" s="11">
        <f t="shared" si="89"/>
        <v>1.2499999993451638E-3</v>
      </c>
    </row>
    <row r="687" spans="1:31" x14ac:dyDescent="0.3">
      <c r="A687">
        <v>22</v>
      </c>
      <c r="B687">
        <v>4841942</v>
      </c>
      <c r="C687" t="s">
        <v>220</v>
      </c>
      <c r="D687">
        <v>1132830</v>
      </c>
      <c r="E687" t="s">
        <v>229</v>
      </c>
      <c r="F687" t="s">
        <v>18</v>
      </c>
      <c r="G687" t="s">
        <v>1494</v>
      </c>
      <c r="H687" t="s">
        <v>1495</v>
      </c>
      <c r="I687" t="s">
        <v>3528</v>
      </c>
      <c r="J687">
        <v>50117146509</v>
      </c>
      <c r="K687" t="s">
        <v>3375</v>
      </c>
      <c r="L687" t="s">
        <v>3868</v>
      </c>
      <c r="M687">
        <v>123000</v>
      </c>
      <c r="N687" s="10">
        <v>4.172E-2</v>
      </c>
      <c r="O687" s="10">
        <f t="shared" si="85"/>
        <v>5131.5600000000004</v>
      </c>
      <c r="P687" s="10" t="s">
        <v>5006</v>
      </c>
      <c r="Q687" s="10" t="s">
        <v>5006</v>
      </c>
      <c r="R687" s="10" t="str">
        <f>IF(COUNTIF($J$2:J687,J687)=1,SUMIFS($O:$O,$J:$J,J687)+SUMIFS($P:$P,$J:$J,J687)+SUMIFS($Q:$Q,$J:$J,J687),"")</f>
        <v/>
      </c>
      <c r="S687" s="10" t="s">
        <v>5006</v>
      </c>
      <c r="T687" s="11" t="str">
        <f t="shared" si="88"/>
        <v>Check</v>
      </c>
      <c r="U687" s="12">
        <v>46070</v>
      </c>
      <c r="V687" s="10">
        <v>5131.5600000000004</v>
      </c>
      <c r="W687" s="10" t="str">
        <f t="shared" si="86"/>
        <v>N/A</v>
      </c>
      <c r="X687" t="s">
        <v>470</v>
      </c>
      <c r="Y687" t="s">
        <v>28</v>
      </c>
      <c r="Z687">
        <v>100118</v>
      </c>
      <c r="AA687" t="s">
        <v>494</v>
      </c>
      <c r="AB687" t="s">
        <v>523</v>
      </c>
      <c r="AC687" s="9">
        <v>2</v>
      </c>
      <c r="AD687" s="9" t="str">
        <f t="shared" si="87"/>
        <v>N/A</v>
      </c>
      <c r="AE687" s="11" t="e">
        <f t="shared" si="89"/>
        <v>#VALUE!</v>
      </c>
    </row>
    <row r="688" spans="1:31" x14ac:dyDescent="0.3">
      <c r="A688">
        <v>22</v>
      </c>
      <c r="B688">
        <v>4844724</v>
      </c>
      <c r="C688" t="s">
        <v>160</v>
      </c>
      <c r="D688">
        <v>1430900</v>
      </c>
      <c r="E688" t="s">
        <v>721</v>
      </c>
      <c r="F688" t="s">
        <v>48</v>
      </c>
      <c r="G688" t="s">
        <v>2867</v>
      </c>
      <c r="H688" t="s">
        <v>2868</v>
      </c>
      <c r="I688" t="s">
        <v>3397</v>
      </c>
      <c r="J688">
        <v>50117233749</v>
      </c>
      <c r="K688" t="s">
        <v>3177</v>
      </c>
      <c r="L688" t="s">
        <v>3869</v>
      </c>
      <c r="M688">
        <v>10000</v>
      </c>
      <c r="N688" s="10">
        <v>3.4099999999999998E-3</v>
      </c>
      <c r="O688" s="10">
        <f t="shared" si="85"/>
        <v>34.1</v>
      </c>
      <c r="P688" s="10">
        <v>0</v>
      </c>
      <c r="Q688" s="10">
        <v>0</v>
      </c>
      <c r="R688" s="10">
        <f>IF(COUNTIF($J$2:J688,J688)=1,SUMIFS($O:$O,$J:$J,J688)+SUMIFS($P:$P,$J:$J,J688)+SUMIFS($Q:$Q,$J:$J,J688),"")</f>
        <v>31192.899999999998</v>
      </c>
      <c r="S688" s="10">
        <v>41850.1</v>
      </c>
      <c r="T688" s="11" t="str">
        <f t="shared" si="88"/>
        <v>Check</v>
      </c>
      <c r="U688" s="12">
        <v>46139</v>
      </c>
      <c r="V688" s="10">
        <v>825</v>
      </c>
      <c r="W688" s="10" t="str">
        <f t="shared" si="86"/>
        <v>Short Paid</v>
      </c>
      <c r="X688" t="s">
        <v>453</v>
      </c>
      <c r="Y688" t="s">
        <v>28</v>
      </c>
      <c r="Z688">
        <v>100114</v>
      </c>
      <c r="AA688" t="s">
        <v>498</v>
      </c>
      <c r="AB688" t="s">
        <v>3040</v>
      </c>
      <c r="AC688" s="9">
        <v>4</v>
      </c>
      <c r="AD688" s="9" t="str">
        <f t="shared" si="87"/>
        <v>Check</v>
      </c>
      <c r="AE688" s="11">
        <f t="shared" si="89"/>
        <v>-10657.2</v>
      </c>
    </row>
    <row r="689" spans="1:31" x14ac:dyDescent="0.3">
      <c r="A689">
        <v>22</v>
      </c>
      <c r="B689">
        <v>4844724</v>
      </c>
      <c r="C689" t="s">
        <v>160</v>
      </c>
      <c r="D689">
        <v>1430900</v>
      </c>
      <c r="E689" t="s">
        <v>721</v>
      </c>
      <c r="F689" t="s">
        <v>48</v>
      </c>
      <c r="G689" t="s">
        <v>2867</v>
      </c>
      <c r="H689" t="s">
        <v>2868</v>
      </c>
      <c r="I689" t="s">
        <v>3397</v>
      </c>
      <c r="J689">
        <v>50117233749</v>
      </c>
      <c r="K689" t="s">
        <v>3488</v>
      </c>
      <c r="L689" t="s">
        <v>3721</v>
      </c>
      <c r="M689">
        <v>50400</v>
      </c>
      <c r="N689" s="10">
        <v>0.48799999999999999</v>
      </c>
      <c r="O689" s="10">
        <f t="shared" si="85"/>
        <v>24595.200000000001</v>
      </c>
      <c r="P689" s="10" t="s">
        <v>5006</v>
      </c>
      <c r="Q689" s="10" t="s">
        <v>5006</v>
      </c>
      <c r="R689" s="10" t="str">
        <f>IF(COUNTIF($J$2:J689,J689)=1,SUMIFS($O:$O,$J:$J,J689)+SUMIFS($P:$P,$J:$J,J689)+SUMIFS($Q:$Q,$J:$J,J689),"")</f>
        <v/>
      </c>
      <c r="S689" s="10" t="s">
        <v>5006</v>
      </c>
      <c r="T689" s="11" t="str">
        <f t="shared" si="88"/>
        <v>Check</v>
      </c>
      <c r="U689" s="12">
        <v>46139</v>
      </c>
      <c r="V689" s="10">
        <v>825</v>
      </c>
      <c r="W689" s="10" t="str">
        <f t="shared" si="86"/>
        <v>N/A</v>
      </c>
      <c r="X689" t="s">
        <v>453</v>
      </c>
      <c r="Y689" t="s">
        <v>28</v>
      </c>
      <c r="Z689">
        <v>100114</v>
      </c>
      <c r="AA689" t="s">
        <v>498</v>
      </c>
      <c r="AB689" t="s">
        <v>3040</v>
      </c>
      <c r="AC689" s="9">
        <v>4</v>
      </c>
      <c r="AD689" s="9" t="str">
        <f t="shared" si="87"/>
        <v>N/A</v>
      </c>
      <c r="AE689" s="11" t="e">
        <f t="shared" si="89"/>
        <v>#VALUE!</v>
      </c>
    </row>
    <row r="690" spans="1:31" x14ac:dyDescent="0.3">
      <c r="A690">
        <v>22</v>
      </c>
      <c r="B690">
        <v>4844724</v>
      </c>
      <c r="C690" t="s">
        <v>160</v>
      </c>
      <c r="D690">
        <v>1430900</v>
      </c>
      <c r="E690" t="s">
        <v>721</v>
      </c>
      <c r="F690" t="s">
        <v>48</v>
      </c>
      <c r="G690" t="s">
        <v>2867</v>
      </c>
      <c r="H690" t="s">
        <v>2868</v>
      </c>
      <c r="I690" t="s">
        <v>3397</v>
      </c>
      <c r="J690">
        <v>50117233749</v>
      </c>
      <c r="K690" t="s">
        <v>3207</v>
      </c>
      <c r="L690" t="s">
        <v>3870</v>
      </c>
      <c r="M690">
        <v>96000</v>
      </c>
      <c r="N690" s="10">
        <v>2.9100000000000001E-2</v>
      </c>
      <c r="O690" s="10">
        <f t="shared" si="85"/>
        <v>2793.6</v>
      </c>
      <c r="P690" s="10" t="s">
        <v>5006</v>
      </c>
      <c r="Q690" s="10" t="s">
        <v>5006</v>
      </c>
      <c r="R690" s="10" t="str">
        <f>IF(COUNTIF($J$2:J690,J690)=1,SUMIFS($O:$O,$J:$J,J690)+SUMIFS($P:$P,$J:$J,J690)+SUMIFS($Q:$Q,$J:$J,J690),"")</f>
        <v/>
      </c>
      <c r="S690" s="10" t="s">
        <v>5006</v>
      </c>
      <c r="T690" s="11" t="str">
        <f t="shared" si="88"/>
        <v>Check</v>
      </c>
      <c r="U690" s="12">
        <v>46139</v>
      </c>
      <c r="V690" s="10">
        <v>825</v>
      </c>
      <c r="W690" s="10" t="str">
        <f t="shared" si="86"/>
        <v>N/A</v>
      </c>
      <c r="X690" t="s">
        <v>453</v>
      </c>
      <c r="Y690" t="s">
        <v>28</v>
      </c>
      <c r="Z690">
        <v>100114</v>
      </c>
      <c r="AA690" t="s">
        <v>498</v>
      </c>
      <c r="AB690" t="s">
        <v>3040</v>
      </c>
      <c r="AC690" s="9">
        <v>4</v>
      </c>
      <c r="AD690" s="9" t="str">
        <f t="shared" si="87"/>
        <v>N/A</v>
      </c>
      <c r="AE690" s="11" t="e">
        <f t="shared" si="89"/>
        <v>#VALUE!</v>
      </c>
    </row>
    <row r="691" spans="1:31" x14ac:dyDescent="0.3">
      <c r="A691">
        <v>22</v>
      </c>
      <c r="B691">
        <v>4844724</v>
      </c>
      <c r="C691" t="s">
        <v>160</v>
      </c>
      <c r="D691">
        <v>1430900</v>
      </c>
      <c r="E691" t="s">
        <v>721</v>
      </c>
      <c r="F691" t="s">
        <v>48</v>
      </c>
      <c r="G691" t="s">
        <v>2867</v>
      </c>
      <c r="H691" t="s">
        <v>2868</v>
      </c>
      <c r="I691" t="s">
        <v>3397</v>
      </c>
      <c r="J691">
        <v>50117233749</v>
      </c>
      <c r="K691" t="s">
        <v>3377</v>
      </c>
      <c r="L691" t="s">
        <v>3527</v>
      </c>
      <c r="M691">
        <v>13000</v>
      </c>
      <c r="N691" s="10">
        <v>0.28999999999999998</v>
      </c>
      <c r="O691" s="10">
        <f t="shared" si="85"/>
        <v>3769.9999999999995</v>
      </c>
      <c r="P691" s="10" t="s">
        <v>5006</v>
      </c>
      <c r="Q691" s="10" t="s">
        <v>5006</v>
      </c>
      <c r="R691" s="10" t="str">
        <f>IF(COUNTIF($J$2:J691,J691)=1,SUMIFS($O:$O,$J:$J,J691)+SUMIFS($P:$P,$J:$J,J691)+SUMIFS($Q:$Q,$J:$J,J691),"")</f>
        <v/>
      </c>
      <c r="S691" s="10" t="s">
        <v>5006</v>
      </c>
      <c r="T691" s="11" t="str">
        <f t="shared" si="88"/>
        <v>Check</v>
      </c>
      <c r="U691" s="12">
        <v>46139</v>
      </c>
      <c r="V691" s="10">
        <v>825</v>
      </c>
      <c r="W691" s="10" t="str">
        <f t="shared" si="86"/>
        <v>N/A</v>
      </c>
      <c r="X691" t="s">
        <v>453</v>
      </c>
      <c r="Y691" t="s">
        <v>28</v>
      </c>
      <c r="Z691">
        <v>100114</v>
      </c>
      <c r="AA691" t="s">
        <v>498</v>
      </c>
      <c r="AB691" t="s">
        <v>3040</v>
      </c>
      <c r="AC691" s="9">
        <v>4</v>
      </c>
      <c r="AD691" s="9" t="str">
        <f t="shared" si="87"/>
        <v>N/A</v>
      </c>
      <c r="AE691" s="11" t="e">
        <f t="shared" si="89"/>
        <v>#VALUE!</v>
      </c>
    </row>
    <row r="692" spans="1:31" x14ac:dyDescent="0.3">
      <c r="A692">
        <v>18</v>
      </c>
      <c r="B692">
        <v>4857804</v>
      </c>
      <c r="C692" t="s">
        <v>38</v>
      </c>
      <c r="D692">
        <v>1383202</v>
      </c>
      <c r="E692" t="s">
        <v>541</v>
      </c>
      <c r="F692" t="s">
        <v>20</v>
      </c>
      <c r="G692" t="s">
        <v>2896</v>
      </c>
      <c r="H692" t="s">
        <v>1576</v>
      </c>
      <c r="I692" t="s">
        <v>3381</v>
      </c>
      <c r="J692">
        <v>50117271392</v>
      </c>
      <c r="K692" t="s">
        <v>3246</v>
      </c>
      <c r="L692" t="s">
        <v>3687</v>
      </c>
      <c r="M692">
        <v>4000</v>
      </c>
      <c r="N692" s="10">
        <v>0.32919999999999999</v>
      </c>
      <c r="O692" s="10">
        <f t="shared" si="85"/>
        <v>1316.8</v>
      </c>
      <c r="P692" s="10">
        <v>133.62</v>
      </c>
      <c r="Q692" s="10">
        <v>302.86</v>
      </c>
      <c r="R692" s="10">
        <f>IF(COUNTIF($J$2:J692,J692)=1,SUMIFS($O:$O,$J:$J,J692)+SUMIFS($P:$P,$J:$J,J692)+SUMIFS($Q:$Q,$J:$J,J692),"")</f>
        <v>10424.320000000002</v>
      </c>
      <c r="S692" s="10">
        <v>10424.320000000002</v>
      </c>
      <c r="T692" s="11" t="str">
        <f t="shared" si="88"/>
        <v>Ok</v>
      </c>
      <c r="U692" s="12">
        <v>46134</v>
      </c>
      <c r="V692" s="10">
        <v>8671.0400000000009</v>
      </c>
      <c r="W692" s="10" t="str">
        <f t="shared" si="86"/>
        <v>Short Paid</v>
      </c>
      <c r="X692" t="s">
        <v>474</v>
      </c>
      <c r="Y692" t="s">
        <v>28</v>
      </c>
      <c r="Z692">
        <v>100249</v>
      </c>
      <c r="AA692" t="s">
        <v>484</v>
      </c>
      <c r="AB692" t="s">
        <v>521</v>
      </c>
      <c r="AC692" s="9">
        <v>2</v>
      </c>
      <c r="AD692" s="9" t="str">
        <f t="shared" si="87"/>
        <v>Ok</v>
      </c>
      <c r="AE692" s="11">
        <f t="shared" si="89"/>
        <v>0</v>
      </c>
    </row>
    <row r="693" spans="1:31" x14ac:dyDescent="0.3">
      <c r="A693">
        <v>18</v>
      </c>
      <c r="B693">
        <v>4857804</v>
      </c>
      <c r="C693" t="s">
        <v>38</v>
      </c>
      <c r="D693">
        <v>1383202</v>
      </c>
      <c r="E693" t="s">
        <v>541</v>
      </c>
      <c r="F693" t="s">
        <v>20</v>
      </c>
      <c r="G693" t="s">
        <v>2896</v>
      </c>
      <c r="H693" t="s">
        <v>1576</v>
      </c>
      <c r="I693" t="s">
        <v>3326</v>
      </c>
      <c r="J693">
        <v>50117271392</v>
      </c>
      <c r="K693" t="s">
        <v>3295</v>
      </c>
      <c r="L693" t="s">
        <v>3658</v>
      </c>
      <c r="M693">
        <v>56</v>
      </c>
      <c r="N693" s="10">
        <v>154.84</v>
      </c>
      <c r="O693" s="10">
        <f t="shared" si="85"/>
        <v>8671.0400000000009</v>
      </c>
      <c r="P693" s="10" t="s">
        <v>5006</v>
      </c>
      <c r="Q693" s="10" t="s">
        <v>5006</v>
      </c>
      <c r="R693" s="10" t="str">
        <f>IF(COUNTIF($J$2:J693,J693)=1,SUMIFS($O:$O,$J:$J,J693)+SUMIFS($P:$P,$J:$J,J693)+SUMIFS($Q:$Q,$J:$J,J693),"")</f>
        <v/>
      </c>
      <c r="S693" s="10" t="s">
        <v>5006</v>
      </c>
      <c r="T693" s="11" t="str">
        <f t="shared" si="88"/>
        <v>Ok</v>
      </c>
      <c r="U693" s="12">
        <v>46134</v>
      </c>
      <c r="V693" s="10">
        <v>8671.0400000000009</v>
      </c>
      <c r="W693" s="10" t="str">
        <f t="shared" si="86"/>
        <v>N/A</v>
      </c>
      <c r="X693" t="s">
        <v>474</v>
      </c>
      <c r="Y693" t="s">
        <v>28</v>
      </c>
      <c r="Z693">
        <v>100249</v>
      </c>
      <c r="AA693" t="s">
        <v>484</v>
      </c>
      <c r="AB693" t="s">
        <v>521</v>
      </c>
      <c r="AC693" s="9">
        <v>2</v>
      </c>
      <c r="AD693" s="9" t="str">
        <f t="shared" si="87"/>
        <v>N/A</v>
      </c>
      <c r="AE693" s="11" t="e">
        <f t="shared" si="89"/>
        <v>#VALUE!</v>
      </c>
    </row>
    <row r="694" spans="1:31" x14ac:dyDescent="0.3">
      <c r="A694">
        <v>11</v>
      </c>
      <c r="B694">
        <v>4897320</v>
      </c>
      <c r="C694" t="s">
        <v>220</v>
      </c>
      <c r="D694">
        <v>1124420</v>
      </c>
      <c r="E694" t="s">
        <v>221</v>
      </c>
      <c r="F694" t="s">
        <v>20</v>
      </c>
      <c r="G694" t="s">
        <v>2943</v>
      </c>
      <c r="H694" t="s">
        <v>1730</v>
      </c>
      <c r="I694" t="s">
        <v>3309</v>
      </c>
      <c r="J694">
        <v>50117399660</v>
      </c>
      <c r="K694" t="s">
        <v>3209</v>
      </c>
      <c r="L694" t="s">
        <v>3871</v>
      </c>
      <c r="M694">
        <v>16000</v>
      </c>
      <c r="N694" s="10">
        <v>0.11720000000000001</v>
      </c>
      <c r="O694" s="10">
        <f t="shared" si="85"/>
        <v>1875.2000000000003</v>
      </c>
      <c r="P694" s="10">
        <v>154.69999999999999</v>
      </c>
      <c r="Q694" s="10">
        <v>0</v>
      </c>
      <c r="R694" s="10">
        <f>IF(COUNTIF($J$2:J694,J694)=1,SUMIFS($O:$O,$J:$J,J694)+SUMIFS($P:$P,$J:$J,J694)+SUMIFS($Q:$Q,$J:$J,J694),"")</f>
        <v>17666.400000000001</v>
      </c>
      <c r="S694" s="10">
        <v>17666.400000000001</v>
      </c>
      <c r="T694" s="11" t="str">
        <f t="shared" si="88"/>
        <v>Ok</v>
      </c>
      <c r="U694" s="12">
        <v>46080</v>
      </c>
      <c r="V694" s="10">
        <v>15636.5</v>
      </c>
      <c r="W694" s="10" t="str">
        <f t="shared" si="86"/>
        <v>Short Paid</v>
      </c>
      <c r="X694" t="s">
        <v>470</v>
      </c>
      <c r="Y694" t="s">
        <v>28</v>
      </c>
      <c r="Z694">
        <v>100288</v>
      </c>
      <c r="AA694" t="s">
        <v>471</v>
      </c>
      <c r="AB694" t="s">
        <v>521</v>
      </c>
      <c r="AC694" s="9">
        <v>2</v>
      </c>
      <c r="AD694" s="9" t="str">
        <f t="shared" si="87"/>
        <v>Ok</v>
      </c>
      <c r="AE694" s="11">
        <f t="shared" si="89"/>
        <v>0</v>
      </c>
    </row>
    <row r="695" spans="1:31" x14ac:dyDescent="0.3">
      <c r="A695">
        <v>11</v>
      </c>
      <c r="B695">
        <v>4897320</v>
      </c>
      <c r="C695" t="s">
        <v>220</v>
      </c>
      <c r="D695">
        <v>1124420</v>
      </c>
      <c r="E695" t="s">
        <v>221</v>
      </c>
      <c r="F695" t="s">
        <v>20</v>
      </c>
      <c r="G695" t="s">
        <v>2943</v>
      </c>
      <c r="H695" t="s">
        <v>1730</v>
      </c>
      <c r="I695" t="s">
        <v>3376</v>
      </c>
      <c r="J695">
        <v>50117399660</v>
      </c>
      <c r="K695" t="s">
        <v>3244</v>
      </c>
      <c r="L695" t="s">
        <v>3518</v>
      </c>
      <c r="M695">
        <v>110</v>
      </c>
      <c r="N695" s="10">
        <v>142.15</v>
      </c>
      <c r="O695" s="10">
        <f t="shared" si="85"/>
        <v>15636.5</v>
      </c>
      <c r="P695" s="10" t="s">
        <v>5006</v>
      </c>
      <c r="Q695" s="10" t="s">
        <v>5006</v>
      </c>
      <c r="R695" s="10" t="str">
        <f>IF(COUNTIF($J$2:J695,J695)=1,SUMIFS($O:$O,$J:$J,J695)+SUMIFS($P:$P,$J:$J,J695)+SUMIFS($Q:$Q,$J:$J,J695),"")</f>
        <v/>
      </c>
      <c r="S695" s="10" t="s">
        <v>5006</v>
      </c>
      <c r="T695" s="11" t="str">
        <f t="shared" si="88"/>
        <v>Ok</v>
      </c>
      <c r="U695" s="12">
        <v>46080</v>
      </c>
      <c r="V695" s="10">
        <v>15636.5</v>
      </c>
      <c r="W695" s="10" t="str">
        <f t="shared" si="86"/>
        <v>N/A</v>
      </c>
      <c r="X695" t="s">
        <v>470</v>
      </c>
      <c r="Y695" t="s">
        <v>28</v>
      </c>
      <c r="Z695">
        <v>100288</v>
      </c>
      <c r="AA695" t="s">
        <v>471</v>
      </c>
      <c r="AB695" t="s">
        <v>521</v>
      </c>
      <c r="AC695" s="9">
        <v>2</v>
      </c>
      <c r="AD695" s="9" t="str">
        <f t="shared" si="87"/>
        <v>N/A</v>
      </c>
      <c r="AE695" s="11" t="e">
        <f t="shared" si="89"/>
        <v>#VALUE!</v>
      </c>
    </row>
    <row r="696" spans="1:31" x14ac:dyDescent="0.3">
      <c r="A696">
        <v>9</v>
      </c>
      <c r="B696">
        <v>4905669</v>
      </c>
      <c r="C696" t="s">
        <v>239</v>
      </c>
      <c r="D696">
        <v>1055845</v>
      </c>
      <c r="E696" t="s">
        <v>537</v>
      </c>
      <c r="F696" t="s">
        <v>49</v>
      </c>
      <c r="G696" t="s">
        <v>4872</v>
      </c>
      <c r="H696" t="s">
        <v>1740</v>
      </c>
      <c r="I696" t="s">
        <v>3224</v>
      </c>
      <c r="J696">
        <v>50117399900</v>
      </c>
      <c r="K696" t="s">
        <v>3183</v>
      </c>
      <c r="L696" t="s">
        <v>3872</v>
      </c>
      <c r="M696">
        <v>2000</v>
      </c>
      <c r="N696" s="10">
        <v>0.20399999999999999</v>
      </c>
      <c r="O696" s="10">
        <f t="shared" si="85"/>
        <v>408</v>
      </c>
      <c r="P696" s="10">
        <v>6338.99</v>
      </c>
      <c r="Q696" s="10">
        <v>0</v>
      </c>
      <c r="R696" s="10">
        <f>IF(COUNTIF($J$2:J696,J696)=1,SUMIFS($O:$O,$J:$J,J696)+SUMIFS($P:$P,$J:$J,J696)+SUMIFS($Q:$Q,$J:$J,J696),"")</f>
        <v>47645.99</v>
      </c>
      <c r="S696" s="10">
        <v>49077.45</v>
      </c>
      <c r="T696" s="11" t="str">
        <f t="shared" si="88"/>
        <v>Check</v>
      </c>
      <c r="U696" s="12">
        <v>45965</v>
      </c>
      <c r="V696" s="10">
        <v>4222.47</v>
      </c>
      <c r="W696" s="10" t="str">
        <f t="shared" si="86"/>
        <v>Short Paid</v>
      </c>
      <c r="X696" t="s">
        <v>476</v>
      </c>
      <c r="Y696" t="s">
        <v>29</v>
      </c>
      <c r="Z696">
        <v>100295</v>
      </c>
      <c r="AA696" t="s">
        <v>3127</v>
      </c>
      <c r="AB696" t="s">
        <v>3041</v>
      </c>
      <c r="AC696" s="9">
        <v>2</v>
      </c>
      <c r="AD696" s="9" t="str">
        <f t="shared" si="87"/>
        <v>Check</v>
      </c>
      <c r="AE696" s="11">
        <f t="shared" si="89"/>
        <v>-1431.4599999999991</v>
      </c>
    </row>
    <row r="697" spans="1:31" x14ac:dyDescent="0.3">
      <c r="A697">
        <v>9</v>
      </c>
      <c r="B697">
        <v>4905669</v>
      </c>
      <c r="C697" t="s">
        <v>239</v>
      </c>
      <c r="D697">
        <v>1055845</v>
      </c>
      <c r="E697" t="s">
        <v>537</v>
      </c>
      <c r="F697" t="s">
        <v>49</v>
      </c>
      <c r="G697" t="s">
        <v>4872</v>
      </c>
      <c r="H697" t="s">
        <v>1740</v>
      </c>
      <c r="I697" t="s">
        <v>3542</v>
      </c>
      <c r="J697">
        <v>50117399900</v>
      </c>
      <c r="K697" t="s">
        <v>3500</v>
      </c>
      <c r="L697" t="s">
        <v>3873</v>
      </c>
      <c r="M697">
        <v>30</v>
      </c>
      <c r="N697" s="10">
        <v>1363.3</v>
      </c>
      <c r="O697" s="10">
        <f t="shared" si="85"/>
        <v>40899</v>
      </c>
      <c r="P697" s="10" t="s">
        <v>5006</v>
      </c>
      <c r="Q697" s="10" t="s">
        <v>5006</v>
      </c>
      <c r="R697" s="10" t="str">
        <f>IF(COUNTIF($J$2:J697,J697)=1,SUMIFS($O:$O,$J:$J,J697)+SUMIFS($P:$P,$J:$J,J697)+SUMIFS($Q:$Q,$J:$J,J697),"")</f>
        <v/>
      </c>
      <c r="S697" s="10" t="s">
        <v>5006</v>
      </c>
      <c r="T697" s="11" t="str">
        <f t="shared" si="88"/>
        <v>Check</v>
      </c>
      <c r="U697" s="12">
        <v>45965</v>
      </c>
      <c r="V697" s="10">
        <v>4222.47</v>
      </c>
      <c r="W697" s="10" t="str">
        <f t="shared" si="86"/>
        <v>N/A</v>
      </c>
      <c r="X697" t="s">
        <v>476</v>
      </c>
      <c r="Y697" t="s">
        <v>29</v>
      </c>
      <c r="Z697">
        <v>100295</v>
      </c>
      <c r="AA697" t="s">
        <v>3127</v>
      </c>
      <c r="AB697" t="s">
        <v>3041</v>
      </c>
      <c r="AC697" s="9">
        <v>2</v>
      </c>
      <c r="AD697" s="9" t="str">
        <f t="shared" si="87"/>
        <v>N/A</v>
      </c>
      <c r="AE697" s="11" t="e">
        <f t="shared" si="89"/>
        <v>#VALUE!</v>
      </c>
    </row>
    <row r="698" spans="1:31" x14ac:dyDescent="0.3">
      <c r="A698">
        <v>8</v>
      </c>
      <c r="B698">
        <v>4918470</v>
      </c>
      <c r="C698" t="s">
        <v>220</v>
      </c>
      <c r="D698">
        <v>1125734</v>
      </c>
      <c r="E698" t="s">
        <v>532</v>
      </c>
      <c r="F698" t="s">
        <v>18</v>
      </c>
      <c r="G698" t="s">
        <v>3005</v>
      </c>
      <c r="H698" t="s">
        <v>3006</v>
      </c>
      <c r="I698" t="s">
        <v>3275</v>
      </c>
      <c r="J698">
        <v>50117401704</v>
      </c>
      <c r="K698" t="s">
        <v>3177</v>
      </c>
      <c r="L698" t="s">
        <v>3874</v>
      </c>
      <c r="M698">
        <v>40000</v>
      </c>
      <c r="N698" s="10">
        <v>2.5400000000000002E-3</v>
      </c>
      <c r="O698" s="10">
        <f t="shared" si="85"/>
        <v>101.60000000000001</v>
      </c>
      <c r="P698" s="10">
        <v>0</v>
      </c>
      <c r="Q698" s="10">
        <v>0</v>
      </c>
      <c r="R698" s="10">
        <f>IF(COUNTIF($J$2:J698,J698)=1,SUMIFS($O:$O,$J:$J,J698)+SUMIFS($P:$P,$J:$J,J698)+SUMIFS($Q:$Q,$J:$J,J698),"")</f>
        <v>16376.55</v>
      </c>
      <c r="S698" s="10">
        <v>29125.38</v>
      </c>
      <c r="T698" s="11" t="str">
        <f t="shared" si="88"/>
        <v>Check</v>
      </c>
      <c r="U698" s="12">
        <v>46133</v>
      </c>
      <c r="V698" s="10">
        <v>317.52</v>
      </c>
      <c r="W698" s="10" t="str">
        <f t="shared" si="86"/>
        <v>Short Paid</v>
      </c>
      <c r="X698" t="s">
        <v>470</v>
      </c>
      <c r="Y698" t="s">
        <v>28</v>
      </c>
      <c r="Z698">
        <v>100208</v>
      </c>
      <c r="AA698" t="s">
        <v>3098</v>
      </c>
      <c r="AB698" t="s">
        <v>523</v>
      </c>
      <c r="AC698" s="9">
        <v>10</v>
      </c>
      <c r="AD698" s="9" t="str">
        <f t="shared" si="87"/>
        <v>Check</v>
      </c>
      <c r="AE698" s="11">
        <f t="shared" si="89"/>
        <v>-12748.830000000002</v>
      </c>
    </row>
    <row r="699" spans="1:31" x14ac:dyDescent="0.3">
      <c r="A699">
        <v>8</v>
      </c>
      <c r="B699">
        <v>4918470</v>
      </c>
      <c r="C699" t="s">
        <v>220</v>
      </c>
      <c r="D699">
        <v>1125734</v>
      </c>
      <c r="E699" t="s">
        <v>532</v>
      </c>
      <c r="F699" t="s">
        <v>18</v>
      </c>
      <c r="G699" t="s">
        <v>3005</v>
      </c>
      <c r="H699" t="s">
        <v>3006</v>
      </c>
      <c r="I699" t="s">
        <v>3275</v>
      </c>
      <c r="J699">
        <v>50117401704</v>
      </c>
      <c r="K699" t="s">
        <v>3177</v>
      </c>
      <c r="L699" t="s">
        <v>3875</v>
      </c>
      <c r="M699">
        <v>30000</v>
      </c>
      <c r="N699" s="10">
        <v>8.4000000000000003E-4</v>
      </c>
      <c r="O699" s="10">
        <f t="shared" si="85"/>
        <v>25.2</v>
      </c>
      <c r="P699" s="10" t="s">
        <v>5006</v>
      </c>
      <c r="Q699" s="10" t="s">
        <v>5006</v>
      </c>
      <c r="R699" s="10" t="str">
        <f>IF(COUNTIF($J$2:J699,J699)=1,SUMIFS($O:$O,$J:$J,J699)+SUMIFS($P:$P,$J:$J,J699)+SUMIFS($Q:$Q,$J:$J,J699),"")</f>
        <v/>
      </c>
      <c r="S699" s="10" t="s">
        <v>5006</v>
      </c>
      <c r="T699" s="11" t="str">
        <f t="shared" si="88"/>
        <v>Check</v>
      </c>
      <c r="U699" s="12">
        <v>46133</v>
      </c>
      <c r="V699" s="10">
        <v>317.52</v>
      </c>
      <c r="W699" s="10" t="str">
        <f t="shared" si="86"/>
        <v>N/A</v>
      </c>
      <c r="X699" t="s">
        <v>470</v>
      </c>
      <c r="Y699" t="s">
        <v>28</v>
      </c>
      <c r="Z699">
        <v>100208</v>
      </c>
      <c r="AA699" t="s">
        <v>3098</v>
      </c>
      <c r="AB699" t="s">
        <v>523</v>
      </c>
      <c r="AC699" s="9">
        <v>10</v>
      </c>
      <c r="AD699" s="9" t="str">
        <f t="shared" si="87"/>
        <v>N/A</v>
      </c>
      <c r="AE699" s="11" t="e">
        <f t="shared" si="89"/>
        <v>#VALUE!</v>
      </c>
    </row>
    <row r="700" spans="1:31" x14ac:dyDescent="0.3">
      <c r="A700">
        <v>8</v>
      </c>
      <c r="B700">
        <v>4918470</v>
      </c>
      <c r="C700" t="s">
        <v>220</v>
      </c>
      <c r="D700">
        <v>1125734</v>
      </c>
      <c r="E700" t="s">
        <v>532</v>
      </c>
      <c r="F700" t="s">
        <v>18</v>
      </c>
      <c r="G700" t="s">
        <v>3005</v>
      </c>
      <c r="H700" t="s">
        <v>3006</v>
      </c>
      <c r="I700" t="s">
        <v>3275</v>
      </c>
      <c r="J700">
        <v>50117401704</v>
      </c>
      <c r="K700" t="s">
        <v>3177</v>
      </c>
      <c r="L700" t="s">
        <v>3876</v>
      </c>
      <c r="M700">
        <v>6000</v>
      </c>
      <c r="N700" s="10">
        <v>9.1000000000000004E-3</v>
      </c>
      <c r="O700" s="10">
        <f t="shared" si="85"/>
        <v>54.6</v>
      </c>
      <c r="P700" s="10" t="s">
        <v>5006</v>
      </c>
      <c r="Q700" s="10" t="s">
        <v>5006</v>
      </c>
      <c r="R700" s="10" t="str">
        <f>IF(COUNTIF($J$2:J700,J700)=1,SUMIFS($O:$O,$J:$J,J700)+SUMIFS($P:$P,$J:$J,J700)+SUMIFS($Q:$Q,$J:$J,J700),"")</f>
        <v/>
      </c>
      <c r="S700" s="10" t="s">
        <v>5006</v>
      </c>
      <c r="T700" s="11" t="str">
        <f t="shared" si="88"/>
        <v>Check</v>
      </c>
      <c r="U700" s="12">
        <v>46133</v>
      </c>
      <c r="V700" s="10">
        <v>317.52</v>
      </c>
      <c r="W700" s="10" t="str">
        <f t="shared" si="86"/>
        <v>N/A</v>
      </c>
      <c r="X700" t="s">
        <v>470</v>
      </c>
      <c r="Y700" t="s">
        <v>28</v>
      </c>
      <c r="Z700">
        <v>100208</v>
      </c>
      <c r="AA700" t="s">
        <v>3098</v>
      </c>
      <c r="AB700" t="s">
        <v>523</v>
      </c>
      <c r="AC700" s="9">
        <v>10</v>
      </c>
      <c r="AD700" s="9" t="str">
        <f t="shared" si="87"/>
        <v>N/A</v>
      </c>
      <c r="AE700" s="11" t="e">
        <f t="shared" si="89"/>
        <v>#VALUE!</v>
      </c>
    </row>
    <row r="701" spans="1:31" x14ac:dyDescent="0.3">
      <c r="A701">
        <v>8</v>
      </c>
      <c r="B701">
        <v>4918470</v>
      </c>
      <c r="C701" t="s">
        <v>220</v>
      </c>
      <c r="D701">
        <v>1125734</v>
      </c>
      <c r="E701" t="s">
        <v>532</v>
      </c>
      <c r="F701" t="s">
        <v>18</v>
      </c>
      <c r="G701" t="s">
        <v>3005</v>
      </c>
      <c r="H701" t="s">
        <v>3006</v>
      </c>
      <c r="I701" t="s">
        <v>3275</v>
      </c>
      <c r="J701">
        <v>50117401704</v>
      </c>
      <c r="K701" t="s">
        <v>3229</v>
      </c>
      <c r="L701" t="s">
        <v>3877</v>
      </c>
      <c r="M701">
        <v>7500</v>
      </c>
      <c r="N701" s="10">
        <v>1.9879999999999998E-2</v>
      </c>
      <c r="O701" s="10">
        <f t="shared" si="85"/>
        <v>149.1</v>
      </c>
      <c r="P701" s="10" t="s">
        <v>5006</v>
      </c>
      <c r="Q701" s="10" t="s">
        <v>5006</v>
      </c>
      <c r="R701" s="10" t="str">
        <f>IF(COUNTIF($J$2:J701,J701)=1,SUMIFS($O:$O,$J:$J,J701)+SUMIFS($P:$P,$J:$J,J701)+SUMIFS($Q:$Q,$J:$J,J701),"")</f>
        <v/>
      </c>
      <c r="S701" s="10" t="s">
        <v>5006</v>
      </c>
      <c r="T701" s="11" t="str">
        <f t="shared" si="88"/>
        <v>Check</v>
      </c>
      <c r="U701" s="12">
        <v>46133</v>
      </c>
      <c r="V701" s="10">
        <v>317.52</v>
      </c>
      <c r="W701" s="10" t="str">
        <f t="shared" si="86"/>
        <v>N/A</v>
      </c>
      <c r="X701" t="s">
        <v>470</v>
      </c>
      <c r="Y701" t="s">
        <v>28</v>
      </c>
      <c r="Z701">
        <v>100208</v>
      </c>
      <c r="AA701" t="s">
        <v>3098</v>
      </c>
      <c r="AB701" t="s">
        <v>523</v>
      </c>
      <c r="AC701" s="9">
        <v>10</v>
      </c>
      <c r="AD701" s="9" t="str">
        <f t="shared" si="87"/>
        <v>N/A</v>
      </c>
      <c r="AE701" s="11" t="e">
        <f t="shared" si="89"/>
        <v>#VALUE!</v>
      </c>
    </row>
    <row r="702" spans="1:31" x14ac:dyDescent="0.3">
      <c r="A702">
        <v>8</v>
      </c>
      <c r="B702">
        <v>4918470</v>
      </c>
      <c r="C702" t="s">
        <v>220</v>
      </c>
      <c r="D702">
        <v>1125734</v>
      </c>
      <c r="E702" t="s">
        <v>532</v>
      </c>
      <c r="F702" t="s">
        <v>18</v>
      </c>
      <c r="G702" t="s">
        <v>3005</v>
      </c>
      <c r="H702" t="s">
        <v>3006</v>
      </c>
      <c r="I702" t="s">
        <v>3275</v>
      </c>
      <c r="J702">
        <v>50117401704</v>
      </c>
      <c r="K702" t="s">
        <v>3379</v>
      </c>
      <c r="L702" t="s">
        <v>3461</v>
      </c>
      <c r="M702">
        <v>60000</v>
      </c>
      <c r="N702" s="10">
        <v>2.7E-2</v>
      </c>
      <c r="O702" s="10">
        <f t="shared" si="85"/>
        <v>1620</v>
      </c>
      <c r="P702" s="10" t="s">
        <v>5006</v>
      </c>
      <c r="Q702" s="10" t="s">
        <v>5006</v>
      </c>
      <c r="R702" s="10" t="str">
        <f>IF(COUNTIF($J$2:J702,J702)=1,SUMIFS($O:$O,$J:$J,J702)+SUMIFS($P:$P,$J:$J,J702)+SUMIFS($Q:$Q,$J:$J,J702),"")</f>
        <v/>
      </c>
      <c r="S702" s="10" t="s">
        <v>5006</v>
      </c>
      <c r="T702" s="11" t="str">
        <f t="shared" si="88"/>
        <v>Check</v>
      </c>
      <c r="U702" s="12">
        <v>46133</v>
      </c>
      <c r="V702" s="10">
        <v>317.52</v>
      </c>
      <c r="W702" s="10" t="str">
        <f t="shared" si="86"/>
        <v>N/A</v>
      </c>
      <c r="X702" t="s">
        <v>470</v>
      </c>
      <c r="Y702" t="s">
        <v>28</v>
      </c>
      <c r="Z702">
        <v>100208</v>
      </c>
      <c r="AA702" t="s">
        <v>3098</v>
      </c>
      <c r="AB702" t="s">
        <v>523</v>
      </c>
      <c r="AC702" s="9">
        <v>10</v>
      </c>
      <c r="AD702" s="9" t="str">
        <f t="shared" si="87"/>
        <v>N/A</v>
      </c>
      <c r="AE702" s="11" t="e">
        <f t="shared" si="89"/>
        <v>#VALUE!</v>
      </c>
    </row>
    <row r="703" spans="1:31" x14ac:dyDescent="0.3">
      <c r="A703">
        <v>8</v>
      </c>
      <c r="B703">
        <v>4918470</v>
      </c>
      <c r="C703" t="s">
        <v>220</v>
      </c>
      <c r="D703">
        <v>1125734</v>
      </c>
      <c r="E703" t="s">
        <v>532</v>
      </c>
      <c r="F703" t="s">
        <v>18</v>
      </c>
      <c r="G703" t="s">
        <v>3005</v>
      </c>
      <c r="H703" t="s">
        <v>3006</v>
      </c>
      <c r="I703" t="s">
        <v>3275</v>
      </c>
      <c r="J703">
        <v>50117401704</v>
      </c>
      <c r="K703" t="s">
        <v>3379</v>
      </c>
      <c r="L703" t="s">
        <v>3878</v>
      </c>
      <c r="M703">
        <v>8000</v>
      </c>
      <c r="N703" s="10">
        <v>1.8669999999999999E-2</v>
      </c>
      <c r="O703" s="10">
        <f t="shared" si="85"/>
        <v>149.35999999999999</v>
      </c>
      <c r="P703" s="10" t="s">
        <v>5006</v>
      </c>
      <c r="Q703" s="10" t="s">
        <v>5006</v>
      </c>
      <c r="R703" s="10" t="str">
        <f>IF(COUNTIF($J$2:J703,J703)=1,SUMIFS($O:$O,$J:$J,J703)+SUMIFS($P:$P,$J:$J,J703)+SUMIFS($Q:$Q,$J:$J,J703),"")</f>
        <v/>
      </c>
      <c r="S703" s="10" t="s">
        <v>5006</v>
      </c>
      <c r="T703" s="11" t="str">
        <f t="shared" si="88"/>
        <v>Check</v>
      </c>
      <c r="U703" s="12">
        <v>46133</v>
      </c>
      <c r="V703" s="10">
        <v>317.52</v>
      </c>
      <c r="W703" s="10" t="str">
        <f t="shared" si="86"/>
        <v>N/A</v>
      </c>
      <c r="X703" t="s">
        <v>470</v>
      </c>
      <c r="Y703" t="s">
        <v>28</v>
      </c>
      <c r="Z703">
        <v>100208</v>
      </c>
      <c r="AA703" t="s">
        <v>3098</v>
      </c>
      <c r="AB703" t="s">
        <v>523</v>
      </c>
      <c r="AC703" s="9">
        <v>10</v>
      </c>
      <c r="AD703" s="9" t="str">
        <f t="shared" si="87"/>
        <v>N/A</v>
      </c>
      <c r="AE703" s="11" t="e">
        <f t="shared" si="89"/>
        <v>#VALUE!</v>
      </c>
    </row>
    <row r="704" spans="1:31" x14ac:dyDescent="0.3">
      <c r="A704">
        <v>8</v>
      </c>
      <c r="B704">
        <v>4918470</v>
      </c>
      <c r="C704" t="s">
        <v>220</v>
      </c>
      <c r="D704">
        <v>1125734</v>
      </c>
      <c r="E704" t="s">
        <v>532</v>
      </c>
      <c r="F704" t="s">
        <v>18</v>
      </c>
      <c r="G704" t="s">
        <v>3005</v>
      </c>
      <c r="H704" t="s">
        <v>3006</v>
      </c>
      <c r="I704" t="s">
        <v>3275</v>
      </c>
      <c r="J704">
        <v>50117401704</v>
      </c>
      <c r="K704" t="s">
        <v>3168</v>
      </c>
      <c r="L704" t="s">
        <v>3879</v>
      </c>
      <c r="M704">
        <v>2500</v>
      </c>
      <c r="N704" s="10">
        <v>8.2100000000000006E-2</v>
      </c>
      <c r="O704" s="10">
        <f t="shared" si="85"/>
        <v>205.25000000000003</v>
      </c>
      <c r="P704" s="10" t="s">
        <v>5006</v>
      </c>
      <c r="Q704" s="10" t="s">
        <v>5006</v>
      </c>
      <c r="R704" s="10" t="str">
        <f>IF(COUNTIF($J$2:J704,J704)=1,SUMIFS($O:$O,$J:$J,J704)+SUMIFS($P:$P,$J:$J,J704)+SUMIFS($Q:$Q,$J:$J,J704),"")</f>
        <v/>
      </c>
      <c r="S704" s="10" t="s">
        <v>5006</v>
      </c>
      <c r="T704" s="11" t="str">
        <f t="shared" si="88"/>
        <v>Check</v>
      </c>
      <c r="U704" s="12">
        <v>46133</v>
      </c>
      <c r="V704" s="10">
        <v>317.52</v>
      </c>
      <c r="W704" s="10" t="str">
        <f t="shared" si="86"/>
        <v>N/A</v>
      </c>
      <c r="X704" t="s">
        <v>470</v>
      </c>
      <c r="Y704" t="s">
        <v>28</v>
      </c>
      <c r="Z704">
        <v>100208</v>
      </c>
      <c r="AA704" t="s">
        <v>3098</v>
      </c>
      <c r="AB704" t="s">
        <v>523</v>
      </c>
      <c r="AC704" s="9">
        <v>10</v>
      </c>
      <c r="AD704" s="9" t="str">
        <f t="shared" si="87"/>
        <v>N/A</v>
      </c>
      <c r="AE704" s="11" t="e">
        <f t="shared" si="89"/>
        <v>#VALUE!</v>
      </c>
    </row>
    <row r="705" spans="1:31" x14ac:dyDescent="0.3">
      <c r="A705">
        <v>8</v>
      </c>
      <c r="B705">
        <v>4918470</v>
      </c>
      <c r="C705" t="s">
        <v>220</v>
      </c>
      <c r="D705">
        <v>1125734</v>
      </c>
      <c r="E705" t="s">
        <v>532</v>
      </c>
      <c r="F705" t="s">
        <v>18</v>
      </c>
      <c r="G705" t="s">
        <v>3005</v>
      </c>
      <c r="H705" t="s">
        <v>3006</v>
      </c>
      <c r="I705" t="s">
        <v>3275</v>
      </c>
      <c r="J705">
        <v>50117401704</v>
      </c>
      <c r="K705" t="s">
        <v>3488</v>
      </c>
      <c r="L705" t="s">
        <v>3721</v>
      </c>
      <c r="M705">
        <v>28080</v>
      </c>
      <c r="N705" s="10">
        <v>0.48799999999999999</v>
      </c>
      <c r="O705" s="10">
        <f t="shared" si="85"/>
        <v>13703.039999999999</v>
      </c>
      <c r="P705" s="10" t="s">
        <v>5006</v>
      </c>
      <c r="Q705" s="10" t="s">
        <v>5006</v>
      </c>
      <c r="R705" s="10" t="str">
        <f>IF(COUNTIF($J$2:J705,J705)=1,SUMIFS($O:$O,$J:$J,J705)+SUMIFS($P:$P,$J:$J,J705)+SUMIFS($Q:$Q,$J:$J,J705),"")</f>
        <v/>
      </c>
      <c r="S705" s="10" t="s">
        <v>5006</v>
      </c>
      <c r="T705" s="11" t="str">
        <f t="shared" si="88"/>
        <v>Check</v>
      </c>
      <c r="U705" s="12">
        <v>46133</v>
      </c>
      <c r="V705" s="10">
        <v>317.52</v>
      </c>
      <c r="W705" s="10" t="str">
        <f t="shared" si="86"/>
        <v>N/A</v>
      </c>
      <c r="X705" t="s">
        <v>470</v>
      </c>
      <c r="Y705" t="s">
        <v>28</v>
      </c>
      <c r="Z705">
        <v>100208</v>
      </c>
      <c r="AA705" t="s">
        <v>3098</v>
      </c>
      <c r="AB705" t="s">
        <v>523</v>
      </c>
      <c r="AC705" s="9">
        <v>10</v>
      </c>
      <c r="AD705" s="9" t="str">
        <f t="shared" si="87"/>
        <v>N/A</v>
      </c>
      <c r="AE705" s="11" t="e">
        <f t="shared" si="89"/>
        <v>#VALUE!</v>
      </c>
    </row>
    <row r="706" spans="1:31" x14ac:dyDescent="0.3">
      <c r="A706">
        <v>8</v>
      </c>
      <c r="B706">
        <v>4918470</v>
      </c>
      <c r="C706" t="s">
        <v>220</v>
      </c>
      <c r="D706">
        <v>1125734</v>
      </c>
      <c r="E706" t="s">
        <v>532</v>
      </c>
      <c r="F706" t="s">
        <v>18</v>
      </c>
      <c r="G706" t="s">
        <v>3005</v>
      </c>
      <c r="H706" t="s">
        <v>3006</v>
      </c>
      <c r="I706" t="s">
        <v>3275</v>
      </c>
      <c r="J706">
        <v>50117401704</v>
      </c>
      <c r="K706" t="s">
        <v>3479</v>
      </c>
      <c r="L706" t="s">
        <v>3880</v>
      </c>
      <c r="M706">
        <v>30000</v>
      </c>
      <c r="N706" s="10">
        <v>2.0799999999999998E-3</v>
      </c>
      <c r="O706" s="10">
        <f t="shared" ref="O706:O769" si="90">M706*N706</f>
        <v>62.399999999999991</v>
      </c>
      <c r="P706" s="10" t="s">
        <v>5006</v>
      </c>
      <c r="Q706" s="10" t="s">
        <v>5006</v>
      </c>
      <c r="R706" s="10" t="str">
        <f>IF(COUNTIF($J$2:J706,J706)=1,SUMIFS($O:$O,$J:$J,J706)+SUMIFS($P:$P,$J:$J,J706)+SUMIFS($Q:$Q,$J:$J,J706),"")</f>
        <v/>
      </c>
      <c r="S706" s="10" t="s">
        <v>5006</v>
      </c>
      <c r="T706" s="11" t="str">
        <f t="shared" si="88"/>
        <v>Check</v>
      </c>
      <c r="U706" s="12">
        <v>46133</v>
      </c>
      <c r="V706" s="10">
        <v>317.52</v>
      </c>
      <c r="W706" s="10" t="str">
        <f t="shared" ref="W706:W769" si="91">IF(OR(S706="",V706=""),"N/A",IF(S706&lt;&gt;V706,"Short Paid","Not Paid"))</f>
        <v>N/A</v>
      </c>
      <c r="X706" t="s">
        <v>470</v>
      </c>
      <c r="Y706" t="s">
        <v>28</v>
      </c>
      <c r="Z706">
        <v>100208</v>
      </c>
      <c r="AA706" t="s">
        <v>3098</v>
      </c>
      <c r="AB706" t="s">
        <v>523</v>
      </c>
      <c r="AC706" s="9">
        <v>10</v>
      </c>
      <c r="AD706" s="9" t="str">
        <f t="shared" ref="AD706:AD769" si="92">IF(AND(R706="",S706=""),"N/A",IF(R706=S706,"Ok","Check"))</f>
        <v>N/A</v>
      </c>
      <c r="AE706" s="11" t="e">
        <f t="shared" si="89"/>
        <v>#VALUE!</v>
      </c>
    </row>
    <row r="707" spans="1:31" x14ac:dyDescent="0.3">
      <c r="A707">
        <v>8</v>
      </c>
      <c r="B707">
        <v>4918470</v>
      </c>
      <c r="C707" t="s">
        <v>220</v>
      </c>
      <c r="D707">
        <v>1125734</v>
      </c>
      <c r="E707" t="s">
        <v>532</v>
      </c>
      <c r="F707" t="s">
        <v>18</v>
      </c>
      <c r="G707" t="s">
        <v>3005</v>
      </c>
      <c r="H707" t="s">
        <v>3006</v>
      </c>
      <c r="I707" t="s">
        <v>3275</v>
      </c>
      <c r="J707">
        <v>50117401704</v>
      </c>
      <c r="K707" t="s">
        <v>3207</v>
      </c>
      <c r="L707" t="s">
        <v>3881</v>
      </c>
      <c r="M707">
        <v>4000</v>
      </c>
      <c r="N707" s="10">
        <v>7.6499999999999999E-2</v>
      </c>
      <c r="O707" s="10">
        <f t="shared" si="90"/>
        <v>306</v>
      </c>
      <c r="P707" s="10" t="s">
        <v>5006</v>
      </c>
      <c r="Q707" s="10" t="s">
        <v>5006</v>
      </c>
      <c r="R707" s="10" t="str">
        <f>IF(COUNTIF($J$2:J707,J707)=1,SUMIFS($O:$O,$J:$J,J707)+SUMIFS($P:$P,$J:$J,J707)+SUMIFS($Q:$Q,$J:$J,J707),"")</f>
        <v/>
      </c>
      <c r="S707" s="10" t="s">
        <v>5006</v>
      </c>
      <c r="T707" s="11" t="str">
        <f t="shared" ref="T707:T770" si="93">IFERROR(INDEX(AD:AD,MATCH(J707,J:J,0)),"")</f>
        <v>Check</v>
      </c>
      <c r="U707" s="12">
        <v>46133</v>
      </c>
      <c r="V707" s="10">
        <v>317.52</v>
      </c>
      <c r="W707" s="10" t="str">
        <f t="shared" si="91"/>
        <v>N/A</v>
      </c>
      <c r="X707" t="s">
        <v>470</v>
      </c>
      <c r="Y707" t="s">
        <v>28</v>
      </c>
      <c r="Z707">
        <v>100208</v>
      </c>
      <c r="AA707" t="s">
        <v>3098</v>
      </c>
      <c r="AB707" t="s">
        <v>523</v>
      </c>
      <c r="AC707" s="9">
        <v>10</v>
      </c>
      <c r="AD707" s="9" t="str">
        <f t="shared" si="92"/>
        <v>N/A</v>
      </c>
      <c r="AE707" s="11" t="e">
        <f t="shared" si="89"/>
        <v>#VALUE!</v>
      </c>
    </row>
    <row r="708" spans="1:31" x14ac:dyDescent="0.3">
      <c r="A708">
        <v>7</v>
      </c>
      <c r="B708">
        <v>4923479</v>
      </c>
      <c r="C708" t="s">
        <v>167</v>
      </c>
      <c r="D708">
        <v>1235549</v>
      </c>
      <c r="E708" t="s">
        <v>168</v>
      </c>
      <c r="F708" t="s">
        <v>3805</v>
      </c>
      <c r="G708" t="s">
        <v>1760</v>
      </c>
      <c r="H708" t="s">
        <v>1761</v>
      </c>
      <c r="I708" t="s">
        <v>3390</v>
      </c>
      <c r="J708">
        <v>50117402496</v>
      </c>
      <c r="K708" t="s">
        <v>3635</v>
      </c>
      <c r="L708" t="s">
        <v>3882</v>
      </c>
      <c r="M708">
        <v>3</v>
      </c>
      <c r="N708" s="10">
        <v>596.25</v>
      </c>
      <c r="O708" s="10">
        <f t="shared" si="90"/>
        <v>1788.75</v>
      </c>
      <c r="P708" s="10">
        <v>0</v>
      </c>
      <c r="Q708" s="10">
        <v>0</v>
      </c>
      <c r="R708" s="10">
        <f>IF(COUNTIF($J$2:J708,J708)=1,SUMIFS($O:$O,$J:$J,J708)+SUMIFS($P:$P,$J:$J,J708)+SUMIFS($Q:$Q,$J:$J,J708),"")</f>
        <v>72496.25</v>
      </c>
      <c r="S708" s="10">
        <v>72496.25</v>
      </c>
      <c r="T708" s="11" t="str">
        <f t="shared" si="93"/>
        <v>Ok</v>
      </c>
      <c r="U708" s="12">
        <v>46184</v>
      </c>
      <c r="V708" s="10">
        <v>998.7</v>
      </c>
      <c r="W708" s="10" t="str">
        <f t="shared" si="91"/>
        <v>Short Paid</v>
      </c>
      <c r="X708" t="s">
        <v>455</v>
      </c>
      <c r="Y708" t="s">
        <v>40</v>
      </c>
      <c r="Z708">
        <v>100100</v>
      </c>
      <c r="AA708" t="s">
        <v>3055</v>
      </c>
      <c r="AB708" t="s">
        <v>3806</v>
      </c>
      <c r="AC708" s="9">
        <v>3</v>
      </c>
      <c r="AD708" s="9" t="str">
        <f t="shared" si="92"/>
        <v>Ok</v>
      </c>
      <c r="AE708" s="11">
        <f t="shared" si="89"/>
        <v>0</v>
      </c>
    </row>
    <row r="709" spans="1:31" x14ac:dyDescent="0.3">
      <c r="A709">
        <v>7</v>
      </c>
      <c r="B709">
        <v>4923479</v>
      </c>
      <c r="C709" t="s">
        <v>167</v>
      </c>
      <c r="D709">
        <v>1235549</v>
      </c>
      <c r="E709" t="s">
        <v>168</v>
      </c>
      <c r="F709" t="s">
        <v>3805</v>
      </c>
      <c r="G709" t="s">
        <v>1760</v>
      </c>
      <c r="H709" t="s">
        <v>1761</v>
      </c>
      <c r="I709" t="s">
        <v>3390</v>
      </c>
      <c r="J709">
        <v>50117402496</v>
      </c>
      <c r="K709" t="s">
        <v>3635</v>
      </c>
      <c r="L709" t="s">
        <v>3883</v>
      </c>
      <c r="M709">
        <v>1</v>
      </c>
      <c r="N709" s="10">
        <v>350</v>
      </c>
      <c r="O709" s="10">
        <f t="shared" si="90"/>
        <v>350</v>
      </c>
      <c r="P709" s="10" t="s">
        <v>5006</v>
      </c>
      <c r="Q709" s="10" t="s">
        <v>5006</v>
      </c>
      <c r="R709" s="10" t="str">
        <f>IF(COUNTIF($J$2:J709,J709)=1,SUMIFS($O:$O,$J:$J,J709)+SUMIFS($P:$P,$J:$J,J709)+SUMIFS($Q:$Q,$J:$J,J709),"")</f>
        <v/>
      </c>
      <c r="S709" s="10" t="s">
        <v>5006</v>
      </c>
      <c r="T709" s="11" t="str">
        <f t="shared" si="93"/>
        <v>Ok</v>
      </c>
      <c r="U709" s="12">
        <v>46184</v>
      </c>
      <c r="V709" s="10">
        <v>998.7</v>
      </c>
      <c r="W709" s="10" t="str">
        <f t="shared" si="91"/>
        <v>N/A</v>
      </c>
      <c r="X709" t="s">
        <v>455</v>
      </c>
      <c r="Y709" t="s">
        <v>40</v>
      </c>
      <c r="Z709">
        <v>100100</v>
      </c>
      <c r="AA709" t="s">
        <v>3055</v>
      </c>
      <c r="AB709" t="s">
        <v>3806</v>
      </c>
      <c r="AC709" s="9">
        <v>3</v>
      </c>
      <c r="AD709" s="9" t="str">
        <f t="shared" si="92"/>
        <v>N/A</v>
      </c>
      <c r="AE709" s="11" t="e">
        <f t="shared" si="89"/>
        <v>#VALUE!</v>
      </c>
    </row>
    <row r="710" spans="1:31" x14ac:dyDescent="0.3">
      <c r="A710">
        <v>7</v>
      </c>
      <c r="B710">
        <v>4923479</v>
      </c>
      <c r="C710" t="s">
        <v>167</v>
      </c>
      <c r="D710">
        <v>1235549</v>
      </c>
      <c r="E710" t="s">
        <v>168</v>
      </c>
      <c r="F710" t="s">
        <v>3805</v>
      </c>
      <c r="G710" t="s">
        <v>1760</v>
      </c>
      <c r="H710" t="s">
        <v>1761</v>
      </c>
      <c r="I710" t="s">
        <v>3390</v>
      </c>
      <c r="J710">
        <v>50117402496</v>
      </c>
      <c r="K710" t="s">
        <v>3635</v>
      </c>
      <c r="L710" t="s">
        <v>3884</v>
      </c>
      <c r="M710">
        <v>118</v>
      </c>
      <c r="N710" s="10">
        <v>596.25</v>
      </c>
      <c r="O710" s="10">
        <f t="shared" si="90"/>
        <v>70357.5</v>
      </c>
      <c r="P710" s="10" t="s">
        <v>5006</v>
      </c>
      <c r="Q710" s="10" t="s">
        <v>5006</v>
      </c>
      <c r="R710" s="10" t="str">
        <f>IF(COUNTIF($J$2:J710,J710)=1,SUMIFS($O:$O,$J:$J,J710)+SUMIFS($P:$P,$J:$J,J710)+SUMIFS($Q:$Q,$J:$J,J710),"")</f>
        <v/>
      </c>
      <c r="S710" s="10" t="s">
        <v>5006</v>
      </c>
      <c r="T710" s="11" t="str">
        <f t="shared" si="93"/>
        <v>Ok</v>
      </c>
      <c r="U710" s="12">
        <v>46184</v>
      </c>
      <c r="V710" s="10">
        <v>998.7</v>
      </c>
      <c r="W710" s="10" t="str">
        <f t="shared" si="91"/>
        <v>N/A</v>
      </c>
      <c r="X710" t="s">
        <v>455</v>
      </c>
      <c r="Y710" t="s">
        <v>40</v>
      </c>
      <c r="Z710">
        <v>100100</v>
      </c>
      <c r="AA710" t="s">
        <v>3055</v>
      </c>
      <c r="AB710" t="s">
        <v>3806</v>
      </c>
      <c r="AC710" s="9">
        <v>3</v>
      </c>
      <c r="AD710" s="9" t="str">
        <f t="shared" si="92"/>
        <v>N/A</v>
      </c>
      <c r="AE710" s="11" t="e">
        <f t="shared" si="89"/>
        <v>#VALUE!</v>
      </c>
    </row>
    <row r="711" spans="1:31" x14ac:dyDescent="0.3">
      <c r="A711">
        <v>7</v>
      </c>
      <c r="B711">
        <v>4926818</v>
      </c>
      <c r="C711" t="s">
        <v>94</v>
      </c>
      <c r="D711">
        <v>1449770</v>
      </c>
      <c r="E711" t="s">
        <v>560</v>
      </c>
      <c r="F711" t="s">
        <v>47</v>
      </c>
      <c r="G711" t="s">
        <v>1774</v>
      </c>
      <c r="H711" t="s">
        <v>1775</v>
      </c>
      <c r="I711" t="s">
        <v>3476</v>
      </c>
      <c r="J711">
        <v>50117458224</v>
      </c>
      <c r="K711" t="s">
        <v>3209</v>
      </c>
      <c r="L711" t="s">
        <v>3885</v>
      </c>
      <c r="M711">
        <v>100</v>
      </c>
      <c r="N711" s="10">
        <v>1.7749999999999999</v>
      </c>
      <c r="O711" s="10">
        <f t="shared" si="90"/>
        <v>177.5</v>
      </c>
      <c r="P711" s="10">
        <v>0</v>
      </c>
      <c r="Q711" s="10">
        <v>176.64</v>
      </c>
      <c r="R711" s="10">
        <f>IF(COUNTIF($J$2:J711,J711)=1,SUMIFS($O:$O,$J:$J,J711)+SUMIFS($P:$P,$J:$J,J711)+SUMIFS($Q:$Q,$J:$J,J711),"")</f>
        <v>1061.46</v>
      </c>
      <c r="S711" s="10">
        <v>1061.46</v>
      </c>
      <c r="T711" s="11" t="str">
        <f t="shared" si="93"/>
        <v>Ok</v>
      </c>
      <c r="U711" s="12">
        <v>46079</v>
      </c>
      <c r="V711" s="10">
        <v>219.75</v>
      </c>
      <c r="W711" s="10" t="str">
        <f t="shared" si="91"/>
        <v>Short Paid</v>
      </c>
      <c r="X711" t="s">
        <v>450</v>
      </c>
      <c r="Y711" t="s">
        <v>28</v>
      </c>
      <c r="Z711">
        <v>100207</v>
      </c>
      <c r="AA711" t="s">
        <v>519</v>
      </c>
      <c r="AB711" t="s">
        <v>3039</v>
      </c>
      <c r="AC711" s="9">
        <v>2</v>
      </c>
      <c r="AD711" s="9" t="str">
        <f t="shared" si="92"/>
        <v>Ok</v>
      </c>
      <c r="AE711" s="11">
        <f t="shared" ref="AE711:AE774" si="94">R711-S711</f>
        <v>0</v>
      </c>
    </row>
    <row r="712" spans="1:31" x14ac:dyDescent="0.3">
      <c r="A712">
        <v>7</v>
      </c>
      <c r="B712">
        <v>4926818</v>
      </c>
      <c r="C712" t="s">
        <v>94</v>
      </c>
      <c r="D712">
        <v>1449770</v>
      </c>
      <c r="E712" t="s">
        <v>560</v>
      </c>
      <c r="F712" t="s">
        <v>47</v>
      </c>
      <c r="G712" t="s">
        <v>1774</v>
      </c>
      <c r="H712" t="s">
        <v>1775</v>
      </c>
      <c r="I712" t="s">
        <v>3432</v>
      </c>
      <c r="J712">
        <v>50117458224</v>
      </c>
      <c r="K712" t="s">
        <v>3431</v>
      </c>
      <c r="L712" t="s">
        <v>3777</v>
      </c>
      <c r="M712">
        <v>2000</v>
      </c>
      <c r="N712" s="10">
        <v>0.35365999999999997</v>
      </c>
      <c r="O712" s="10">
        <f t="shared" si="90"/>
        <v>707.31999999999994</v>
      </c>
      <c r="P712" s="10" t="s">
        <v>5006</v>
      </c>
      <c r="Q712" s="10" t="s">
        <v>5006</v>
      </c>
      <c r="R712" s="10" t="str">
        <f>IF(COUNTIF($J$2:J712,J712)=1,SUMIFS($O:$O,$J:$J,J712)+SUMIFS($P:$P,$J:$J,J712)+SUMIFS($Q:$Q,$J:$J,J712),"")</f>
        <v/>
      </c>
      <c r="S712" s="10" t="s">
        <v>5006</v>
      </c>
      <c r="T712" s="11" t="str">
        <f t="shared" si="93"/>
        <v>Ok</v>
      </c>
      <c r="U712" s="12">
        <v>46079</v>
      </c>
      <c r="V712" s="10">
        <v>219.75</v>
      </c>
      <c r="W712" s="10" t="str">
        <f t="shared" si="91"/>
        <v>N/A</v>
      </c>
      <c r="X712" t="s">
        <v>450</v>
      </c>
      <c r="Y712" t="s">
        <v>28</v>
      </c>
      <c r="Z712">
        <v>100207</v>
      </c>
      <c r="AA712" t="s">
        <v>519</v>
      </c>
      <c r="AB712" t="s">
        <v>3039</v>
      </c>
      <c r="AC712" s="9">
        <v>2</v>
      </c>
      <c r="AD712" s="9" t="str">
        <f t="shared" si="92"/>
        <v>N/A</v>
      </c>
      <c r="AE712" s="11" t="e">
        <f t="shared" si="94"/>
        <v>#VALUE!</v>
      </c>
    </row>
    <row r="713" spans="1:31" x14ac:dyDescent="0.3">
      <c r="A713">
        <v>7</v>
      </c>
      <c r="B713">
        <v>4927653</v>
      </c>
      <c r="C713" t="s">
        <v>94</v>
      </c>
      <c r="D713">
        <v>1449770</v>
      </c>
      <c r="E713" t="s">
        <v>560</v>
      </c>
      <c r="F713" t="s">
        <v>47</v>
      </c>
      <c r="G713" t="s">
        <v>1780</v>
      </c>
      <c r="H713" t="s">
        <v>1781</v>
      </c>
      <c r="I713" t="s">
        <v>3408</v>
      </c>
      <c r="J713">
        <v>50117521811</v>
      </c>
      <c r="K713" t="s">
        <v>3611</v>
      </c>
      <c r="L713" t="s">
        <v>3886</v>
      </c>
      <c r="M713">
        <v>6000</v>
      </c>
      <c r="N713" s="10">
        <v>0.38</v>
      </c>
      <c r="O713" s="10">
        <f t="shared" si="90"/>
        <v>2280</v>
      </c>
      <c r="P713" s="10">
        <v>0</v>
      </c>
      <c r="Q713" s="10">
        <v>1460.91</v>
      </c>
      <c r="R713" s="10">
        <f>IF(COUNTIF($J$2:J713,J713)=1,SUMIFS($O:$O,$J:$J,J713)+SUMIFS($P:$P,$J:$J,J713)+SUMIFS($Q:$Q,$J:$J,J713),"")</f>
        <v>5729.91</v>
      </c>
      <c r="S713" s="10">
        <v>5729.91</v>
      </c>
      <c r="T713" s="11" t="str">
        <f t="shared" si="93"/>
        <v>Ok</v>
      </c>
      <c r="U713" s="12">
        <v>46097</v>
      </c>
      <c r="V713" s="10">
        <v>3363</v>
      </c>
      <c r="W713" s="10" t="str">
        <f t="shared" si="91"/>
        <v>Short Paid</v>
      </c>
      <c r="X713" t="s">
        <v>450</v>
      </c>
      <c r="Y713" t="s">
        <v>28</v>
      </c>
      <c r="Z713">
        <v>100277</v>
      </c>
      <c r="AA713" t="s">
        <v>467</v>
      </c>
      <c r="AB713" t="s">
        <v>3039</v>
      </c>
      <c r="AC713" s="9">
        <v>2</v>
      </c>
      <c r="AD713" s="9" t="str">
        <f t="shared" si="92"/>
        <v>Ok</v>
      </c>
      <c r="AE713" s="11">
        <f t="shared" si="94"/>
        <v>0</v>
      </c>
    </row>
    <row r="714" spans="1:31" x14ac:dyDescent="0.3">
      <c r="A714">
        <v>7</v>
      </c>
      <c r="B714">
        <v>4927653</v>
      </c>
      <c r="C714" t="s">
        <v>94</v>
      </c>
      <c r="D714">
        <v>1449770</v>
      </c>
      <c r="E714" t="s">
        <v>560</v>
      </c>
      <c r="F714" t="s">
        <v>47</v>
      </c>
      <c r="G714" t="s">
        <v>1780</v>
      </c>
      <c r="H714" t="s">
        <v>1781</v>
      </c>
      <c r="I714" t="s">
        <v>3367</v>
      </c>
      <c r="J714">
        <v>50117521811</v>
      </c>
      <c r="K714" t="s">
        <v>3314</v>
      </c>
      <c r="L714" t="s">
        <v>3887</v>
      </c>
      <c r="M714">
        <v>6500</v>
      </c>
      <c r="N714" s="10">
        <v>0.30599999999999999</v>
      </c>
      <c r="O714" s="10">
        <f t="shared" si="90"/>
        <v>1989</v>
      </c>
      <c r="P714" s="10" t="s">
        <v>5006</v>
      </c>
      <c r="Q714" s="10" t="s">
        <v>5006</v>
      </c>
      <c r="R714" s="10" t="str">
        <f>IF(COUNTIF($J$2:J714,J714)=1,SUMIFS($O:$O,$J:$J,J714)+SUMIFS($P:$P,$J:$J,J714)+SUMIFS($Q:$Q,$J:$J,J714),"")</f>
        <v/>
      </c>
      <c r="S714" s="10" t="s">
        <v>5006</v>
      </c>
      <c r="T714" s="11" t="str">
        <f t="shared" si="93"/>
        <v>Ok</v>
      </c>
      <c r="U714" s="12">
        <v>46097</v>
      </c>
      <c r="V714" s="10">
        <v>3363</v>
      </c>
      <c r="W714" s="10" t="str">
        <f t="shared" si="91"/>
        <v>N/A</v>
      </c>
      <c r="X714" t="s">
        <v>450</v>
      </c>
      <c r="Y714" t="s">
        <v>28</v>
      </c>
      <c r="Z714">
        <v>100277</v>
      </c>
      <c r="AA714" t="s">
        <v>467</v>
      </c>
      <c r="AB714" t="s">
        <v>3039</v>
      </c>
      <c r="AC714" s="9">
        <v>2</v>
      </c>
      <c r="AD714" s="9" t="str">
        <f t="shared" si="92"/>
        <v>N/A</v>
      </c>
      <c r="AE714" s="11" t="e">
        <f t="shared" si="94"/>
        <v>#VALUE!</v>
      </c>
    </row>
    <row r="715" spans="1:31" x14ac:dyDescent="0.3">
      <c r="A715">
        <v>2</v>
      </c>
      <c r="B715">
        <v>4971900</v>
      </c>
      <c r="C715" t="s">
        <v>56</v>
      </c>
      <c r="D715">
        <v>1880594</v>
      </c>
      <c r="E715" t="s">
        <v>397</v>
      </c>
      <c r="F715" t="s">
        <v>24</v>
      </c>
      <c r="G715" t="s">
        <v>1912</v>
      </c>
      <c r="H715" t="s">
        <v>1913</v>
      </c>
      <c r="I715" t="s">
        <v>3230</v>
      </c>
      <c r="J715">
        <v>50117696512</v>
      </c>
      <c r="K715" t="s">
        <v>3229</v>
      </c>
      <c r="L715" t="s">
        <v>3888</v>
      </c>
      <c r="M715">
        <v>40000</v>
      </c>
      <c r="N715" s="10">
        <v>3.4399999999999999E-3</v>
      </c>
      <c r="O715" s="10">
        <f t="shared" si="90"/>
        <v>137.6</v>
      </c>
      <c r="P715" s="10">
        <v>0</v>
      </c>
      <c r="Q715" s="10">
        <v>426.89</v>
      </c>
      <c r="R715" s="10">
        <f>IF(COUNTIF($J$2:J715,J715)=1,SUMIFS($O:$O,$J:$J,J715)+SUMIFS($P:$P,$J:$J,J715)+SUMIFS($Q:$Q,$J:$J,J715),"")</f>
        <v>4920.4500000000007</v>
      </c>
      <c r="S715" s="10">
        <v>4920.45</v>
      </c>
      <c r="T715" s="11" t="str">
        <f t="shared" si="93"/>
        <v>Ok</v>
      </c>
      <c r="U715" s="12">
        <v>46149</v>
      </c>
      <c r="V715" s="10">
        <v>137.6</v>
      </c>
      <c r="W715" s="10" t="str">
        <f t="shared" si="91"/>
        <v>Short Paid</v>
      </c>
      <c r="X715" t="s">
        <v>435</v>
      </c>
      <c r="Y715" t="s">
        <v>40</v>
      </c>
      <c r="Z715">
        <v>100101</v>
      </c>
      <c r="AA715" t="s">
        <v>3048</v>
      </c>
      <c r="AB715" t="s">
        <v>522</v>
      </c>
      <c r="AC715" s="9">
        <v>2</v>
      </c>
      <c r="AD715" s="9" t="str">
        <f t="shared" si="92"/>
        <v>Ok</v>
      </c>
      <c r="AE715" s="11">
        <f t="shared" si="94"/>
        <v>0</v>
      </c>
    </row>
    <row r="716" spans="1:31" x14ac:dyDescent="0.3">
      <c r="A716">
        <v>2</v>
      </c>
      <c r="B716">
        <v>4971900</v>
      </c>
      <c r="C716" t="s">
        <v>56</v>
      </c>
      <c r="D716">
        <v>1880594</v>
      </c>
      <c r="E716" t="s">
        <v>397</v>
      </c>
      <c r="F716" t="s">
        <v>24</v>
      </c>
      <c r="G716" t="s">
        <v>1912</v>
      </c>
      <c r="H716" t="s">
        <v>1913</v>
      </c>
      <c r="I716" t="s">
        <v>3285</v>
      </c>
      <c r="J716">
        <v>50117696512</v>
      </c>
      <c r="K716" t="s">
        <v>3661</v>
      </c>
      <c r="L716" t="s">
        <v>3660</v>
      </c>
      <c r="M716">
        <v>47</v>
      </c>
      <c r="N716" s="10">
        <v>92.68</v>
      </c>
      <c r="O716" s="10">
        <f t="shared" si="90"/>
        <v>4355.96</v>
      </c>
      <c r="P716" s="10" t="s">
        <v>5006</v>
      </c>
      <c r="Q716" s="10" t="s">
        <v>5006</v>
      </c>
      <c r="R716" s="10" t="str">
        <f>IF(COUNTIF($J$2:J716,J716)=1,SUMIFS($O:$O,$J:$J,J716)+SUMIFS($P:$P,$J:$J,J716)+SUMIFS($Q:$Q,$J:$J,J716),"")</f>
        <v/>
      </c>
      <c r="S716" s="10" t="s">
        <v>5006</v>
      </c>
      <c r="T716" s="11" t="str">
        <f t="shared" si="93"/>
        <v>Ok</v>
      </c>
      <c r="U716" s="12">
        <v>46149</v>
      </c>
      <c r="V716" s="10">
        <v>137.6</v>
      </c>
      <c r="W716" s="10" t="str">
        <f t="shared" si="91"/>
        <v>N/A</v>
      </c>
      <c r="X716" t="s">
        <v>435</v>
      </c>
      <c r="Y716" t="s">
        <v>40</v>
      </c>
      <c r="Z716">
        <v>100101</v>
      </c>
      <c r="AA716" t="s">
        <v>3048</v>
      </c>
      <c r="AB716" t="s">
        <v>522</v>
      </c>
      <c r="AC716" s="9">
        <v>2</v>
      </c>
      <c r="AD716" s="9" t="str">
        <f t="shared" si="92"/>
        <v>N/A</v>
      </c>
      <c r="AE716" s="11" t="e">
        <f t="shared" si="94"/>
        <v>#VALUE!</v>
      </c>
    </row>
    <row r="717" spans="1:31" x14ac:dyDescent="0.3">
      <c r="A717">
        <v>2</v>
      </c>
      <c r="B717">
        <v>4971344</v>
      </c>
      <c r="C717" t="s">
        <v>56</v>
      </c>
      <c r="D717">
        <v>1880594</v>
      </c>
      <c r="E717" t="s">
        <v>397</v>
      </c>
      <c r="F717" t="s">
        <v>24</v>
      </c>
      <c r="G717" t="s">
        <v>1909</v>
      </c>
      <c r="H717" t="s">
        <v>1910</v>
      </c>
      <c r="I717" t="s">
        <v>3525</v>
      </c>
      <c r="J717">
        <v>50117696514</v>
      </c>
      <c r="K717" t="s">
        <v>3209</v>
      </c>
      <c r="L717" t="s">
        <v>3889</v>
      </c>
      <c r="M717">
        <v>2160</v>
      </c>
      <c r="N717" s="10">
        <v>6.3</v>
      </c>
      <c r="O717" s="10">
        <f t="shared" si="90"/>
        <v>13608</v>
      </c>
      <c r="P717" s="10">
        <v>0</v>
      </c>
      <c r="Q717" s="10">
        <v>3882.25</v>
      </c>
      <c r="R717" s="10">
        <f>IF(COUNTIF($J$2:J717,J717)=1,SUMIFS($O:$O,$J:$J,J717)+SUMIFS($P:$P,$J:$J,J717)+SUMIFS($Q:$Q,$J:$J,J717),"")</f>
        <v>20194.25</v>
      </c>
      <c r="S717" s="10">
        <v>20194.25</v>
      </c>
      <c r="T717" s="11" t="str">
        <f t="shared" si="93"/>
        <v>Ok</v>
      </c>
      <c r="U717" s="12">
        <v>46150</v>
      </c>
      <c r="V717" s="10">
        <v>13608</v>
      </c>
      <c r="W717" s="10" t="str">
        <f t="shared" si="91"/>
        <v>Short Paid</v>
      </c>
      <c r="X717" t="s">
        <v>435</v>
      </c>
      <c r="Y717" t="s">
        <v>40</v>
      </c>
      <c r="Z717">
        <v>100221</v>
      </c>
      <c r="AA717" t="s">
        <v>518</v>
      </c>
      <c r="AB717" t="s">
        <v>522</v>
      </c>
      <c r="AC717" s="9">
        <v>2</v>
      </c>
      <c r="AD717" s="9" t="str">
        <f t="shared" si="92"/>
        <v>Ok</v>
      </c>
      <c r="AE717" s="11">
        <f t="shared" si="94"/>
        <v>0</v>
      </c>
    </row>
    <row r="718" spans="1:31" x14ac:dyDescent="0.3">
      <c r="A718">
        <v>2</v>
      </c>
      <c r="B718">
        <v>4971344</v>
      </c>
      <c r="C718" t="s">
        <v>56</v>
      </c>
      <c r="D718">
        <v>1880594</v>
      </c>
      <c r="E718" t="s">
        <v>397</v>
      </c>
      <c r="F718" t="s">
        <v>24</v>
      </c>
      <c r="G718" t="s">
        <v>1909</v>
      </c>
      <c r="H718" t="s">
        <v>1910</v>
      </c>
      <c r="I718" t="s">
        <v>3239</v>
      </c>
      <c r="J718">
        <v>50117696514</v>
      </c>
      <c r="K718" t="s">
        <v>3266</v>
      </c>
      <c r="L718" t="s">
        <v>3890</v>
      </c>
      <c r="M718">
        <v>100</v>
      </c>
      <c r="N718" s="10">
        <v>27.04</v>
      </c>
      <c r="O718" s="10">
        <f t="shared" si="90"/>
        <v>2704</v>
      </c>
      <c r="P718" s="10" t="s">
        <v>5006</v>
      </c>
      <c r="Q718" s="10" t="s">
        <v>5006</v>
      </c>
      <c r="R718" s="10" t="str">
        <f>IF(COUNTIF($J$2:J718,J718)=1,SUMIFS($O:$O,$J:$J,J718)+SUMIFS($P:$P,$J:$J,J718)+SUMIFS($Q:$Q,$J:$J,J718),"")</f>
        <v/>
      </c>
      <c r="S718" s="10" t="s">
        <v>5006</v>
      </c>
      <c r="T718" s="11" t="str">
        <f t="shared" si="93"/>
        <v>Ok</v>
      </c>
      <c r="U718" s="12">
        <v>46150</v>
      </c>
      <c r="V718" s="10">
        <v>13608</v>
      </c>
      <c r="W718" s="10" t="str">
        <f t="shared" si="91"/>
        <v>N/A</v>
      </c>
      <c r="X718" t="s">
        <v>435</v>
      </c>
      <c r="Y718" t="s">
        <v>40</v>
      </c>
      <c r="Z718">
        <v>100221</v>
      </c>
      <c r="AA718" t="s">
        <v>518</v>
      </c>
      <c r="AB718" t="s">
        <v>522</v>
      </c>
      <c r="AC718" s="9">
        <v>2</v>
      </c>
      <c r="AD718" s="9" t="str">
        <f t="shared" si="92"/>
        <v>N/A</v>
      </c>
      <c r="AE718" s="11" t="e">
        <f t="shared" si="94"/>
        <v>#VALUE!</v>
      </c>
    </row>
    <row r="719" spans="1:31" x14ac:dyDescent="0.3">
      <c r="A719">
        <v>2</v>
      </c>
      <c r="B719">
        <v>4969674</v>
      </c>
      <c r="C719" t="s">
        <v>56</v>
      </c>
      <c r="D719">
        <v>1880594</v>
      </c>
      <c r="E719" t="s">
        <v>397</v>
      </c>
      <c r="F719" t="s">
        <v>24</v>
      </c>
      <c r="G719" t="s">
        <v>1880</v>
      </c>
      <c r="H719" t="s">
        <v>1881</v>
      </c>
      <c r="I719" t="s">
        <v>3198</v>
      </c>
      <c r="J719">
        <v>50117699610</v>
      </c>
      <c r="K719" t="s">
        <v>3177</v>
      </c>
      <c r="L719" t="s">
        <v>3891</v>
      </c>
      <c r="M719">
        <v>20000</v>
      </c>
      <c r="N719" s="10">
        <v>1.4500000000000001E-2</v>
      </c>
      <c r="O719" s="10">
        <f t="shared" si="90"/>
        <v>290</v>
      </c>
      <c r="P719" s="10">
        <v>0</v>
      </c>
      <c r="Q719" s="10">
        <v>93.1</v>
      </c>
      <c r="R719" s="10">
        <f>IF(COUNTIF($J$2:J719,J719)=1,SUMIFS($O:$O,$J:$J,J719)+SUMIFS($P:$P,$J:$J,J719)+SUMIFS($Q:$Q,$J:$J,J719),"")</f>
        <v>5041.9400000000005</v>
      </c>
      <c r="S719" s="10">
        <v>5041.9400000000005</v>
      </c>
      <c r="T719" s="11" t="str">
        <f t="shared" si="93"/>
        <v>Ok</v>
      </c>
      <c r="U719" s="12">
        <v>46147</v>
      </c>
      <c r="V719" s="10">
        <v>980</v>
      </c>
      <c r="W719" s="10" t="str">
        <f t="shared" si="91"/>
        <v>Short Paid</v>
      </c>
      <c r="X719" t="s">
        <v>435</v>
      </c>
      <c r="Y719" t="s">
        <v>40</v>
      </c>
      <c r="Z719">
        <v>100181</v>
      </c>
      <c r="AA719" t="s">
        <v>517</v>
      </c>
      <c r="AB719" t="s">
        <v>522</v>
      </c>
      <c r="AC719" s="9">
        <v>5</v>
      </c>
      <c r="AD719" s="9" t="str">
        <f t="shared" si="92"/>
        <v>Ok</v>
      </c>
      <c r="AE719" s="11">
        <f t="shared" si="94"/>
        <v>0</v>
      </c>
    </row>
    <row r="720" spans="1:31" x14ac:dyDescent="0.3">
      <c r="A720">
        <v>2</v>
      </c>
      <c r="B720">
        <v>4969674</v>
      </c>
      <c r="C720" t="s">
        <v>56</v>
      </c>
      <c r="D720">
        <v>1880594</v>
      </c>
      <c r="E720" t="s">
        <v>397</v>
      </c>
      <c r="F720" t="s">
        <v>24</v>
      </c>
      <c r="G720" t="s">
        <v>1880</v>
      </c>
      <c r="H720" t="s">
        <v>1881</v>
      </c>
      <c r="I720" t="s">
        <v>3198</v>
      </c>
      <c r="J720">
        <v>50117699610</v>
      </c>
      <c r="K720" t="s">
        <v>3177</v>
      </c>
      <c r="L720" t="s">
        <v>3892</v>
      </c>
      <c r="M720">
        <v>30000</v>
      </c>
      <c r="N720" s="10">
        <v>3.7000000000000002E-3</v>
      </c>
      <c r="O720" s="10">
        <f t="shared" si="90"/>
        <v>111</v>
      </c>
      <c r="P720" s="10" t="s">
        <v>5006</v>
      </c>
      <c r="Q720" s="10" t="s">
        <v>5006</v>
      </c>
      <c r="R720" s="10" t="str">
        <f>IF(COUNTIF($J$2:J720,J720)=1,SUMIFS($O:$O,$J:$J,J720)+SUMIFS($P:$P,$J:$J,J720)+SUMIFS($Q:$Q,$J:$J,J720),"")</f>
        <v/>
      </c>
      <c r="S720" s="10" t="s">
        <v>5006</v>
      </c>
      <c r="T720" s="11" t="str">
        <f t="shared" si="93"/>
        <v>Ok</v>
      </c>
      <c r="U720" s="12">
        <v>46147</v>
      </c>
      <c r="V720" s="10">
        <v>980</v>
      </c>
      <c r="W720" s="10" t="str">
        <f t="shared" si="91"/>
        <v>N/A</v>
      </c>
      <c r="X720" t="s">
        <v>435</v>
      </c>
      <c r="Y720" t="s">
        <v>40</v>
      </c>
      <c r="Z720">
        <v>100181</v>
      </c>
      <c r="AA720" t="s">
        <v>517</v>
      </c>
      <c r="AB720" t="s">
        <v>522</v>
      </c>
      <c r="AC720" s="9">
        <v>5</v>
      </c>
      <c r="AD720" s="9" t="str">
        <f t="shared" si="92"/>
        <v>N/A</v>
      </c>
      <c r="AE720" s="11" t="e">
        <f t="shared" si="94"/>
        <v>#VALUE!</v>
      </c>
    </row>
    <row r="721" spans="1:31" x14ac:dyDescent="0.3">
      <c r="A721">
        <v>2</v>
      </c>
      <c r="B721">
        <v>4969674</v>
      </c>
      <c r="C721" t="s">
        <v>56</v>
      </c>
      <c r="D721">
        <v>1880594</v>
      </c>
      <c r="E721" t="s">
        <v>397</v>
      </c>
      <c r="F721" t="s">
        <v>24</v>
      </c>
      <c r="G721" t="s">
        <v>1880</v>
      </c>
      <c r="H721" t="s">
        <v>1881</v>
      </c>
      <c r="I721" t="s">
        <v>3198</v>
      </c>
      <c r="J721">
        <v>50117699610</v>
      </c>
      <c r="K721" t="s">
        <v>3266</v>
      </c>
      <c r="L721" t="s">
        <v>3893</v>
      </c>
      <c r="M721">
        <v>2592</v>
      </c>
      <c r="N721" s="10">
        <v>1.27</v>
      </c>
      <c r="O721" s="10">
        <f t="shared" si="90"/>
        <v>3291.84</v>
      </c>
      <c r="P721" s="10" t="s">
        <v>5006</v>
      </c>
      <c r="Q721" s="10" t="s">
        <v>5006</v>
      </c>
      <c r="R721" s="10" t="str">
        <f>IF(COUNTIF($J$2:J721,J721)=1,SUMIFS($O:$O,$J:$J,J721)+SUMIFS($P:$P,$J:$J,J721)+SUMIFS($Q:$Q,$J:$J,J721),"")</f>
        <v/>
      </c>
      <c r="S721" s="10" t="s">
        <v>5006</v>
      </c>
      <c r="T721" s="11" t="str">
        <f t="shared" si="93"/>
        <v>Ok</v>
      </c>
      <c r="U721" s="12">
        <v>46147</v>
      </c>
      <c r="V721" s="10">
        <v>980</v>
      </c>
      <c r="W721" s="10" t="str">
        <f t="shared" si="91"/>
        <v>N/A</v>
      </c>
      <c r="X721" t="s">
        <v>435</v>
      </c>
      <c r="Y721" t="s">
        <v>40</v>
      </c>
      <c r="Z721">
        <v>100181</v>
      </c>
      <c r="AA721" t="s">
        <v>517</v>
      </c>
      <c r="AB721" t="s">
        <v>522</v>
      </c>
      <c r="AC721" s="9">
        <v>5</v>
      </c>
      <c r="AD721" s="9" t="str">
        <f t="shared" si="92"/>
        <v>N/A</v>
      </c>
      <c r="AE721" s="11" t="e">
        <f t="shared" si="94"/>
        <v>#VALUE!</v>
      </c>
    </row>
    <row r="722" spans="1:31" x14ac:dyDescent="0.3">
      <c r="A722">
        <v>2</v>
      </c>
      <c r="B722">
        <v>4969674</v>
      </c>
      <c r="C722" t="s">
        <v>56</v>
      </c>
      <c r="D722">
        <v>1880594</v>
      </c>
      <c r="E722" t="s">
        <v>397</v>
      </c>
      <c r="F722" t="s">
        <v>24</v>
      </c>
      <c r="G722" t="s">
        <v>1880</v>
      </c>
      <c r="H722" t="s">
        <v>1881</v>
      </c>
      <c r="I722" t="s">
        <v>3198</v>
      </c>
      <c r="J722">
        <v>50117699610</v>
      </c>
      <c r="K722" t="s">
        <v>3207</v>
      </c>
      <c r="L722" t="s">
        <v>3724</v>
      </c>
      <c r="M722">
        <v>12000</v>
      </c>
      <c r="N722" s="10">
        <v>2.3E-2</v>
      </c>
      <c r="O722" s="10">
        <f t="shared" si="90"/>
        <v>276</v>
      </c>
      <c r="P722" s="10" t="s">
        <v>5006</v>
      </c>
      <c r="Q722" s="10" t="s">
        <v>5006</v>
      </c>
      <c r="R722" s="10" t="str">
        <f>IF(COUNTIF($J$2:J722,J722)=1,SUMIFS($O:$O,$J:$J,J722)+SUMIFS($P:$P,$J:$J,J722)+SUMIFS($Q:$Q,$J:$J,J722),"")</f>
        <v/>
      </c>
      <c r="S722" s="10" t="s">
        <v>5006</v>
      </c>
      <c r="T722" s="11" t="str">
        <f t="shared" si="93"/>
        <v>Ok</v>
      </c>
      <c r="U722" s="12">
        <v>46147</v>
      </c>
      <c r="V722" s="10">
        <v>980</v>
      </c>
      <c r="W722" s="10" t="str">
        <f t="shared" si="91"/>
        <v>N/A</v>
      </c>
      <c r="X722" t="s">
        <v>435</v>
      </c>
      <c r="Y722" t="s">
        <v>40</v>
      </c>
      <c r="Z722">
        <v>100181</v>
      </c>
      <c r="AA722" t="s">
        <v>517</v>
      </c>
      <c r="AB722" t="s">
        <v>522</v>
      </c>
      <c r="AC722" s="9">
        <v>5</v>
      </c>
      <c r="AD722" s="9" t="str">
        <f t="shared" si="92"/>
        <v>N/A</v>
      </c>
      <c r="AE722" s="11" t="e">
        <f t="shared" si="94"/>
        <v>#VALUE!</v>
      </c>
    </row>
    <row r="723" spans="1:31" x14ac:dyDescent="0.3">
      <c r="A723">
        <v>2</v>
      </c>
      <c r="B723">
        <v>4969674</v>
      </c>
      <c r="C723" t="s">
        <v>56</v>
      </c>
      <c r="D723">
        <v>1880594</v>
      </c>
      <c r="E723" t="s">
        <v>397</v>
      </c>
      <c r="F723" t="s">
        <v>24</v>
      </c>
      <c r="G723" t="s">
        <v>1880</v>
      </c>
      <c r="H723" t="s">
        <v>1881</v>
      </c>
      <c r="I723" t="s">
        <v>3303</v>
      </c>
      <c r="J723">
        <v>50117699610</v>
      </c>
      <c r="K723" t="s">
        <v>3266</v>
      </c>
      <c r="L723" t="s">
        <v>3894</v>
      </c>
      <c r="M723">
        <v>1000</v>
      </c>
      <c r="N723" s="10">
        <v>0.98</v>
      </c>
      <c r="O723" s="10">
        <f t="shared" si="90"/>
        <v>980</v>
      </c>
      <c r="P723" s="10" t="s">
        <v>5006</v>
      </c>
      <c r="Q723" s="10" t="s">
        <v>5006</v>
      </c>
      <c r="R723" s="10" t="str">
        <f>IF(COUNTIF($J$2:J723,J723)=1,SUMIFS($O:$O,$J:$J,J723)+SUMIFS($P:$P,$J:$J,J723)+SUMIFS($Q:$Q,$J:$J,J723),"")</f>
        <v/>
      </c>
      <c r="S723" s="10" t="s">
        <v>5006</v>
      </c>
      <c r="T723" s="11" t="str">
        <f t="shared" si="93"/>
        <v>Ok</v>
      </c>
      <c r="U723" s="12">
        <v>46147</v>
      </c>
      <c r="V723" s="10">
        <v>980</v>
      </c>
      <c r="W723" s="10" t="str">
        <f t="shared" si="91"/>
        <v>N/A</v>
      </c>
      <c r="X723" t="s">
        <v>435</v>
      </c>
      <c r="Y723" t="s">
        <v>40</v>
      </c>
      <c r="Z723">
        <v>100181</v>
      </c>
      <c r="AA723" t="s">
        <v>517</v>
      </c>
      <c r="AB723" t="s">
        <v>522</v>
      </c>
      <c r="AC723" s="9">
        <v>5</v>
      </c>
      <c r="AD723" s="9" t="str">
        <f t="shared" si="92"/>
        <v>N/A</v>
      </c>
      <c r="AE723" s="11" t="e">
        <f t="shared" si="94"/>
        <v>#VALUE!</v>
      </c>
    </row>
    <row r="724" spans="1:31" x14ac:dyDescent="0.3">
      <c r="A724">
        <v>0</v>
      </c>
      <c r="B724">
        <v>4981640</v>
      </c>
      <c r="C724" t="s">
        <v>217</v>
      </c>
      <c r="D724">
        <v>1428858</v>
      </c>
      <c r="E724" t="s">
        <v>626</v>
      </c>
      <c r="F724" t="s">
        <v>20</v>
      </c>
      <c r="G724" t="s">
        <v>1934</v>
      </c>
      <c r="H724" t="s">
        <v>1935</v>
      </c>
      <c r="I724" t="s">
        <v>3467</v>
      </c>
      <c r="J724">
        <v>50117725767</v>
      </c>
      <c r="K724" t="s">
        <v>3320</v>
      </c>
      <c r="L724" t="s">
        <v>3895</v>
      </c>
      <c r="M724">
        <v>4000</v>
      </c>
      <c r="N724" s="10">
        <v>4.5</v>
      </c>
      <c r="O724" s="10">
        <f t="shared" si="90"/>
        <v>18000</v>
      </c>
      <c r="P724" s="10">
        <v>0</v>
      </c>
      <c r="Q724" s="10">
        <v>0</v>
      </c>
      <c r="R724" s="10">
        <f>IF(COUNTIF($J$2:J724,J724)=1,SUMIFS($O:$O,$J:$J,J724)+SUMIFS($P:$P,$J:$J,J724)+SUMIFS($Q:$Q,$J:$J,J724),"")</f>
        <v>19737</v>
      </c>
      <c r="S724" s="10">
        <v>19737</v>
      </c>
      <c r="T724" s="11" t="str">
        <f t="shared" si="93"/>
        <v>Ok</v>
      </c>
      <c r="U724" s="12">
        <v>46156</v>
      </c>
      <c r="V724" s="10">
        <v>1737</v>
      </c>
      <c r="W724" s="10" t="str">
        <f t="shared" si="91"/>
        <v>Short Paid</v>
      </c>
      <c r="X724" t="s">
        <v>468</v>
      </c>
      <c r="Y724" t="s">
        <v>28</v>
      </c>
      <c r="Z724">
        <v>100156</v>
      </c>
      <c r="AA724" t="s">
        <v>3112</v>
      </c>
      <c r="AB724" t="s">
        <v>521</v>
      </c>
      <c r="AC724" s="9">
        <v>2</v>
      </c>
      <c r="AD724" s="9" t="str">
        <f t="shared" si="92"/>
        <v>Ok</v>
      </c>
      <c r="AE724" s="11">
        <f t="shared" si="94"/>
        <v>0</v>
      </c>
    </row>
    <row r="725" spans="1:31" x14ac:dyDescent="0.3">
      <c r="A725">
        <v>0</v>
      </c>
      <c r="B725">
        <v>4981640</v>
      </c>
      <c r="C725" t="s">
        <v>217</v>
      </c>
      <c r="D725">
        <v>1428858</v>
      </c>
      <c r="E725" t="s">
        <v>626</v>
      </c>
      <c r="F725" t="s">
        <v>20</v>
      </c>
      <c r="G725" t="s">
        <v>1934</v>
      </c>
      <c r="H725" t="s">
        <v>1935</v>
      </c>
      <c r="I725" t="s">
        <v>3453</v>
      </c>
      <c r="J725">
        <v>50117725767</v>
      </c>
      <c r="K725" t="s">
        <v>3351</v>
      </c>
      <c r="L725" t="s">
        <v>3896</v>
      </c>
      <c r="M725">
        <v>90</v>
      </c>
      <c r="N725" s="10">
        <v>19.3</v>
      </c>
      <c r="O725" s="10">
        <f t="shared" si="90"/>
        <v>1737</v>
      </c>
      <c r="P725" s="10" t="s">
        <v>5006</v>
      </c>
      <c r="Q725" s="10" t="s">
        <v>5006</v>
      </c>
      <c r="R725" s="10" t="str">
        <f>IF(COUNTIF($J$2:J725,J725)=1,SUMIFS($O:$O,$J:$J,J725)+SUMIFS($P:$P,$J:$J,J725)+SUMIFS($Q:$Q,$J:$J,J725),"")</f>
        <v/>
      </c>
      <c r="S725" s="10" t="s">
        <v>5006</v>
      </c>
      <c r="T725" s="11" t="str">
        <f t="shared" si="93"/>
        <v>Ok</v>
      </c>
      <c r="U725" s="12">
        <v>46156</v>
      </c>
      <c r="V725" s="10">
        <v>1737</v>
      </c>
      <c r="W725" s="10" t="str">
        <f t="shared" si="91"/>
        <v>N/A</v>
      </c>
      <c r="X725" t="s">
        <v>468</v>
      </c>
      <c r="Y725" t="s">
        <v>28</v>
      </c>
      <c r="Z725">
        <v>100156</v>
      </c>
      <c r="AA725" t="s">
        <v>3112</v>
      </c>
      <c r="AB725" t="s">
        <v>521</v>
      </c>
      <c r="AC725" s="9">
        <v>2</v>
      </c>
      <c r="AD725" s="9" t="str">
        <f t="shared" si="92"/>
        <v>N/A</v>
      </c>
      <c r="AE725" s="11" t="e">
        <f t="shared" si="94"/>
        <v>#VALUE!</v>
      </c>
    </row>
    <row r="726" spans="1:31" x14ac:dyDescent="0.3">
      <c r="A726">
        <v>234</v>
      </c>
      <c r="B726">
        <v>4388438</v>
      </c>
      <c r="C726" t="s">
        <v>60</v>
      </c>
      <c r="D726">
        <v>1588891</v>
      </c>
      <c r="E726" t="s">
        <v>61</v>
      </c>
      <c r="F726" t="s">
        <v>18</v>
      </c>
      <c r="G726" t="s">
        <v>1981</v>
      </c>
      <c r="H726" t="s">
        <v>1982</v>
      </c>
      <c r="I726" t="s">
        <v>3322</v>
      </c>
      <c r="J726">
        <v>50117757014</v>
      </c>
      <c r="K726" t="s">
        <v>3226</v>
      </c>
      <c r="L726" t="s">
        <v>3897</v>
      </c>
      <c r="M726">
        <v>16500</v>
      </c>
      <c r="N726" s="10">
        <v>0.39710000000000001</v>
      </c>
      <c r="O726" s="10">
        <f t="shared" si="90"/>
        <v>6552.1500000000005</v>
      </c>
      <c r="P726" s="10">
        <v>0</v>
      </c>
      <c r="Q726" s="10">
        <v>0</v>
      </c>
      <c r="R726" s="10">
        <f>IF(COUNTIF($J$2:J726,J726)=1,SUMIFS($O:$O,$J:$J,J726)+SUMIFS($P:$P,$J:$J,J726)+SUMIFS($Q:$Q,$J:$J,J726),"")</f>
        <v>7453.7900000000009</v>
      </c>
      <c r="S726" s="10">
        <v>7453.79</v>
      </c>
      <c r="T726" s="11" t="str">
        <f t="shared" si="93"/>
        <v>Ok</v>
      </c>
      <c r="U726" s="12">
        <v>45833</v>
      </c>
      <c r="V726" s="10">
        <v>1940.4</v>
      </c>
      <c r="W726" s="10" t="str">
        <f t="shared" si="91"/>
        <v>Short Paid</v>
      </c>
      <c r="X726" t="s">
        <v>438</v>
      </c>
      <c r="Y726" t="s">
        <v>28</v>
      </c>
      <c r="Z726">
        <v>100153</v>
      </c>
      <c r="AA726" t="s">
        <v>445</v>
      </c>
      <c r="AB726" t="s">
        <v>523</v>
      </c>
      <c r="AC726" s="9">
        <v>2</v>
      </c>
      <c r="AD726" s="9" t="str">
        <f t="shared" si="92"/>
        <v>Ok</v>
      </c>
      <c r="AE726" s="11">
        <f t="shared" si="94"/>
        <v>0</v>
      </c>
    </row>
    <row r="727" spans="1:31" x14ac:dyDescent="0.3">
      <c r="A727">
        <v>234</v>
      </c>
      <c r="B727">
        <v>4388438</v>
      </c>
      <c r="C727" t="s">
        <v>60</v>
      </c>
      <c r="D727">
        <v>1588891</v>
      </c>
      <c r="E727" t="s">
        <v>61</v>
      </c>
      <c r="F727" t="s">
        <v>18</v>
      </c>
      <c r="G727" t="s">
        <v>1981</v>
      </c>
      <c r="H727" t="s">
        <v>1982</v>
      </c>
      <c r="I727" t="s">
        <v>3388</v>
      </c>
      <c r="J727">
        <v>50117757014</v>
      </c>
      <c r="K727" t="s">
        <v>3165</v>
      </c>
      <c r="L727" t="s">
        <v>3248</v>
      </c>
      <c r="M727">
        <v>1</v>
      </c>
      <c r="N727" s="10">
        <v>901.64</v>
      </c>
      <c r="O727" s="10">
        <f t="shared" si="90"/>
        <v>901.64</v>
      </c>
      <c r="P727" s="10" t="s">
        <v>5006</v>
      </c>
      <c r="Q727" s="10" t="s">
        <v>5006</v>
      </c>
      <c r="R727" s="10" t="str">
        <f>IF(COUNTIF($J$2:J727,J727)=1,SUMIFS($O:$O,$J:$J,J727)+SUMIFS($P:$P,$J:$J,J727)+SUMIFS($Q:$Q,$J:$J,J727),"")</f>
        <v/>
      </c>
      <c r="S727" s="10" t="s">
        <v>5006</v>
      </c>
      <c r="T727" s="11" t="str">
        <f t="shared" si="93"/>
        <v>Ok</v>
      </c>
      <c r="U727" s="12">
        <v>45833</v>
      </c>
      <c r="V727" s="10">
        <v>1940.4</v>
      </c>
      <c r="W727" s="10" t="str">
        <f t="shared" si="91"/>
        <v>N/A</v>
      </c>
      <c r="X727" t="s">
        <v>438</v>
      </c>
      <c r="Y727" t="s">
        <v>28</v>
      </c>
      <c r="Z727">
        <v>100153</v>
      </c>
      <c r="AA727" t="s">
        <v>445</v>
      </c>
      <c r="AB727" t="s">
        <v>523</v>
      </c>
      <c r="AC727" s="9">
        <v>2</v>
      </c>
      <c r="AD727" s="9" t="str">
        <f t="shared" si="92"/>
        <v>N/A</v>
      </c>
      <c r="AE727" s="11" t="e">
        <f t="shared" si="94"/>
        <v>#VALUE!</v>
      </c>
    </row>
    <row r="728" spans="1:31" x14ac:dyDescent="0.3">
      <c r="A728">
        <v>234</v>
      </c>
      <c r="B728">
        <v>4388448</v>
      </c>
      <c r="C728" t="s">
        <v>239</v>
      </c>
      <c r="D728">
        <v>1334402</v>
      </c>
      <c r="E728" t="s">
        <v>607</v>
      </c>
      <c r="F728" t="s">
        <v>17</v>
      </c>
      <c r="G728" t="s">
        <v>4873</v>
      </c>
      <c r="H728" t="s">
        <v>4874</v>
      </c>
      <c r="I728" t="s">
        <v>3309</v>
      </c>
      <c r="J728">
        <v>50117757015</v>
      </c>
      <c r="K728" t="s">
        <v>3165</v>
      </c>
      <c r="L728" t="s">
        <v>3248</v>
      </c>
      <c r="M728">
        <v>1</v>
      </c>
      <c r="N728" s="10">
        <v>260.77999999999997</v>
      </c>
      <c r="O728" s="10">
        <f t="shared" si="90"/>
        <v>260.77999999999997</v>
      </c>
      <c r="P728" s="10">
        <v>0</v>
      </c>
      <c r="Q728" s="10">
        <v>0</v>
      </c>
      <c r="R728" s="10">
        <f>IF(COUNTIF($J$2:J728,J728)=1,SUMIFS($O:$O,$J:$J,J728)+SUMIFS($P:$P,$J:$J,J728)+SUMIFS($Q:$Q,$J:$J,J728),"")</f>
        <v>1871.7080000000001</v>
      </c>
      <c r="S728" s="10">
        <v>1948.09</v>
      </c>
      <c r="T728" s="11" t="str">
        <f t="shared" si="93"/>
        <v>Check</v>
      </c>
      <c r="U728" s="12">
        <v>45853</v>
      </c>
      <c r="V728" s="10">
        <v>1687.31</v>
      </c>
      <c r="W728" s="10" t="str">
        <f t="shared" si="91"/>
        <v>Short Paid</v>
      </c>
      <c r="X728" t="s">
        <v>476</v>
      </c>
      <c r="Y728" t="s">
        <v>436</v>
      </c>
      <c r="Z728">
        <v>100255</v>
      </c>
      <c r="AA728" t="s">
        <v>3121</v>
      </c>
      <c r="AB728" t="s">
        <v>528</v>
      </c>
      <c r="AC728" s="9">
        <v>2</v>
      </c>
      <c r="AD728" s="9" t="str">
        <f t="shared" si="92"/>
        <v>Check</v>
      </c>
      <c r="AE728" s="11">
        <f t="shared" si="94"/>
        <v>-76.381999999999834</v>
      </c>
    </row>
    <row r="729" spans="1:31" x14ac:dyDescent="0.3">
      <c r="A729">
        <v>234</v>
      </c>
      <c r="B729">
        <v>4388448</v>
      </c>
      <c r="C729" t="s">
        <v>239</v>
      </c>
      <c r="D729">
        <v>1334402</v>
      </c>
      <c r="E729" t="s">
        <v>607</v>
      </c>
      <c r="F729" t="s">
        <v>17</v>
      </c>
      <c r="G729" t="s">
        <v>4873</v>
      </c>
      <c r="H729" t="s">
        <v>4874</v>
      </c>
      <c r="I729" t="s">
        <v>3239</v>
      </c>
      <c r="J729">
        <v>50117757015</v>
      </c>
      <c r="K729" t="s">
        <v>3266</v>
      </c>
      <c r="L729" t="s">
        <v>3898</v>
      </c>
      <c r="M729">
        <v>648</v>
      </c>
      <c r="N729" s="10">
        <v>2.4860000000000002</v>
      </c>
      <c r="O729" s="10">
        <f t="shared" si="90"/>
        <v>1610.9280000000001</v>
      </c>
      <c r="P729" s="10" t="s">
        <v>5006</v>
      </c>
      <c r="Q729" s="10" t="s">
        <v>5006</v>
      </c>
      <c r="R729" s="10" t="str">
        <f>IF(COUNTIF($J$2:J729,J729)=1,SUMIFS($O:$O,$J:$J,J729)+SUMIFS($P:$P,$J:$J,J729)+SUMIFS($Q:$Q,$J:$J,J729),"")</f>
        <v/>
      </c>
      <c r="S729" s="10" t="s">
        <v>5006</v>
      </c>
      <c r="T729" s="11" t="str">
        <f t="shared" si="93"/>
        <v>Check</v>
      </c>
      <c r="U729" s="12">
        <v>45853</v>
      </c>
      <c r="V729" s="10">
        <v>1687.31</v>
      </c>
      <c r="W729" s="10" t="str">
        <f t="shared" si="91"/>
        <v>N/A</v>
      </c>
      <c r="X729" t="s">
        <v>476</v>
      </c>
      <c r="Y729" t="s">
        <v>436</v>
      </c>
      <c r="Z729">
        <v>100255</v>
      </c>
      <c r="AA729" t="s">
        <v>3121</v>
      </c>
      <c r="AB729" t="s">
        <v>528</v>
      </c>
      <c r="AC729" s="9">
        <v>2</v>
      </c>
      <c r="AD729" s="9" t="str">
        <f t="shared" si="92"/>
        <v>N/A</v>
      </c>
      <c r="AE729" s="11" t="e">
        <f t="shared" si="94"/>
        <v>#VALUE!</v>
      </c>
    </row>
    <row r="730" spans="1:31" x14ac:dyDescent="0.3">
      <c r="A730">
        <v>234</v>
      </c>
      <c r="B730">
        <v>4388128</v>
      </c>
      <c r="C730" t="s">
        <v>60</v>
      </c>
      <c r="D730">
        <v>1265622</v>
      </c>
      <c r="E730" t="s">
        <v>641</v>
      </c>
      <c r="F730" t="s">
        <v>20</v>
      </c>
      <c r="G730" t="s">
        <v>1979</v>
      </c>
      <c r="H730" t="s">
        <v>1980</v>
      </c>
      <c r="I730" t="s">
        <v>3328</v>
      </c>
      <c r="J730">
        <v>50117757016</v>
      </c>
      <c r="K730" t="s">
        <v>3165</v>
      </c>
      <c r="L730" t="s">
        <v>3248</v>
      </c>
      <c r="M730">
        <v>1</v>
      </c>
      <c r="N730" s="10">
        <v>204.12</v>
      </c>
      <c r="O730" s="10">
        <f t="shared" si="90"/>
        <v>204.12</v>
      </c>
      <c r="P730" s="10">
        <v>0</v>
      </c>
      <c r="Q730" s="10">
        <v>0</v>
      </c>
      <c r="R730" s="10">
        <f>IF(COUNTIF($J$2:J730,J730)=1,SUMIFS($O:$O,$J:$J,J730)+SUMIFS($P:$P,$J:$J,J730)+SUMIFS($Q:$Q,$J:$J,J730),"")</f>
        <v>2041.62</v>
      </c>
      <c r="S730" s="10">
        <v>2041.62</v>
      </c>
      <c r="T730" s="11" t="str">
        <f t="shared" si="93"/>
        <v>Ok</v>
      </c>
      <c r="U730" s="12">
        <v>45798</v>
      </c>
      <c r="V730" s="10">
        <v>1837.5</v>
      </c>
      <c r="W730" s="10" t="str">
        <f t="shared" si="91"/>
        <v>Short Paid</v>
      </c>
      <c r="X730" t="s">
        <v>438</v>
      </c>
      <c r="Y730" t="s">
        <v>28</v>
      </c>
      <c r="Z730">
        <v>100113</v>
      </c>
      <c r="AA730" t="s">
        <v>449</v>
      </c>
      <c r="AB730" t="s">
        <v>521</v>
      </c>
      <c r="AC730" s="9">
        <v>2</v>
      </c>
      <c r="AD730" s="9" t="str">
        <f t="shared" si="92"/>
        <v>Ok</v>
      </c>
      <c r="AE730" s="11">
        <f t="shared" si="94"/>
        <v>0</v>
      </c>
    </row>
    <row r="731" spans="1:31" x14ac:dyDescent="0.3">
      <c r="A731">
        <v>234</v>
      </c>
      <c r="B731">
        <v>4388128</v>
      </c>
      <c r="C731" t="s">
        <v>60</v>
      </c>
      <c r="D731">
        <v>1265622</v>
      </c>
      <c r="E731" t="s">
        <v>641</v>
      </c>
      <c r="F731" t="s">
        <v>20</v>
      </c>
      <c r="G731" t="s">
        <v>1979</v>
      </c>
      <c r="H731" t="s">
        <v>1980</v>
      </c>
      <c r="I731" t="s">
        <v>3376</v>
      </c>
      <c r="J731">
        <v>50117757016</v>
      </c>
      <c r="K731" t="s">
        <v>3900</v>
      </c>
      <c r="L731" t="s">
        <v>3899</v>
      </c>
      <c r="M731">
        <v>5</v>
      </c>
      <c r="N731" s="10">
        <v>367.5</v>
      </c>
      <c r="O731" s="10">
        <f t="shared" si="90"/>
        <v>1837.5</v>
      </c>
      <c r="P731" s="10" t="s">
        <v>5006</v>
      </c>
      <c r="Q731" s="10" t="s">
        <v>5006</v>
      </c>
      <c r="R731" s="10" t="str">
        <f>IF(COUNTIF($J$2:J731,J731)=1,SUMIFS($O:$O,$J:$J,J731)+SUMIFS($P:$P,$J:$J,J731)+SUMIFS($Q:$Q,$J:$J,J731),"")</f>
        <v/>
      </c>
      <c r="S731" s="10" t="s">
        <v>5006</v>
      </c>
      <c r="T731" s="11" t="str">
        <f t="shared" si="93"/>
        <v>Ok</v>
      </c>
      <c r="U731" s="12">
        <v>45798</v>
      </c>
      <c r="V731" s="10">
        <v>1837.5</v>
      </c>
      <c r="W731" s="10" t="str">
        <f t="shared" si="91"/>
        <v>N/A</v>
      </c>
      <c r="X731" t="s">
        <v>438</v>
      </c>
      <c r="Y731" t="s">
        <v>28</v>
      </c>
      <c r="Z731">
        <v>100113</v>
      </c>
      <c r="AA731" t="s">
        <v>449</v>
      </c>
      <c r="AB731" t="s">
        <v>521</v>
      </c>
      <c r="AC731" s="9">
        <v>2</v>
      </c>
      <c r="AD731" s="9" t="str">
        <f t="shared" si="92"/>
        <v>N/A</v>
      </c>
      <c r="AE731" s="11" t="e">
        <f t="shared" si="94"/>
        <v>#VALUE!</v>
      </c>
    </row>
    <row r="732" spans="1:31" x14ac:dyDescent="0.3">
      <c r="A732">
        <v>235</v>
      </c>
      <c r="B732">
        <v>4388458</v>
      </c>
      <c r="C732" t="s">
        <v>240</v>
      </c>
      <c r="D732">
        <v>1276402</v>
      </c>
      <c r="E732" t="s">
        <v>540</v>
      </c>
      <c r="F732" t="s">
        <v>20</v>
      </c>
      <c r="G732" t="s">
        <v>1977</v>
      </c>
      <c r="H732" t="s">
        <v>1978</v>
      </c>
      <c r="I732" t="s">
        <v>3551</v>
      </c>
      <c r="J732">
        <v>50117757017</v>
      </c>
      <c r="K732" t="s">
        <v>3171</v>
      </c>
      <c r="L732" t="s">
        <v>3170</v>
      </c>
      <c r="M732">
        <v>113</v>
      </c>
      <c r="N732" s="10">
        <v>20.82</v>
      </c>
      <c r="O732" s="10">
        <f t="shared" si="90"/>
        <v>2352.66</v>
      </c>
      <c r="P732" s="10">
        <v>0</v>
      </c>
      <c r="Q732" s="10">
        <v>0</v>
      </c>
      <c r="R732" s="10">
        <f>IF(COUNTIF($J$2:J732,J732)=1,SUMIFS($O:$O,$J:$J,J732)+SUMIFS($P:$P,$J:$J,J732)+SUMIFS($Q:$Q,$J:$J,J732),"")</f>
        <v>2412.66</v>
      </c>
      <c r="S732" s="10">
        <v>2412.66</v>
      </c>
      <c r="T732" s="11" t="str">
        <f t="shared" si="93"/>
        <v>Ok</v>
      </c>
      <c r="U732" s="12">
        <v>45747</v>
      </c>
      <c r="V732" s="10">
        <v>60</v>
      </c>
      <c r="W732" s="10" t="str">
        <f t="shared" si="91"/>
        <v>Short Paid</v>
      </c>
      <c r="X732" t="s">
        <v>478</v>
      </c>
      <c r="Y732" t="s">
        <v>28</v>
      </c>
      <c r="Z732">
        <v>100282</v>
      </c>
      <c r="AA732" t="s">
        <v>3089</v>
      </c>
      <c r="AB732" t="s">
        <v>521</v>
      </c>
      <c r="AC732" s="9">
        <v>2</v>
      </c>
      <c r="AD732" s="9" t="str">
        <f t="shared" si="92"/>
        <v>Ok</v>
      </c>
      <c r="AE732" s="11">
        <f t="shared" si="94"/>
        <v>0</v>
      </c>
    </row>
    <row r="733" spans="1:31" x14ac:dyDescent="0.3">
      <c r="A733">
        <v>235</v>
      </c>
      <c r="B733">
        <v>4388458</v>
      </c>
      <c r="C733" t="s">
        <v>240</v>
      </c>
      <c r="D733">
        <v>1276402</v>
      </c>
      <c r="E733" t="s">
        <v>540</v>
      </c>
      <c r="F733" t="s">
        <v>20</v>
      </c>
      <c r="G733" t="s">
        <v>1977</v>
      </c>
      <c r="H733" t="s">
        <v>1978</v>
      </c>
      <c r="I733" t="s">
        <v>3524</v>
      </c>
      <c r="J733">
        <v>50117757017</v>
      </c>
      <c r="K733" t="s">
        <v>3902</v>
      </c>
      <c r="L733" t="s">
        <v>3901</v>
      </c>
      <c r="M733">
        <v>2</v>
      </c>
      <c r="N733" s="10">
        <v>30</v>
      </c>
      <c r="O733" s="10">
        <f t="shared" si="90"/>
        <v>60</v>
      </c>
      <c r="P733" s="10" t="s">
        <v>5006</v>
      </c>
      <c r="Q733" s="10" t="s">
        <v>5006</v>
      </c>
      <c r="R733" s="10" t="str">
        <f>IF(COUNTIF($J$2:J733,J733)=1,SUMIFS($O:$O,$J:$J,J733)+SUMIFS($P:$P,$J:$J,J733)+SUMIFS($Q:$Q,$J:$J,J733),"")</f>
        <v/>
      </c>
      <c r="S733" s="10" t="s">
        <v>5006</v>
      </c>
      <c r="T733" s="11" t="str">
        <f t="shared" si="93"/>
        <v>Ok</v>
      </c>
      <c r="U733" s="12">
        <v>45747</v>
      </c>
      <c r="V733" s="10">
        <v>60</v>
      </c>
      <c r="W733" s="10" t="str">
        <f t="shared" si="91"/>
        <v>N/A</v>
      </c>
      <c r="X733" t="s">
        <v>478</v>
      </c>
      <c r="Y733" t="s">
        <v>28</v>
      </c>
      <c r="Z733">
        <v>100282</v>
      </c>
      <c r="AA733" t="s">
        <v>3089</v>
      </c>
      <c r="AB733" t="s">
        <v>521</v>
      </c>
      <c r="AC733" s="9">
        <v>2</v>
      </c>
      <c r="AD733" s="9" t="str">
        <f t="shared" si="92"/>
        <v>N/A</v>
      </c>
      <c r="AE733" s="11" t="e">
        <f t="shared" si="94"/>
        <v>#VALUE!</v>
      </c>
    </row>
    <row r="734" spans="1:31" x14ac:dyDescent="0.3">
      <c r="A734">
        <v>247</v>
      </c>
      <c r="B734">
        <v>4386228</v>
      </c>
      <c r="C734" t="s">
        <v>56</v>
      </c>
      <c r="D734">
        <v>1286262</v>
      </c>
      <c r="E734" t="s">
        <v>4875</v>
      </c>
      <c r="F734" t="s">
        <v>20</v>
      </c>
      <c r="G734" t="s">
        <v>3903</v>
      </c>
      <c r="H734" t="s">
        <v>3904</v>
      </c>
      <c r="I734" t="s">
        <v>3316</v>
      </c>
      <c r="J734">
        <v>50117795951</v>
      </c>
      <c r="K734" t="s">
        <v>3906</v>
      </c>
      <c r="L734" t="s">
        <v>3905</v>
      </c>
      <c r="M734">
        <v>1</v>
      </c>
      <c r="N734" s="10">
        <v>1103.75</v>
      </c>
      <c r="O734" s="10">
        <f t="shared" si="90"/>
        <v>1103.75</v>
      </c>
      <c r="P734" s="10">
        <v>0</v>
      </c>
      <c r="Q734" s="10" t="s">
        <v>5006</v>
      </c>
      <c r="R734" s="10">
        <f>IF(COUNTIF($J$2:J734,J734)=1,SUMIFS($O:$O,$J:$J,J734)+SUMIFS($P:$P,$J:$J,J734)+SUMIFS($Q:$Q,$J:$J,J734),"")</f>
        <v>1726.31</v>
      </c>
      <c r="S734" s="10">
        <v>3462.49</v>
      </c>
      <c r="T734" s="11" t="str">
        <f t="shared" si="93"/>
        <v>Check</v>
      </c>
      <c r="U734" s="12">
        <v>45768</v>
      </c>
      <c r="V734" s="10">
        <v>100</v>
      </c>
      <c r="W734" s="10" t="str">
        <f t="shared" si="91"/>
        <v>Short Paid</v>
      </c>
      <c r="X734" t="s">
        <v>435</v>
      </c>
      <c r="Y734" t="s">
        <v>28</v>
      </c>
      <c r="Z734">
        <v>100231</v>
      </c>
      <c r="AA734" t="s">
        <v>3065</v>
      </c>
      <c r="AB734" t="s">
        <v>521</v>
      </c>
      <c r="AC734" s="9">
        <v>3</v>
      </c>
      <c r="AD734" s="9" t="str">
        <f t="shared" si="92"/>
        <v>Check</v>
      </c>
      <c r="AE734" s="11">
        <f t="shared" si="94"/>
        <v>-1736.1799999999998</v>
      </c>
    </row>
    <row r="735" spans="1:31" x14ac:dyDescent="0.3">
      <c r="A735">
        <v>247</v>
      </c>
      <c r="B735">
        <v>4386228</v>
      </c>
      <c r="C735" t="s">
        <v>56</v>
      </c>
      <c r="D735">
        <v>1286262</v>
      </c>
      <c r="E735" t="s">
        <v>4875</v>
      </c>
      <c r="F735" t="s">
        <v>20</v>
      </c>
      <c r="G735" t="s">
        <v>3903</v>
      </c>
      <c r="H735" t="s">
        <v>3904</v>
      </c>
      <c r="I735" t="s">
        <v>3316</v>
      </c>
      <c r="J735">
        <v>50117795951</v>
      </c>
      <c r="K735" t="s">
        <v>3908</v>
      </c>
      <c r="L735" t="s">
        <v>3907</v>
      </c>
      <c r="M735">
        <v>2</v>
      </c>
      <c r="N735" s="10">
        <v>311.27999999999997</v>
      </c>
      <c r="O735" s="10">
        <f t="shared" si="90"/>
        <v>622.55999999999995</v>
      </c>
      <c r="P735" s="10" t="s">
        <v>5006</v>
      </c>
      <c r="Q735" s="10" t="s">
        <v>5006</v>
      </c>
      <c r="R735" s="10" t="str">
        <f>IF(COUNTIF($J$2:J735,J735)=1,SUMIFS($O:$O,$J:$J,J735)+SUMIFS($P:$P,$J:$J,J735)+SUMIFS($Q:$Q,$J:$J,J735),"")</f>
        <v/>
      </c>
      <c r="S735" s="10" t="s">
        <v>5006</v>
      </c>
      <c r="T735" s="11" t="str">
        <f t="shared" si="93"/>
        <v>Check</v>
      </c>
      <c r="U735" s="12">
        <v>45768</v>
      </c>
      <c r="V735" s="10">
        <v>100</v>
      </c>
      <c r="W735" s="10" t="str">
        <f t="shared" si="91"/>
        <v>N/A</v>
      </c>
      <c r="X735" t="s">
        <v>435</v>
      </c>
      <c r="Y735" t="s">
        <v>28</v>
      </c>
      <c r="Z735">
        <v>100231</v>
      </c>
      <c r="AA735" t="s">
        <v>3065</v>
      </c>
      <c r="AB735" t="s">
        <v>521</v>
      </c>
      <c r="AC735" s="9">
        <v>3</v>
      </c>
      <c r="AD735" s="9" t="str">
        <f t="shared" si="92"/>
        <v>N/A</v>
      </c>
      <c r="AE735" s="11" t="e">
        <f t="shared" si="94"/>
        <v>#VALUE!</v>
      </c>
    </row>
    <row r="736" spans="1:31" x14ac:dyDescent="0.3">
      <c r="A736">
        <v>247</v>
      </c>
      <c r="B736">
        <v>4386228</v>
      </c>
      <c r="C736" t="s">
        <v>56</v>
      </c>
      <c r="D736">
        <v>1286262</v>
      </c>
      <c r="E736" t="s">
        <v>4875</v>
      </c>
      <c r="F736" t="s">
        <v>20</v>
      </c>
      <c r="G736" t="s">
        <v>3903</v>
      </c>
      <c r="H736" t="s">
        <v>3904</v>
      </c>
      <c r="I736" t="s">
        <v>3316</v>
      </c>
      <c r="J736">
        <v>50117795951</v>
      </c>
      <c r="K736" t="s">
        <v>3908</v>
      </c>
      <c r="L736" t="s">
        <v>3909</v>
      </c>
      <c r="M736">
        <v>0</v>
      </c>
      <c r="N736" s="10">
        <v>149.94999999999999</v>
      </c>
      <c r="O736" s="10">
        <f t="shared" si="90"/>
        <v>0</v>
      </c>
      <c r="P736" s="10" t="s">
        <v>5006</v>
      </c>
      <c r="Q736" s="10" t="s">
        <v>5006</v>
      </c>
      <c r="R736" s="10" t="str">
        <f>IF(COUNTIF($J$2:J736,J736)=1,SUMIFS($O:$O,$J:$J,J736)+SUMIFS($P:$P,$J:$J,J736)+SUMIFS($Q:$Q,$J:$J,J736),"")</f>
        <v/>
      </c>
      <c r="S736" s="10" t="s">
        <v>5006</v>
      </c>
      <c r="T736" s="11" t="str">
        <f t="shared" si="93"/>
        <v>Check</v>
      </c>
      <c r="U736" s="12">
        <v>45768</v>
      </c>
      <c r="V736" s="10">
        <v>100</v>
      </c>
      <c r="W736" s="10" t="str">
        <f t="shared" si="91"/>
        <v>N/A</v>
      </c>
      <c r="X736" t="s">
        <v>435</v>
      </c>
      <c r="Y736" t="s">
        <v>28</v>
      </c>
      <c r="Z736">
        <v>100231</v>
      </c>
      <c r="AA736" t="s">
        <v>3065</v>
      </c>
      <c r="AB736" t="s">
        <v>521</v>
      </c>
      <c r="AC736" s="9">
        <v>3</v>
      </c>
      <c r="AD736" s="9" t="str">
        <f t="shared" si="92"/>
        <v>N/A</v>
      </c>
      <c r="AE736" s="11" t="e">
        <f t="shared" si="94"/>
        <v>#VALUE!</v>
      </c>
    </row>
    <row r="737" spans="1:31" x14ac:dyDescent="0.3">
      <c r="A737">
        <v>97</v>
      </c>
      <c r="B737">
        <v>4561709</v>
      </c>
      <c r="C737" t="s">
        <v>239</v>
      </c>
      <c r="D737">
        <v>1098309</v>
      </c>
      <c r="E737" t="s">
        <v>544</v>
      </c>
      <c r="F737" t="s">
        <v>46</v>
      </c>
      <c r="G737" t="s">
        <v>752</v>
      </c>
      <c r="H737" t="s">
        <v>753</v>
      </c>
      <c r="I737" t="s">
        <v>3195</v>
      </c>
      <c r="J737">
        <v>51084831196</v>
      </c>
      <c r="K737" t="s">
        <v>3194</v>
      </c>
      <c r="L737" t="s">
        <v>3910</v>
      </c>
      <c r="M737">
        <v>15</v>
      </c>
      <c r="N737" s="10">
        <v>444</v>
      </c>
      <c r="O737" s="10">
        <f t="shared" si="90"/>
        <v>6660</v>
      </c>
      <c r="P737" s="10">
        <v>1912.5</v>
      </c>
      <c r="Q737" s="10">
        <v>125.91</v>
      </c>
      <c r="R737" s="10">
        <f>IF(COUNTIF($J$2:J737,J737)=1,SUMIFS($O:$O,$J:$J,J737)+SUMIFS($P:$P,$J:$J,J737)+SUMIFS($Q:$Q,$J:$J,J737),"")</f>
        <v>39961.11</v>
      </c>
      <c r="S737" s="10">
        <v>39961.11</v>
      </c>
      <c r="T737" s="11" t="str">
        <f t="shared" si="93"/>
        <v>Ok</v>
      </c>
      <c r="U737" s="12">
        <v>46030</v>
      </c>
      <c r="V737" s="10">
        <v>340</v>
      </c>
      <c r="W737" s="10" t="str">
        <f t="shared" si="91"/>
        <v>Short Paid</v>
      </c>
      <c r="X737" t="s">
        <v>476</v>
      </c>
      <c r="Y737" t="s">
        <v>436</v>
      </c>
      <c r="Z737">
        <v>100135</v>
      </c>
      <c r="AA737" t="s">
        <v>506</v>
      </c>
      <c r="AB737" t="s">
        <v>3038</v>
      </c>
      <c r="AC737" s="9">
        <v>3</v>
      </c>
      <c r="AD737" s="9" t="str">
        <f t="shared" si="92"/>
        <v>Ok</v>
      </c>
      <c r="AE737" s="11">
        <f t="shared" si="94"/>
        <v>0</v>
      </c>
    </row>
    <row r="738" spans="1:31" x14ac:dyDescent="0.3">
      <c r="A738">
        <v>97</v>
      </c>
      <c r="B738">
        <v>4561709</v>
      </c>
      <c r="C738" t="s">
        <v>239</v>
      </c>
      <c r="D738">
        <v>1098309</v>
      </c>
      <c r="E738" t="s">
        <v>544</v>
      </c>
      <c r="F738" t="s">
        <v>46</v>
      </c>
      <c r="G738" t="s">
        <v>752</v>
      </c>
      <c r="H738" t="s">
        <v>753</v>
      </c>
      <c r="I738" t="s">
        <v>3309</v>
      </c>
      <c r="J738">
        <v>51084831196</v>
      </c>
      <c r="K738" t="s">
        <v>3229</v>
      </c>
      <c r="L738" t="s">
        <v>3911</v>
      </c>
      <c r="M738">
        <v>3000</v>
      </c>
      <c r="N738" s="10">
        <v>0.22090000000000001</v>
      </c>
      <c r="O738" s="10">
        <f t="shared" si="90"/>
        <v>662.7</v>
      </c>
      <c r="P738" s="10" t="s">
        <v>5006</v>
      </c>
      <c r="Q738" s="10" t="s">
        <v>5006</v>
      </c>
      <c r="R738" s="10" t="str">
        <f>IF(COUNTIF($J$2:J738,J738)=1,SUMIFS($O:$O,$J:$J,J738)+SUMIFS($P:$P,$J:$J,J738)+SUMIFS($Q:$Q,$J:$J,J738),"")</f>
        <v/>
      </c>
      <c r="S738" s="10" t="s">
        <v>5006</v>
      </c>
      <c r="T738" s="11" t="str">
        <f t="shared" si="93"/>
        <v>Ok</v>
      </c>
      <c r="U738" s="12">
        <v>46030</v>
      </c>
      <c r="V738" s="10">
        <v>340</v>
      </c>
      <c r="W738" s="10" t="str">
        <f t="shared" si="91"/>
        <v>N/A</v>
      </c>
      <c r="X738" t="s">
        <v>476</v>
      </c>
      <c r="Y738" t="s">
        <v>436</v>
      </c>
      <c r="Z738">
        <v>100135</v>
      </c>
      <c r="AA738" t="s">
        <v>506</v>
      </c>
      <c r="AB738" t="s">
        <v>3038</v>
      </c>
      <c r="AC738" s="9">
        <v>3</v>
      </c>
      <c r="AD738" s="9" t="str">
        <f t="shared" si="92"/>
        <v>N/A</v>
      </c>
      <c r="AE738" s="11" t="e">
        <f t="shared" si="94"/>
        <v>#VALUE!</v>
      </c>
    </row>
    <row r="739" spans="1:31" x14ac:dyDescent="0.3">
      <c r="A739">
        <v>97</v>
      </c>
      <c r="B739">
        <v>4561709</v>
      </c>
      <c r="C739" t="s">
        <v>239</v>
      </c>
      <c r="D739">
        <v>1098309</v>
      </c>
      <c r="E739" t="s">
        <v>544</v>
      </c>
      <c r="F739" t="s">
        <v>46</v>
      </c>
      <c r="G739" t="s">
        <v>752</v>
      </c>
      <c r="H739" t="s">
        <v>753</v>
      </c>
      <c r="I739" t="s">
        <v>3336</v>
      </c>
      <c r="J739">
        <v>51084831196</v>
      </c>
      <c r="K739" t="s">
        <v>3913</v>
      </c>
      <c r="L739" t="s">
        <v>3912</v>
      </c>
      <c r="M739">
        <v>45</v>
      </c>
      <c r="N739" s="10">
        <v>680</v>
      </c>
      <c r="O739" s="10">
        <f t="shared" si="90"/>
        <v>30600</v>
      </c>
      <c r="P739" s="10" t="s">
        <v>5006</v>
      </c>
      <c r="Q739" s="10" t="s">
        <v>5006</v>
      </c>
      <c r="R739" s="10" t="str">
        <f>IF(COUNTIF($J$2:J739,J739)=1,SUMIFS($O:$O,$J:$J,J739)+SUMIFS($P:$P,$J:$J,J739)+SUMIFS($Q:$Q,$J:$J,J739),"")</f>
        <v/>
      </c>
      <c r="S739" s="10" t="s">
        <v>5006</v>
      </c>
      <c r="T739" s="11" t="str">
        <f t="shared" si="93"/>
        <v>Ok</v>
      </c>
      <c r="U739" s="12">
        <v>46030</v>
      </c>
      <c r="V739" s="10">
        <v>340</v>
      </c>
      <c r="W739" s="10" t="str">
        <f t="shared" si="91"/>
        <v>N/A</v>
      </c>
      <c r="X739" t="s">
        <v>476</v>
      </c>
      <c r="Y739" t="s">
        <v>436</v>
      </c>
      <c r="Z739">
        <v>100135</v>
      </c>
      <c r="AA739" t="s">
        <v>506</v>
      </c>
      <c r="AB739" t="s">
        <v>3038</v>
      </c>
      <c r="AC739" s="9">
        <v>3</v>
      </c>
      <c r="AD739" s="9" t="str">
        <f t="shared" si="92"/>
        <v>N/A</v>
      </c>
      <c r="AE739" s="11" t="e">
        <f t="shared" si="94"/>
        <v>#VALUE!</v>
      </c>
    </row>
    <row r="740" spans="1:31" x14ac:dyDescent="0.3">
      <c r="A740">
        <v>93</v>
      </c>
      <c r="B740">
        <v>4564492</v>
      </c>
      <c r="C740" t="s">
        <v>38</v>
      </c>
      <c r="D740">
        <v>1461333</v>
      </c>
      <c r="E740" t="s">
        <v>232</v>
      </c>
      <c r="F740" t="s">
        <v>20</v>
      </c>
      <c r="G740" t="s">
        <v>754</v>
      </c>
      <c r="H740" t="s">
        <v>755</v>
      </c>
      <c r="I740" t="s">
        <v>3496</v>
      </c>
      <c r="J740">
        <v>51113599206</v>
      </c>
      <c r="K740" t="s">
        <v>3226</v>
      </c>
      <c r="L740" t="s">
        <v>3914</v>
      </c>
      <c r="M740">
        <v>1292</v>
      </c>
      <c r="N740" s="10">
        <v>15.37</v>
      </c>
      <c r="O740" s="10">
        <f t="shared" si="90"/>
        <v>19858.039999999997</v>
      </c>
      <c r="P740" s="10">
        <v>0</v>
      </c>
      <c r="Q740" s="10">
        <v>0</v>
      </c>
      <c r="R740" s="10">
        <f>IF(COUNTIF($J$2:J740,J740)=1,SUMIFS($O:$O,$J:$J,J740)+SUMIFS($P:$P,$J:$J,J740)+SUMIFS($Q:$Q,$J:$J,J740),"")</f>
        <v>21332.6</v>
      </c>
      <c r="S740" s="10">
        <v>23532.600000000002</v>
      </c>
      <c r="T740" s="11" t="str">
        <f t="shared" si="93"/>
        <v>Check</v>
      </c>
      <c r="U740" s="12">
        <v>45684</v>
      </c>
      <c r="V740" s="10">
        <v>169.07</v>
      </c>
      <c r="W740" s="10" t="str">
        <f t="shared" si="91"/>
        <v>Short Paid</v>
      </c>
      <c r="X740" t="s">
        <v>474</v>
      </c>
      <c r="Y740" t="s">
        <v>28</v>
      </c>
      <c r="Z740">
        <v>100169</v>
      </c>
      <c r="AA740" t="s">
        <v>489</v>
      </c>
      <c r="AB740" t="s">
        <v>521</v>
      </c>
      <c r="AC740" s="9">
        <v>2</v>
      </c>
      <c r="AD740" s="9" t="str">
        <f t="shared" si="92"/>
        <v>Check</v>
      </c>
      <c r="AE740" s="11">
        <f t="shared" si="94"/>
        <v>-2200.0000000000036</v>
      </c>
    </row>
    <row r="741" spans="1:31" x14ac:dyDescent="0.3">
      <c r="A741">
        <v>93</v>
      </c>
      <c r="B741">
        <v>4564492</v>
      </c>
      <c r="C741" t="s">
        <v>38</v>
      </c>
      <c r="D741">
        <v>1461333</v>
      </c>
      <c r="E741" t="s">
        <v>232</v>
      </c>
      <c r="F741" t="s">
        <v>20</v>
      </c>
      <c r="G741" t="s">
        <v>754</v>
      </c>
      <c r="H741" t="s">
        <v>755</v>
      </c>
      <c r="I741" t="s">
        <v>3419</v>
      </c>
      <c r="J741">
        <v>51113599206</v>
      </c>
      <c r="K741" t="s">
        <v>3165</v>
      </c>
      <c r="L741" t="s">
        <v>3343</v>
      </c>
      <c r="M741">
        <v>1</v>
      </c>
      <c r="N741" s="10">
        <v>1474.56</v>
      </c>
      <c r="O741" s="10">
        <f t="shared" si="90"/>
        <v>1474.56</v>
      </c>
      <c r="P741" s="10" t="s">
        <v>5006</v>
      </c>
      <c r="Q741" s="10" t="s">
        <v>5006</v>
      </c>
      <c r="R741" s="10" t="str">
        <f>IF(COUNTIF($J$2:J741,J741)=1,SUMIFS($O:$O,$J:$J,J741)+SUMIFS($P:$P,$J:$J,J741)+SUMIFS($Q:$Q,$J:$J,J741),"")</f>
        <v/>
      </c>
      <c r="S741" s="10" t="s">
        <v>5006</v>
      </c>
      <c r="T741" s="11" t="str">
        <f t="shared" si="93"/>
        <v>Check</v>
      </c>
      <c r="U741" s="12">
        <v>45684</v>
      </c>
      <c r="V741" s="10">
        <v>169.07</v>
      </c>
      <c r="W741" s="10" t="str">
        <f t="shared" si="91"/>
        <v>N/A</v>
      </c>
      <c r="X741" t="s">
        <v>474</v>
      </c>
      <c r="Y741" t="s">
        <v>28</v>
      </c>
      <c r="Z741">
        <v>100169</v>
      </c>
      <c r="AA741" t="s">
        <v>489</v>
      </c>
      <c r="AB741" t="s">
        <v>521</v>
      </c>
      <c r="AC741" s="9">
        <v>2</v>
      </c>
      <c r="AD741" s="9" t="str">
        <f t="shared" si="92"/>
        <v>N/A</v>
      </c>
      <c r="AE741" s="11" t="e">
        <f t="shared" si="94"/>
        <v>#VALUE!</v>
      </c>
    </row>
    <row r="742" spans="1:31" x14ac:dyDescent="0.3">
      <c r="A742">
        <v>42</v>
      </c>
      <c r="B742">
        <v>4703077</v>
      </c>
      <c r="C742" t="s">
        <v>94</v>
      </c>
      <c r="D742">
        <v>1470631</v>
      </c>
      <c r="E742" t="s">
        <v>214</v>
      </c>
      <c r="F742" t="s">
        <v>20</v>
      </c>
      <c r="G742" t="s">
        <v>1122</v>
      </c>
      <c r="H742" t="s">
        <v>1123</v>
      </c>
      <c r="I742" t="s">
        <v>3451</v>
      </c>
      <c r="J742">
        <v>51119669668</v>
      </c>
      <c r="K742" t="s">
        <v>3194</v>
      </c>
      <c r="L742" t="s">
        <v>3448</v>
      </c>
      <c r="M742">
        <v>7016</v>
      </c>
      <c r="N742" s="10">
        <v>2.6229499999999999</v>
      </c>
      <c r="O742" s="10">
        <f t="shared" si="90"/>
        <v>18402.617200000001</v>
      </c>
      <c r="P742" s="10">
        <v>0</v>
      </c>
      <c r="Q742" s="10">
        <v>0</v>
      </c>
      <c r="R742" s="10">
        <f>IF(COUNTIF($J$2:J742,J742)=1,SUMIFS($O:$O,$J:$J,J742)+SUMIFS($P:$P,$J:$J,J742)+SUMIFS($Q:$Q,$J:$J,J742),"")</f>
        <v>18652.617200000001</v>
      </c>
      <c r="S742" s="10">
        <v>18652.62</v>
      </c>
      <c r="T742" s="11" t="str">
        <f t="shared" si="93"/>
        <v>Check</v>
      </c>
      <c r="U742" s="12">
        <v>46027</v>
      </c>
      <c r="V742" s="10">
        <v>250</v>
      </c>
      <c r="W742" s="10" t="str">
        <f t="shared" si="91"/>
        <v>Short Paid</v>
      </c>
      <c r="X742" t="s">
        <v>450</v>
      </c>
      <c r="Y742" t="s">
        <v>28</v>
      </c>
      <c r="Z742">
        <v>100127</v>
      </c>
      <c r="AA742" t="s">
        <v>3090</v>
      </c>
      <c r="AB742" t="s">
        <v>521</v>
      </c>
      <c r="AC742" s="9">
        <v>2</v>
      </c>
      <c r="AD742" s="9" t="str">
        <f t="shared" si="92"/>
        <v>Check</v>
      </c>
      <c r="AE742" s="11">
        <f t="shared" si="94"/>
        <v>-2.7999999983876478E-3</v>
      </c>
    </row>
    <row r="743" spans="1:31" x14ac:dyDescent="0.3">
      <c r="A743">
        <v>42</v>
      </c>
      <c r="B743">
        <v>4703077</v>
      </c>
      <c r="C743" t="s">
        <v>94</v>
      </c>
      <c r="D743">
        <v>1470631</v>
      </c>
      <c r="E743" t="s">
        <v>214</v>
      </c>
      <c r="F743" t="s">
        <v>20</v>
      </c>
      <c r="G743" t="s">
        <v>1122</v>
      </c>
      <c r="H743" t="s">
        <v>1123</v>
      </c>
      <c r="I743" t="s">
        <v>3213</v>
      </c>
      <c r="J743">
        <v>51119669668</v>
      </c>
      <c r="K743" t="s">
        <v>3165</v>
      </c>
      <c r="L743" t="s">
        <v>3457</v>
      </c>
      <c r="M743">
        <v>1</v>
      </c>
      <c r="N743" s="10">
        <v>250</v>
      </c>
      <c r="O743" s="10">
        <f t="shared" si="90"/>
        <v>250</v>
      </c>
      <c r="P743" s="10" t="s">
        <v>5006</v>
      </c>
      <c r="Q743" s="10" t="s">
        <v>5006</v>
      </c>
      <c r="R743" s="10" t="str">
        <f>IF(COUNTIF($J$2:J743,J743)=1,SUMIFS($O:$O,$J:$J,J743)+SUMIFS($P:$P,$J:$J,J743)+SUMIFS($Q:$Q,$J:$J,J743),"")</f>
        <v/>
      </c>
      <c r="S743" s="10" t="s">
        <v>5006</v>
      </c>
      <c r="T743" s="11" t="str">
        <f t="shared" si="93"/>
        <v>Check</v>
      </c>
      <c r="U743" s="12">
        <v>46027</v>
      </c>
      <c r="V743" s="10">
        <v>250</v>
      </c>
      <c r="W743" s="10" t="str">
        <f t="shared" si="91"/>
        <v>N/A</v>
      </c>
      <c r="X743" t="s">
        <v>450</v>
      </c>
      <c r="Y743" t="s">
        <v>28</v>
      </c>
      <c r="Z743">
        <v>100127</v>
      </c>
      <c r="AA743" t="s">
        <v>3090</v>
      </c>
      <c r="AB743" t="s">
        <v>521</v>
      </c>
      <c r="AC743" s="9">
        <v>2</v>
      </c>
      <c r="AD743" s="9" t="str">
        <f t="shared" si="92"/>
        <v>N/A</v>
      </c>
      <c r="AE743" s="11" t="e">
        <f t="shared" si="94"/>
        <v>#VALUE!</v>
      </c>
    </row>
    <row r="744" spans="1:31" x14ac:dyDescent="0.3">
      <c r="A744">
        <v>93</v>
      </c>
      <c r="B744">
        <v>4567553</v>
      </c>
      <c r="C744" t="s">
        <v>60</v>
      </c>
      <c r="D744">
        <v>1588891</v>
      </c>
      <c r="E744" t="s">
        <v>61</v>
      </c>
      <c r="F744" t="s">
        <v>19</v>
      </c>
      <c r="G744" t="s">
        <v>762</v>
      </c>
      <c r="H744" t="s">
        <v>763</v>
      </c>
      <c r="I744" t="s">
        <v>3322</v>
      </c>
      <c r="J744">
        <v>51119897505</v>
      </c>
      <c r="K744" t="s">
        <v>3201</v>
      </c>
      <c r="L744" t="s">
        <v>3776</v>
      </c>
      <c r="M744">
        <v>13500</v>
      </c>
      <c r="N744" s="10">
        <v>0.26790000000000003</v>
      </c>
      <c r="O744" s="10">
        <f t="shared" si="90"/>
        <v>3616.6500000000005</v>
      </c>
      <c r="P744" s="10">
        <v>0</v>
      </c>
      <c r="Q744" s="10">
        <v>0</v>
      </c>
      <c r="R744" s="10">
        <f>IF(COUNTIF($J$2:J744,J744)=1,SUMIFS($O:$O,$J:$J,J744)+SUMIFS($P:$P,$J:$J,J744)+SUMIFS($Q:$Q,$J:$J,J744),"")</f>
        <v>10116.650000000001</v>
      </c>
      <c r="S744" s="10">
        <v>10116.65</v>
      </c>
      <c r="T744" s="11" t="str">
        <f t="shared" si="93"/>
        <v>Ok</v>
      </c>
      <c r="U744" s="12">
        <v>45700</v>
      </c>
      <c r="V744" s="10">
        <v>3616.65</v>
      </c>
      <c r="W744" s="10" t="str">
        <f t="shared" si="91"/>
        <v>Short Paid</v>
      </c>
      <c r="X744" t="s">
        <v>438</v>
      </c>
      <c r="Y744" t="s">
        <v>28</v>
      </c>
      <c r="Z744">
        <v>100193</v>
      </c>
      <c r="AA744" t="s">
        <v>442</v>
      </c>
      <c r="AB744" t="s">
        <v>524</v>
      </c>
      <c r="AC744" s="9">
        <v>2</v>
      </c>
      <c r="AD744" s="9" t="str">
        <f t="shared" si="92"/>
        <v>Ok</v>
      </c>
      <c r="AE744" s="11">
        <f t="shared" si="94"/>
        <v>0</v>
      </c>
    </row>
    <row r="745" spans="1:31" x14ac:dyDescent="0.3">
      <c r="A745">
        <v>93</v>
      </c>
      <c r="B745">
        <v>4567553</v>
      </c>
      <c r="C745" t="s">
        <v>60</v>
      </c>
      <c r="D745">
        <v>1588891</v>
      </c>
      <c r="E745" t="s">
        <v>61</v>
      </c>
      <c r="F745" t="s">
        <v>19</v>
      </c>
      <c r="G745" t="s">
        <v>762</v>
      </c>
      <c r="H745" t="s">
        <v>763</v>
      </c>
      <c r="I745" t="s">
        <v>3542</v>
      </c>
      <c r="J745">
        <v>51119897505</v>
      </c>
      <c r="K745" t="s">
        <v>3830</v>
      </c>
      <c r="L745" t="s">
        <v>3829</v>
      </c>
      <c r="M745">
        <v>100</v>
      </c>
      <c r="N745" s="10">
        <v>65</v>
      </c>
      <c r="O745" s="10">
        <f t="shared" si="90"/>
        <v>6500</v>
      </c>
      <c r="P745" s="10" t="s">
        <v>5006</v>
      </c>
      <c r="Q745" s="10" t="s">
        <v>5006</v>
      </c>
      <c r="R745" s="10" t="str">
        <f>IF(COUNTIF($J$2:J745,J745)=1,SUMIFS($O:$O,$J:$J,J745)+SUMIFS($P:$P,$J:$J,J745)+SUMIFS($Q:$Q,$J:$J,J745),"")</f>
        <v/>
      </c>
      <c r="S745" s="10" t="s">
        <v>5006</v>
      </c>
      <c r="T745" s="11" t="str">
        <f t="shared" si="93"/>
        <v>Ok</v>
      </c>
      <c r="U745" s="12">
        <v>45700</v>
      </c>
      <c r="V745" s="10">
        <v>3616.65</v>
      </c>
      <c r="W745" s="10" t="str">
        <f t="shared" si="91"/>
        <v>N/A</v>
      </c>
      <c r="X745" t="s">
        <v>438</v>
      </c>
      <c r="Y745" t="s">
        <v>28</v>
      </c>
      <c r="Z745">
        <v>100193</v>
      </c>
      <c r="AA745" t="s">
        <v>442</v>
      </c>
      <c r="AB745" t="s">
        <v>524</v>
      </c>
      <c r="AC745" s="9">
        <v>2</v>
      </c>
      <c r="AD745" s="9" t="str">
        <f t="shared" si="92"/>
        <v>N/A</v>
      </c>
      <c r="AE745" s="11" t="e">
        <f t="shared" si="94"/>
        <v>#VALUE!</v>
      </c>
    </row>
    <row r="746" spans="1:31" x14ac:dyDescent="0.3">
      <c r="A746">
        <v>93</v>
      </c>
      <c r="B746">
        <v>4567831</v>
      </c>
      <c r="C746" t="s">
        <v>60</v>
      </c>
      <c r="D746">
        <v>1588891</v>
      </c>
      <c r="E746" t="s">
        <v>61</v>
      </c>
      <c r="F746" t="s">
        <v>19</v>
      </c>
      <c r="G746" t="s">
        <v>2611</v>
      </c>
      <c r="H746" t="s">
        <v>2612</v>
      </c>
      <c r="I746" t="s">
        <v>3336</v>
      </c>
      <c r="J746">
        <v>51119935854</v>
      </c>
      <c r="K746" t="s">
        <v>3180</v>
      </c>
      <c r="L746" t="s">
        <v>3915</v>
      </c>
      <c r="M746">
        <v>8250</v>
      </c>
      <c r="N746" s="10">
        <v>4.5699999999999998E-2</v>
      </c>
      <c r="O746" s="10">
        <f t="shared" si="90"/>
        <v>377.02499999999998</v>
      </c>
      <c r="P746" s="10">
        <v>0</v>
      </c>
      <c r="Q746" s="10">
        <v>0</v>
      </c>
      <c r="R746" s="10">
        <f>IF(COUNTIF($J$2:J746,J746)=1,SUMIFS($O:$O,$J:$J,J746)+SUMIFS($P:$P,$J:$J,J746)+SUMIFS($Q:$Q,$J:$J,J746),"")</f>
        <v>657.02499999999998</v>
      </c>
      <c r="S746" s="10">
        <v>1029.9099999999999</v>
      </c>
      <c r="T746" s="11" t="str">
        <f t="shared" si="93"/>
        <v>Check</v>
      </c>
      <c r="U746" s="12">
        <v>45889</v>
      </c>
      <c r="V746" s="10">
        <v>685.51</v>
      </c>
      <c r="W746" s="10" t="str">
        <f t="shared" si="91"/>
        <v>Short Paid</v>
      </c>
      <c r="X746" t="s">
        <v>438</v>
      </c>
      <c r="Y746" t="s">
        <v>28</v>
      </c>
      <c r="Z746">
        <v>100203</v>
      </c>
      <c r="AA746" t="s">
        <v>441</v>
      </c>
      <c r="AB746" t="s">
        <v>524</v>
      </c>
      <c r="AC746" s="9">
        <v>2</v>
      </c>
      <c r="AD746" s="9" t="str">
        <f t="shared" si="92"/>
        <v>Check</v>
      </c>
      <c r="AE746" s="11">
        <f t="shared" si="94"/>
        <v>-372.88499999999988</v>
      </c>
    </row>
    <row r="747" spans="1:31" x14ac:dyDescent="0.3">
      <c r="A747">
        <v>93</v>
      </c>
      <c r="B747">
        <v>4567831</v>
      </c>
      <c r="C747" t="s">
        <v>60</v>
      </c>
      <c r="D747">
        <v>1588891</v>
      </c>
      <c r="E747" t="s">
        <v>61</v>
      </c>
      <c r="F747" t="s">
        <v>19</v>
      </c>
      <c r="G747" t="s">
        <v>2611</v>
      </c>
      <c r="H747" t="s">
        <v>2612</v>
      </c>
      <c r="I747" t="s">
        <v>3381</v>
      </c>
      <c r="J747">
        <v>51119935854</v>
      </c>
      <c r="K747" t="s">
        <v>3183</v>
      </c>
      <c r="L747" t="s">
        <v>3824</v>
      </c>
      <c r="M747">
        <v>200</v>
      </c>
      <c r="N747" s="10">
        <v>1.4</v>
      </c>
      <c r="O747" s="10">
        <f t="shared" si="90"/>
        <v>280</v>
      </c>
      <c r="P747" s="10" t="s">
        <v>5006</v>
      </c>
      <c r="Q747" s="10" t="s">
        <v>5006</v>
      </c>
      <c r="R747" s="10" t="str">
        <f>IF(COUNTIF($J$2:J747,J747)=1,SUMIFS($O:$O,$J:$J,J747)+SUMIFS($P:$P,$J:$J,J747)+SUMIFS($Q:$Q,$J:$J,J747),"")</f>
        <v/>
      </c>
      <c r="S747" s="10" t="s">
        <v>5006</v>
      </c>
      <c r="T747" s="11" t="str">
        <f t="shared" si="93"/>
        <v>Check</v>
      </c>
      <c r="U747" s="12">
        <v>45889</v>
      </c>
      <c r="V747" s="10">
        <v>685.51</v>
      </c>
      <c r="W747" s="10" t="str">
        <f t="shared" si="91"/>
        <v>N/A</v>
      </c>
      <c r="X747" t="s">
        <v>438</v>
      </c>
      <c r="Y747" t="s">
        <v>28</v>
      </c>
      <c r="Z747">
        <v>100203</v>
      </c>
      <c r="AA747" t="s">
        <v>441</v>
      </c>
      <c r="AB747" t="s">
        <v>524</v>
      </c>
      <c r="AC747" s="9">
        <v>2</v>
      </c>
      <c r="AD747" s="9" t="str">
        <f t="shared" si="92"/>
        <v>N/A</v>
      </c>
      <c r="AE747" s="11" t="e">
        <f t="shared" si="94"/>
        <v>#VALUE!</v>
      </c>
    </row>
    <row r="748" spans="1:31" x14ac:dyDescent="0.3">
      <c r="A748">
        <v>93</v>
      </c>
      <c r="B748">
        <v>4569223</v>
      </c>
      <c r="C748" t="s">
        <v>60</v>
      </c>
      <c r="D748">
        <v>1588891</v>
      </c>
      <c r="E748" t="s">
        <v>61</v>
      </c>
      <c r="F748" t="s">
        <v>19</v>
      </c>
      <c r="G748" t="s">
        <v>766</v>
      </c>
      <c r="H748" t="s">
        <v>767</v>
      </c>
      <c r="I748" t="s">
        <v>3596</v>
      </c>
      <c r="J748">
        <v>51121035119</v>
      </c>
      <c r="K748" t="s">
        <v>3187</v>
      </c>
      <c r="L748" t="s">
        <v>3186</v>
      </c>
      <c r="M748">
        <v>192</v>
      </c>
      <c r="N748" s="10">
        <v>102.37</v>
      </c>
      <c r="O748" s="10">
        <f t="shared" si="90"/>
        <v>19655.04</v>
      </c>
      <c r="P748" s="10">
        <v>0</v>
      </c>
      <c r="Q748" s="10">
        <v>0</v>
      </c>
      <c r="R748" s="10">
        <f>IF(COUNTIF($J$2:J748,J748)=1,SUMIFS($O:$O,$J:$J,J748)+SUMIFS($P:$P,$J:$J,J748)+SUMIFS($Q:$Q,$J:$J,J748),"")</f>
        <v>20340.54</v>
      </c>
      <c r="S748" s="10">
        <v>25254.3</v>
      </c>
      <c r="T748" s="11" t="str">
        <f t="shared" si="93"/>
        <v>Check</v>
      </c>
      <c r="U748" s="12">
        <v>45826</v>
      </c>
      <c r="V748" s="10">
        <v>685.5</v>
      </c>
      <c r="W748" s="10" t="str">
        <f t="shared" si="91"/>
        <v>Short Paid</v>
      </c>
      <c r="X748" t="s">
        <v>438</v>
      </c>
      <c r="Y748" t="s">
        <v>28</v>
      </c>
      <c r="Z748">
        <v>100113</v>
      </c>
      <c r="AA748" t="s">
        <v>449</v>
      </c>
      <c r="AB748" t="s">
        <v>524</v>
      </c>
      <c r="AC748" s="9">
        <v>2</v>
      </c>
      <c r="AD748" s="9" t="str">
        <f t="shared" si="92"/>
        <v>Check</v>
      </c>
      <c r="AE748" s="11">
        <f t="shared" si="94"/>
        <v>-4913.7599999999984</v>
      </c>
    </row>
    <row r="749" spans="1:31" x14ac:dyDescent="0.3">
      <c r="A749">
        <v>93</v>
      </c>
      <c r="B749">
        <v>4569223</v>
      </c>
      <c r="C749" t="s">
        <v>60</v>
      </c>
      <c r="D749">
        <v>1588891</v>
      </c>
      <c r="E749" t="s">
        <v>61</v>
      </c>
      <c r="F749" t="s">
        <v>19</v>
      </c>
      <c r="G749" t="s">
        <v>766</v>
      </c>
      <c r="H749" t="s">
        <v>767</v>
      </c>
      <c r="I749" t="s">
        <v>3365</v>
      </c>
      <c r="J749">
        <v>51121035119</v>
      </c>
      <c r="K749" t="s">
        <v>3180</v>
      </c>
      <c r="L749" t="s">
        <v>3915</v>
      </c>
      <c r="M749">
        <v>15000</v>
      </c>
      <c r="N749" s="10">
        <v>4.5699999999999998E-2</v>
      </c>
      <c r="O749" s="10">
        <f t="shared" si="90"/>
        <v>685.5</v>
      </c>
      <c r="P749" s="10" t="s">
        <v>5006</v>
      </c>
      <c r="Q749" s="10" t="s">
        <v>5006</v>
      </c>
      <c r="R749" s="10" t="str">
        <f>IF(COUNTIF($J$2:J749,J749)=1,SUMIFS($O:$O,$J:$J,J749)+SUMIFS($P:$P,$J:$J,J749)+SUMIFS($Q:$Q,$J:$J,J749),"")</f>
        <v/>
      </c>
      <c r="S749" s="10" t="s">
        <v>5006</v>
      </c>
      <c r="T749" s="11" t="str">
        <f t="shared" si="93"/>
        <v>Check</v>
      </c>
      <c r="U749" s="12">
        <v>45826</v>
      </c>
      <c r="V749" s="10">
        <v>685.5</v>
      </c>
      <c r="W749" s="10" t="str">
        <f t="shared" si="91"/>
        <v>N/A</v>
      </c>
      <c r="X749" t="s">
        <v>438</v>
      </c>
      <c r="Y749" t="s">
        <v>28</v>
      </c>
      <c r="Z749">
        <v>100113</v>
      </c>
      <c r="AA749" t="s">
        <v>449</v>
      </c>
      <c r="AB749" t="s">
        <v>524</v>
      </c>
      <c r="AC749" s="9">
        <v>2</v>
      </c>
      <c r="AD749" s="9" t="str">
        <f t="shared" si="92"/>
        <v>N/A</v>
      </c>
      <c r="AE749" s="11" t="e">
        <f t="shared" si="94"/>
        <v>#VALUE!</v>
      </c>
    </row>
    <row r="750" spans="1:31" x14ac:dyDescent="0.3">
      <c r="A750">
        <v>93</v>
      </c>
      <c r="B750">
        <v>4568109</v>
      </c>
      <c r="C750" t="s">
        <v>60</v>
      </c>
      <c r="D750">
        <v>1588891</v>
      </c>
      <c r="E750" t="s">
        <v>61</v>
      </c>
      <c r="F750" t="s">
        <v>19</v>
      </c>
      <c r="G750" t="s">
        <v>760</v>
      </c>
      <c r="H750" t="s">
        <v>761</v>
      </c>
      <c r="I750" t="s">
        <v>3336</v>
      </c>
      <c r="J750">
        <v>51121113173</v>
      </c>
      <c r="K750" t="s">
        <v>3177</v>
      </c>
      <c r="L750" t="s">
        <v>3176</v>
      </c>
      <c r="M750">
        <v>4000</v>
      </c>
      <c r="N750" s="10">
        <v>6.5799999999999997E-2</v>
      </c>
      <c r="O750" s="10">
        <f t="shared" si="90"/>
        <v>263.2</v>
      </c>
      <c r="P750" s="10">
        <v>0</v>
      </c>
      <c r="Q750" s="10">
        <v>0</v>
      </c>
      <c r="R750" s="10">
        <f>IF(COUNTIF($J$2:J750,J750)=1,SUMIFS($O:$O,$J:$J,J750)+SUMIFS($P:$P,$J:$J,J750)+SUMIFS($Q:$Q,$J:$J,J750),"")</f>
        <v>2163.1999999999998</v>
      </c>
      <c r="S750" s="10">
        <v>2163.1999999999998</v>
      </c>
      <c r="T750" s="11" t="str">
        <f t="shared" si="93"/>
        <v>Ok</v>
      </c>
      <c r="U750" s="12">
        <v>45693</v>
      </c>
      <c r="V750" s="10">
        <v>263.2</v>
      </c>
      <c r="W750" s="10" t="str">
        <f t="shared" si="91"/>
        <v>Short Paid</v>
      </c>
      <c r="X750" t="s">
        <v>438</v>
      </c>
      <c r="Y750" t="s">
        <v>28</v>
      </c>
      <c r="Z750">
        <v>100233</v>
      </c>
      <c r="AA750" t="s">
        <v>448</v>
      </c>
      <c r="AB750" t="s">
        <v>524</v>
      </c>
      <c r="AC750" s="9">
        <v>3</v>
      </c>
      <c r="AD750" s="9" t="str">
        <f t="shared" si="92"/>
        <v>Ok</v>
      </c>
      <c r="AE750" s="11">
        <f t="shared" si="94"/>
        <v>0</v>
      </c>
    </row>
    <row r="751" spans="1:31" x14ac:dyDescent="0.3">
      <c r="A751">
        <v>93</v>
      </c>
      <c r="B751">
        <v>4568109</v>
      </c>
      <c r="C751" t="s">
        <v>60</v>
      </c>
      <c r="D751">
        <v>1588891</v>
      </c>
      <c r="E751" t="s">
        <v>61</v>
      </c>
      <c r="F751" t="s">
        <v>19</v>
      </c>
      <c r="G751" t="s">
        <v>760</v>
      </c>
      <c r="H751" t="s">
        <v>761</v>
      </c>
      <c r="I751" t="s">
        <v>3355</v>
      </c>
      <c r="J751">
        <v>51121113173</v>
      </c>
      <c r="K751" t="s">
        <v>3339</v>
      </c>
      <c r="L751" t="s">
        <v>3916</v>
      </c>
      <c r="M751">
        <v>38</v>
      </c>
      <c r="N751" s="10">
        <v>49.5</v>
      </c>
      <c r="O751" s="10">
        <f t="shared" si="90"/>
        <v>1881</v>
      </c>
      <c r="P751" s="10" t="s">
        <v>5006</v>
      </c>
      <c r="Q751" s="10" t="s">
        <v>5006</v>
      </c>
      <c r="R751" s="10" t="str">
        <f>IF(COUNTIF($J$2:J751,J751)=1,SUMIFS($O:$O,$J:$J,J751)+SUMIFS($P:$P,$J:$J,J751)+SUMIFS($Q:$Q,$J:$J,J751),"")</f>
        <v/>
      </c>
      <c r="S751" s="10" t="s">
        <v>5006</v>
      </c>
      <c r="T751" s="11" t="str">
        <f t="shared" si="93"/>
        <v>Ok</v>
      </c>
      <c r="U751" s="12">
        <v>45693</v>
      </c>
      <c r="V751" s="10">
        <v>263.2</v>
      </c>
      <c r="W751" s="10" t="str">
        <f t="shared" si="91"/>
        <v>N/A</v>
      </c>
      <c r="X751" t="s">
        <v>438</v>
      </c>
      <c r="Y751" t="s">
        <v>28</v>
      </c>
      <c r="Z751">
        <v>100233</v>
      </c>
      <c r="AA751" t="s">
        <v>448</v>
      </c>
      <c r="AB751" t="s">
        <v>524</v>
      </c>
      <c r="AC751" s="9">
        <v>3</v>
      </c>
      <c r="AD751" s="9" t="str">
        <f t="shared" si="92"/>
        <v>N/A</v>
      </c>
      <c r="AE751" s="11" t="e">
        <f t="shared" si="94"/>
        <v>#VALUE!</v>
      </c>
    </row>
    <row r="752" spans="1:31" x14ac:dyDescent="0.3">
      <c r="A752">
        <v>93</v>
      </c>
      <c r="B752">
        <v>4568109</v>
      </c>
      <c r="C752" t="s">
        <v>60</v>
      </c>
      <c r="D752">
        <v>1588891</v>
      </c>
      <c r="E752" t="s">
        <v>61</v>
      </c>
      <c r="F752" t="s">
        <v>19</v>
      </c>
      <c r="G752" t="s">
        <v>760</v>
      </c>
      <c r="H752" t="s">
        <v>761</v>
      </c>
      <c r="I752" t="s">
        <v>3355</v>
      </c>
      <c r="J752">
        <v>51121113173</v>
      </c>
      <c r="K752" t="s">
        <v>3183</v>
      </c>
      <c r="L752" t="s">
        <v>3816</v>
      </c>
      <c r="M752">
        <v>76</v>
      </c>
      <c r="N752" s="10">
        <v>0.25</v>
      </c>
      <c r="O752" s="10">
        <f t="shared" si="90"/>
        <v>19</v>
      </c>
      <c r="P752" s="10" t="s">
        <v>5006</v>
      </c>
      <c r="Q752" s="10" t="s">
        <v>5006</v>
      </c>
      <c r="R752" s="10" t="str">
        <f>IF(COUNTIF($J$2:J752,J752)=1,SUMIFS($O:$O,$J:$J,J752)+SUMIFS($P:$P,$J:$J,J752)+SUMIFS($Q:$Q,$J:$J,J752),"")</f>
        <v/>
      </c>
      <c r="S752" s="10" t="s">
        <v>5006</v>
      </c>
      <c r="T752" s="11" t="str">
        <f t="shared" si="93"/>
        <v>Ok</v>
      </c>
      <c r="U752" s="12">
        <v>45693</v>
      </c>
      <c r="V752" s="10">
        <v>263.2</v>
      </c>
      <c r="W752" s="10" t="str">
        <f t="shared" si="91"/>
        <v>N/A</v>
      </c>
      <c r="X752" t="s">
        <v>438</v>
      </c>
      <c r="Y752" t="s">
        <v>28</v>
      </c>
      <c r="Z752">
        <v>100233</v>
      </c>
      <c r="AA752" t="s">
        <v>448</v>
      </c>
      <c r="AB752" t="s">
        <v>524</v>
      </c>
      <c r="AC752" s="9">
        <v>3</v>
      </c>
      <c r="AD752" s="9" t="str">
        <f t="shared" si="92"/>
        <v>N/A</v>
      </c>
      <c r="AE752" s="11" t="e">
        <f t="shared" si="94"/>
        <v>#VALUE!</v>
      </c>
    </row>
    <row r="753" spans="1:31" x14ac:dyDescent="0.3">
      <c r="A753">
        <v>93</v>
      </c>
      <c r="B753">
        <v>4568944</v>
      </c>
      <c r="C753" t="s">
        <v>60</v>
      </c>
      <c r="D753">
        <v>1588891</v>
      </c>
      <c r="E753" t="s">
        <v>61</v>
      </c>
      <c r="F753" t="s">
        <v>19</v>
      </c>
      <c r="G753" t="s">
        <v>764</v>
      </c>
      <c r="H753" t="s">
        <v>765</v>
      </c>
      <c r="I753" t="s">
        <v>3376</v>
      </c>
      <c r="J753">
        <v>51121260740</v>
      </c>
      <c r="K753" t="s">
        <v>3177</v>
      </c>
      <c r="L753" t="s">
        <v>3176</v>
      </c>
      <c r="M753">
        <v>3000</v>
      </c>
      <c r="N753" s="10">
        <v>6.5799999999999997E-2</v>
      </c>
      <c r="O753" s="10">
        <f t="shared" si="90"/>
        <v>197.4</v>
      </c>
      <c r="P753" s="10">
        <v>0</v>
      </c>
      <c r="Q753" s="10">
        <v>0</v>
      </c>
      <c r="R753" s="10">
        <f>IF(COUNTIF($J$2:J753,J753)=1,SUMIFS($O:$O,$J:$J,J753)+SUMIFS($P:$P,$J:$J,J753)+SUMIFS($Q:$Q,$J:$J,J753),"")</f>
        <v>3927.4</v>
      </c>
      <c r="S753" s="10">
        <v>3927.4</v>
      </c>
      <c r="T753" s="11" t="str">
        <f t="shared" si="93"/>
        <v>Ok</v>
      </c>
      <c r="U753" s="12">
        <v>45829</v>
      </c>
      <c r="V753" s="10">
        <v>197.4</v>
      </c>
      <c r="W753" s="10" t="str">
        <f t="shared" si="91"/>
        <v>Short Paid</v>
      </c>
      <c r="X753" t="s">
        <v>438</v>
      </c>
      <c r="Y753" t="s">
        <v>28</v>
      </c>
      <c r="Z753">
        <v>100283</v>
      </c>
      <c r="AA753" t="s">
        <v>439</v>
      </c>
      <c r="AB753" t="s">
        <v>524</v>
      </c>
      <c r="AC753" s="9">
        <v>3</v>
      </c>
      <c r="AD753" s="9" t="str">
        <f t="shared" si="92"/>
        <v>Ok</v>
      </c>
      <c r="AE753" s="11">
        <f t="shared" si="94"/>
        <v>0</v>
      </c>
    </row>
    <row r="754" spans="1:31" x14ac:dyDescent="0.3">
      <c r="A754">
        <v>93</v>
      </c>
      <c r="B754">
        <v>4568944</v>
      </c>
      <c r="C754" t="s">
        <v>60</v>
      </c>
      <c r="D754">
        <v>1588891</v>
      </c>
      <c r="E754" t="s">
        <v>61</v>
      </c>
      <c r="F754" t="s">
        <v>19</v>
      </c>
      <c r="G754" t="s">
        <v>764</v>
      </c>
      <c r="H754" t="s">
        <v>765</v>
      </c>
      <c r="I754" t="s">
        <v>3543</v>
      </c>
      <c r="J754">
        <v>51121260740</v>
      </c>
      <c r="K754" t="s">
        <v>3908</v>
      </c>
      <c r="L754" t="s">
        <v>3917</v>
      </c>
      <c r="M754">
        <v>2</v>
      </c>
      <c r="N754" s="10">
        <v>1864.5</v>
      </c>
      <c r="O754" s="10">
        <f t="shared" si="90"/>
        <v>3729</v>
      </c>
      <c r="P754" s="10" t="s">
        <v>5006</v>
      </c>
      <c r="Q754" s="10" t="s">
        <v>5006</v>
      </c>
      <c r="R754" s="10" t="str">
        <f>IF(COUNTIF($J$2:J754,J754)=1,SUMIFS($O:$O,$J:$J,J754)+SUMIFS($P:$P,$J:$J,J754)+SUMIFS($Q:$Q,$J:$J,J754),"")</f>
        <v/>
      </c>
      <c r="S754" s="10" t="s">
        <v>5006</v>
      </c>
      <c r="T754" s="11" t="str">
        <f t="shared" si="93"/>
        <v>Ok</v>
      </c>
      <c r="U754" s="12">
        <v>45829</v>
      </c>
      <c r="V754" s="10">
        <v>197.4</v>
      </c>
      <c r="W754" s="10" t="str">
        <f t="shared" si="91"/>
        <v>N/A</v>
      </c>
      <c r="X754" t="s">
        <v>438</v>
      </c>
      <c r="Y754" t="s">
        <v>28</v>
      </c>
      <c r="Z754">
        <v>100283</v>
      </c>
      <c r="AA754" t="s">
        <v>439</v>
      </c>
      <c r="AB754" t="s">
        <v>524</v>
      </c>
      <c r="AC754" s="9">
        <v>3</v>
      </c>
      <c r="AD754" s="9" t="str">
        <f t="shared" si="92"/>
        <v>N/A</v>
      </c>
      <c r="AE754" s="11" t="e">
        <f t="shared" si="94"/>
        <v>#VALUE!</v>
      </c>
    </row>
    <row r="755" spans="1:31" x14ac:dyDescent="0.3">
      <c r="A755">
        <v>93</v>
      </c>
      <c r="B755">
        <v>4568944</v>
      </c>
      <c r="C755" t="s">
        <v>60</v>
      </c>
      <c r="D755">
        <v>1588891</v>
      </c>
      <c r="E755" t="s">
        <v>61</v>
      </c>
      <c r="F755" t="s">
        <v>19</v>
      </c>
      <c r="G755" t="s">
        <v>764</v>
      </c>
      <c r="H755" t="s">
        <v>765</v>
      </c>
      <c r="I755" t="s">
        <v>3543</v>
      </c>
      <c r="J755">
        <v>51121260740</v>
      </c>
      <c r="K755" t="s">
        <v>3183</v>
      </c>
      <c r="L755" t="s">
        <v>3816</v>
      </c>
      <c r="M755">
        <v>4</v>
      </c>
      <c r="N755" s="10">
        <v>0.25</v>
      </c>
      <c r="O755" s="10">
        <f t="shared" si="90"/>
        <v>1</v>
      </c>
      <c r="P755" s="10" t="s">
        <v>5006</v>
      </c>
      <c r="Q755" s="10" t="s">
        <v>5006</v>
      </c>
      <c r="R755" s="10" t="str">
        <f>IF(COUNTIF($J$2:J755,J755)=1,SUMIFS($O:$O,$J:$J,J755)+SUMIFS($P:$P,$J:$J,J755)+SUMIFS($Q:$Q,$J:$J,J755),"")</f>
        <v/>
      </c>
      <c r="S755" s="10" t="s">
        <v>5006</v>
      </c>
      <c r="T755" s="11" t="str">
        <f t="shared" si="93"/>
        <v>Ok</v>
      </c>
      <c r="U755" s="12">
        <v>45829</v>
      </c>
      <c r="V755" s="10">
        <v>197.4</v>
      </c>
      <c r="W755" s="10" t="str">
        <f t="shared" si="91"/>
        <v>N/A</v>
      </c>
      <c r="X755" t="s">
        <v>438</v>
      </c>
      <c r="Y755" t="s">
        <v>28</v>
      </c>
      <c r="Z755">
        <v>100283</v>
      </c>
      <c r="AA755" t="s">
        <v>439</v>
      </c>
      <c r="AB755" t="s">
        <v>524</v>
      </c>
      <c r="AC755" s="9">
        <v>3</v>
      </c>
      <c r="AD755" s="9" t="str">
        <f t="shared" si="92"/>
        <v>N/A</v>
      </c>
      <c r="AE755" s="11" t="e">
        <f t="shared" si="94"/>
        <v>#VALUE!</v>
      </c>
    </row>
    <row r="756" spans="1:31" x14ac:dyDescent="0.3">
      <c r="A756">
        <v>93</v>
      </c>
      <c r="B756">
        <v>4569501</v>
      </c>
      <c r="C756" t="s">
        <v>60</v>
      </c>
      <c r="D756">
        <v>1588891</v>
      </c>
      <c r="E756" t="s">
        <v>61</v>
      </c>
      <c r="F756" t="s">
        <v>19</v>
      </c>
      <c r="G756" t="s">
        <v>768</v>
      </c>
      <c r="H756" t="s">
        <v>769</v>
      </c>
      <c r="I756" t="s">
        <v>3365</v>
      </c>
      <c r="J756">
        <v>51121848788</v>
      </c>
      <c r="K756" t="s">
        <v>3437</v>
      </c>
      <c r="L756" t="s">
        <v>3436</v>
      </c>
      <c r="M756">
        <v>124</v>
      </c>
      <c r="N756" s="10">
        <v>110.85</v>
      </c>
      <c r="O756" s="10">
        <f t="shared" si="90"/>
        <v>13745.4</v>
      </c>
      <c r="P756" s="10">
        <v>0</v>
      </c>
      <c r="Q756" s="10">
        <v>3161.44</v>
      </c>
      <c r="R756" s="10">
        <f>IF(COUNTIF($J$2:J756,J756)=1,SUMIFS($O:$O,$J:$J,J756)+SUMIFS($P:$P,$J:$J,J756)+SUMIFS($Q:$Q,$J:$J,J756),"")</f>
        <v>17104.239999999998</v>
      </c>
      <c r="S756" s="10">
        <v>17104.240000000002</v>
      </c>
      <c r="T756" s="11" t="str">
        <f t="shared" si="93"/>
        <v>Ok</v>
      </c>
      <c r="U756" s="12">
        <v>45903</v>
      </c>
      <c r="V756" s="10">
        <v>197.4</v>
      </c>
      <c r="W756" s="10" t="str">
        <f t="shared" si="91"/>
        <v>Short Paid</v>
      </c>
      <c r="X756" t="s">
        <v>438</v>
      </c>
      <c r="Y756" t="s">
        <v>28</v>
      </c>
      <c r="Z756">
        <v>100123</v>
      </c>
      <c r="AA756" t="s">
        <v>447</v>
      </c>
      <c r="AB756" t="s">
        <v>524</v>
      </c>
      <c r="AC756" s="9">
        <v>2</v>
      </c>
      <c r="AD756" s="9" t="str">
        <f t="shared" si="92"/>
        <v>Ok</v>
      </c>
      <c r="AE756" s="11">
        <f t="shared" si="94"/>
        <v>0</v>
      </c>
    </row>
    <row r="757" spans="1:31" x14ac:dyDescent="0.3">
      <c r="A757">
        <v>93</v>
      </c>
      <c r="B757">
        <v>4569501</v>
      </c>
      <c r="C757" t="s">
        <v>60</v>
      </c>
      <c r="D757">
        <v>1588891</v>
      </c>
      <c r="E757" t="s">
        <v>61</v>
      </c>
      <c r="F757" t="s">
        <v>19</v>
      </c>
      <c r="G757" t="s">
        <v>768</v>
      </c>
      <c r="H757" t="s">
        <v>769</v>
      </c>
      <c r="I757" t="s">
        <v>3387</v>
      </c>
      <c r="J757">
        <v>51121848788</v>
      </c>
      <c r="K757" t="s">
        <v>3177</v>
      </c>
      <c r="L757" t="s">
        <v>3176</v>
      </c>
      <c r="M757">
        <v>3000</v>
      </c>
      <c r="N757" s="10">
        <v>6.5799999999999997E-2</v>
      </c>
      <c r="O757" s="10">
        <f t="shared" si="90"/>
        <v>197.4</v>
      </c>
      <c r="P757" s="10" t="s">
        <v>5006</v>
      </c>
      <c r="Q757" s="10" t="s">
        <v>5006</v>
      </c>
      <c r="R757" s="10" t="str">
        <f>IF(COUNTIF($J$2:J757,J757)=1,SUMIFS($O:$O,$J:$J,J757)+SUMIFS($P:$P,$J:$J,J757)+SUMIFS($Q:$Q,$J:$J,J757),"")</f>
        <v/>
      </c>
      <c r="S757" s="10" t="s">
        <v>5006</v>
      </c>
      <c r="T757" s="11" t="str">
        <f t="shared" si="93"/>
        <v>Ok</v>
      </c>
      <c r="U757" s="12">
        <v>45903</v>
      </c>
      <c r="V757" s="10">
        <v>197.4</v>
      </c>
      <c r="W757" s="10" t="str">
        <f t="shared" si="91"/>
        <v>N/A</v>
      </c>
      <c r="X757" t="s">
        <v>438</v>
      </c>
      <c r="Y757" t="s">
        <v>28</v>
      </c>
      <c r="Z757">
        <v>100123</v>
      </c>
      <c r="AA757" t="s">
        <v>447</v>
      </c>
      <c r="AB757" t="s">
        <v>524</v>
      </c>
      <c r="AC757" s="9">
        <v>2</v>
      </c>
      <c r="AD757" s="9" t="str">
        <f t="shared" si="92"/>
        <v>N/A</v>
      </c>
      <c r="AE757" s="11" t="e">
        <f t="shared" si="94"/>
        <v>#VALUE!</v>
      </c>
    </row>
    <row r="758" spans="1:31" x14ac:dyDescent="0.3">
      <c r="A758">
        <v>93</v>
      </c>
      <c r="B758">
        <v>4573953</v>
      </c>
      <c r="C758" t="s">
        <v>60</v>
      </c>
      <c r="D758">
        <v>1588891</v>
      </c>
      <c r="E758" t="s">
        <v>61</v>
      </c>
      <c r="F758" t="s">
        <v>19</v>
      </c>
      <c r="G758" t="s">
        <v>794</v>
      </c>
      <c r="H758" t="s">
        <v>795</v>
      </c>
      <c r="I758" t="s">
        <v>3303</v>
      </c>
      <c r="J758">
        <v>51122726512</v>
      </c>
      <c r="K758" t="s">
        <v>3168</v>
      </c>
      <c r="L758" t="s">
        <v>3321</v>
      </c>
      <c r="M758">
        <v>72000</v>
      </c>
      <c r="N758" s="10">
        <v>1.349E-2</v>
      </c>
      <c r="O758" s="10">
        <f t="shared" si="90"/>
        <v>971.28</v>
      </c>
      <c r="P758" s="10">
        <v>0</v>
      </c>
      <c r="Q758" s="10">
        <v>0</v>
      </c>
      <c r="R758" s="10">
        <f>IF(COUNTIF($J$2:J758,J758)=1,SUMIFS($O:$O,$J:$J,J758)+SUMIFS($P:$P,$J:$J,J758)+SUMIFS($Q:$Q,$J:$J,J758),"")</f>
        <v>45195.12</v>
      </c>
      <c r="S758" s="10">
        <v>45195.119999999995</v>
      </c>
      <c r="T758" s="11" t="str">
        <f t="shared" si="93"/>
        <v>Ok</v>
      </c>
      <c r="U758" s="12">
        <v>45743</v>
      </c>
      <c r="V758" s="10">
        <v>971.28</v>
      </c>
      <c r="W758" s="10" t="str">
        <f t="shared" si="91"/>
        <v>Short Paid</v>
      </c>
      <c r="X758" t="s">
        <v>438</v>
      </c>
      <c r="Y758" t="s">
        <v>28</v>
      </c>
      <c r="Z758">
        <v>100243</v>
      </c>
      <c r="AA758" t="s">
        <v>446</v>
      </c>
      <c r="AB758" t="s">
        <v>524</v>
      </c>
      <c r="AC758" s="9">
        <v>2</v>
      </c>
      <c r="AD758" s="9" t="str">
        <f t="shared" si="92"/>
        <v>Ok</v>
      </c>
      <c r="AE758" s="11">
        <f t="shared" si="94"/>
        <v>0</v>
      </c>
    </row>
    <row r="759" spans="1:31" x14ac:dyDescent="0.3">
      <c r="A759">
        <v>93</v>
      </c>
      <c r="B759">
        <v>4573953</v>
      </c>
      <c r="C759" t="s">
        <v>60</v>
      </c>
      <c r="D759">
        <v>1588891</v>
      </c>
      <c r="E759" t="s">
        <v>61</v>
      </c>
      <c r="F759" t="s">
        <v>19</v>
      </c>
      <c r="G759" t="s">
        <v>794</v>
      </c>
      <c r="H759" t="s">
        <v>795</v>
      </c>
      <c r="I759" t="s">
        <v>3535</v>
      </c>
      <c r="J759">
        <v>51122726512</v>
      </c>
      <c r="K759" t="s">
        <v>3187</v>
      </c>
      <c r="L759" t="s">
        <v>3186</v>
      </c>
      <c r="M759">
        <v>432</v>
      </c>
      <c r="N759" s="10">
        <v>102.37</v>
      </c>
      <c r="O759" s="10">
        <f t="shared" si="90"/>
        <v>44223.840000000004</v>
      </c>
      <c r="P759" s="10" t="s">
        <v>5006</v>
      </c>
      <c r="Q759" s="10" t="s">
        <v>5006</v>
      </c>
      <c r="R759" s="10" t="str">
        <f>IF(COUNTIF($J$2:J759,J759)=1,SUMIFS($O:$O,$J:$J,J759)+SUMIFS($P:$P,$J:$J,J759)+SUMIFS($Q:$Q,$J:$J,J759),"")</f>
        <v/>
      </c>
      <c r="S759" s="10" t="s">
        <v>5006</v>
      </c>
      <c r="T759" s="11" t="str">
        <f t="shared" si="93"/>
        <v>Ok</v>
      </c>
      <c r="U759" s="12">
        <v>45743</v>
      </c>
      <c r="V759" s="10">
        <v>971.28</v>
      </c>
      <c r="W759" s="10" t="str">
        <f t="shared" si="91"/>
        <v>N/A</v>
      </c>
      <c r="X759" t="s">
        <v>438</v>
      </c>
      <c r="Y759" t="s">
        <v>28</v>
      </c>
      <c r="Z759">
        <v>100243</v>
      </c>
      <c r="AA759" t="s">
        <v>446</v>
      </c>
      <c r="AB759" t="s">
        <v>524</v>
      </c>
      <c r="AC759" s="9">
        <v>2</v>
      </c>
      <c r="AD759" s="9" t="str">
        <f t="shared" si="92"/>
        <v>N/A</v>
      </c>
      <c r="AE759" s="11" t="e">
        <f t="shared" si="94"/>
        <v>#VALUE!</v>
      </c>
    </row>
    <row r="760" spans="1:31" x14ac:dyDescent="0.3">
      <c r="A760">
        <v>93</v>
      </c>
      <c r="B760">
        <v>4571171</v>
      </c>
      <c r="C760" t="s">
        <v>60</v>
      </c>
      <c r="D760">
        <v>1588891</v>
      </c>
      <c r="E760" t="s">
        <v>61</v>
      </c>
      <c r="F760" t="s">
        <v>19</v>
      </c>
      <c r="G760" t="s">
        <v>776</v>
      </c>
      <c r="H760" t="s">
        <v>777</v>
      </c>
      <c r="I760" t="s">
        <v>3291</v>
      </c>
      <c r="J760">
        <v>51123769412</v>
      </c>
      <c r="K760" t="s">
        <v>3183</v>
      </c>
      <c r="L760" t="s">
        <v>3918</v>
      </c>
      <c r="M760">
        <v>72</v>
      </c>
      <c r="N760" s="10">
        <v>16.27</v>
      </c>
      <c r="O760" s="10">
        <f t="shared" si="90"/>
        <v>1171.44</v>
      </c>
      <c r="P760" s="10">
        <v>0</v>
      </c>
      <c r="Q760" s="10">
        <v>0</v>
      </c>
      <c r="R760" s="10">
        <f>IF(COUNTIF($J$2:J760,J760)=1,SUMIFS($O:$O,$J:$J,J760)+SUMIFS($P:$P,$J:$J,J760)+SUMIFS($Q:$Q,$J:$J,J760),"")</f>
        <v>1516.44</v>
      </c>
      <c r="S760" s="10">
        <v>1861.44</v>
      </c>
      <c r="T760" s="11" t="str">
        <f t="shared" si="93"/>
        <v>Check</v>
      </c>
      <c r="U760" s="12">
        <v>45868</v>
      </c>
      <c r="V760" s="10">
        <v>690</v>
      </c>
      <c r="W760" s="10" t="str">
        <f t="shared" si="91"/>
        <v>Short Paid</v>
      </c>
      <c r="X760" t="s">
        <v>438</v>
      </c>
      <c r="Y760" t="s">
        <v>28</v>
      </c>
      <c r="Z760">
        <v>100243</v>
      </c>
      <c r="AA760" t="s">
        <v>446</v>
      </c>
      <c r="AB760" t="s">
        <v>524</v>
      </c>
      <c r="AC760" s="9">
        <v>2</v>
      </c>
      <c r="AD760" s="9" t="str">
        <f t="shared" si="92"/>
        <v>Check</v>
      </c>
      <c r="AE760" s="11">
        <f t="shared" si="94"/>
        <v>-345</v>
      </c>
    </row>
    <row r="761" spans="1:31" x14ac:dyDescent="0.3">
      <c r="A761">
        <v>93</v>
      </c>
      <c r="B761">
        <v>4571171</v>
      </c>
      <c r="C761" t="s">
        <v>60</v>
      </c>
      <c r="D761">
        <v>1588891</v>
      </c>
      <c r="E761" t="s">
        <v>61</v>
      </c>
      <c r="F761" t="s">
        <v>19</v>
      </c>
      <c r="G761" t="s">
        <v>776</v>
      </c>
      <c r="H761" t="s">
        <v>777</v>
      </c>
      <c r="I761" t="s">
        <v>3543</v>
      </c>
      <c r="J761">
        <v>51123769412</v>
      </c>
      <c r="K761" t="s">
        <v>3246</v>
      </c>
      <c r="L761" t="s">
        <v>3687</v>
      </c>
      <c r="M761">
        <v>1000</v>
      </c>
      <c r="N761" s="10">
        <v>0.34499999999999997</v>
      </c>
      <c r="O761" s="10">
        <f t="shared" si="90"/>
        <v>345</v>
      </c>
      <c r="P761" s="10" t="s">
        <v>5006</v>
      </c>
      <c r="Q761" s="10" t="s">
        <v>5006</v>
      </c>
      <c r="R761" s="10" t="str">
        <f>IF(COUNTIF($J$2:J761,J761)=1,SUMIFS($O:$O,$J:$J,J761)+SUMIFS($P:$P,$J:$J,J761)+SUMIFS($Q:$Q,$J:$J,J761),"")</f>
        <v/>
      </c>
      <c r="S761" s="10" t="s">
        <v>5006</v>
      </c>
      <c r="T761" s="11" t="str">
        <f t="shared" si="93"/>
        <v>Check</v>
      </c>
      <c r="U761" s="12">
        <v>45868</v>
      </c>
      <c r="V761" s="10">
        <v>690</v>
      </c>
      <c r="W761" s="10" t="str">
        <f t="shared" si="91"/>
        <v>N/A</v>
      </c>
      <c r="X761" t="s">
        <v>438</v>
      </c>
      <c r="Y761" t="s">
        <v>28</v>
      </c>
      <c r="Z761">
        <v>100243</v>
      </c>
      <c r="AA761" t="s">
        <v>446</v>
      </c>
      <c r="AB761" t="s">
        <v>524</v>
      </c>
      <c r="AC761" s="9">
        <v>2</v>
      </c>
      <c r="AD761" s="9" t="str">
        <f t="shared" si="92"/>
        <v>N/A</v>
      </c>
      <c r="AE761" s="11" t="e">
        <f t="shared" si="94"/>
        <v>#VALUE!</v>
      </c>
    </row>
    <row r="762" spans="1:31" x14ac:dyDescent="0.3">
      <c r="A762">
        <v>93</v>
      </c>
      <c r="B762">
        <v>4571449</v>
      </c>
      <c r="C762" t="s">
        <v>60</v>
      </c>
      <c r="D762">
        <v>1588891</v>
      </c>
      <c r="E762" t="s">
        <v>61</v>
      </c>
      <c r="F762" t="s">
        <v>19</v>
      </c>
      <c r="G762" t="s">
        <v>774</v>
      </c>
      <c r="H762" t="s">
        <v>775</v>
      </c>
      <c r="I762" t="s">
        <v>3178</v>
      </c>
      <c r="J762">
        <v>51123853671</v>
      </c>
      <c r="K762" t="s">
        <v>3362</v>
      </c>
      <c r="L762" t="s">
        <v>3832</v>
      </c>
      <c r="M762">
        <v>2</v>
      </c>
      <c r="N762" s="10">
        <v>27819.759999999998</v>
      </c>
      <c r="O762" s="10">
        <f t="shared" si="90"/>
        <v>55639.519999999997</v>
      </c>
      <c r="P762" s="10">
        <v>0</v>
      </c>
      <c r="Q762" s="10">
        <v>0</v>
      </c>
      <c r="R762" s="10">
        <f>IF(COUNTIF($J$2:J762,J762)=1,SUMIFS($O:$O,$J:$J,J762)+SUMIFS($P:$P,$J:$J,J762)+SUMIFS($Q:$Q,$J:$J,J762),"")</f>
        <v>55640.52</v>
      </c>
      <c r="S762" s="10">
        <v>55833.5</v>
      </c>
      <c r="T762" s="11" t="str">
        <f t="shared" si="93"/>
        <v>Check</v>
      </c>
      <c r="U762" s="12">
        <v>45888</v>
      </c>
      <c r="V762" s="10">
        <v>163.5</v>
      </c>
      <c r="W762" s="10" t="str">
        <f t="shared" si="91"/>
        <v>Short Paid</v>
      </c>
      <c r="X762" t="s">
        <v>438</v>
      </c>
      <c r="Y762" t="s">
        <v>28</v>
      </c>
      <c r="Z762">
        <v>100273</v>
      </c>
      <c r="AA762" t="s">
        <v>444</v>
      </c>
      <c r="AB762" t="s">
        <v>524</v>
      </c>
      <c r="AC762" s="9">
        <v>2</v>
      </c>
      <c r="AD762" s="9" t="str">
        <f t="shared" si="92"/>
        <v>Check</v>
      </c>
      <c r="AE762" s="11">
        <f t="shared" si="94"/>
        <v>-192.9800000000032</v>
      </c>
    </row>
    <row r="763" spans="1:31" x14ac:dyDescent="0.3">
      <c r="A763">
        <v>93</v>
      </c>
      <c r="B763">
        <v>4571449</v>
      </c>
      <c r="C763" t="s">
        <v>60</v>
      </c>
      <c r="D763">
        <v>1588891</v>
      </c>
      <c r="E763" t="s">
        <v>61</v>
      </c>
      <c r="F763" t="s">
        <v>19</v>
      </c>
      <c r="G763" t="s">
        <v>774</v>
      </c>
      <c r="H763" t="s">
        <v>775</v>
      </c>
      <c r="I763" t="s">
        <v>3178</v>
      </c>
      <c r="J763">
        <v>51123853671</v>
      </c>
      <c r="K763" t="s">
        <v>3183</v>
      </c>
      <c r="L763" t="s">
        <v>3816</v>
      </c>
      <c r="M763">
        <v>4</v>
      </c>
      <c r="N763" s="10">
        <v>0.25</v>
      </c>
      <c r="O763" s="10">
        <f t="shared" si="90"/>
        <v>1</v>
      </c>
      <c r="P763" s="10" t="s">
        <v>5006</v>
      </c>
      <c r="Q763" s="10" t="s">
        <v>5006</v>
      </c>
      <c r="R763" s="10" t="str">
        <f>IF(COUNTIF($J$2:J763,J763)=1,SUMIFS($O:$O,$J:$J,J763)+SUMIFS($P:$P,$J:$J,J763)+SUMIFS($Q:$Q,$J:$J,J763),"")</f>
        <v/>
      </c>
      <c r="S763" s="10" t="s">
        <v>5006</v>
      </c>
      <c r="T763" s="11" t="str">
        <f t="shared" si="93"/>
        <v>Check</v>
      </c>
      <c r="U763" s="12">
        <v>45888</v>
      </c>
      <c r="V763" s="10">
        <v>163.5</v>
      </c>
      <c r="W763" s="10" t="str">
        <f t="shared" si="91"/>
        <v>N/A</v>
      </c>
      <c r="X763" t="s">
        <v>438</v>
      </c>
      <c r="Y763" t="s">
        <v>28</v>
      </c>
      <c r="Z763">
        <v>100273</v>
      </c>
      <c r="AA763" t="s">
        <v>444</v>
      </c>
      <c r="AB763" t="s">
        <v>524</v>
      </c>
      <c r="AC763" s="9">
        <v>2</v>
      </c>
      <c r="AD763" s="9" t="str">
        <f t="shared" si="92"/>
        <v>N/A</v>
      </c>
      <c r="AE763" s="11" t="e">
        <f t="shared" si="94"/>
        <v>#VALUE!</v>
      </c>
    </row>
    <row r="764" spans="1:31" x14ac:dyDescent="0.3">
      <c r="A764">
        <v>93</v>
      </c>
      <c r="B764">
        <v>4571727</v>
      </c>
      <c r="C764" t="s">
        <v>60</v>
      </c>
      <c r="D764">
        <v>1588891</v>
      </c>
      <c r="E764" t="s">
        <v>61</v>
      </c>
      <c r="F764" t="s">
        <v>19</v>
      </c>
      <c r="G764" t="s">
        <v>778</v>
      </c>
      <c r="H764" t="s">
        <v>779</v>
      </c>
      <c r="I764" t="s">
        <v>3411</v>
      </c>
      <c r="J764">
        <v>51124076230</v>
      </c>
      <c r="K764" t="s">
        <v>3324</v>
      </c>
      <c r="L764" t="s">
        <v>3919</v>
      </c>
      <c r="M764">
        <v>3500</v>
      </c>
      <c r="N764" s="10">
        <v>0.99524999999999997</v>
      </c>
      <c r="O764" s="10">
        <f t="shared" si="90"/>
        <v>3483.375</v>
      </c>
      <c r="P764" s="10">
        <v>0</v>
      </c>
      <c r="Q764" s="10">
        <v>0</v>
      </c>
      <c r="R764" s="10">
        <f>IF(COUNTIF($J$2:J764,J764)=1,SUMIFS($O:$O,$J:$J,J764)+SUMIFS($P:$P,$J:$J,J764)+SUMIFS($Q:$Q,$J:$J,J764),"")</f>
        <v>114042.97500000001</v>
      </c>
      <c r="S764" s="10">
        <v>117526.36</v>
      </c>
      <c r="T764" s="11" t="str">
        <f t="shared" si="93"/>
        <v>Check</v>
      </c>
      <c r="U764" s="12">
        <v>45750</v>
      </c>
      <c r="V764" s="10">
        <v>6966.76</v>
      </c>
      <c r="W764" s="10" t="str">
        <f t="shared" si="91"/>
        <v>Short Paid</v>
      </c>
      <c r="X764" t="s">
        <v>438</v>
      </c>
      <c r="Y764" t="s">
        <v>28</v>
      </c>
      <c r="Z764">
        <v>100283</v>
      </c>
      <c r="AA764" t="s">
        <v>439</v>
      </c>
      <c r="AB764" t="s">
        <v>524</v>
      </c>
      <c r="AC764" s="9">
        <v>2</v>
      </c>
      <c r="AD764" s="9" t="str">
        <f t="shared" si="92"/>
        <v>Check</v>
      </c>
      <c r="AE764" s="11">
        <f t="shared" si="94"/>
        <v>-3483.3849999999948</v>
      </c>
    </row>
    <row r="765" spans="1:31" x14ac:dyDescent="0.3">
      <c r="A765">
        <v>93</v>
      </c>
      <c r="B765">
        <v>4571727</v>
      </c>
      <c r="C765" t="s">
        <v>60</v>
      </c>
      <c r="D765">
        <v>1588891</v>
      </c>
      <c r="E765" t="s">
        <v>61</v>
      </c>
      <c r="F765" t="s">
        <v>19</v>
      </c>
      <c r="G765" t="s">
        <v>778</v>
      </c>
      <c r="H765" t="s">
        <v>779</v>
      </c>
      <c r="I765" t="s">
        <v>3184</v>
      </c>
      <c r="J765">
        <v>51124076230</v>
      </c>
      <c r="K765" t="s">
        <v>3187</v>
      </c>
      <c r="L765" t="s">
        <v>3186</v>
      </c>
      <c r="M765">
        <v>1080</v>
      </c>
      <c r="N765" s="10">
        <v>102.37</v>
      </c>
      <c r="O765" s="10">
        <f t="shared" si="90"/>
        <v>110559.6</v>
      </c>
      <c r="P765" s="10" t="s">
        <v>5006</v>
      </c>
      <c r="Q765" s="10" t="s">
        <v>5006</v>
      </c>
      <c r="R765" s="10" t="str">
        <f>IF(COUNTIF($J$2:J765,J765)=1,SUMIFS($O:$O,$J:$J,J765)+SUMIFS($P:$P,$J:$J,J765)+SUMIFS($Q:$Q,$J:$J,J765),"")</f>
        <v/>
      </c>
      <c r="S765" s="10" t="s">
        <v>5006</v>
      </c>
      <c r="T765" s="11" t="str">
        <f t="shared" si="93"/>
        <v>Check</v>
      </c>
      <c r="U765" s="12">
        <v>45750</v>
      </c>
      <c r="V765" s="10">
        <v>6966.76</v>
      </c>
      <c r="W765" s="10" t="str">
        <f t="shared" si="91"/>
        <v>N/A</v>
      </c>
      <c r="X765" t="s">
        <v>438</v>
      </c>
      <c r="Y765" t="s">
        <v>28</v>
      </c>
      <c r="Z765">
        <v>100283</v>
      </c>
      <c r="AA765" t="s">
        <v>439</v>
      </c>
      <c r="AB765" t="s">
        <v>524</v>
      </c>
      <c r="AC765" s="9">
        <v>2</v>
      </c>
      <c r="AD765" s="9" t="str">
        <f t="shared" si="92"/>
        <v>N/A</v>
      </c>
      <c r="AE765" s="11" t="e">
        <f t="shared" si="94"/>
        <v>#VALUE!</v>
      </c>
    </row>
    <row r="766" spans="1:31" x14ac:dyDescent="0.3">
      <c r="A766">
        <v>93</v>
      </c>
      <c r="B766">
        <v>4572005</v>
      </c>
      <c r="C766" t="s">
        <v>60</v>
      </c>
      <c r="D766">
        <v>1588891</v>
      </c>
      <c r="E766" t="s">
        <v>61</v>
      </c>
      <c r="F766" t="s">
        <v>19</v>
      </c>
      <c r="G766" t="s">
        <v>780</v>
      </c>
      <c r="H766" t="s">
        <v>781</v>
      </c>
      <c r="I766" t="s">
        <v>3524</v>
      </c>
      <c r="J766">
        <v>51124279479</v>
      </c>
      <c r="K766" t="s">
        <v>3324</v>
      </c>
      <c r="L766" t="s">
        <v>3920</v>
      </c>
      <c r="M766">
        <v>120</v>
      </c>
      <c r="N766" s="10">
        <v>1.4990000000000001</v>
      </c>
      <c r="O766" s="10">
        <f t="shared" si="90"/>
        <v>179.88000000000002</v>
      </c>
      <c r="P766" s="10">
        <v>0</v>
      </c>
      <c r="Q766" s="10">
        <v>0</v>
      </c>
      <c r="R766" s="10">
        <f>IF(COUNTIF($J$2:J766,J766)=1,SUMIFS($O:$O,$J:$J,J766)+SUMIFS($P:$P,$J:$J,J766)+SUMIFS($Q:$Q,$J:$J,J766),"")</f>
        <v>6884.1</v>
      </c>
      <c r="S766" s="10">
        <v>6884.1</v>
      </c>
      <c r="T766" s="11" t="str">
        <f t="shared" si="93"/>
        <v>Ok</v>
      </c>
      <c r="U766" s="12">
        <v>45890</v>
      </c>
      <c r="V766" s="10">
        <v>179.88</v>
      </c>
      <c r="W766" s="10" t="str">
        <f t="shared" si="91"/>
        <v>Short Paid</v>
      </c>
      <c r="X766" t="s">
        <v>438</v>
      </c>
      <c r="Y766" t="s">
        <v>28</v>
      </c>
      <c r="Z766">
        <v>100113</v>
      </c>
      <c r="AA766" t="s">
        <v>449</v>
      </c>
      <c r="AB766" t="s">
        <v>524</v>
      </c>
      <c r="AC766" s="9">
        <v>2</v>
      </c>
      <c r="AD766" s="9" t="str">
        <f t="shared" si="92"/>
        <v>Ok</v>
      </c>
      <c r="AE766" s="11">
        <f t="shared" si="94"/>
        <v>0</v>
      </c>
    </row>
    <row r="767" spans="1:31" x14ac:dyDescent="0.3">
      <c r="A767">
        <v>93</v>
      </c>
      <c r="B767">
        <v>4572005</v>
      </c>
      <c r="C767" t="s">
        <v>60</v>
      </c>
      <c r="D767">
        <v>1588891</v>
      </c>
      <c r="E767" t="s">
        <v>61</v>
      </c>
      <c r="F767" t="s">
        <v>19</v>
      </c>
      <c r="G767" t="s">
        <v>780</v>
      </c>
      <c r="H767" t="s">
        <v>781</v>
      </c>
      <c r="I767" t="s">
        <v>3247</v>
      </c>
      <c r="J767">
        <v>51124279479</v>
      </c>
      <c r="K767" t="s">
        <v>3922</v>
      </c>
      <c r="L767" t="s">
        <v>3921</v>
      </c>
      <c r="M767">
        <v>29</v>
      </c>
      <c r="N767" s="10">
        <v>231.18</v>
      </c>
      <c r="O767" s="10">
        <f t="shared" si="90"/>
        <v>6704.22</v>
      </c>
      <c r="P767" s="10" t="s">
        <v>5006</v>
      </c>
      <c r="Q767" s="10" t="s">
        <v>5006</v>
      </c>
      <c r="R767" s="10" t="str">
        <f>IF(COUNTIF($J$2:J767,J767)=1,SUMIFS($O:$O,$J:$J,J767)+SUMIFS($P:$P,$J:$J,J767)+SUMIFS($Q:$Q,$J:$J,J767),"")</f>
        <v/>
      </c>
      <c r="S767" s="10" t="s">
        <v>5006</v>
      </c>
      <c r="T767" s="11" t="str">
        <f t="shared" si="93"/>
        <v>Ok</v>
      </c>
      <c r="U767" s="12">
        <v>45890</v>
      </c>
      <c r="V767" s="10">
        <v>179.88</v>
      </c>
      <c r="W767" s="10" t="str">
        <f t="shared" si="91"/>
        <v>N/A</v>
      </c>
      <c r="X767" t="s">
        <v>438</v>
      </c>
      <c r="Y767" t="s">
        <v>28</v>
      </c>
      <c r="Z767">
        <v>100113</v>
      </c>
      <c r="AA767" t="s">
        <v>449</v>
      </c>
      <c r="AB767" t="s">
        <v>524</v>
      </c>
      <c r="AC767" s="9">
        <v>2</v>
      </c>
      <c r="AD767" s="9" t="str">
        <f t="shared" si="92"/>
        <v>N/A</v>
      </c>
      <c r="AE767" s="11" t="e">
        <f t="shared" si="94"/>
        <v>#VALUE!</v>
      </c>
    </row>
    <row r="768" spans="1:31" x14ac:dyDescent="0.3">
      <c r="A768">
        <v>66</v>
      </c>
      <c r="B768">
        <v>4646307</v>
      </c>
      <c r="C768" t="s">
        <v>240</v>
      </c>
      <c r="D768">
        <v>1688418</v>
      </c>
      <c r="E768" t="s">
        <v>570</v>
      </c>
      <c r="F768" t="s">
        <v>20</v>
      </c>
      <c r="G768" t="s">
        <v>971</v>
      </c>
      <c r="H768" t="s">
        <v>972</v>
      </c>
      <c r="I768" t="s">
        <v>3543</v>
      </c>
      <c r="J768">
        <v>51125154672</v>
      </c>
      <c r="K768" t="s">
        <v>3276</v>
      </c>
      <c r="L768" t="s">
        <v>3923</v>
      </c>
      <c r="M768">
        <v>100</v>
      </c>
      <c r="N768" s="10">
        <v>192.18</v>
      </c>
      <c r="O768" s="10">
        <f t="shared" si="90"/>
        <v>19218</v>
      </c>
      <c r="P768" s="10">
        <v>0</v>
      </c>
      <c r="Q768" s="10">
        <v>2591.23</v>
      </c>
      <c r="R768" s="10">
        <f>IF(COUNTIF($J$2:J768,J768)=1,SUMIFS($O:$O,$J:$J,J768)+SUMIFS($P:$P,$J:$J,J768)+SUMIFS($Q:$Q,$J:$J,J768),"")</f>
        <v>32696.73</v>
      </c>
      <c r="S768" s="10">
        <v>32696.73</v>
      </c>
      <c r="T768" s="11" t="str">
        <f t="shared" si="93"/>
        <v>Ok</v>
      </c>
      <c r="U768" s="12">
        <v>46086</v>
      </c>
      <c r="V768" s="10">
        <v>18257.099999999999</v>
      </c>
      <c r="W768" s="10" t="str">
        <f t="shared" si="91"/>
        <v>Short Paid</v>
      </c>
      <c r="X768" t="s">
        <v>478</v>
      </c>
      <c r="Y768" t="s">
        <v>28</v>
      </c>
      <c r="Z768">
        <v>100242</v>
      </c>
      <c r="AA768" t="s">
        <v>3096</v>
      </c>
      <c r="AB768" t="s">
        <v>521</v>
      </c>
      <c r="AC768" s="9">
        <v>2</v>
      </c>
      <c r="AD768" s="9" t="str">
        <f t="shared" si="92"/>
        <v>Ok</v>
      </c>
      <c r="AE768" s="11">
        <f t="shared" si="94"/>
        <v>0</v>
      </c>
    </row>
    <row r="769" spans="1:31" x14ac:dyDescent="0.3">
      <c r="A769">
        <v>66</v>
      </c>
      <c r="B769">
        <v>4646307</v>
      </c>
      <c r="C769" t="s">
        <v>240</v>
      </c>
      <c r="D769">
        <v>1688418</v>
      </c>
      <c r="E769" t="s">
        <v>570</v>
      </c>
      <c r="F769" t="s">
        <v>20</v>
      </c>
      <c r="G769" t="s">
        <v>971</v>
      </c>
      <c r="H769" t="s">
        <v>972</v>
      </c>
      <c r="I769" t="s">
        <v>3543</v>
      </c>
      <c r="J769">
        <v>51125154672</v>
      </c>
      <c r="K769" t="s">
        <v>3276</v>
      </c>
      <c r="L769" t="s">
        <v>3924</v>
      </c>
      <c r="M769">
        <v>50</v>
      </c>
      <c r="N769" s="10">
        <v>217.75</v>
      </c>
      <c r="O769" s="10">
        <f t="shared" si="90"/>
        <v>10887.5</v>
      </c>
      <c r="P769" s="10" t="s">
        <v>5006</v>
      </c>
      <c r="Q769" s="10" t="s">
        <v>5006</v>
      </c>
      <c r="R769" s="10" t="str">
        <f>IF(COUNTIF($J$2:J769,J769)=1,SUMIFS($O:$O,$J:$J,J769)+SUMIFS($P:$P,$J:$J,J769)+SUMIFS($Q:$Q,$J:$J,J769),"")</f>
        <v/>
      </c>
      <c r="S769" s="10" t="s">
        <v>5006</v>
      </c>
      <c r="T769" s="11" t="str">
        <f t="shared" si="93"/>
        <v>Ok</v>
      </c>
      <c r="U769" s="12">
        <v>46086</v>
      </c>
      <c r="V769" s="10">
        <v>18257.099999999999</v>
      </c>
      <c r="W769" s="10" t="str">
        <f t="shared" si="91"/>
        <v>N/A</v>
      </c>
      <c r="X769" t="s">
        <v>478</v>
      </c>
      <c r="Y769" t="s">
        <v>28</v>
      </c>
      <c r="Z769">
        <v>100242</v>
      </c>
      <c r="AA769" t="s">
        <v>3096</v>
      </c>
      <c r="AB769" t="s">
        <v>521</v>
      </c>
      <c r="AC769" s="9">
        <v>2</v>
      </c>
      <c r="AD769" s="9" t="str">
        <f t="shared" si="92"/>
        <v>N/A</v>
      </c>
      <c r="AE769" s="11" t="e">
        <f t="shared" si="94"/>
        <v>#VALUE!</v>
      </c>
    </row>
    <row r="770" spans="1:31" x14ac:dyDescent="0.3">
      <c r="A770">
        <v>93</v>
      </c>
      <c r="B770">
        <v>4572284</v>
      </c>
      <c r="C770" t="s">
        <v>60</v>
      </c>
      <c r="D770">
        <v>1588891</v>
      </c>
      <c r="E770" t="s">
        <v>61</v>
      </c>
      <c r="F770" t="s">
        <v>19</v>
      </c>
      <c r="G770" t="s">
        <v>782</v>
      </c>
      <c r="H770" t="s">
        <v>783</v>
      </c>
      <c r="I770" t="s">
        <v>3477</v>
      </c>
      <c r="J770">
        <v>51125204418</v>
      </c>
      <c r="K770" t="s">
        <v>3926</v>
      </c>
      <c r="L770" t="s">
        <v>3925</v>
      </c>
      <c r="M770">
        <v>250</v>
      </c>
      <c r="N770" s="10">
        <v>19.22</v>
      </c>
      <c r="O770" s="10">
        <f t="shared" ref="O770:O833" si="95">M770*N770</f>
        <v>4805</v>
      </c>
      <c r="P770" s="10">
        <v>0</v>
      </c>
      <c r="Q770" s="10">
        <v>0</v>
      </c>
      <c r="R770" s="10">
        <f>IF(COUNTIF($J$2:J770,J770)=1,SUMIFS($O:$O,$J:$J,J770)+SUMIFS($P:$P,$J:$J,J770)+SUMIFS($Q:$Q,$J:$J,J770),"")</f>
        <v>5252.8519999999999</v>
      </c>
      <c r="S770" s="10">
        <v>5252.85</v>
      </c>
      <c r="T770" s="11" t="str">
        <f t="shared" si="93"/>
        <v>Check</v>
      </c>
      <c r="U770" s="12">
        <v>45741</v>
      </c>
      <c r="V770" s="10">
        <v>447.85</v>
      </c>
      <c r="W770" s="10" t="str">
        <f t="shared" ref="W770:W833" si="96">IF(OR(S770="",V770=""),"N/A",IF(S770&lt;&gt;V770,"Short Paid","Not Paid"))</f>
        <v>Short Paid</v>
      </c>
      <c r="X770" t="s">
        <v>438</v>
      </c>
      <c r="Y770" t="s">
        <v>28</v>
      </c>
      <c r="Z770">
        <v>100123</v>
      </c>
      <c r="AA770" t="s">
        <v>447</v>
      </c>
      <c r="AB770" t="s">
        <v>524</v>
      </c>
      <c r="AC770" s="9">
        <v>2</v>
      </c>
      <c r="AD770" s="9" t="str">
        <f t="shared" ref="AD770:AD833" si="97">IF(AND(R770="",S770=""),"N/A",IF(R770=S770,"Ok","Check"))</f>
        <v>Check</v>
      </c>
      <c r="AE770" s="11">
        <f t="shared" si="94"/>
        <v>1.9999999994979589E-3</v>
      </c>
    </row>
    <row r="771" spans="1:31" x14ac:dyDescent="0.3">
      <c r="A771">
        <v>93</v>
      </c>
      <c r="B771">
        <v>4572284</v>
      </c>
      <c r="C771" t="s">
        <v>60</v>
      </c>
      <c r="D771">
        <v>1588891</v>
      </c>
      <c r="E771" t="s">
        <v>61</v>
      </c>
      <c r="F771" t="s">
        <v>19</v>
      </c>
      <c r="G771" t="s">
        <v>782</v>
      </c>
      <c r="H771" t="s">
        <v>783</v>
      </c>
      <c r="I771" t="s">
        <v>3328</v>
      </c>
      <c r="J771">
        <v>51125204418</v>
      </c>
      <c r="K771" t="s">
        <v>3266</v>
      </c>
      <c r="L771" t="s">
        <v>3368</v>
      </c>
      <c r="M771">
        <v>1200</v>
      </c>
      <c r="N771" s="10">
        <v>0.37320999999999999</v>
      </c>
      <c r="O771" s="10">
        <f t="shared" si="95"/>
        <v>447.85199999999998</v>
      </c>
      <c r="P771" s="10" t="s">
        <v>5006</v>
      </c>
      <c r="Q771" s="10" t="s">
        <v>5006</v>
      </c>
      <c r="R771" s="10" t="str">
        <f>IF(COUNTIF($J$2:J771,J771)=1,SUMIFS($O:$O,$J:$J,J771)+SUMIFS($P:$P,$J:$J,J771)+SUMIFS($Q:$Q,$J:$J,J771),"")</f>
        <v/>
      </c>
      <c r="S771" s="10" t="s">
        <v>5006</v>
      </c>
      <c r="T771" s="11" t="str">
        <f t="shared" ref="T771:T834" si="98">IFERROR(INDEX(AD:AD,MATCH(J771,J:J,0)),"")</f>
        <v>Check</v>
      </c>
      <c r="U771" s="12">
        <v>45741</v>
      </c>
      <c r="V771" s="10">
        <v>447.85</v>
      </c>
      <c r="W771" s="10" t="str">
        <f t="shared" si="96"/>
        <v>N/A</v>
      </c>
      <c r="X771" t="s">
        <v>438</v>
      </c>
      <c r="Y771" t="s">
        <v>28</v>
      </c>
      <c r="Z771">
        <v>100123</v>
      </c>
      <c r="AA771" t="s">
        <v>447</v>
      </c>
      <c r="AB771" t="s">
        <v>524</v>
      </c>
      <c r="AC771" s="9">
        <v>2</v>
      </c>
      <c r="AD771" s="9" t="str">
        <f t="shared" si="97"/>
        <v>N/A</v>
      </c>
      <c r="AE771" s="11" t="e">
        <f t="shared" si="94"/>
        <v>#VALUE!</v>
      </c>
    </row>
    <row r="772" spans="1:31" x14ac:dyDescent="0.3">
      <c r="A772">
        <v>93</v>
      </c>
      <c r="B772">
        <v>4572562</v>
      </c>
      <c r="C772" t="s">
        <v>60</v>
      </c>
      <c r="D772">
        <v>1588891</v>
      </c>
      <c r="E772" t="s">
        <v>61</v>
      </c>
      <c r="F772" t="s">
        <v>19</v>
      </c>
      <c r="G772" t="s">
        <v>784</v>
      </c>
      <c r="H772" t="s">
        <v>785</v>
      </c>
      <c r="I772" t="s">
        <v>3275</v>
      </c>
      <c r="J772">
        <v>51125204427</v>
      </c>
      <c r="K772" t="s">
        <v>3187</v>
      </c>
      <c r="L772" t="s">
        <v>3186</v>
      </c>
      <c r="M772">
        <v>540</v>
      </c>
      <c r="N772" s="10">
        <v>102.37</v>
      </c>
      <c r="O772" s="10">
        <f t="shared" si="95"/>
        <v>55279.8</v>
      </c>
      <c r="P772" s="10">
        <v>0</v>
      </c>
      <c r="Q772" s="10">
        <v>0</v>
      </c>
      <c r="R772" s="10">
        <f>IF(COUNTIF($J$2:J772,J772)=1,SUMIFS($O:$O,$J:$J,J772)+SUMIFS($P:$P,$J:$J,J772)+SUMIFS($Q:$Q,$J:$J,J772),"")</f>
        <v>67225.8</v>
      </c>
      <c r="S772" s="10">
        <v>67225.8</v>
      </c>
      <c r="T772" s="11" t="str">
        <f t="shared" si="98"/>
        <v>Ok</v>
      </c>
      <c r="U772" s="12">
        <v>45855</v>
      </c>
      <c r="V772" s="10">
        <v>11946</v>
      </c>
      <c r="W772" s="10" t="str">
        <f t="shared" si="96"/>
        <v>Short Paid</v>
      </c>
      <c r="X772" t="s">
        <v>438</v>
      </c>
      <c r="Y772" t="s">
        <v>28</v>
      </c>
      <c r="Z772">
        <v>100153</v>
      </c>
      <c r="AA772" t="s">
        <v>445</v>
      </c>
      <c r="AB772" t="s">
        <v>524</v>
      </c>
      <c r="AC772" s="9">
        <v>2</v>
      </c>
      <c r="AD772" s="9" t="str">
        <f t="shared" si="97"/>
        <v>Ok</v>
      </c>
      <c r="AE772" s="11">
        <f t="shared" si="94"/>
        <v>0</v>
      </c>
    </row>
    <row r="773" spans="1:31" x14ac:dyDescent="0.3">
      <c r="A773">
        <v>93</v>
      </c>
      <c r="B773">
        <v>4572562</v>
      </c>
      <c r="C773" t="s">
        <v>60</v>
      </c>
      <c r="D773">
        <v>1588891</v>
      </c>
      <c r="E773" t="s">
        <v>61</v>
      </c>
      <c r="F773" t="s">
        <v>19</v>
      </c>
      <c r="G773" t="s">
        <v>784</v>
      </c>
      <c r="H773" t="s">
        <v>785</v>
      </c>
      <c r="I773" t="s">
        <v>3219</v>
      </c>
      <c r="J773">
        <v>51125204427</v>
      </c>
      <c r="K773" t="s">
        <v>3928</v>
      </c>
      <c r="L773" t="s">
        <v>3927</v>
      </c>
      <c r="M773">
        <v>3000</v>
      </c>
      <c r="N773" s="10">
        <v>3.9820000000000002</v>
      </c>
      <c r="O773" s="10">
        <f t="shared" si="95"/>
        <v>11946</v>
      </c>
      <c r="P773" s="10" t="s">
        <v>5006</v>
      </c>
      <c r="Q773" s="10" t="s">
        <v>5006</v>
      </c>
      <c r="R773" s="10" t="str">
        <f>IF(COUNTIF($J$2:J773,J773)=1,SUMIFS($O:$O,$J:$J,J773)+SUMIFS($P:$P,$J:$J,J773)+SUMIFS($Q:$Q,$J:$J,J773),"")</f>
        <v/>
      </c>
      <c r="S773" s="10" t="s">
        <v>5006</v>
      </c>
      <c r="T773" s="11" t="str">
        <f t="shared" si="98"/>
        <v>Ok</v>
      </c>
      <c r="U773" s="12">
        <v>45855</v>
      </c>
      <c r="V773" s="10">
        <v>11946</v>
      </c>
      <c r="W773" s="10" t="str">
        <f t="shared" si="96"/>
        <v>N/A</v>
      </c>
      <c r="X773" t="s">
        <v>438</v>
      </c>
      <c r="Y773" t="s">
        <v>28</v>
      </c>
      <c r="Z773">
        <v>100153</v>
      </c>
      <c r="AA773" t="s">
        <v>445</v>
      </c>
      <c r="AB773" t="s">
        <v>524</v>
      </c>
      <c r="AC773" s="9">
        <v>2</v>
      </c>
      <c r="AD773" s="9" t="str">
        <f t="shared" si="97"/>
        <v>N/A</v>
      </c>
      <c r="AE773" s="11" t="e">
        <f t="shared" si="94"/>
        <v>#VALUE!</v>
      </c>
    </row>
    <row r="774" spans="1:31" x14ac:dyDescent="0.3">
      <c r="A774">
        <v>66</v>
      </c>
      <c r="B774">
        <v>4646029</v>
      </c>
      <c r="C774" t="s">
        <v>160</v>
      </c>
      <c r="D774">
        <v>1422097</v>
      </c>
      <c r="E774" t="s">
        <v>388</v>
      </c>
      <c r="F774" t="s">
        <v>17</v>
      </c>
      <c r="G774" t="s">
        <v>973</v>
      </c>
      <c r="H774" t="s">
        <v>974</v>
      </c>
      <c r="I774" t="s">
        <v>3163</v>
      </c>
      <c r="J774">
        <v>51125249803</v>
      </c>
      <c r="K774" t="s">
        <v>3375</v>
      </c>
      <c r="L774" t="s">
        <v>3929</v>
      </c>
      <c r="M774">
        <v>102</v>
      </c>
      <c r="N774" s="10">
        <v>393.75</v>
      </c>
      <c r="O774" s="10">
        <f t="shared" si="95"/>
        <v>40162.5</v>
      </c>
      <c r="P774" s="10">
        <v>0</v>
      </c>
      <c r="Q774" s="10">
        <v>0</v>
      </c>
      <c r="R774" s="10">
        <f>IF(COUNTIF($J$2:J774,J774)=1,SUMIFS($O:$O,$J:$J,J774)+SUMIFS($P:$P,$J:$J,J774)+SUMIFS($Q:$Q,$J:$J,J774),"")</f>
        <v>41962.5</v>
      </c>
      <c r="S774" s="10">
        <v>41962.5</v>
      </c>
      <c r="T774" s="11" t="str">
        <f t="shared" si="98"/>
        <v>Ok</v>
      </c>
      <c r="U774" s="12">
        <v>45257</v>
      </c>
      <c r="V774" s="10">
        <v>2756.25</v>
      </c>
      <c r="W774" s="10" t="str">
        <f t="shared" si="96"/>
        <v>Short Paid</v>
      </c>
      <c r="X774" t="s">
        <v>453</v>
      </c>
      <c r="Y774" t="s">
        <v>436</v>
      </c>
      <c r="Z774">
        <v>100214</v>
      </c>
      <c r="AA774" t="s">
        <v>3111</v>
      </c>
      <c r="AB774" t="s">
        <v>528</v>
      </c>
      <c r="AC774" s="9">
        <v>2</v>
      </c>
      <c r="AD774" s="9" t="str">
        <f t="shared" si="97"/>
        <v>Ok</v>
      </c>
      <c r="AE774" s="11">
        <f t="shared" si="94"/>
        <v>0</v>
      </c>
    </row>
    <row r="775" spans="1:31" x14ac:dyDescent="0.3">
      <c r="A775">
        <v>66</v>
      </c>
      <c r="B775">
        <v>4646029</v>
      </c>
      <c r="C775" t="s">
        <v>160</v>
      </c>
      <c r="D775">
        <v>1422097</v>
      </c>
      <c r="E775" t="s">
        <v>388</v>
      </c>
      <c r="F775" t="s">
        <v>17</v>
      </c>
      <c r="G775" t="s">
        <v>973</v>
      </c>
      <c r="H775" t="s">
        <v>974</v>
      </c>
      <c r="I775" t="s">
        <v>3163</v>
      </c>
      <c r="J775">
        <v>51125249803</v>
      </c>
      <c r="K775" t="s">
        <v>3375</v>
      </c>
      <c r="L775" t="s">
        <v>3930</v>
      </c>
      <c r="M775">
        <v>1</v>
      </c>
      <c r="N775" s="10">
        <v>1800</v>
      </c>
      <c r="O775" s="10">
        <f t="shared" si="95"/>
        <v>1800</v>
      </c>
      <c r="P775" s="10" t="s">
        <v>5006</v>
      </c>
      <c r="Q775" s="10" t="s">
        <v>5006</v>
      </c>
      <c r="R775" s="10" t="str">
        <f>IF(COUNTIF($J$2:J775,J775)=1,SUMIFS($O:$O,$J:$J,J775)+SUMIFS($P:$P,$J:$J,J775)+SUMIFS($Q:$Q,$J:$J,J775),"")</f>
        <v/>
      </c>
      <c r="S775" s="10" t="s">
        <v>5006</v>
      </c>
      <c r="T775" s="11" t="str">
        <f t="shared" si="98"/>
        <v>Ok</v>
      </c>
      <c r="U775" s="12">
        <v>45257</v>
      </c>
      <c r="V775" s="10">
        <v>2756.25</v>
      </c>
      <c r="W775" s="10" t="str">
        <f t="shared" si="96"/>
        <v>N/A</v>
      </c>
      <c r="X775" t="s">
        <v>453</v>
      </c>
      <c r="Y775" t="s">
        <v>436</v>
      </c>
      <c r="Z775">
        <v>100214</v>
      </c>
      <c r="AA775" t="s">
        <v>3111</v>
      </c>
      <c r="AB775" t="s">
        <v>528</v>
      </c>
      <c r="AC775" s="9">
        <v>2</v>
      </c>
      <c r="AD775" s="9" t="str">
        <f t="shared" si="97"/>
        <v>N/A</v>
      </c>
      <c r="AE775" s="11" t="e">
        <f t="shared" ref="AE775:AE838" si="99">R775-S775</f>
        <v>#VALUE!</v>
      </c>
    </row>
    <row r="776" spans="1:31" x14ac:dyDescent="0.3">
      <c r="A776">
        <v>65</v>
      </c>
      <c r="B776">
        <v>4651595</v>
      </c>
      <c r="C776" t="s">
        <v>56</v>
      </c>
      <c r="D776">
        <v>1443616</v>
      </c>
      <c r="E776" t="s">
        <v>285</v>
      </c>
      <c r="F776" t="s">
        <v>19</v>
      </c>
      <c r="G776" t="s">
        <v>975</v>
      </c>
      <c r="H776" t="s">
        <v>976</v>
      </c>
      <c r="I776" t="s">
        <v>3257</v>
      </c>
      <c r="J776">
        <v>51125249813</v>
      </c>
      <c r="K776" t="s">
        <v>3362</v>
      </c>
      <c r="L776" t="s">
        <v>3931</v>
      </c>
      <c r="M776">
        <v>3</v>
      </c>
      <c r="N776" s="10">
        <v>14.74</v>
      </c>
      <c r="O776" s="10">
        <f t="shared" si="95"/>
        <v>44.22</v>
      </c>
      <c r="P776" s="10">
        <v>0</v>
      </c>
      <c r="Q776" s="10">
        <v>0</v>
      </c>
      <c r="R776" s="10">
        <f>IF(COUNTIF($J$2:J776,J776)=1,SUMIFS($O:$O,$J:$J,J776)+SUMIFS($P:$P,$J:$J,J776)+SUMIFS($Q:$Q,$J:$J,J776),"")</f>
        <v>28746.400000000001</v>
      </c>
      <c r="S776" s="10">
        <v>86147.76</v>
      </c>
      <c r="T776" s="11" t="str">
        <f t="shared" si="98"/>
        <v>Check</v>
      </c>
      <c r="U776" s="12">
        <v>46087</v>
      </c>
      <c r="V776" s="10">
        <v>14280</v>
      </c>
      <c r="W776" s="10" t="str">
        <f t="shared" si="96"/>
        <v>Short Paid</v>
      </c>
      <c r="X776" t="s">
        <v>435</v>
      </c>
      <c r="Y776" t="s">
        <v>28</v>
      </c>
      <c r="Z776">
        <v>100271</v>
      </c>
      <c r="AA776" t="s">
        <v>3067</v>
      </c>
      <c r="AB776" t="s">
        <v>524</v>
      </c>
      <c r="AC776" s="9">
        <v>3</v>
      </c>
      <c r="AD776" s="9" t="str">
        <f t="shared" si="97"/>
        <v>Check</v>
      </c>
      <c r="AE776" s="11">
        <f t="shared" si="99"/>
        <v>-57401.359999999993</v>
      </c>
    </row>
    <row r="777" spans="1:31" x14ac:dyDescent="0.3">
      <c r="A777">
        <v>65</v>
      </c>
      <c r="B777">
        <v>4651595</v>
      </c>
      <c r="C777" t="s">
        <v>56</v>
      </c>
      <c r="D777">
        <v>1443616</v>
      </c>
      <c r="E777" t="s">
        <v>285</v>
      </c>
      <c r="F777" t="s">
        <v>19</v>
      </c>
      <c r="G777" t="s">
        <v>975</v>
      </c>
      <c r="H777" t="s">
        <v>976</v>
      </c>
      <c r="I777" t="s">
        <v>3257</v>
      </c>
      <c r="J777">
        <v>51125249813</v>
      </c>
      <c r="K777" t="s">
        <v>3362</v>
      </c>
      <c r="L777" t="s">
        <v>3832</v>
      </c>
      <c r="M777">
        <v>1</v>
      </c>
      <c r="N777" s="10">
        <v>28700.68</v>
      </c>
      <c r="O777" s="10">
        <f t="shared" si="95"/>
        <v>28700.68</v>
      </c>
      <c r="P777" s="10" t="s">
        <v>5006</v>
      </c>
      <c r="Q777" s="10" t="s">
        <v>5006</v>
      </c>
      <c r="R777" s="10" t="str">
        <f>IF(COUNTIF($J$2:J777,J777)=1,SUMIFS($O:$O,$J:$J,J777)+SUMIFS($P:$P,$J:$J,J777)+SUMIFS($Q:$Q,$J:$J,J777),"")</f>
        <v/>
      </c>
      <c r="S777" s="10" t="s">
        <v>5006</v>
      </c>
      <c r="T777" s="11" t="str">
        <f t="shared" si="98"/>
        <v>Check</v>
      </c>
      <c r="U777" s="12">
        <v>46087</v>
      </c>
      <c r="V777" s="10">
        <v>14280</v>
      </c>
      <c r="W777" s="10" t="str">
        <f t="shared" si="96"/>
        <v>N/A</v>
      </c>
      <c r="X777" t="s">
        <v>435</v>
      </c>
      <c r="Y777" t="s">
        <v>28</v>
      </c>
      <c r="Z777">
        <v>100271</v>
      </c>
      <c r="AA777" t="s">
        <v>3067</v>
      </c>
      <c r="AB777" t="s">
        <v>524</v>
      </c>
      <c r="AC777" s="9">
        <v>3</v>
      </c>
      <c r="AD777" s="9" t="str">
        <f t="shared" si="97"/>
        <v>N/A</v>
      </c>
      <c r="AE777" s="11" t="e">
        <f t="shared" si="99"/>
        <v>#VALUE!</v>
      </c>
    </row>
    <row r="778" spans="1:31" x14ac:dyDescent="0.3">
      <c r="A778">
        <v>65</v>
      </c>
      <c r="B778">
        <v>4651595</v>
      </c>
      <c r="C778" t="s">
        <v>56</v>
      </c>
      <c r="D778">
        <v>1443616</v>
      </c>
      <c r="E778" t="s">
        <v>285</v>
      </c>
      <c r="F778" t="s">
        <v>19</v>
      </c>
      <c r="G778" t="s">
        <v>975</v>
      </c>
      <c r="H778" t="s">
        <v>976</v>
      </c>
      <c r="I778" t="s">
        <v>3257</v>
      </c>
      <c r="J778">
        <v>51125249813</v>
      </c>
      <c r="K778" t="s">
        <v>3183</v>
      </c>
      <c r="L778" t="s">
        <v>3816</v>
      </c>
      <c r="M778">
        <v>6</v>
      </c>
      <c r="N778" s="10">
        <v>0.25</v>
      </c>
      <c r="O778" s="10">
        <f t="shared" si="95"/>
        <v>1.5</v>
      </c>
      <c r="P778" s="10" t="s">
        <v>5006</v>
      </c>
      <c r="Q778" s="10" t="s">
        <v>5006</v>
      </c>
      <c r="R778" s="10" t="str">
        <f>IF(COUNTIF($J$2:J778,J778)=1,SUMIFS($O:$O,$J:$J,J778)+SUMIFS($P:$P,$J:$J,J778)+SUMIFS($Q:$Q,$J:$J,J778),"")</f>
        <v/>
      </c>
      <c r="S778" s="10" t="s">
        <v>5006</v>
      </c>
      <c r="T778" s="11" t="str">
        <f t="shared" si="98"/>
        <v>Check</v>
      </c>
      <c r="U778" s="12">
        <v>46087</v>
      </c>
      <c r="V778" s="10">
        <v>14280</v>
      </c>
      <c r="W778" s="10" t="str">
        <f t="shared" si="96"/>
        <v>N/A</v>
      </c>
      <c r="X778" t="s">
        <v>435</v>
      </c>
      <c r="Y778" t="s">
        <v>28</v>
      </c>
      <c r="Z778">
        <v>100271</v>
      </c>
      <c r="AA778" t="s">
        <v>3067</v>
      </c>
      <c r="AB778" t="s">
        <v>524</v>
      </c>
      <c r="AC778" s="9">
        <v>3</v>
      </c>
      <c r="AD778" s="9" t="str">
        <f t="shared" si="97"/>
        <v>N/A</v>
      </c>
      <c r="AE778" s="11" t="e">
        <f t="shared" si="99"/>
        <v>#VALUE!</v>
      </c>
    </row>
    <row r="779" spans="1:31" x14ac:dyDescent="0.3">
      <c r="A779">
        <v>93</v>
      </c>
      <c r="B779">
        <v>4572840</v>
      </c>
      <c r="C779" t="s">
        <v>60</v>
      </c>
      <c r="D779">
        <v>1588891</v>
      </c>
      <c r="E779" t="s">
        <v>61</v>
      </c>
      <c r="F779" t="s">
        <v>19</v>
      </c>
      <c r="G779" t="s">
        <v>786</v>
      </c>
      <c r="H779" t="s">
        <v>787</v>
      </c>
      <c r="I779" t="s">
        <v>3467</v>
      </c>
      <c r="J779">
        <v>51125355376</v>
      </c>
      <c r="K779" t="s">
        <v>3187</v>
      </c>
      <c r="L779" t="s">
        <v>3186</v>
      </c>
      <c r="M779">
        <v>540</v>
      </c>
      <c r="N779" s="10">
        <v>102.37</v>
      </c>
      <c r="O779" s="10">
        <f t="shared" si="95"/>
        <v>55279.8</v>
      </c>
      <c r="P779" s="10">
        <v>0</v>
      </c>
      <c r="Q779" s="10">
        <v>0</v>
      </c>
      <c r="R779" s="10">
        <f>IF(COUNTIF($J$2:J779,J779)=1,SUMIFS($O:$O,$J:$J,J779)+SUMIFS($P:$P,$J:$J,J779)+SUMIFS($Q:$Q,$J:$J,J779),"")</f>
        <v>55441.8</v>
      </c>
      <c r="S779" s="10">
        <v>55441.8</v>
      </c>
      <c r="T779" s="11" t="str">
        <f t="shared" si="98"/>
        <v>Ok</v>
      </c>
      <c r="U779" s="12">
        <v>45792</v>
      </c>
      <c r="V779" s="10">
        <v>162</v>
      </c>
      <c r="W779" s="10" t="str">
        <f t="shared" si="96"/>
        <v>Short Paid</v>
      </c>
      <c r="X779" t="s">
        <v>438</v>
      </c>
      <c r="Y779" t="s">
        <v>28</v>
      </c>
      <c r="Z779">
        <v>100163</v>
      </c>
      <c r="AA779" t="s">
        <v>443</v>
      </c>
      <c r="AB779" t="s">
        <v>524</v>
      </c>
      <c r="AC779" s="9">
        <v>2</v>
      </c>
      <c r="AD779" s="9" t="str">
        <f t="shared" si="97"/>
        <v>Ok</v>
      </c>
      <c r="AE779" s="11">
        <f t="shared" si="99"/>
        <v>0</v>
      </c>
    </row>
    <row r="780" spans="1:31" x14ac:dyDescent="0.3">
      <c r="A780">
        <v>93</v>
      </c>
      <c r="B780">
        <v>4572840</v>
      </c>
      <c r="C780" t="s">
        <v>60</v>
      </c>
      <c r="D780">
        <v>1588891</v>
      </c>
      <c r="E780" t="s">
        <v>61</v>
      </c>
      <c r="F780" t="s">
        <v>19</v>
      </c>
      <c r="G780" t="s">
        <v>786</v>
      </c>
      <c r="H780" t="s">
        <v>787</v>
      </c>
      <c r="I780" t="s">
        <v>3285</v>
      </c>
      <c r="J780">
        <v>51125355376</v>
      </c>
      <c r="K780" t="s">
        <v>3374</v>
      </c>
      <c r="L780" t="s">
        <v>3932</v>
      </c>
      <c r="M780">
        <v>108000</v>
      </c>
      <c r="N780" s="10">
        <v>1.5E-3</v>
      </c>
      <c r="O780" s="10">
        <f t="shared" si="95"/>
        <v>162</v>
      </c>
      <c r="P780" s="10" t="s">
        <v>5006</v>
      </c>
      <c r="Q780" s="10" t="s">
        <v>5006</v>
      </c>
      <c r="R780" s="10" t="str">
        <f>IF(COUNTIF($J$2:J780,J780)=1,SUMIFS($O:$O,$J:$J,J780)+SUMIFS($P:$P,$J:$J,J780)+SUMIFS($Q:$Q,$J:$J,J780),"")</f>
        <v/>
      </c>
      <c r="S780" s="10" t="s">
        <v>5006</v>
      </c>
      <c r="T780" s="11" t="str">
        <f t="shared" si="98"/>
        <v>Ok</v>
      </c>
      <c r="U780" s="12">
        <v>45792</v>
      </c>
      <c r="V780" s="10">
        <v>162</v>
      </c>
      <c r="W780" s="10" t="str">
        <f t="shared" si="96"/>
        <v>N/A</v>
      </c>
      <c r="X780" t="s">
        <v>438</v>
      </c>
      <c r="Y780" t="s">
        <v>28</v>
      </c>
      <c r="Z780">
        <v>100163</v>
      </c>
      <c r="AA780" t="s">
        <v>443</v>
      </c>
      <c r="AB780" t="s">
        <v>524</v>
      </c>
      <c r="AC780" s="9">
        <v>2</v>
      </c>
      <c r="AD780" s="9" t="str">
        <f t="shared" si="97"/>
        <v>N/A</v>
      </c>
      <c r="AE780" s="11" t="e">
        <f t="shared" si="99"/>
        <v>#VALUE!</v>
      </c>
    </row>
    <row r="781" spans="1:31" x14ac:dyDescent="0.3">
      <c r="A781">
        <v>93</v>
      </c>
      <c r="B781">
        <v>4573397</v>
      </c>
      <c r="C781" t="s">
        <v>60</v>
      </c>
      <c r="D781">
        <v>1588891</v>
      </c>
      <c r="E781" t="s">
        <v>61</v>
      </c>
      <c r="F781" t="s">
        <v>50</v>
      </c>
      <c r="G781" t="s">
        <v>788</v>
      </c>
      <c r="H781" t="s">
        <v>789</v>
      </c>
      <c r="I781" t="s">
        <v>3455</v>
      </c>
      <c r="J781">
        <v>51125487144</v>
      </c>
      <c r="K781" t="s">
        <v>3908</v>
      </c>
      <c r="L781" t="s">
        <v>3917</v>
      </c>
      <c r="M781">
        <v>2</v>
      </c>
      <c r="N781" s="10">
        <v>1864.5</v>
      </c>
      <c r="O781" s="10">
        <f t="shared" si="95"/>
        <v>3729</v>
      </c>
      <c r="P781" s="10">
        <v>0</v>
      </c>
      <c r="Q781" s="10">
        <v>0</v>
      </c>
      <c r="R781" s="10">
        <f>IF(COUNTIF($J$2:J781,J781)=1,SUMIFS($O:$O,$J:$J,J781)+SUMIFS($P:$P,$J:$J,J781)+SUMIFS($Q:$Q,$J:$J,J781),"")</f>
        <v>3980</v>
      </c>
      <c r="S781" s="10">
        <v>3980</v>
      </c>
      <c r="T781" s="11" t="str">
        <f t="shared" si="98"/>
        <v>Ok</v>
      </c>
      <c r="U781" s="12">
        <v>45724</v>
      </c>
      <c r="V781" s="10">
        <v>250</v>
      </c>
      <c r="W781" s="10" t="str">
        <f t="shared" si="96"/>
        <v>Short Paid</v>
      </c>
      <c r="X781" t="s">
        <v>438</v>
      </c>
      <c r="Y781" t="s">
        <v>436</v>
      </c>
      <c r="Z781">
        <v>100253</v>
      </c>
      <c r="AA781" t="s">
        <v>3086</v>
      </c>
      <c r="AB781" t="s">
        <v>3042</v>
      </c>
      <c r="AC781" s="9">
        <v>3</v>
      </c>
      <c r="AD781" s="9" t="str">
        <f t="shared" si="97"/>
        <v>Ok</v>
      </c>
      <c r="AE781" s="11">
        <f t="shared" si="99"/>
        <v>0</v>
      </c>
    </row>
    <row r="782" spans="1:31" x14ac:dyDescent="0.3">
      <c r="A782">
        <v>93</v>
      </c>
      <c r="B782">
        <v>4573397</v>
      </c>
      <c r="C782" t="s">
        <v>60</v>
      </c>
      <c r="D782">
        <v>1588891</v>
      </c>
      <c r="E782" t="s">
        <v>61</v>
      </c>
      <c r="F782" t="s">
        <v>50</v>
      </c>
      <c r="G782" t="s">
        <v>788</v>
      </c>
      <c r="H782" t="s">
        <v>789</v>
      </c>
      <c r="I782" t="s">
        <v>3455</v>
      </c>
      <c r="J782">
        <v>51125487144</v>
      </c>
      <c r="K782" t="s">
        <v>3183</v>
      </c>
      <c r="L782" t="s">
        <v>3816</v>
      </c>
      <c r="M782">
        <v>4</v>
      </c>
      <c r="N782" s="10">
        <v>0.25</v>
      </c>
      <c r="O782" s="10">
        <f t="shared" si="95"/>
        <v>1</v>
      </c>
      <c r="P782" s="10" t="s">
        <v>5006</v>
      </c>
      <c r="Q782" s="10" t="s">
        <v>5006</v>
      </c>
      <c r="R782" s="10" t="str">
        <f>IF(COUNTIF($J$2:J782,J782)=1,SUMIFS($O:$O,$J:$J,J782)+SUMIFS($P:$P,$J:$J,J782)+SUMIFS($Q:$Q,$J:$J,J782),"")</f>
        <v/>
      </c>
      <c r="S782" s="10" t="s">
        <v>5006</v>
      </c>
      <c r="T782" s="11" t="str">
        <f t="shared" si="98"/>
        <v>Ok</v>
      </c>
      <c r="U782" s="12">
        <v>45724</v>
      </c>
      <c r="V782" s="10">
        <v>250</v>
      </c>
      <c r="W782" s="10" t="str">
        <f t="shared" si="96"/>
        <v>N/A</v>
      </c>
      <c r="X782" t="s">
        <v>438</v>
      </c>
      <c r="Y782" t="s">
        <v>436</v>
      </c>
      <c r="Z782">
        <v>100253</v>
      </c>
      <c r="AA782" t="s">
        <v>3086</v>
      </c>
      <c r="AB782" t="s">
        <v>3042</v>
      </c>
      <c r="AC782" s="9">
        <v>3</v>
      </c>
      <c r="AD782" s="9" t="str">
        <f t="shared" si="97"/>
        <v>N/A</v>
      </c>
      <c r="AE782" s="11" t="e">
        <f t="shared" si="99"/>
        <v>#VALUE!</v>
      </c>
    </row>
    <row r="783" spans="1:31" x14ac:dyDescent="0.3">
      <c r="A783">
        <v>93</v>
      </c>
      <c r="B783">
        <v>4573397</v>
      </c>
      <c r="C783" t="s">
        <v>60</v>
      </c>
      <c r="D783">
        <v>1588891</v>
      </c>
      <c r="E783" t="s">
        <v>61</v>
      </c>
      <c r="F783" t="s">
        <v>50</v>
      </c>
      <c r="G783" t="s">
        <v>788</v>
      </c>
      <c r="H783" t="s">
        <v>789</v>
      </c>
      <c r="I783" t="s">
        <v>3388</v>
      </c>
      <c r="J783">
        <v>51125487144</v>
      </c>
      <c r="K783" t="s">
        <v>3577</v>
      </c>
      <c r="L783" t="s">
        <v>3933</v>
      </c>
      <c r="M783">
        <v>1</v>
      </c>
      <c r="N783" s="10">
        <v>250</v>
      </c>
      <c r="O783" s="10">
        <f t="shared" si="95"/>
        <v>250</v>
      </c>
      <c r="P783" s="10" t="s">
        <v>5006</v>
      </c>
      <c r="Q783" s="10" t="s">
        <v>5006</v>
      </c>
      <c r="R783" s="10" t="str">
        <f>IF(COUNTIF($J$2:J783,J783)=1,SUMIFS($O:$O,$J:$J,J783)+SUMIFS($P:$P,$J:$J,J783)+SUMIFS($Q:$Q,$J:$J,J783),"")</f>
        <v/>
      </c>
      <c r="S783" s="10" t="s">
        <v>5006</v>
      </c>
      <c r="T783" s="11" t="str">
        <f t="shared" si="98"/>
        <v>Ok</v>
      </c>
      <c r="U783" s="12">
        <v>45724</v>
      </c>
      <c r="V783" s="10">
        <v>250</v>
      </c>
      <c r="W783" s="10" t="str">
        <f t="shared" si="96"/>
        <v>N/A</v>
      </c>
      <c r="X783" t="s">
        <v>438</v>
      </c>
      <c r="Y783" t="s">
        <v>436</v>
      </c>
      <c r="Z783">
        <v>100253</v>
      </c>
      <c r="AA783" t="s">
        <v>3086</v>
      </c>
      <c r="AB783" t="s">
        <v>3042</v>
      </c>
      <c r="AC783" s="9">
        <v>3</v>
      </c>
      <c r="AD783" s="9" t="str">
        <f t="shared" si="97"/>
        <v>N/A</v>
      </c>
      <c r="AE783" s="11" t="e">
        <f t="shared" si="99"/>
        <v>#VALUE!</v>
      </c>
    </row>
    <row r="784" spans="1:31" x14ac:dyDescent="0.3">
      <c r="A784">
        <v>93</v>
      </c>
      <c r="B784">
        <v>4573119</v>
      </c>
      <c r="C784" t="s">
        <v>60</v>
      </c>
      <c r="D784">
        <v>1588891</v>
      </c>
      <c r="E784" t="s">
        <v>61</v>
      </c>
      <c r="F784" t="s">
        <v>19</v>
      </c>
      <c r="G784" t="s">
        <v>790</v>
      </c>
      <c r="H784" t="s">
        <v>791</v>
      </c>
      <c r="I784" t="s">
        <v>3328</v>
      </c>
      <c r="J784">
        <v>51125578285</v>
      </c>
      <c r="K784" t="s">
        <v>3226</v>
      </c>
      <c r="L784" t="s">
        <v>3934</v>
      </c>
      <c r="M784">
        <v>7500</v>
      </c>
      <c r="N784" s="10">
        <v>1.0346</v>
      </c>
      <c r="O784" s="10">
        <f t="shared" si="95"/>
        <v>7759.5</v>
      </c>
      <c r="P784" s="10">
        <v>0</v>
      </c>
      <c r="Q784" s="10">
        <v>0</v>
      </c>
      <c r="R784" s="10">
        <f>IF(COUNTIF($J$2:J784,J784)=1,SUMIFS($O:$O,$J:$J,J784)+SUMIFS($P:$P,$J:$J,J784)+SUMIFS($Q:$Q,$J:$J,J784),"")</f>
        <v>38470.5</v>
      </c>
      <c r="S784" s="10">
        <v>41057</v>
      </c>
      <c r="T784" s="11" t="str">
        <f t="shared" si="98"/>
        <v>Check</v>
      </c>
      <c r="U784" s="12">
        <v>45754</v>
      </c>
      <c r="V784" s="10">
        <v>10346</v>
      </c>
      <c r="W784" s="10" t="str">
        <f t="shared" si="96"/>
        <v>Short Paid</v>
      </c>
      <c r="X784" t="s">
        <v>438</v>
      </c>
      <c r="Y784" t="s">
        <v>28</v>
      </c>
      <c r="Z784">
        <v>100193</v>
      </c>
      <c r="AA784" t="s">
        <v>442</v>
      </c>
      <c r="AB784" t="s">
        <v>524</v>
      </c>
      <c r="AC784" s="9">
        <v>2</v>
      </c>
      <c r="AD784" s="9" t="str">
        <f t="shared" si="97"/>
        <v>Check</v>
      </c>
      <c r="AE784" s="11">
        <f t="shared" si="99"/>
        <v>-2586.5</v>
      </c>
    </row>
    <row r="785" spans="1:31" x14ac:dyDescent="0.3">
      <c r="A785">
        <v>93</v>
      </c>
      <c r="B785">
        <v>4573119</v>
      </c>
      <c r="C785" t="s">
        <v>60</v>
      </c>
      <c r="D785">
        <v>1588891</v>
      </c>
      <c r="E785" t="s">
        <v>61</v>
      </c>
      <c r="F785" t="s">
        <v>19</v>
      </c>
      <c r="G785" t="s">
        <v>790</v>
      </c>
      <c r="H785" t="s">
        <v>791</v>
      </c>
      <c r="I785" t="s">
        <v>3336</v>
      </c>
      <c r="J785">
        <v>51125578285</v>
      </c>
      <c r="K785" t="s">
        <v>3187</v>
      </c>
      <c r="L785" t="s">
        <v>3186</v>
      </c>
      <c r="M785">
        <v>300</v>
      </c>
      <c r="N785" s="10">
        <v>102.37</v>
      </c>
      <c r="O785" s="10">
        <f t="shared" si="95"/>
        <v>30711</v>
      </c>
      <c r="P785" s="10" t="s">
        <v>5006</v>
      </c>
      <c r="Q785" s="10" t="s">
        <v>5006</v>
      </c>
      <c r="R785" s="10" t="str">
        <f>IF(COUNTIF($J$2:J785,J785)=1,SUMIFS($O:$O,$J:$J,J785)+SUMIFS($P:$P,$J:$J,J785)+SUMIFS($Q:$Q,$J:$J,J785),"")</f>
        <v/>
      </c>
      <c r="S785" s="10" t="s">
        <v>5006</v>
      </c>
      <c r="T785" s="11" t="str">
        <f t="shared" si="98"/>
        <v>Check</v>
      </c>
      <c r="U785" s="12">
        <v>45754</v>
      </c>
      <c r="V785" s="10">
        <v>10346</v>
      </c>
      <c r="W785" s="10" t="str">
        <f t="shared" si="96"/>
        <v>N/A</v>
      </c>
      <c r="X785" t="s">
        <v>438</v>
      </c>
      <c r="Y785" t="s">
        <v>28</v>
      </c>
      <c r="Z785">
        <v>100193</v>
      </c>
      <c r="AA785" t="s">
        <v>442</v>
      </c>
      <c r="AB785" t="s">
        <v>524</v>
      </c>
      <c r="AC785" s="9">
        <v>2</v>
      </c>
      <c r="AD785" s="9" t="str">
        <f t="shared" si="97"/>
        <v>N/A</v>
      </c>
      <c r="AE785" s="11" t="e">
        <f t="shared" si="99"/>
        <v>#VALUE!</v>
      </c>
    </row>
    <row r="786" spans="1:31" x14ac:dyDescent="0.3">
      <c r="A786">
        <v>93</v>
      </c>
      <c r="B786">
        <v>4573675</v>
      </c>
      <c r="C786" t="s">
        <v>60</v>
      </c>
      <c r="D786">
        <v>1588891</v>
      </c>
      <c r="E786" t="s">
        <v>61</v>
      </c>
      <c r="F786" t="s">
        <v>19</v>
      </c>
      <c r="G786" t="s">
        <v>792</v>
      </c>
      <c r="H786" t="s">
        <v>793</v>
      </c>
      <c r="I786" t="s">
        <v>3200</v>
      </c>
      <c r="J786">
        <v>51126029953</v>
      </c>
      <c r="K786" t="s">
        <v>3187</v>
      </c>
      <c r="L786" t="s">
        <v>3186</v>
      </c>
      <c r="M786">
        <v>288</v>
      </c>
      <c r="N786" s="10">
        <v>102.37</v>
      </c>
      <c r="O786" s="10">
        <f t="shared" si="95"/>
        <v>29482.560000000001</v>
      </c>
      <c r="P786" s="10">
        <v>0</v>
      </c>
      <c r="Q786" s="10">
        <v>0</v>
      </c>
      <c r="R786" s="10">
        <f>IF(COUNTIF($J$2:J786,J786)=1,SUMIFS($O:$O,$J:$J,J786)+SUMIFS($P:$P,$J:$J,J786)+SUMIFS($Q:$Q,$J:$J,J786),"")</f>
        <v>29770.960000000003</v>
      </c>
      <c r="S786" s="10">
        <v>29770.960000000003</v>
      </c>
      <c r="T786" s="11" t="str">
        <f t="shared" si="98"/>
        <v>Ok</v>
      </c>
      <c r="U786" s="12">
        <v>45891</v>
      </c>
      <c r="V786" s="10">
        <v>288.39999999999998</v>
      </c>
      <c r="W786" s="10" t="str">
        <f t="shared" si="96"/>
        <v>Short Paid</v>
      </c>
      <c r="X786" t="s">
        <v>438</v>
      </c>
      <c r="Y786" t="s">
        <v>28</v>
      </c>
      <c r="Z786">
        <v>100233</v>
      </c>
      <c r="AA786" t="s">
        <v>448</v>
      </c>
      <c r="AB786" t="s">
        <v>524</v>
      </c>
      <c r="AC786" s="9">
        <v>2</v>
      </c>
      <c r="AD786" s="9" t="str">
        <f t="shared" si="97"/>
        <v>Ok</v>
      </c>
      <c r="AE786" s="11">
        <f t="shared" si="99"/>
        <v>0</v>
      </c>
    </row>
    <row r="787" spans="1:31" x14ac:dyDescent="0.3">
      <c r="A787">
        <v>93</v>
      </c>
      <c r="B787">
        <v>4573675</v>
      </c>
      <c r="C787" t="s">
        <v>60</v>
      </c>
      <c r="D787">
        <v>1588891</v>
      </c>
      <c r="E787" t="s">
        <v>61</v>
      </c>
      <c r="F787" t="s">
        <v>19</v>
      </c>
      <c r="G787" t="s">
        <v>792</v>
      </c>
      <c r="H787" t="s">
        <v>793</v>
      </c>
      <c r="I787" t="s">
        <v>3298</v>
      </c>
      <c r="J787">
        <v>51126029953</v>
      </c>
      <c r="K787" t="s">
        <v>3194</v>
      </c>
      <c r="L787" t="s">
        <v>3935</v>
      </c>
      <c r="M787">
        <v>100</v>
      </c>
      <c r="N787" s="10">
        <v>2.8839999999999999</v>
      </c>
      <c r="O787" s="10">
        <f t="shared" si="95"/>
        <v>288.39999999999998</v>
      </c>
      <c r="P787" s="10" t="s">
        <v>5006</v>
      </c>
      <c r="Q787" s="10" t="s">
        <v>5006</v>
      </c>
      <c r="R787" s="10" t="str">
        <f>IF(COUNTIF($J$2:J787,J787)=1,SUMIFS($O:$O,$J:$J,J787)+SUMIFS($P:$P,$J:$J,J787)+SUMIFS($Q:$Q,$J:$J,J787),"")</f>
        <v/>
      </c>
      <c r="S787" s="10" t="s">
        <v>5006</v>
      </c>
      <c r="T787" s="11" t="str">
        <f t="shared" si="98"/>
        <v>Ok</v>
      </c>
      <c r="U787" s="12">
        <v>45891</v>
      </c>
      <c r="V787" s="10">
        <v>288.39999999999998</v>
      </c>
      <c r="W787" s="10" t="str">
        <f t="shared" si="96"/>
        <v>N/A</v>
      </c>
      <c r="X787" t="s">
        <v>438</v>
      </c>
      <c r="Y787" t="s">
        <v>28</v>
      </c>
      <c r="Z787">
        <v>100233</v>
      </c>
      <c r="AA787" t="s">
        <v>448</v>
      </c>
      <c r="AB787" t="s">
        <v>524</v>
      </c>
      <c r="AC787" s="9">
        <v>2</v>
      </c>
      <c r="AD787" s="9" t="str">
        <f t="shared" si="97"/>
        <v>N/A</v>
      </c>
      <c r="AE787" s="11" t="e">
        <f t="shared" si="99"/>
        <v>#VALUE!</v>
      </c>
    </row>
    <row r="788" spans="1:31" x14ac:dyDescent="0.3">
      <c r="A788">
        <v>93</v>
      </c>
      <c r="B788">
        <v>4574232</v>
      </c>
      <c r="C788" t="s">
        <v>60</v>
      </c>
      <c r="D788">
        <v>1588891</v>
      </c>
      <c r="E788" t="s">
        <v>61</v>
      </c>
      <c r="F788" t="s">
        <v>19</v>
      </c>
      <c r="G788" t="s">
        <v>796</v>
      </c>
      <c r="H788" t="s">
        <v>797</v>
      </c>
      <c r="I788" t="s">
        <v>3423</v>
      </c>
      <c r="J788">
        <v>51126975921</v>
      </c>
      <c r="K788" t="s">
        <v>3431</v>
      </c>
      <c r="L788" t="s">
        <v>3936</v>
      </c>
      <c r="M788">
        <v>500</v>
      </c>
      <c r="N788" s="10">
        <v>0.33807999999999999</v>
      </c>
      <c r="O788" s="10">
        <f t="shared" si="95"/>
        <v>169.04</v>
      </c>
      <c r="P788" s="10">
        <v>0</v>
      </c>
      <c r="Q788" s="10">
        <v>0</v>
      </c>
      <c r="R788" s="10">
        <f>IF(COUNTIF($J$2:J788,J788)=1,SUMIFS($O:$O,$J:$J,J788)+SUMIFS($P:$P,$J:$J,J788)+SUMIFS($Q:$Q,$J:$J,J788),"")</f>
        <v>28595.089999999997</v>
      </c>
      <c r="S788" s="10">
        <v>28602.95</v>
      </c>
      <c r="T788" s="11" t="str">
        <f t="shared" si="98"/>
        <v>Check</v>
      </c>
      <c r="U788" s="12">
        <v>45880</v>
      </c>
      <c r="V788" s="10">
        <v>176.9</v>
      </c>
      <c r="W788" s="10" t="str">
        <f t="shared" si="96"/>
        <v>Short Paid</v>
      </c>
      <c r="X788" t="s">
        <v>438</v>
      </c>
      <c r="Y788" t="s">
        <v>28</v>
      </c>
      <c r="Z788">
        <v>100273</v>
      </c>
      <c r="AA788" t="s">
        <v>444</v>
      </c>
      <c r="AB788" t="s">
        <v>524</v>
      </c>
      <c r="AC788" s="9">
        <v>2</v>
      </c>
      <c r="AD788" s="9" t="str">
        <f t="shared" si="97"/>
        <v>Check</v>
      </c>
      <c r="AE788" s="11">
        <f t="shared" si="99"/>
        <v>-7.8600000000042201</v>
      </c>
    </row>
    <row r="789" spans="1:31" x14ac:dyDescent="0.3">
      <c r="A789">
        <v>93</v>
      </c>
      <c r="B789">
        <v>4574232</v>
      </c>
      <c r="C789" t="s">
        <v>60</v>
      </c>
      <c r="D789">
        <v>1588891</v>
      </c>
      <c r="E789" t="s">
        <v>61</v>
      </c>
      <c r="F789" t="s">
        <v>19</v>
      </c>
      <c r="G789" t="s">
        <v>796</v>
      </c>
      <c r="H789" t="s">
        <v>797</v>
      </c>
      <c r="I789" t="s">
        <v>3435</v>
      </c>
      <c r="J789">
        <v>51126975921</v>
      </c>
      <c r="K789" t="s">
        <v>3168</v>
      </c>
      <c r="L789" t="s">
        <v>3541</v>
      </c>
      <c r="M789">
        <v>543000</v>
      </c>
      <c r="N789" s="10">
        <v>5.2349999999999994E-2</v>
      </c>
      <c r="O789" s="10">
        <f t="shared" si="95"/>
        <v>28426.049999999996</v>
      </c>
      <c r="P789" s="10" t="s">
        <v>5006</v>
      </c>
      <c r="Q789" s="10" t="s">
        <v>5006</v>
      </c>
      <c r="R789" s="10" t="str">
        <f>IF(COUNTIF($J$2:J789,J789)=1,SUMIFS($O:$O,$J:$J,J789)+SUMIFS($P:$P,$J:$J,J789)+SUMIFS($Q:$Q,$J:$J,J789),"")</f>
        <v/>
      </c>
      <c r="S789" s="10" t="s">
        <v>5006</v>
      </c>
      <c r="T789" s="11" t="str">
        <f t="shared" si="98"/>
        <v>Check</v>
      </c>
      <c r="U789" s="12">
        <v>45880</v>
      </c>
      <c r="V789" s="10">
        <v>176.9</v>
      </c>
      <c r="W789" s="10" t="str">
        <f t="shared" si="96"/>
        <v>N/A</v>
      </c>
      <c r="X789" t="s">
        <v>438</v>
      </c>
      <c r="Y789" t="s">
        <v>28</v>
      </c>
      <c r="Z789">
        <v>100273</v>
      </c>
      <c r="AA789" t="s">
        <v>444</v>
      </c>
      <c r="AB789" t="s">
        <v>524</v>
      </c>
      <c r="AC789" s="9">
        <v>2</v>
      </c>
      <c r="AD789" s="9" t="str">
        <f t="shared" si="97"/>
        <v>N/A</v>
      </c>
      <c r="AE789" s="11" t="e">
        <f t="shared" si="99"/>
        <v>#VALUE!</v>
      </c>
    </row>
    <row r="790" spans="1:31" x14ac:dyDescent="0.3">
      <c r="A790">
        <v>93</v>
      </c>
      <c r="B790">
        <v>4575067</v>
      </c>
      <c r="C790" t="s">
        <v>60</v>
      </c>
      <c r="D790">
        <v>1588891</v>
      </c>
      <c r="E790" t="s">
        <v>61</v>
      </c>
      <c r="F790" t="s">
        <v>19</v>
      </c>
      <c r="G790" t="s">
        <v>798</v>
      </c>
      <c r="H790" t="s">
        <v>799</v>
      </c>
      <c r="I790" t="s">
        <v>3395</v>
      </c>
      <c r="J790">
        <v>51127424438</v>
      </c>
      <c r="K790" t="s">
        <v>3180</v>
      </c>
      <c r="L790" t="s">
        <v>3179</v>
      </c>
      <c r="M790">
        <v>2000</v>
      </c>
      <c r="N790" s="10">
        <v>1.0660000000000001</v>
      </c>
      <c r="O790" s="10">
        <f t="shared" si="95"/>
        <v>2132</v>
      </c>
      <c r="P790" s="10">
        <v>0</v>
      </c>
      <c r="Q790" s="10">
        <v>0</v>
      </c>
      <c r="R790" s="10">
        <f>IF(COUNTIF($J$2:J790,J790)=1,SUMIFS($O:$O,$J:$J,J790)+SUMIFS($P:$P,$J:$J,J790)+SUMIFS($Q:$Q,$J:$J,J790),"")</f>
        <v>8274.2000000000007</v>
      </c>
      <c r="S790" s="10">
        <v>8274.2000000000007</v>
      </c>
      <c r="T790" s="11" t="str">
        <f t="shared" si="98"/>
        <v>Ok</v>
      </c>
      <c r="U790" s="12">
        <v>45822</v>
      </c>
      <c r="V790" s="10">
        <v>2132</v>
      </c>
      <c r="W790" s="10" t="str">
        <f t="shared" si="96"/>
        <v>Short Paid</v>
      </c>
      <c r="X790" t="s">
        <v>438</v>
      </c>
      <c r="Y790" t="s">
        <v>28</v>
      </c>
      <c r="Z790">
        <v>100123</v>
      </c>
      <c r="AA790" t="s">
        <v>447</v>
      </c>
      <c r="AB790" t="s">
        <v>524</v>
      </c>
      <c r="AC790" s="9">
        <v>2</v>
      </c>
      <c r="AD790" s="9" t="str">
        <f t="shared" si="97"/>
        <v>Ok</v>
      </c>
      <c r="AE790" s="11">
        <f t="shared" si="99"/>
        <v>0</v>
      </c>
    </row>
    <row r="791" spans="1:31" x14ac:dyDescent="0.3">
      <c r="A791">
        <v>93</v>
      </c>
      <c r="B791">
        <v>4575067</v>
      </c>
      <c r="C791" t="s">
        <v>60</v>
      </c>
      <c r="D791">
        <v>1588891</v>
      </c>
      <c r="E791" t="s">
        <v>61</v>
      </c>
      <c r="F791" t="s">
        <v>19</v>
      </c>
      <c r="G791" t="s">
        <v>798</v>
      </c>
      <c r="H791" t="s">
        <v>799</v>
      </c>
      <c r="I791" t="s">
        <v>3498</v>
      </c>
      <c r="J791">
        <v>51127424438</v>
      </c>
      <c r="K791" t="s">
        <v>3187</v>
      </c>
      <c r="L791" t="s">
        <v>3186</v>
      </c>
      <c r="M791">
        <v>60</v>
      </c>
      <c r="N791" s="10">
        <v>102.37</v>
      </c>
      <c r="O791" s="10">
        <f t="shared" si="95"/>
        <v>6142.2000000000007</v>
      </c>
      <c r="P791" s="10" t="s">
        <v>5006</v>
      </c>
      <c r="Q791" s="10" t="s">
        <v>5006</v>
      </c>
      <c r="R791" s="10" t="str">
        <f>IF(COUNTIF($J$2:J791,J791)=1,SUMIFS($O:$O,$J:$J,J791)+SUMIFS($P:$P,$J:$J,J791)+SUMIFS($Q:$Q,$J:$J,J791),"")</f>
        <v/>
      </c>
      <c r="S791" s="10" t="s">
        <v>5006</v>
      </c>
      <c r="T791" s="11" t="str">
        <f t="shared" si="98"/>
        <v>Ok</v>
      </c>
      <c r="U791" s="12">
        <v>45822</v>
      </c>
      <c r="V791" s="10">
        <v>2132</v>
      </c>
      <c r="W791" s="10" t="str">
        <f t="shared" si="96"/>
        <v>N/A</v>
      </c>
      <c r="X791" t="s">
        <v>438</v>
      </c>
      <c r="Y791" t="s">
        <v>28</v>
      </c>
      <c r="Z791">
        <v>100123</v>
      </c>
      <c r="AA791" t="s">
        <v>447</v>
      </c>
      <c r="AB791" t="s">
        <v>524</v>
      </c>
      <c r="AC791" s="9">
        <v>2</v>
      </c>
      <c r="AD791" s="9" t="str">
        <f t="shared" si="97"/>
        <v>N/A</v>
      </c>
      <c r="AE791" s="11" t="e">
        <f t="shared" si="99"/>
        <v>#VALUE!</v>
      </c>
    </row>
    <row r="792" spans="1:31" x14ac:dyDescent="0.3">
      <c r="A792">
        <v>93</v>
      </c>
      <c r="B792">
        <v>4576180</v>
      </c>
      <c r="C792" t="s">
        <v>60</v>
      </c>
      <c r="D792">
        <v>1588891</v>
      </c>
      <c r="E792" t="s">
        <v>61</v>
      </c>
      <c r="F792" t="s">
        <v>19</v>
      </c>
      <c r="G792" t="s">
        <v>802</v>
      </c>
      <c r="H792" t="s">
        <v>803</v>
      </c>
      <c r="I792" t="s">
        <v>3175</v>
      </c>
      <c r="J792">
        <v>51128751154</v>
      </c>
      <c r="K792" t="s">
        <v>3187</v>
      </c>
      <c r="L792" t="s">
        <v>3186</v>
      </c>
      <c r="M792">
        <v>480</v>
      </c>
      <c r="N792" s="10">
        <v>102.37</v>
      </c>
      <c r="O792" s="10">
        <f t="shared" si="95"/>
        <v>49137.600000000006</v>
      </c>
      <c r="P792" s="10">
        <v>0</v>
      </c>
      <c r="Q792" s="10">
        <v>0</v>
      </c>
      <c r="R792" s="10">
        <f>IF(COUNTIF($J$2:J792,J792)=1,SUMIFS($O:$O,$J:$J,J792)+SUMIFS($P:$P,$J:$J,J792)+SUMIFS($Q:$Q,$J:$J,J792),"")</f>
        <v>49562.700000000004</v>
      </c>
      <c r="S792" s="10">
        <v>49562.7</v>
      </c>
      <c r="T792" s="11" t="str">
        <f t="shared" si="98"/>
        <v>Ok</v>
      </c>
      <c r="U792" s="12">
        <v>45694</v>
      </c>
      <c r="V792" s="10">
        <v>425.1</v>
      </c>
      <c r="W792" s="10" t="str">
        <f t="shared" si="96"/>
        <v>Short Paid</v>
      </c>
      <c r="X792" t="s">
        <v>438</v>
      </c>
      <c r="Y792" t="s">
        <v>28</v>
      </c>
      <c r="Z792">
        <v>100203</v>
      </c>
      <c r="AA792" t="s">
        <v>441</v>
      </c>
      <c r="AB792" t="s">
        <v>524</v>
      </c>
      <c r="AC792" s="9">
        <v>2</v>
      </c>
      <c r="AD792" s="9" t="str">
        <f t="shared" si="97"/>
        <v>Ok</v>
      </c>
      <c r="AE792" s="11">
        <f t="shared" si="99"/>
        <v>0</v>
      </c>
    </row>
    <row r="793" spans="1:31" x14ac:dyDescent="0.3">
      <c r="A793">
        <v>93</v>
      </c>
      <c r="B793">
        <v>4576180</v>
      </c>
      <c r="C793" t="s">
        <v>60</v>
      </c>
      <c r="D793">
        <v>1588891</v>
      </c>
      <c r="E793" t="s">
        <v>61</v>
      </c>
      <c r="F793" t="s">
        <v>19</v>
      </c>
      <c r="G793" t="s">
        <v>802</v>
      </c>
      <c r="H793" t="s">
        <v>803</v>
      </c>
      <c r="I793" t="s">
        <v>3202</v>
      </c>
      <c r="J793">
        <v>51128751154</v>
      </c>
      <c r="K793" t="s">
        <v>3168</v>
      </c>
      <c r="L793" t="s">
        <v>3321</v>
      </c>
      <c r="M793">
        <v>39000</v>
      </c>
      <c r="N793" s="10">
        <v>1.09E-2</v>
      </c>
      <c r="O793" s="10">
        <f t="shared" si="95"/>
        <v>425.1</v>
      </c>
      <c r="P793" s="10" t="s">
        <v>5006</v>
      </c>
      <c r="Q793" s="10" t="s">
        <v>5006</v>
      </c>
      <c r="R793" s="10" t="str">
        <f>IF(COUNTIF($J$2:J793,J793)=1,SUMIFS($O:$O,$J:$J,J793)+SUMIFS($P:$P,$J:$J,J793)+SUMIFS($Q:$Q,$J:$J,J793),"")</f>
        <v/>
      </c>
      <c r="S793" s="10" t="s">
        <v>5006</v>
      </c>
      <c r="T793" s="11" t="str">
        <f t="shared" si="98"/>
        <v>Ok</v>
      </c>
      <c r="U793" s="12">
        <v>45694</v>
      </c>
      <c r="V793" s="10">
        <v>425.1</v>
      </c>
      <c r="W793" s="10" t="str">
        <f t="shared" si="96"/>
        <v>N/A</v>
      </c>
      <c r="X793" t="s">
        <v>438</v>
      </c>
      <c r="Y793" t="s">
        <v>28</v>
      </c>
      <c r="Z793">
        <v>100203</v>
      </c>
      <c r="AA793" t="s">
        <v>441</v>
      </c>
      <c r="AB793" t="s">
        <v>524</v>
      </c>
      <c r="AC793" s="9">
        <v>2</v>
      </c>
      <c r="AD793" s="9" t="str">
        <f t="shared" si="97"/>
        <v>N/A</v>
      </c>
      <c r="AE793" s="11" t="e">
        <f t="shared" si="99"/>
        <v>#VALUE!</v>
      </c>
    </row>
    <row r="794" spans="1:31" x14ac:dyDescent="0.3">
      <c r="A794">
        <v>51</v>
      </c>
      <c r="B794">
        <v>4684711</v>
      </c>
      <c r="C794" t="s">
        <v>220</v>
      </c>
      <c r="D794">
        <v>1855679</v>
      </c>
      <c r="E794" t="s">
        <v>699</v>
      </c>
      <c r="F794" t="s">
        <v>47</v>
      </c>
      <c r="G794" t="s">
        <v>2744</v>
      </c>
      <c r="H794" t="s">
        <v>2745</v>
      </c>
      <c r="I794" t="s">
        <v>3291</v>
      </c>
      <c r="J794">
        <v>51129799074</v>
      </c>
      <c r="K794" t="s">
        <v>3207</v>
      </c>
      <c r="L794" t="s">
        <v>3346</v>
      </c>
      <c r="M794">
        <v>31500</v>
      </c>
      <c r="N794" s="10">
        <v>6.6000000000000003E-2</v>
      </c>
      <c r="O794" s="10">
        <f t="shared" si="95"/>
        <v>2079</v>
      </c>
      <c r="P794" s="10">
        <v>0</v>
      </c>
      <c r="Q794" s="10">
        <v>13.3</v>
      </c>
      <c r="R794" s="10">
        <f>IF(COUNTIF($J$2:J794,J794)=1,SUMIFS($O:$O,$J:$J,J794)+SUMIFS($P:$P,$J:$J,J794)+SUMIFS($Q:$Q,$J:$J,J794),"")</f>
        <v>2232.3000000000002</v>
      </c>
      <c r="S794" s="10">
        <v>3405.72</v>
      </c>
      <c r="T794" s="11" t="str">
        <f t="shared" si="98"/>
        <v>Check</v>
      </c>
      <c r="U794" s="12">
        <v>46122</v>
      </c>
      <c r="V794" s="10">
        <v>171.72</v>
      </c>
      <c r="W794" s="10" t="str">
        <f t="shared" si="96"/>
        <v>Short Paid</v>
      </c>
      <c r="X794" t="s">
        <v>470</v>
      </c>
      <c r="Y794" t="s">
        <v>28</v>
      </c>
      <c r="Z794">
        <v>100208</v>
      </c>
      <c r="AA794" t="s">
        <v>3098</v>
      </c>
      <c r="AB794" t="s">
        <v>3039</v>
      </c>
      <c r="AC794" s="9">
        <v>2</v>
      </c>
      <c r="AD794" s="9" t="str">
        <f t="shared" si="97"/>
        <v>Check</v>
      </c>
      <c r="AE794" s="11">
        <f t="shared" si="99"/>
        <v>-1173.4199999999996</v>
      </c>
    </row>
    <row r="795" spans="1:31" x14ac:dyDescent="0.3">
      <c r="A795">
        <v>51</v>
      </c>
      <c r="B795">
        <v>4684711</v>
      </c>
      <c r="C795" t="s">
        <v>220</v>
      </c>
      <c r="D795">
        <v>1855679</v>
      </c>
      <c r="E795" t="s">
        <v>699</v>
      </c>
      <c r="F795" t="s">
        <v>47</v>
      </c>
      <c r="G795" t="s">
        <v>2744</v>
      </c>
      <c r="H795" t="s">
        <v>2745</v>
      </c>
      <c r="I795" t="s">
        <v>3596</v>
      </c>
      <c r="J795">
        <v>51129799074</v>
      </c>
      <c r="K795" t="s">
        <v>3209</v>
      </c>
      <c r="L795" t="s">
        <v>3937</v>
      </c>
      <c r="M795">
        <v>10000</v>
      </c>
      <c r="N795" s="10">
        <v>1.4E-2</v>
      </c>
      <c r="O795" s="10">
        <f t="shared" si="95"/>
        <v>140</v>
      </c>
      <c r="P795" s="10" t="s">
        <v>5006</v>
      </c>
      <c r="Q795" s="10" t="s">
        <v>5006</v>
      </c>
      <c r="R795" s="10" t="str">
        <f>IF(COUNTIF($J$2:J795,J795)=1,SUMIFS($O:$O,$J:$J,J795)+SUMIFS($P:$P,$J:$J,J795)+SUMIFS($Q:$Q,$J:$J,J795),"")</f>
        <v/>
      </c>
      <c r="S795" s="10" t="s">
        <v>5006</v>
      </c>
      <c r="T795" s="11" t="str">
        <f t="shared" si="98"/>
        <v>Check</v>
      </c>
      <c r="U795" s="12">
        <v>46122</v>
      </c>
      <c r="V795" s="10">
        <v>171.72</v>
      </c>
      <c r="W795" s="10" t="str">
        <f t="shared" si="96"/>
        <v>N/A</v>
      </c>
      <c r="X795" t="s">
        <v>470</v>
      </c>
      <c r="Y795" t="s">
        <v>28</v>
      </c>
      <c r="Z795">
        <v>100208</v>
      </c>
      <c r="AA795" t="s">
        <v>3098</v>
      </c>
      <c r="AB795" t="s">
        <v>3039</v>
      </c>
      <c r="AC795" s="9">
        <v>2</v>
      </c>
      <c r="AD795" s="9" t="str">
        <f t="shared" si="97"/>
        <v>N/A</v>
      </c>
      <c r="AE795" s="11" t="e">
        <f t="shared" si="99"/>
        <v>#VALUE!</v>
      </c>
    </row>
    <row r="796" spans="1:31" x14ac:dyDescent="0.3">
      <c r="A796">
        <v>51</v>
      </c>
      <c r="B796">
        <v>4685267</v>
      </c>
      <c r="C796" t="s">
        <v>220</v>
      </c>
      <c r="D796">
        <v>1855679</v>
      </c>
      <c r="E796" t="s">
        <v>699</v>
      </c>
      <c r="F796" t="s">
        <v>47</v>
      </c>
      <c r="G796" t="s">
        <v>1077</v>
      </c>
      <c r="H796" t="s">
        <v>1078</v>
      </c>
      <c r="I796" t="s">
        <v>3477</v>
      </c>
      <c r="J796">
        <v>51129827672</v>
      </c>
      <c r="K796" t="s">
        <v>3177</v>
      </c>
      <c r="L796" t="s">
        <v>3938</v>
      </c>
      <c r="M796">
        <v>24</v>
      </c>
      <c r="N796" s="10">
        <v>30.11</v>
      </c>
      <c r="O796" s="10">
        <f t="shared" si="95"/>
        <v>722.64</v>
      </c>
      <c r="P796" s="10">
        <v>0</v>
      </c>
      <c r="Q796" s="10">
        <v>68.650000000000006</v>
      </c>
      <c r="R796" s="10">
        <f>IF(COUNTIF($J$2:J796,J796)=1,SUMIFS($O:$O,$J:$J,J796)+SUMIFS($P:$P,$J:$J,J796)+SUMIFS($Q:$Q,$J:$J,J796),"")</f>
        <v>23999.29</v>
      </c>
      <c r="S796" s="10">
        <v>24030</v>
      </c>
      <c r="T796" s="11" t="str">
        <f t="shared" si="98"/>
        <v>Check</v>
      </c>
      <c r="U796" s="12">
        <v>46126</v>
      </c>
      <c r="V796" s="10">
        <v>822</v>
      </c>
      <c r="W796" s="10" t="str">
        <f t="shared" si="96"/>
        <v>Short Paid</v>
      </c>
      <c r="X796" t="s">
        <v>470</v>
      </c>
      <c r="Y796" t="s">
        <v>28</v>
      </c>
      <c r="Z796">
        <v>100248</v>
      </c>
      <c r="AA796" t="s">
        <v>3117</v>
      </c>
      <c r="AB796" t="s">
        <v>3039</v>
      </c>
      <c r="AC796" s="9">
        <v>2</v>
      </c>
      <c r="AD796" s="9" t="str">
        <f t="shared" si="97"/>
        <v>Check</v>
      </c>
      <c r="AE796" s="11">
        <f t="shared" si="99"/>
        <v>-30.709999999999127</v>
      </c>
    </row>
    <row r="797" spans="1:31" x14ac:dyDescent="0.3">
      <c r="A797">
        <v>51</v>
      </c>
      <c r="B797">
        <v>4685267</v>
      </c>
      <c r="C797" t="s">
        <v>220</v>
      </c>
      <c r="D797">
        <v>1855679</v>
      </c>
      <c r="E797" t="s">
        <v>699</v>
      </c>
      <c r="F797" t="s">
        <v>47</v>
      </c>
      <c r="G797" t="s">
        <v>1077</v>
      </c>
      <c r="H797" t="s">
        <v>1078</v>
      </c>
      <c r="I797" t="s">
        <v>3166</v>
      </c>
      <c r="J797">
        <v>51129827672</v>
      </c>
      <c r="K797" t="s">
        <v>3351</v>
      </c>
      <c r="L797" t="s">
        <v>3450</v>
      </c>
      <c r="M797">
        <v>6000</v>
      </c>
      <c r="N797" s="10">
        <v>3.8679999999999999</v>
      </c>
      <c r="O797" s="10">
        <f t="shared" si="95"/>
        <v>23208</v>
      </c>
      <c r="P797" s="10" t="s">
        <v>5006</v>
      </c>
      <c r="Q797" s="10" t="s">
        <v>5006</v>
      </c>
      <c r="R797" s="10" t="str">
        <f>IF(COUNTIF($J$2:J797,J797)=1,SUMIFS($O:$O,$J:$J,J797)+SUMIFS($P:$P,$J:$J,J797)+SUMIFS($Q:$Q,$J:$J,J797),"")</f>
        <v/>
      </c>
      <c r="S797" s="10" t="s">
        <v>5006</v>
      </c>
      <c r="T797" s="11" t="str">
        <f t="shared" si="98"/>
        <v>Check</v>
      </c>
      <c r="U797" s="12">
        <v>46126</v>
      </c>
      <c r="V797" s="10">
        <v>822</v>
      </c>
      <c r="W797" s="10" t="str">
        <f t="shared" si="96"/>
        <v>N/A</v>
      </c>
      <c r="X797" t="s">
        <v>470</v>
      </c>
      <c r="Y797" t="s">
        <v>28</v>
      </c>
      <c r="Z797">
        <v>100248</v>
      </c>
      <c r="AA797" t="s">
        <v>3117</v>
      </c>
      <c r="AB797" t="s">
        <v>3039</v>
      </c>
      <c r="AC797" s="9">
        <v>2</v>
      </c>
      <c r="AD797" s="9" t="str">
        <f t="shared" si="97"/>
        <v>N/A</v>
      </c>
      <c r="AE797" s="11" t="e">
        <f t="shared" si="99"/>
        <v>#VALUE!</v>
      </c>
    </row>
    <row r="798" spans="1:31" x14ac:dyDescent="0.3">
      <c r="A798">
        <v>42</v>
      </c>
      <c r="B798">
        <v>4702799</v>
      </c>
      <c r="C798" t="s">
        <v>94</v>
      </c>
      <c r="D798">
        <v>1470631</v>
      </c>
      <c r="E798" t="s">
        <v>214</v>
      </c>
      <c r="F798" t="s">
        <v>20</v>
      </c>
      <c r="G798" t="s">
        <v>1134</v>
      </c>
      <c r="H798" t="s">
        <v>1135</v>
      </c>
      <c r="I798" t="s">
        <v>3350</v>
      </c>
      <c r="J798">
        <v>51129884759</v>
      </c>
      <c r="K798" t="s">
        <v>3165</v>
      </c>
      <c r="L798" t="s">
        <v>3457</v>
      </c>
      <c r="M798">
        <v>1</v>
      </c>
      <c r="N798" s="10">
        <v>250</v>
      </c>
      <c r="O798" s="10">
        <f t="shared" si="95"/>
        <v>250</v>
      </c>
      <c r="P798" s="10">
        <v>0</v>
      </c>
      <c r="Q798" s="10">
        <v>0</v>
      </c>
      <c r="R798" s="10">
        <f>IF(COUNTIF($J$2:J798,J798)=1,SUMIFS($O:$O,$J:$J,J798)+SUMIFS($P:$P,$J:$J,J798)+SUMIFS($Q:$Q,$J:$J,J798),"")</f>
        <v>4118</v>
      </c>
      <c r="S798" s="10">
        <v>4118</v>
      </c>
      <c r="T798" s="11" t="str">
        <f t="shared" si="98"/>
        <v>Ok</v>
      </c>
      <c r="U798" s="12">
        <v>46027</v>
      </c>
      <c r="V798" s="10">
        <v>250</v>
      </c>
      <c r="W798" s="10" t="str">
        <f t="shared" si="96"/>
        <v>Short Paid</v>
      </c>
      <c r="X798" t="s">
        <v>450</v>
      </c>
      <c r="Y798" t="s">
        <v>28</v>
      </c>
      <c r="Z798">
        <v>100117</v>
      </c>
      <c r="AA798" t="s">
        <v>451</v>
      </c>
      <c r="AB798" t="s">
        <v>521</v>
      </c>
      <c r="AC798" s="9">
        <v>2</v>
      </c>
      <c r="AD798" s="9" t="str">
        <f t="shared" si="97"/>
        <v>Ok</v>
      </c>
      <c r="AE798" s="11">
        <f t="shared" si="99"/>
        <v>0</v>
      </c>
    </row>
    <row r="799" spans="1:31" x14ac:dyDescent="0.3">
      <c r="A799">
        <v>42</v>
      </c>
      <c r="B799">
        <v>4702799</v>
      </c>
      <c r="C799" t="s">
        <v>94</v>
      </c>
      <c r="D799">
        <v>1470631</v>
      </c>
      <c r="E799" t="s">
        <v>214</v>
      </c>
      <c r="F799" t="s">
        <v>20</v>
      </c>
      <c r="G799" t="s">
        <v>1134</v>
      </c>
      <c r="H799" t="s">
        <v>1135</v>
      </c>
      <c r="I799" t="s">
        <v>3446</v>
      </c>
      <c r="J799">
        <v>51129884759</v>
      </c>
      <c r="K799" t="s">
        <v>3351</v>
      </c>
      <c r="L799" t="s">
        <v>3450</v>
      </c>
      <c r="M799">
        <v>1000</v>
      </c>
      <c r="N799" s="10">
        <v>3.8679999999999999</v>
      </c>
      <c r="O799" s="10">
        <f t="shared" si="95"/>
        <v>3868</v>
      </c>
      <c r="P799" s="10" t="s">
        <v>5006</v>
      </c>
      <c r="Q799" s="10" t="s">
        <v>5006</v>
      </c>
      <c r="R799" s="10" t="str">
        <f>IF(COUNTIF($J$2:J799,J799)=1,SUMIFS($O:$O,$J:$J,J799)+SUMIFS($P:$P,$J:$J,J799)+SUMIFS($Q:$Q,$J:$J,J799),"")</f>
        <v/>
      </c>
      <c r="S799" s="10" t="s">
        <v>5006</v>
      </c>
      <c r="T799" s="11" t="str">
        <f t="shared" si="98"/>
        <v>Ok</v>
      </c>
      <c r="U799" s="12">
        <v>46027</v>
      </c>
      <c r="V799" s="10">
        <v>250</v>
      </c>
      <c r="W799" s="10" t="str">
        <f t="shared" si="96"/>
        <v>N/A</v>
      </c>
      <c r="X799" t="s">
        <v>450</v>
      </c>
      <c r="Y799" t="s">
        <v>28</v>
      </c>
      <c r="Z799">
        <v>100117</v>
      </c>
      <c r="AA799" t="s">
        <v>451</v>
      </c>
      <c r="AB799" t="s">
        <v>521</v>
      </c>
      <c r="AC799" s="9">
        <v>2</v>
      </c>
      <c r="AD799" s="9" t="str">
        <f t="shared" si="97"/>
        <v>N/A</v>
      </c>
      <c r="AE799" s="11" t="e">
        <f t="shared" si="99"/>
        <v>#VALUE!</v>
      </c>
    </row>
    <row r="800" spans="1:31" x14ac:dyDescent="0.3">
      <c r="A800">
        <v>51</v>
      </c>
      <c r="B800">
        <v>4686102</v>
      </c>
      <c r="C800" t="s">
        <v>167</v>
      </c>
      <c r="D800">
        <v>1871391</v>
      </c>
      <c r="E800" t="s">
        <v>700</v>
      </c>
      <c r="F800" t="s">
        <v>19</v>
      </c>
      <c r="G800" t="s">
        <v>1079</v>
      </c>
      <c r="H800" t="s">
        <v>1080</v>
      </c>
      <c r="I800" t="s">
        <v>3414</v>
      </c>
      <c r="J800">
        <v>51130038739</v>
      </c>
      <c r="K800" t="s">
        <v>3479</v>
      </c>
      <c r="L800" t="s">
        <v>3939</v>
      </c>
      <c r="M800">
        <v>180000</v>
      </c>
      <c r="N800" s="10">
        <v>2.5999999999999999E-3</v>
      </c>
      <c r="O800" s="10">
        <f t="shared" si="95"/>
        <v>468</v>
      </c>
      <c r="P800" s="10">
        <v>0</v>
      </c>
      <c r="Q800" s="10">
        <v>119.53</v>
      </c>
      <c r="R800" s="10">
        <f>IF(COUNTIF($J$2:J800,J800)=1,SUMIFS($O:$O,$J:$J,J800)+SUMIFS($P:$P,$J:$J,J800)+SUMIFS($Q:$Q,$J:$J,J800),"")</f>
        <v>1343.53</v>
      </c>
      <c r="S800" s="10">
        <v>1343.53</v>
      </c>
      <c r="T800" s="11" t="str">
        <f t="shared" si="98"/>
        <v>Ok</v>
      </c>
      <c r="U800" s="12">
        <v>46031</v>
      </c>
      <c r="V800" s="10">
        <v>468</v>
      </c>
      <c r="W800" s="10" t="str">
        <f t="shared" si="96"/>
        <v>Short Paid</v>
      </c>
      <c r="X800" t="s">
        <v>455</v>
      </c>
      <c r="Y800" t="s">
        <v>28</v>
      </c>
      <c r="Z800">
        <v>100110</v>
      </c>
      <c r="AA800" t="s">
        <v>512</v>
      </c>
      <c r="AB800" t="s">
        <v>524</v>
      </c>
      <c r="AC800" s="9">
        <v>2</v>
      </c>
      <c r="AD800" s="9" t="str">
        <f t="shared" si="97"/>
        <v>Ok</v>
      </c>
      <c r="AE800" s="11">
        <f t="shared" si="99"/>
        <v>0</v>
      </c>
    </row>
    <row r="801" spans="1:31" x14ac:dyDescent="0.3">
      <c r="A801">
        <v>51</v>
      </c>
      <c r="B801">
        <v>4686102</v>
      </c>
      <c r="C801" t="s">
        <v>167</v>
      </c>
      <c r="D801">
        <v>1871391</v>
      </c>
      <c r="E801" t="s">
        <v>700</v>
      </c>
      <c r="F801" t="s">
        <v>19</v>
      </c>
      <c r="G801" t="s">
        <v>1079</v>
      </c>
      <c r="H801" t="s">
        <v>1080</v>
      </c>
      <c r="I801" t="s">
        <v>3283</v>
      </c>
      <c r="J801">
        <v>51130038739</v>
      </c>
      <c r="K801" t="s">
        <v>3168</v>
      </c>
      <c r="L801" t="s">
        <v>3348</v>
      </c>
      <c r="M801">
        <v>90000</v>
      </c>
      <c r="N801" s="10">
        <v>8.3999999999999995E-3</v>
      </c>
      <c r="O801" s="10">
        <f t="shared" si="95"/>
        <v>756</v>
      </c>
      <c r="P801" s="10" t="s">
        <v>5006</v>
      </c>
      <c r="Q801" s="10" t="s">
        <v>5006</v>
      </c>
      <c r="R801" s="10" t="str">
        <f>IF(COUNTIF($J$2:J801,J801)=1,SUMIFS($O:$O,$J:$J,J801)+SUMIFS($P:$P,$J:$J,J801)+SUMIFS($Q:$Q,$J:$J,J801),"")</f>
        <v/>
      </c>
      <c r="S801" s="10" t="s">
        <v>5006</v>
      </c>
      <c r="T801" s="11" t="str">
        <f t="shared" si="98"/>
        <v>Ok</v>
      </c>
      <c r="U801" s="12">
        <v>46031</v>
      </c>
      <c r="V801" s="10">
        <v>468</v>
      </c>
      <c r="W801" s="10" t="str">
        <f t="shared" si="96"/>
        <v>N/A</v>
      </c>
      <c r="X801" t="s">
        <v>455</v>
      </c>
      <c r="Y801" t="s">
        <v>28</v>
      </c>
      <c r="Z801">
        <v>100110</v>
      </c>
      <c r="AA801" t="s">
        <v>512</v>
      </c>
      <c r="AB801" t="s">
        <v>524</v>
      </c>
      <c r="AC801" s="9">
        <v>2</v>
      </c>
      <c r="AD801" s="9" t="str">
        <f t="shared" si="97"/>
        <v>N/A</v>
      </c>
      <c r="AE801" s="11" t="e">
        <f t="shared" si="99"/>
        <v>#VALUE!</v>
      </c>
    </row>
    <row r="802" spans="1:31" x14ac:dyDescent="0.3">
      <c r="A802">
        <v>60</v>
      </c>
      <c r="B802">
        <v>4662170</v>
      </c>
      <c r="C802" t="s">
        <v>239</v>
      </c>
      <c r="D802">
        <v>1104415</v>
      </c>
      <c r="E802" t="s">
        <v>538</v>
      </c>
      <c r="F802" t="s">
        <v>19</v>
      </c>
      <c r="G802" t="s">
        <v>1013</v>
      </c>
      <c r="H802" t="s">
        <v>1014</v>
      </c>
      <c r="I802" t="s">
        <v>3263</v>
      </c>
      <c r="J802">
        <v>51130831355</v>
      </c>
      <c r="K802" t="s">
        <v>3183</v>
      </c>
      <c r="L802" t="s">
        <v>3940</v>
      </c>
      <c r="M802">
        <v>350</v>
      </c>
      <c r="N802" s="10">
        <v>6.48</v>
      </c>
      <c r="O802" s="10">
        <f t="shared" si="95"/>
        <v>2268</v>
      </c>
      <c r="P802" s="10">
        <v>0</v>
      </c>
      <c r="Q802" s="10">
        <v>0</v>
      </c>
      <c r="R802" s="10">
        <f>IF(COUNTIF($J$2:J802,J802)=1,SUMIFS($O:$O,$J:$J,J802)+SUMIFS($P:$P,$J:$J,J802)+SUMIFS($Q:$Q,$J:$J,J802),"")</f>
        <v>6565.1579999999994</v>
      </c>
      <c r="S802" s="10">
        <v>6565.16</v>
      </c>
      <c r="T802" s="11" t="str">
        <f t="shared" si="98"/>
        <v>Check</v>
      </c>
      <c r="U802" s="12">
        <v>46050</v>
      </c>
      <c r="V802" s="10">
        <v>4297.16</v>
      </c>
      <c r="W802" s="10" t="str">
        <f t="shared" si="96"/>
        <v>Short Paid</v>
      </c>
      <c r="X802" t="s">
        <v>476</v>
      </c>
      <c r="Y802" t="s">
        <v>28</v>
      </c>
      <c r="Z802">
        <v>100195</v>
      </c>
      <c r="AA802" t="s">
        <v>3070</v>
      </c>
      <c r="AB802" t="s">
        <v>524</v>
      </c>
      <c r="AC802" s="9">
        <v>2</v>
      </c>
      <c r="AD802" s="9" t="str">
        <f t="shared" si="97"/>
        <v>Check</v>
      </c>
      <c r="AE802" s="11">
        <f t="shared" si="99"/>
        <v>-2.0000000004074536E-3</v>
      </c>
    </row>
    <row r="803" spans="1:31" x14ac:dyDescent="0.3">
      <c r="A803">
        <v>60</v>
      </c>
      <c r="B803">
        <v>4662170</v>
      </c>
      <c r="C803" t="s">
        <v>239</v>
      </c>
      <c r="D803">
        <v>1104415</v>
      </c>
      <c r="E803" t="s">
        <v>538</v>
      </c>
      <c r="F803" t="s">
        <v>19</v>
      </c>
      <c r="G803" t="s">
        <v>1013</v>
      </c>
      <c r="H803" t="s">
        <v>1014</v>
      </c>
      <c r="I803" t="s">
        <v>3441</v>
      </c>
      <c r="J803">
        <v>51130831355</v>
      </c>
      <c r="K803" t="s">
        <v>3209</v>
      </c>
      <c r="L803" t="s">
        <v>3335</v>
      </c>
      <c r="M803">
        <v>900</v>
      </c>
      <c r="N803" s="10">
        <v>4.7746199999999996</v>
      </c>
      <c r="O803" s="10">
        <f t="shared" si="95"/>
        <v>4297.1579999999994</v>
      </c>
      <c r="P803" s="10" t="s">
        <v>5006</v>
      </c>
      <c r="Q803" s="10" t="s">
        <v>5006</v>
      </c>
      <c r="R803" s="10" t="str">
        <f>IF(COUNTIF($J$2:J803,J803)=1,SUMIFS($O:$O,$J:$J,J803)+SUMIFS($P:$P,$J:$J,J803)+SUMIFS($Q:$Q,$J:$J,J803),"")</f>
        <v/>
      </c>
      <c r="S803" s="10" t="s">
        <v>5006</v>
      </c>
      <c r="T803" s="11" t="str">
        <f t="shared" si="98"/>
        <v>Check</v>
      </c>
      <c r="U803" s="12">
        <v>46050</v>
      </c>
      <c r="V803" s="10">
        <v>4297.16</v>
      </c>
      <c r="W803" s="10" t="str">
        <f t="shared" si="96"/>
        <v>N/A</v>
      </c>
      <c r="X803" t="s">
        <v>476</v>
      </c>
      <c r="Y803" t="s">
        <v>28</v>
      </c>
      <c r="Z803">
        <v>100195</v>
      </c>
      <c r="AA803" t="s">
        <v>3070</v>
      </c>
      <c r="AB803" t="s">
        <v>524</v>
      </c>
      <c r="AC803" s="9">
        <v>2</v>
      </c>
      <c r="AD803" s="9" t="str">
        <f t="shared" si="97"/>
        <v>N/A</v>
      </c>
      <c r="AE803" s="11" t="e">
        <f t="shared" si="99"/>
        <v>#VALUE!</v>
      </c>
    </row>
    <row r="804" spans="1:31" x14ac:dyDescent="0.3">
      <c r="A804">
        <v>25</v>
      </c>
      <c r="B804">
        <v>4824131</v>
      </c>
      <c r="C804" t="s">
        <v>239</v>
      </c>
      <c r="D804">
        <v>1079286</v>
      </c>
      <c r="E804" t="s">
        <v>629</v>
      </c>
      <c r="F804" t="s">
        <v>20</v>
      </c>
      <c r="G804" t="s">
        <v>2848</v>
      </c>
      <c r="H804" t="s">
        <v>2849</v>
      </c>
      <c r="I804" t="s">
        <v>3344</v>
      </c>
      <c r="J804">
        <v>51131153723</v>
      </c>
      <c r="K804" t="s">
        <v>3177</v>
      </c>
      <c r="L804" t="s">
        <v>3874</v>
      </c>
      <c r="M804">
        <v>60000</v>
      </c>
      <c r="N804" s="10">
        <v>2.5400000000000002E-3</v>
      </c>
      <c r="O804" s="10">
        <f t="shared" si="95"/>
        <v>152.4</v>
      </c>
      <c r="P804" s="10">
        <v>0</v>
      </c>
      <c r="Q804" s="10">
        <v>0</v>
      </c>
      <c r="R804" s="10">
        <f>IF(COUNTIF($J$2:J804,J804)=1,SUMIFS($O:$O,$J:$J,J804)+SUMIFS($P:$P,$J:$J,J804)+SUMIFS($Q:$Q,$J:$J,J804),"")</f>
        <v>23000.639999999999</v>
      </c>
      <c r="S804" s="10">
        <v>45692.84</v>
      </c>
      <c r="T804" s="11" t="str">
        <f t="shared" si="98"/>
        <v>Check</v>
      </c>
      <c r="U804" s="12">
        <v>46010</v>
      </c>
      <c r="V804" s="10">
        <v>568</v>
      </c>
      <c r="W804" s="10" t="str">
        <f t="shared" si="96"/>
        <v>Short Paid</v>
      </c>
      <c r="X804" t="s">
        <v>476</v>
      </c>
      <c r="Y804" t="s">
        <v>28</v>
      </c>
      <c r="Z804">
        <v>100235</v>
      </c>
      <c r="AA804" t="s">
        <v>509</v>
      </c>
      <c r="AB804" t="s">
        <v>521</v>
      </c>
      <c r="AC804" s="9">
        <v>8</v>
      </c>
      <c r="AD804" s="9" t="str">
        <f t="shared" si="97"/>
        <v>Check</v>
      </c>
      <c r="AE804" s="11">
        <f t="shared" si="99"/>
        <v>-22692.199999999997</v>
      </c>
    </row>
    <row r="805" spans="1:31" x14ac:dyDescent="0.3">
      <c r="A805">
        <v>25</v>
      </c>
      <c r="B805">
        <v>4824131</v>
      </c>
      <c r="C805" t="s">
        <v>239</v>
      </c>
      <c r="D805">
        <v>1079286</v>
      </c>
      <c r="E805" t="s">
        <v>629</v>
      </c>
      <c r="F805" t="s">
        <v>20</v>
      </c>
      <c r="G805" t="s">
        <v>2848</v>
      </c>
      <c r="H805" t="s">
        <v>2849</v>
      </c>
      <c r="I805" t="s">
        <v>3344</v>
      </c>
      <c r="J805">
        <v>51131153723</v>
      </c>
      <c r="K805" t="s">
        <v>3216</v>
      </c>
      <c r="L805" t="s">
        <v>3215</v>
      </c>
      <c r="M805">
        <v>126000</v>
      </c>
      <c r="N805" s="10">
        <v>1.8700000000000001E-2</v>
      </c>
      <c r="O805" s="10">
        <f t="shared" si="95"/>
        <v>2356.2000000000003</v>
      </c>
      <c r="P805" s="10" t="s">
        <v>5006</v>
      </c>
      <c r="Q805" s="10" t="s">
        <v>5006</v>
      </c>
      <c r="R805" s="10" t="str">
        <f>IF(COUNTIF($J$2:J805,J805)=1,SUMIFS($O:$O,$J:$J,J805)+SUMIFS($P:$P,$J:$J,J805)+SUMIFS($Q:$Q,$J:$J,J805),"")</f>
        <v/>
      </c>
      <c r="S805" s="10" t="s">
        <v>5006</v>
      </c>
      <c r="T805" s="11" t="str">
        <f t="shared" si="98"/>
        <v>Check</v>
      </c>
      <c r="U805" s="12">
        <v>46010</v>
      </c>
      <c r="V805" s="10">
        <v>568</v>
      </c>
      <c r="W805" s="10" t="str">
        <f t="shared" si="96"/>
        <v>N/A</v>
      </c>
      <c r="X805" t="s">
        <v>476</v>
      </c>
      <c r="Y805" t="s">
        <v>28</v>
      </c>
      <c r="Z805">
        <v>100235</v>
      </c>
      <c r="AA805" t="s">
        <v>509</v>
      </c>
      <c r="AB805" t="s">
        <v>521</v>
      </c>
      <c r="AC805" s="9">
        <v>8</v>
      </c>
      <c r="AD805" s="9" t="str">
        <f t="shared" si="97"/>
        <v>N/A</v>
      </c>
      <c r="AE805" s="11" t="e">
        <f t="shared" si="99"/>
        <v>#VALUE!</v>
      </c>
    </row>
    <row r="806" spans="1:31" x14ac:dyDescent="0.3">
      <c r="A806">
        <v>25</v>
      </c>
      <c r="B806">
        <v>4824131</v>
      </c>
      <c r="C806" t="s">
        <v>239</v>
      </c>
      <c r="D806">
        <v>1079286</v>
      </c>
      <c r="E806" t="s">
        <v>629</v>
      </c>
      <c r="F806" t="s">
        <v>20</v>
      </c>
      <c r="G806" t="s">
        <v>2848</v>
      </c>
      <c r="H806" t="s">
        <v>2849</v>
      </c>
      <c r="I806" t="s">
        <v>3344</v>
      </c>
      <c r="J806">
        <v>51131153723</v>
      </c>
      <c r="K806" t="s">
        <v>3266</v>
      </c>
      <c r="L806" t="s">
        <v>3893</v>
      </c>
      <c r="M806">
        <v>2592</v>
      </c>
      <c r="N806" s="10">
        <v>1.27</v>
      </c>
      <c r="O806" s="10">
        <f t="shared" si="95"/>
        <v>3291.84</v>
      </c>
      <c r="P806" s="10" t="s">
        <v>5006</v>
      </c>
      <c r="Q806" s="10" t="s">
        <v>5006</v>
      </c>
      <c r="R806" s="10" t="str">
        <f>IF(COUNTIF($J$2:J806,J806)=1,SUMIFS($O:$O,$J:$J,J806)+SUMIFS($P:$P,$J:$J,J806)+SUMIFS($Q:$Q,$J:$J,J806),"")</f>
        <v/>
      </c>
      <c r="S806" s="10" t="s">
        <v>5006</v>
      </c>
      <c r="T806" s="11" t="str">
        <f t="shared" si="98"/>
        <v>Check</v>
      </c>
      <c r="U806" s="12">
        <v>46010</v>
      </c>
      <c r="V806" s="10">
        <v>568</v>
      </c>
      <c r="W806" s="10" t="str">
        <f t="shared" si="96"/>
        <v>N/A</v>
      </c>
      <c r="X806" t="s">
        <v>476</v>
      </c>
      <c r="Y806" t="s">
        <v>28</v>
      </c>
      <c r="Z806">
        <v>100235</v>
      </c>
      <c r="AA806" t="s">
        <v>509</v>
      </c>
      <c r="AB806" t="s">
        <v>521</v>
      </c>
      <c r="AC806" s="9">
        <v>8</v>
      </c>
      <c r="AD806" s="9" t="str">
        <f t="shared" si="97"/>
        <v>N/A</v>
      </c>
      <c r="AE806" s="11" t="e">
        <f t="shared" si="99"/>
        <v>#VALUE!</v>
      </c>
    </row>
    <row r="807" spans="1:31" x14ac:dyDescent="0.3">
      <c r="A807">
        <v>25</v>
      </c>
      <c r="B807">
        <v>4824131</v>
      </c>
      <c r="C807" t="s">
        <v>239</v>
      </c>
      <c r="D807">
        <v>1079286</v>
      </c>
      <c r="E807" t="s">
        <v>629</v>
      </c>
      <c r="F807" t="s">
        <v>20</v>
      </c>
      <c r="G807" t="s">
        <v>2848</v>
      </c>
      <c r="H807" t="s">
        <v>2849</v>
      </c>
      <c r="I807" t="s">
        <v>3344</v>
      </c>
      <c r="J807">
        <v>51131153723</v>
      </c>
      <c r="K807" t="s">
        <v>3168</v>
      </c>
      <c r="L807" t="s">
        <v>3941</v>
      </c>
      <c r="M807">
        <v>3000</v>
      </c>
      <c r="N807" s="10">
        <v>1.66E-2</v>
      </c>
      <c r="O807" s="10">
        <f t="shared" si="95"/>
        <v>49.8</v>
      </c>
      <c r="P807" s="10" t="s">
        <v>5006</v>
      </c>
      <c r="Q807" s="10" t="s">
        <v>5006</v>
      </c>
      <c r="R807" s="10" t="str">
        <f>IF(COUNTIF($J$2:J807,J807)=1,SUMIFS($O:$O,$J:$J,J807)+SUMIFS($P:$P,$J:$J,J807)+SUMIFS($Q:$Q,$J:$J,J807),"")</f>
        <v/>
      </c>
      <c r="S807" s="10" t="s">
        <v>5006</v>
      </c>
      <c r="T807" s="11" t="str">
        <f t="shared" si="98"/>
        <v>Check</v>
      </c>
      <c r="U807" s="12">
        <v>46010</v>
      </c>
      <c r="V807" s="10">
        <v>568</v>
      </c>
      <c r="W807" s="10" t="str">
        <f t="shared" si="96"/>
        <v>N/A</v>
      </c>
      <c r="X807" t="s">
        <v>476</v>
      </c>
      <c r="Y807" t="s">
        <v>28</v>
      </c>
      <c r="Z807">
        <v>100235</v>
      </c>
      <c r="AA807" t="s">
        <v>509</v>
      </c>
      <c r="AB807" t="s">
        <v>521</v>
      </c>
      <c r="AC807" s="9">
        <v>8</v>
      </c>
      <c r="AD807" s="9" t="str">
        <f t="shared" si="97"/>
        <v>N/A</v>
      </c>
      <c r="AE807" s="11" t="e">
        <f t="shared" si="99"/>
        <v>#VALUE!</v>
      </c>
    </row>
    <row r="808" spans="1:31" x14ac:dyDescent="0.3">
      <c r="A808">
        <v>25</v>
      </c>
      <c r="B808">
        <v>4824131</v>
      </c>
      <c r="C808" t="s">
        <v>239</v>
      </c>
      <c r="D808">
        <v>1079286</v>
      </c>
      <c r="E808" t="s">
        <v>629</v>
      </c>
      <c r="F808" t="s">
        <v>20</v>
      </c>
      <c r="G808" t="s">
        <v>2848</v>
      </c>
      <c r="H808" t="s">
        <v>2849</v>
      </c>
      <c r="I808" t="s">
        <v>3344</v>
      </c>
      <c r="J808">
        <v>51131153723</v>
      </c>
      <c r="K808" t="s">
        <v>3488</v>
      </c>
      <c r="L808" t="s">
        <v>3942</v>
      </c>
      <c r="M808">
        <v>6000</v>
      </c>
      <c r="N808" s="10">
        <v>7.6999999999999999E-2</v>
      </c>
      <c r="O808" s="10">
        <f t="shared" si="95"/>
        <v>462</v>
      </c>
      <c r="P808" s="10" t="s">
        <v>5006</v>
      </c>
      <c r="Q808" s="10" t="s">
        <v>5006</v>
      </c>
      <c r="R808" s="10" t="str">
        <f>IF(COUNTIF($J$2:J808,J808)=1,SUMIFS($O:$O,$J:$J,J808)+SUMIFS($P:$P,$J:$J,J808)+SUMIFS($Q:$Q,$J:$J,J808),"")</f>
        <v/>
      </c>
      <c r="S808" s="10" t="s">
        <v>5006</v>
      </c>
      <c r="T808" s="11" t="str">
        <f t="shared" si="98"/>
        <v>Check</v>
      </c>
      <c r="U808" s="12">
        <v>46010</v>
      </c>
      <c r="V808" s="10">
        <v>568</v>
      </c>
      <c r="W808" s="10" t="str">
        <f t="shared" si="96"/>
        <v>N/A</v>
      </c>
      <c r="X808" t="s">
        <v>476</v>
      </c>
      <c r="Y808" t="s">
        <v>28</v>
      </c>
      <c r="Z808">
        <v>100235</v>
      </c>
      <c r="AA808" t="s">
        <v>509</v>
      </c>
      <c r="AB808" t="s">
        <v>521</v>
      </c>
      <c r="AC808" s="9">
        <v>8</v>
      </c>
      <c r="AD808" s="9" t="str">
        <f t="shared" si="97"/>
        <v>N/A</v>
      </c>
      <c r="AE808" s="11" t="e">
        <f t="shared" si="99"/>
        <v>#VALUE!</v>
      </c>
    </row>
    <row r="809" spans="1:31" x14ac:dyDescent="0.3">
      <c r="A809">
        <v>25</v>
      </c>
      <c r="B809">
        <v>4824131</v>
      </c>
      <c r="C809" t="s">
        <v>239</v>
      </c>
      <c r="D809">
        <v>1079286</v>
      </c>
      <c r="E809" t="s">
        <v>629</v>
      </c>
      <c r="F809" t="s">
        <v>20</v>
      </c>
      <c r="G809" t="s">
        <v>2848</v>
      </c>
      <c r="H809" t="s">
        <v>2849</v>
      </c>
      <c r="I809" t="s">
        <v>3344</v>
      </c>
      <c r="J809">
        <v>51131153723</v>
      </c>
      <c r="K809" t="s">
        <v>3488</v>
      </c>
      <c r="L809" t="s">
        <v>3721</v>
      </c>
      <c r="M809">
        <v>28800</v>
      </c>
      <c r="N809" s="10">
        <v>0.48799999999999999</v>
      </c>
      <c r="O809" s="10">
        <f t="shared" si="95"/>
        <v>14054.4</v>
      </c>
      <c r="P809" s="10" t="s">
        <v>5006</v>
      </c>
      <c r="Q809" s="10" t="s">
        <v>5006</v>
      </c>
      <c r="R809" s="10" t="str">
        <f>IF(COUNTIF($J$2:J809,J809)=1,SUMIFS($O:$O,$J:$J,J809)+SUMIFS($P:$P,$J:$J,J809)+SUMIFS($Q:$Q,$J:$J,J809),"")</f>
        <v/>
      </c>
      <c r="S809" s="10" t="s">
        <v>5006</v>
      </c>
      <c r="T809" s="11" t="str">
        <f t="shared" si="98"/>
        <v>Check</v>
      </c>
      <c r="U809" s="12">
        <v>46010</v>
      </c>
      <c r="V809" s="10">
        <v>568</v>
      </c>
      <c r="W809" s="10" t="str">
        <f t="shared" si="96"/>
        <v>N/A</v>
      </c>
      <c r="X809" t="s">
        <v>476</v>
      </c>
      <c r="Y809" t="s">
        <v>28</v>
      </c>
      <c r="Z809">
        <v>100235</v>
      </c>
      <c r="AA809" t="s">
        <v>509</v>
      </c>
      <c r="AB809" t="s">
        <v>521</v>
      </c>
      <c r="AC809" s="9">
        <v>8</v>
      </c>
      <c r="AD809" s="9" t="str">
        <f t="shared" si="97"/>
        <v>N/A</v>
      </c>
      <c r="AE809" s="11" t="e">
        <f t="shared" si="99"/>
        <v>#VALUE!</v>
      </c>
    </row>
    <row r="810" spans="1:31" x14ac:dyDescent="0.3">
      <c r="A810">
        <v>25</v>
      </c>
      <c r="B810">
        <v>4824131</v>
      </c>
      <c r="C810" t="s">
        <v>239</v>
      </c>
      <c r="D810">
        <v>1079286</v>
      </c>
      <c r="E810" t="s">
        <v>629</v>
      </c>
      <c r="F810" t="s">
        <v>20</v>
      </c>
      <c r="G810" t="s">
        <v>2848</v>
      </c>
      <c r="H810" t="s">
        <v>2849</v>
      </c>
      <c r="I810" t="s">
        <v>3344</v>
      </c>
      <c r="J810">
        <v>51131153723</v>
      </c>
      <c r="K810" t="s">
        <v>3207</v>
      </c>
      <c r="L810" t="s">
        <v>3881</v>
      </c>
      <c r="M810">
        <v>4000</v>
      </c>
      <c r="N810" s="10">
        <v>7.6499999999999999E-2</v>
      </c>
      <c r="O810" s="10">
        <f t="shared" si="95"/>
        <v>306</v>
      </c>
      <c r="P810" s="10" t="s">
        <v>5006</v>
      </c>
      <c r="Q810" s="10" t="s">
        <v>5006</v>
      </c>
      <c r="R810" s="10" t="str">
        <f>IF(COUNTIF($J$2:J810,J810)=1,SUMIFS($O:$O,$J:$J,J810)+SUMIFS($P:$P,$J:$J,J810)+SUMIFS($Q:$Q,$J:$J,J810),"")</f>
        <v/>
      </c>
      <c r="S810" s="10" t="s">
        <v>5006</v>
      </c>
      <c r="T810" s="11" t="str">
        <f t="shared" si="98"/>
        <v>Check</v>
      </c>
      <c r="U810" s="12">
        <v>46010</v>
      </c>
      <c r="V810" s="10">
        <v>568</v>
      </c>
      <c r="W810" s="10" t="str">
        <f t="shared" si="96"/>
        <v>N/A</v>
      </c>
      <c r="X810" t="s">
        <v>476</v>
      </c>
      <c r="Y810" t="s">
        <v>28</v>
      </c>
      <c r="Z810">
        <v>100235</v>
      </c>
      <c r="AA810" t="s">
        <v>509</v>
      </c>
      <c r="AB810" t="s">
        <v>521</v>
      </c>
      <c r="AC810" s="9">
        <v>8</v>
      </c>
      <c r="AD810" s="9" t="str">
        <f t="shared" si="97"/>
        <v>N/A</v>
      </c>
      <c r="AE810" s="11" t="e">
        <f t="shared" si="99"/>
        <v>#VALUE!</v>
      </c>
    </row>
    <row r="811" spans="1:31" x14ac:dyDescent="0.3">
      <c r="A811">
        <v>25</v>
      </c>
      <c r="B811">
        <v>4824131</v>
      </c>
      <c r="C811" t="s">
        <v>239</v>
      </c>
      <c r="D811">
        <v>1079286</v>
      </c>
      <c r="E811" t="s">
        <v>629</v>
      </c>
      <c r="F811" t="s">
        <v>20</v>
      </c>
      <c r="G811" t="s">
        <v>2848</v>
      </c>
      <c r="H811" t="s">
        <v>2849</v>
      </c>
      <c r="I811" t="s">
        <v>3344</v>
      </c>
      <c r="J811">
        <v>51131153723</v>
      </c>
      <c r="K811" t="s">
        <v>3207</v>
      </c>
      <c r="L811" t="s">
        <v>3870</v>
      </c>
      <c r="M811">
        <v>80000</v>
      </c>
      <c r="N811" s="10">
        <v>2.9100000000000001E-2</v>
      </c>
      <c r="O811" s="10">
        <f t="shared" si="95"/>
        <v>2328</v>
      </c>
      <c r="P811" s="10" t="s">
        <v>5006</v>
      </c>
      <c r="Q811" s="10" t="s">
        <v>5006</v>
      </c>
      <c r="R811" s="10" t="str">
        <f>IF(COUNTIF($J$2:J811,J811)=1,SUMIFS($O:$O,$J:$J,J811)+SUMIFS($P:$P,$J:$J,J811)+SUMIFS($Q:$Q,$J:$J,J811),"")</f>
        <v/>
      </c>
      <c r="S811" s="10" t="s">
        <v>5006</v>
      </c>
      <c r="T811" s="11" t="str">
        <f t="shared" si="98"/>
        <v>Check</v>
      </c>
      <c r="U811" s="12">
        <v>46010</v>
      </c>
      <c r="V811" s="10">
        <v>568</v>
      </c>
      <c r="W811" s="10" t="str">
        <f t="shared" si="96"/>
        <v>N/A</v>
      </c>
      <c r="X811" t="s">
        <v>476</v>
      </c>
      <c r="Y811" t="s">
        <v>28</v>
      </c>
      <c r="Z811">
        <v>100235</v>
      </c>
      <c r="AA811" t="s">
        <v>509</v>
      </c>
      <c r="AB811" t="s">
        <v>521</v>
      </c>
      <c r="AC811" s="9">
        <v>8</v>
      </c>
      <c r="AD811" s="9" t="str">
        <f t="shared" si="97"/>
        <v>N/A</v>
      </c>
      <c r="AE811" s="11" t="e">
        <f t="shared" si="99"/>
        <v>#VALUE!</v>
      </c>
    </row>
    <row r="812" spans="1:31" x14ac:dyDescent="0.3">
      <c r="A812">
        <v>92</v>
      </c>
      <c r="B812">
        <v>4583137</v>
      </c>
      <c r="C812" t="s">
        <v>94</v>
      </c>
      <c r="D812">
        <v>1526082</v>
      </c>
      <c r="E812" t="s">
        <v>155</v>
      </c>
      <c r="F812" t="s">
        <v>20</v>
      </c>
      <c r="G812" t="s">
        <v>817</v>
      </c>
      <c r="H812" t="s">
        <v>818</v>
      </c>
      <c r="I812" t="s">
        <v>3331</v>
      </c>
      <c r="J812">
        <v>51131284889</v>
      </c>
      <c r="K812" t="s">
        <v>3362</v>
      </c>
      <c r="L812" t="s">
        <v>3832</v>
      </c>
      <c r="M812">
        <v>3</v>
      </c>
      <c r="N812" s="10">
        <v>28700.68</v>
      </c>
      <c r="O812" s="10">
        <f t="shared" si="95"/>
        <v>86102.040000000008</v>
      </c>
      <c r="P812" s="10">
        <v>0</v>
      </c>
      <c r="Q812" s="10" t="s">
        <v>5006</v>
      </c>
      <c r="R812" s="10">
        <f>IF(COUNTIF($J$2:J812,J812)=1,SUMIFS($O:$O,$J:$J,J812)+SUMIFS($P:$P,$J:$J,J812)+SUMIFS($Q:$Q,$J:$J,J812),"")</f>
        <v>86103.540000000008</v>
      </c>
      <c r="S812" s="10">
        <v>86147.76</v>
      </c>
      <c r="T812" s="11" t="str">
        <f t="shared" si="98"/>
        <v>Check</v>
      </c>
      <c r="U812" s="12">
        <v>45469</v>
      </c>
      <c r="V812" s="10">
        <v>1622.21</v>
      </c>
      <c r="W812" s="10" t="str">
        <f t="shared" si="96"/>
        <v>Short Paid</v>
      </c>
      <c r="X812" t="s">
        <v>450</v>
      </c>
      <c r="Y812" t="s">
        <v>28</v>
      </c>
      <c r="Z812">
        <v>100117</v>
      </c>
      <c r="AA812" t="s">
        <v>451</v>
      </c>
      <c r="AB812" t="s">
        <v>521</v>
      </c>
      <c r="AC812" s="9">
        <v>2</v>
      </c>
      <c r="AD812" s="9" t="str">
        <f t="shared" si="97"/>
        <v>Check</v>
      </c>
      <c r="AE812" s="11">
        <f t="shared" si="99"/>
        <v>-44.219999999986612</v>
      </c>
    </row>
    <row r="813" spans="1:31" x14ac:dyDescent="0.3">
      <c r="A813">
        <v>92</v>
      </c>
      <c r="B813">
        <v>4583137</v>
      </c>
      <c r="C813" t="s">
        <v>94</v>
      </c>
      <c r="D813">
        <v>1526082</v>
      </c>
      <c r="E813" t="s">
        <v>155</v>
      </c>
      <c r="F813" t="s">
        <v>20</v>
      </c>
      <c r="G813" t="s">
        <v>817</v>
      </c>
      <c r="H813" t="s">
        <v>818</v>
      </c>
      <c r="I813" t="s">
        <v>3331</v>
      </c>
      <c r="J813">
        <v>51131284889</v>
      </c>
      <c r="K813" t="s">
        <v>3183</v>
      </c>
      <c r="L813" t="s">
        <v>3816</v>
      </c>
      <c r="M813">
        <v>6</v>
      </c>
      <c r="N813" s="10">
        <v>0.25</v>
      </c>
      <c r="O813" s="10">
        <f t="shared" si="95"/>
        <v>1.5</v>
      </c>
      <c r="P813" s="10" t="s">
        <v>5006</v>
      </c>
      <c r="Q813" s="10" t="s">
        <v>5006</v>
      </c>
      <c r="R813" s="10" t="str">
        <f>IF(COUNTIF($J$2:J813,J813)=1,SUMIFS($O:$O,$J:$J,J813)+SUMIFS($P:$P,$J:$J,J813)+SUMIFS($Q:$Q,$J:$J,J813),"")</f>
        <v/>
      </c>
      <c r="S813" s="10" t="s">
        <v>5006</v>
      </c>
      <c r="T813" s="11" t="str">
        <f t="shared" si="98"/>
        <v>Check</v>
      </c>
      <c r="U813" s="12">
        <v>45469</v>
      </c>
      <c r="V813" s="10">
        <v>1622.21</v>
      </c>
      <c r="W813" s="10" t="str">
        <f t="shared" si="96"/>
        <v>N/A</v>
      </c>
      <c r="X813" t="s">
        <v>450</v>
      </c>
      <c r="Y813" t="s">
        <v>28</v>
      </c>
      <c r="Z813">
        <v>100117</v>
      </c>
      <c r="AA813" t="s">
        <v>451</v>
      </c>
      <c r="AB813" t="s">
        <v>521</v>
      </c>
      <c r="AC813" s="9">
        <v>2</v>
      </c>
      <c r="AD813" s="9" t="str">
        <f t="shared" si="97"/>
        <v>N/A</v>
      </c>
      <c r="AE813" s="11" t="e">
        <f t="shared" si="99"/>
        <v>#VALUE!</v>
      </c>
    </row>
    <row r="814" spans="1:31" x14ac:dyDescent="0.3">
      <c r="A814">
        <v>90</v>
      </c>
      <c r="B814">
        <v>4593990</v>
      </c>
      <c r="C814" t="s">
        <v>220</v>
      </c>
      <c r="D814">
        <v>1525997</v>
      </c>
      <c r="E814" t="s">
        <v>563</v>
      </c>
      <c r="F814" t="s">
        <v>49</v>
      </c>
      <c r="G814" t="s">
        <v>841</v>
      </c>
      <c r="H814" t="s">
        <v>842</v>
      </c>
      <c r="I814" t="s">
        <v>3467</v>
      </c>
      <c r="J814">
        <v>51132111800</v>
      </c>
      <c r="K814" t="s">
        <v>3944</v>
      </c>
      <c r="L814" t="s">
        <v>3943</v>
      </c>
      <c r="M814">
        <v>2</v>
      </c>
      <c r="N814" s="10">
        <v>1412.4</v>
      </c>
      <c r="O814" s="10">
        <f t="shared" si="95"/>
        <v>2824.8</v>
      </c>
      <c r="P814" s="10">
        <v>134.62</v>
      </c>
      <c r="Q814" s="10">
        <v>0</v>
      </c>
      <c r="R814" s="10">
        <f>IF(COUNTIF($J$2:J814,J814)=1,SUMIFS($O:$O,$J:$J,J814)+SUMIFS($P:$P,$J:$J,J814)+SUMIFS($Q:$Q,$J:$J,J814),"")</f>
        <v>7646.92</v>
      </c>
      <c r="S814" s="10">
        <v>7813.58</v>
      </c>
      <c r="T814" s="11" t="str">
        <f t="shared" si="98"/>
        <v>Check</v>
      </c>
      <c r="U814" s="12">
        <v>45918</v>
      </c>
      <c r="V814" s="10">
        <v>134.62</v>
      </c>
      <c r="W814" s="10" t="str">
        <f t="shared" si="96"/>
        <v>Short Paid</v>
      </c>
      <c r="X814" t="s">
        <v>470</v>
      </c>
      <c r="Y814" t="s">
        <v>29</v>
      </c>
      <c r="Z814">
        <v>100298</v>
      </c>
      <c r="AA814" t="s">
        <v>3105</v>
      </c>
      <c r="AB814" t="s">
        <v>3041</v>
      </c>
      <c r="AC814" s="9">
        <v>2</v>
      </c>
      <c r="AD814" s="9" t="str">
        <f t="shared" si="97"/>
        <v>Check</v>
      </c>
      <c r="AE814" s="11">
        <f t="shared" si="99"/>
        <v>-166.65999999999985</v>
      </c>
    </row>
    <row r="815" spans="1:31" x14ac:dyDescent="0.3">
      <c r="A815">
        <v>90</v>
      </c>
      <c r="B815">
        <v>4593990</v>
      </c>
      <c r="C815" t="s">
        <v>220</v>
      </c>
      <c r="D815">
        <v>1525997</v>
      </c>
      <c r="E815" t="s">
        <v>563</v>
      </c>
      <c r="F815" t="s">
        <v>49</v>
      </c>
      <c r="G815" t="s">
        <v>841</v>
      </c>
      <c r="H815" t="s">
        <v>842</v>
      </c>
      <c r="I815" t="s">
        <v>3166</v>
      </c>
      <c r="J815">
        <v>51132111800</v>
      </c>
      <c r="K815" t="s">
        <v>3183</v>
      </c>
      <c r="L815" t="s">
        <v>3843</v>
      </c>
      <c r="M815">
        <v>150</v>
      </c>
      <c r="N815" s="10">
        <v>31.25</v>
      </c>
      <c r="O815" s="10">
        <f t="shared" si="95"/>
        <v>4687.5</v>
      </c>
      <c r="P815" s="10" t="s">
        <v>5006</v>
      </c>
      <c r="Q815" s="10" t="s">
        <v>5006</v>
      </c>
      <c r="R815" s="10" t="str">
        <f>IF(COUNTIF($J$2:J815,J815)=1,SUMIFS($O:$O,$J:$J,J815)+SUMIFS($P:$P,$J:$J,J815)+SUMIFS($Q:$Q,$J:$J,J815),"")</f>
        <v/>
      </c>
      <c r="S815" s="10" t="s">
        <v>5006</v>
      </c>
      <c r="T815" s="11" t="str">
        <f t="shared" si="98"/>
        <v>Check</v>
      </c>
      <c r="U815" s="12">
        <v>45918</v>
      </c>
      <c r="V815" s="10">
        <v>134.62</v>
      </c>
      <c r="W815" s="10" t="str">
        <f t="shared" si="96"/>
        <v>N/A</v>
      </c>
      <c r="X815" t="s">
        <v>470</v>
      </c>
      <c r="Y815" t="s">
        <v>29</v>
      </c>
      <c r="Z815">
        <v>100298</v>
      </c>
      <c r="AA815" t="s">
        <v>3105</v>
      </c>
      <c r="AB815" t="s">
        <v>3041</v>
      </c>
      <c r="AC815" s="9">
        <v>2</v>
      </c>
      <c r="AD815" s="9" t="str">
        <f t="shared" si="97"/>
        <v>N/A</v>
      </c>
      <c r="AE815" s="11" t="e">
        <f t="shared" si="99"/>
        <v>#VALUE!</v>
      </c>
    </row>
    <row r="816" spans="1:31" x14ac:dyDescent="0.3">
      <c r="A816">
        <v>51</v>
      </c>
      <c r="B816">
        <v>4684989</v>
      </c>
      <c r="C816" t="s">
        <v>220</v>
      </c>
      <c r="D816">
        <v>1855679</v>
      </c>
      <c r="E816" t="s">
        <v>699</v>
      </c>
      <c r="F816" t="s">
        <v>47</v>
      </c>
      <c r="G816" t="s">
        <v>1075</v>
      </c>
      <c r="H816" t="s">
        <v>1076</v>
      </c>
      <c r="I816" t="s">
        <v>3303</v>
      </c>
      <c r="J816">
        <v>51132836693</v>
      </c>
      <c r="K816" t="s">
        <v>3431</v>
      </c>
      <c r="L816" t="s">
        <v>3430</v>
      </c>
      <c r="M816">
        <v>3000</v>
      </c>
      <c r="N816" s="10">
        <v>1.575</v>
      </c>
      <c r="O816" s="10">
        <f t="shared" si="95"/>
        <v>4725</v>
      </c>
      <c r="P816" s="10">
        <v>0</v>
      </c>
      <c r="Q816" s="10">
        <v>13.3</v>
      </c>
      <c r="R816" s="10">
        <f>IF(COUNTIF($J$2:J816,J816)=1,SUMIFS($O:$O,$J:$J,J816)+SUMIFS($P:$P,$J:$J,J816)+SUMIFS($Q:$Q,$J:$J,J816),"")</f>
        <v>4878.3</v>
      </c>
      <c r="S816" s="10">
        <v>28521.759999999998</v>
      </c>
      <c r="T816" s="11" t="str">
        <f t="shared" si="98"/>
        <v>Check</v>
      </c>
      <c r="U816" s="12">
        <v>46125</v>
      </c>
      <c r="V816" s="10">
        <v>171.76</v>
      </c>
      <c r="W816" s="10" t="str">
        <f t="shared" si="96"/>
        <v>Short Paid</v>
      </c>
      <c r="X816" t="s">
        <v>470</v>
      </c>
      <c r="Y816" t="s">
        <v>28</v>
      </c>
      <c r="Z816">
        <v>100238</v>
      </c>
      <c r="AA816" t="s">
        <v>3078</v>
      </c>
      <c r="AB816" t="s">
        <v>3039</v>
      </c>
      <c r="AC816" s="9">
        <v>2</v>
      </c>
      <c r="AD816" s="9" t="str">
        <f t="shared" si="97"/>
        <v>Check</v>
      </c>
      <c r="AE816" s="11">
        <f t="shared" si="99"/>
        <v>-23643.46</v>
      </c>
    </row>
    <row r="817" spans="1:31" x14ac:dyDescent="0.3">
      <c r="A817">
        <v>51</v>
      </c>
      <c r="B817">
        <v>4684989</v>
      </c>
      <c r="C817" t="s">
        <v>220</v>
      </c>
      <c r="D817">
        <v>1855679</v>
      </c>
      <c r="E817" t="s">
        <v>699</v>
      </c>
      <c r="F817" t="s">
        <v>47</v>
      </c>
      <c r="G817" t="s">
        <v>1075</v>
      </c>
      <c r="H817" t="s">
        <v>1076</v>
      </c>
      <c r="I817" t="s">
        <v>3312</v>
      </c>
      <c r="J817">
        <v>51132836693</v>
      </c>
      <c r="K817" t="s">
        <v>3209</v>
      </c>
      <c r="L817" t="s">
        <v>3945</v>
      </c>
      <c r="M817">
        <v>10000</v>
      </c>
      <c r="N817" s="10">
        <v>1.4E-2</v>
      </c>
      <c r="O817" s="10">
        <f t="shared" si="95"/>
        <v>140</v>
      </c>
      <c r="P817" s="10" t="s">
        <v>5006</v>
      </c>
      <c r="Q817" s="10" t="s">
        <v>5006</v>
      </c>
      <c r="R817" s="10" t="str">
        <f>IF(COUNTIF($J$2:J817,J817)=1,SUMIFS($O:$O,$J:$J,J817)+SUMIFS($P:$P,$J:$J,J817)+SUMIFS($Q:$Q,$J:$J,J817),"")</f>
        <v/>
      </c>
      <c r="S817" s="10" t="s">
        <v>5006</v>
      </c>
      <c r="T817" s="11" t="str">
        <f t="shared" si="98"/>
        <v>Check</v>
      </c>
      <c r="U817" s="12">
        <v>46125</v>
      </c>
      <c r="V817" s="10">
        <v>171.76</v>
      </c>
      <c r="W817" s="10" t="str">
        <f t="shared" si="96"/>
        <v>N/A</v>
      </c>
      <c r="X817" t="s">
        <v>470</v>
      </c>
      <c r="Y817" t="s">
        <v>28</v>
      </c>
      <c r="Z817">
        <v>100238</v>
      </c>
      <c r="AA817" t="s">
        <v>3078</v>
      </c>
      <c r="AB817" t="s">
        <v>3039</v>
      </c>
      <c r="AC817" s="9">
        <v>2</v>
      </c>
      <c r="AD817" s="9" t="str">
        <f t="shared" si="97"/>
        <v>N/A</v>
      </c>
      <c r="AE817" s="11" t="e">
        <f t="shared" si="99"/>
        <v>#VALUE!</v>
      </c>
    </row>
    <row r="818" spans="1:31" x14ac:dyDescent="0.3">
      <c r="A818">
        <v>91</v>
      </c>
      <c r="B818">
        <v>4590929</v>
      </c>
      <c r="C818" t="s">
        <v>167</v>
      </c>
      <c r="D818">
        <v>1235549</v>
      </c>
      <c r="E818" t="s">
        <v>168</v>
      </c>
      <c r="F818" t="s">
        <v>20</v>
      </c>
      <c r="G818" t="s">
        <v>823</v>
      </c>
      <c r="H818" t="s">
        <v>824</v>
      </c>
      <c r="I818" t="s">
        <v>3449</v>
      </c>
      <c r="J818">
        <v>51133220731</v>
      </c>
      <c r="K818" t="s">
        <v>3183</v>
      </c>
      <c r="L818" t="s">
        <v>3843</v>
      </c>
      <c r="M818">
        <v>450</v>
      </c>
      <c r="N818" s="10">
        <v>31.25</v>
      </c>
      <c r="O818" s="10">
        <f t="shared" si="95"/>
        <v>14062.5</v>
      </c>
      <c r="P818" s="10">
        <v>0</v>
      </c>
      <c r="Q818" s="10">
        <v>0</v>
      </c>
      <c r="R818" s="10">
        <f>IF(COUNTIF($J$2:J818,J818)=1,SUMIFS($O:$O,$J:$J,J818)+SUMIFS($P:$P,$J:$J,J818)+SUMIFS($Q:$Q,$J:$J,J818),"")</f>
        <v>14172.45</v>
      </c>
      <c r="S818" s="10">
        <v>14172.45</v>
      </c>
      <c r="T818" s="11" t="str">
        <f t="shared" si="98"/>
        <v>Ok</v>
      </c>
      <c r="U818" s="12">
        <v>45534</v>
      </c>
      <c r="V818" s="10">
        <v>109.95</v>
      </c>
      <c r="W818" s="10" t="str">
        <f t="shared" si="96"/>
        <v>Short Paid</v>
      </c>
      <c r="X818" t="s">
        <v>455</v>
      </c>
      <c r="Y818" t="s">
        <v>28</v>
      </c>
      <c r="Z818">
        <v>100270</v>
      </c>
      <c r="AA818" t="s">
        <v>464</v>
      </c>
      <c r="AB818" t="s">
        <v>521</v>
      </c>
      <c r="AC818" s="9">
        <v>2</v>
      </c>
      <c r="AD818" s="9" t="str">
        <f t="shared" si="97"/>
        <v>Ok</v>
      </c>
      <c r="AE818" s="11">
        <f t="shared" si="99"/>
        <v>0</v>
      </c>
    </row>
    <row r="819" spans="1:31" x14ac:dyDescent="0.3">
      <c r="A819">
        <v>91</v>
      </c>
      <c r="B819">
        <v>4590929</v>
      </c>
      <c r="C819" t="s">
        <v>167</v>
      </c>
      <c r="D819">
        <v>1235549</v>
      </c>
      <c r="E819" t="s">
        <v>168</v>
      </c>
      <c r="F819" t="s">
        <v>20</v>
      </c>
      <c r="G819" t="s">
        <v>823</v>
      </c>
      <c r="H819" t="s">
        <v>824</v>
      </c>
      <c r="I819" t="s">
        <v>3424</v>
      </c>
      <c r="J819">
        <v>51133220731</v>
      </c>
      <c r="K819" t="s">
        <v>3165</v>
      </c>
      <c r="L819" t="s">
        <v>3366</v>
      </c>
      <c r="M819">
        <v>1</v>
      </c>
      <c r="N819" s="10">
        <v>109.95</v>
      </c>
      <c r="O819" s="10">
        <f t="shared" si="95"/>
        <v>109.95</v>
      </c>
      <c r="P819" s="10" t="s">
        <v>5006</v>
      </c>
      <c r="Q819" s="10" t="s">
        <v>5006</v>
      </c>
      <c r="R819" s="10" t="str">
        <f>IF(COUNTIF($J$2:J819,J819)=1,SUMIFS($O:$O,$J:$J,J819)+SUMIFS($P:$P,$J:$J,J819)+SUMIFS($Q:$Q,$J:$J,J819),"")</f>
        <v/>
      </c>
      <c r="S819" s="10" t="s">
        <v>5006</v>
      </c>
      <c r="T819" s="11" t="str">
        <f t="shared" si="98"/>
        <v>Ok</v>
      </c>
      <c r="U819" s="12">
        <v>45534</v>
      </c>
      <c r="V819" s="10">
        <v>109.95</v>
      </c>
      <c r="W819" s="10" t="str">
        <f t="shared" si="96"/>
        <v>N/A</v>
      </c>
      <c r="X819" t="s">
        <v>455</v>
      </c>
      <c r="Y819" t="s">
        <v>28</v>
      </c>
      <c r="Z819">
        <v>100270</v>
      </c>
      <c r="AA819" t="s">
        <v>464</v>
      </c>
      <c r="AB819" t="s">
        <v>521</v>
      </c>
      <c r="AC819" s="9">
        <v>2</v>
      </c>
      <c r="AD819" s="9" t="str">
        <f t="shared" si="97"/>
        <v>N/A</v>
      </c>
      <c r="AE819" s="11" t="e">
        <f t="shared" si="99"/>
        <v>#VALUE!</v>
      </c>
    </row>
    <row r="820" spans="1:31" x14ac:dyDescent="0.3">
      <c r="A820">
        <v>92</v>
      </c>
      <c r="B820">
        <v>4579797</v>
      </c>
      <c r="C820" t="s">
        <v>94</v>
      </c>
      <c r="D820">
        <v>1470631</v>
      </c>
      <c r="E820" t="s">
        <v>214</v>
      </c>
      <c r="F820" t="s">
        <v>19</v>
      </c>
      <c r="G820" t="s">
        <v>808</v>
      </c>
      <c r="H820" t="s">
        <v>809</v>
      </c>
      <c r="I820" t="s">
        <v>3307</v>
      </c>
      <c r="J820">
        <v>51133308231</v>
      </c>
      <c r="K820" t="s">
        <v>3168</v>
      </c>
      <c r="L820" t="s">
        <v>3946</v>
      </c>
      <c r="M820">
        <v>72000</v>
      </c>
      <c r="N820" s="10">
        <v>1.55E-2</v>
      </c>
      <c r="O820" s="10">
        <f t="shared" si="95"/>
        <v>1116</v>
      </c>
      <c r="P820" s="10">
        <v>0</v>
      </c>
      <c r="Q820" s="10">
        <v>0</v>
      </c>
      <c r="R820" s="10">
        <f>IF(COUNTIF($J$2:J820,J820)=1,SUMIFS($O:$O,$J:$J,J820)+SUMIFS($P:$P,$J:$J,J820)+SUMIFS($Q:$Q,$J:$J,J820),"")</f>
        <v>14868.000000000002</v>
      </c>
      <c r="S820" s="10">
        <v>14868</v>
      </c>
      <c r="T820" s="11" t="str">
        <f t="shared" si="98"/>
        <v>Ok</v>
      </c>
      <c r="U820" s="12">
        <v>45426</v>
      </c>
      <c r="V820" s="10">
        <v>13752</v>
      </c>
      <c r="W820" s="10" t="str">
        <f t="shared" si="96"/>
        <v>Short Paid</v>
      </c>
      <c r="X820" t="s">
        <v>450</v>
      </c>
      <c r="Y820" t="s">
        <v>28</v>
      </c>
      <c r="Z820">
        <v>100277</v>
      </c>
      <c r="AA820" t="s">
        <v>467</v>
      </c>
      <c r="AB820" t="s">
        <v>524</v>
      </c>
      <c r="AC820" s="9">
        <v>2</v>
      </c>
      <c r="AD820" s="9" t="str">
        <f t="shared" si="97"/>
        <v>Ok</v>
      </c>
      <c r="AE820" s="11">
        <f t="shared" si="99"/>
        <v>0</v>
      </c>
    </row>
    <row r="821" spans="1:31" x14ac:dyDescent="0.3">
      <c r="A821">
        <v>92</v>
      </c>
      <c r="B821">
        <v>4579797</v>
      </c>
      <c r="C821" t="s">
        <v>94</v>
      </c>
      <c r="D821">
        <v>1470631</v>
      </c>
      <c r="E821" t="s">
        <v>214</v>
      </c>
      <c r="F821" t="s">
        <v>19</v>
      </c>
      <c r="G821" t="s">
        <v>808</v>
      </c>
      <c r="H821" t="s">
        <v>809</v>
      </c>
      <c r="I821" t="s">
        <v>3416</v>
      </c>
      <c r="J821">
        <v>51133308231</v>
      </c>
      <c r="K821" t="s">
        <v>3295</v>
      </c>
      <c r="L821" t="s">
        <v>3947</v>
      </c>
      <c r="M821">
        <v>180</v>
      </c>
      <c r="N821" s="10">
        <v>76.400000000000006</v>
      </c>
      <c r="O821" s="10">
        <f t="shared" si="95"/>
        <v>13752.000000000002</v>
      </c>
      <c r="P821" s="10" t="s">
        <v>5006</v>
      </c>
      <c r="Q821" s="10" t="s">
        <v>5006</v>
      </c>
      <c r="R821" s="10" t="str">
        <f>IF(COUNTIF($J$2:J821,J821)=1,SUMIFS($O:$O,$J:$J,J821)+SUMIFS($P:$P,$J:$J,J821)+SUMIFS($Q:$Q,$J:$J,J821),"")</f>
        <v/>
      </c>
      <c r="S821" s="10" t="s">
        <v>5006</v>
      </c>
      <c r="T821" s="11" t="str">
        <f t="shared" si="98"/>
        <v>Ok</v>
      </c>
      <c r="U821" s="12">
        <v>45426</v>
      </c>
      <c r="V821" s="10">
        <v>13752</v>
      </c>
      <c r="W821" s="10" t="str">
        <f t="shared" si="96"/>
        <v>N/A</v>
      </c>
      <c r="X821" t="s">
        <v>450</v>
      </c>
      <c r="Y821" t="s">
        <v>28</v>
      </c>
      <c r="Z821">
        <v>100277</v>
      </c>
      <c r="AA821" t="s">
        <v>467</v>
      </c>
      <c r="AB821" t="s">
        <v>524</v>
      </c>
      <c r="AC821" s="9">
        <v>2</v>
      </c>
      <c r="AD821" s="9" t="str">
        <f t="shared" si="97"/>
        <v>N/A</v>
      </c>
      <c r="AE821" s="11" t="e">
        <f t="shared" si="99"/>
        <v>#VALUE!</v>
      </c>
    </row>
    <row r="822" spans="1:31" x14ac:dyDescent="0.3">
      <c r="A822">
        <v>92</v>
      </c>
      <c r="B822">
        <v>4580911</v>
      </c>
      <c r="C822" t="s">
        <v>60</v>
      </c>
      <c r="D822">
        <v>1265622</v>
      </c>
      <c r="E822" t="s">
        <v>641</v>
      </c>
      <c r="F822" t="s">
        <v>20</v>
      </c>
      <c r="G822" t="s">
        <v>811</v>
      </c>
      <c r="H822" t="s">
        <v>812</v>
      </c>
      <c r="I822" t="s">
        <v>3309</v>
      </c>
      <c r="J822">
        <v>51133862067</v>
      </c>
      <c r="K822" t="s">
        <v>3165</v>
      </c>
      <c r="L822" t="s">
        <v>3290</v>
      </c>
      <c r="M822">
        <v>1</v>
      </c>
      <c r="N822" s="10">
        <v>119.18</v>
      </c>
      <c r="O822" s="10">
        <f t="shared" si="95"/>
        <v>119.18</v>
      </c>
      <c r="P822" s="10">
        <v>0</v>
      </c>
      <c r="Q822" s="10">
        <v>0</v>
      </c>
      <c r="R822" s="10">
        <f>IF(COUNTIF($J$2:J822,J822)=1,SUMIFS($O:$O,$J:$J,J822)+SUMIFS($P:$P,$J:$J,J822)+SUMIFS($Q:$Q,$J:$J,J822),"")</f>
        <v>254.18</v>
      </c>
      <c r="S822" s="10">
        <v>254.18</v>
      </c>
      <c r="T822" s="11" t="str">
        <f t="shared" si="98"/>
        <v>Ok</v>
      </c>
      <c r="U822" s="12">
        <v>45992</v>
      </c>
      <c r="V822" s="10">
        <v>119.18</v>
      </c>
      <c r="W822" s="10" t="str">
        <f t="shared" si="96"/>
        <v>Short Paid</v>
      </c>
      <c r="X822" t="s">
        <v>438</v>
      </c>
      <c r="Y822" t="s">
        <v>28</v>
      </c>
      <c r="Z822">
        <v>100153</v>
      </c>
      <c r="AA822" t="s">
        <v>445</v>
      </c>
      <c r="AB822" t="s">
        <v>521</v>
      </c>
      <c r="AC822" s="9">
        <v>2</v>
      </c>
      <c r="AD822" s="9" t="str">
        <f t="shared" si="97"/>
        <v>Ok</v>
      </c>
      <c r="AE822" s="11">
        <f t="shared" si="99"/>
        <v>0</v>
      </c>
    </row>
    <row r="823" spans="1:31" x14ac:dyDescent="0.3">
      <c r="A823">
        <v>92</v>
      </c>
      <c r="B823">
        <v>4580911</v>
      </c>
      <c r="C823" t="s">
        <v>60</v>
      </c>
      <c r="D823">
        <v>1265622</v>
      </c>
      <c r="E823" t="s">
        <v>641</v>
      </c>
      <c r="F823" t="s">
        <v>20</v>
      </c>
      <c r="G823" t="s">
        <v>811</v>
      </c>
      <c r="H823" t="s">
        <v>812</v>
      </c>
      <c r="I823" t="s">
        <v>3505</v>
      </c>
      <c r="J823">
        <v>51133862067</v>
      </c>
      <c r="K823" t="s">
        <v>3187</v>
      </c>
      <c r="L823" t="s">
        <v>3948</v>
      </c>
      <c r="M823">
        <v>6</v>
      </c>
      <c r="N823" s="10">
        <v>22.5</v>
      </c>
      <c r="O823" s="10">
        <f t="shared" si="95"/>
        <v>135</v>
      </c>
      <c r="P823" s="10" t="s">
        <v>5006</v>
      </c>
      <c r="Q823" s="10" t="s">
        <v>5006</v>
      </c>
      <c r="R823" s="10" t="str">
        <f>IF(COUNTIF($J$2:J823,J823)=1,SUMIFS($O:$O,$J:$J,J823)+SUMIFS($P:$P,$J:$J,J823)+SUMIFS($Q:$Q,$J:$J,J823),"")</f>
        <v/>
      </c>
      <c r="S823" s="10" t="s">
        <v>5006</v>
      </c>
      <c r="T823" s="11" t="str">
        <f t="shared" si="98"/>
        <v>Ok</v>
      </c>
      <c r="U823" s="12">
        <v>45992</v>
      </c>
      <c r="V823" s="10">
        <v>119.18</v>
      </c>
      <c r="W823" s="10" t="str">
        <f t="shared" si="96"/>
        <v>N/A</v>
      </c>
      <c r="X823" t="s">
        <v>438</v>
      </c>
      <c r="Y823" t="s">
        <v>28</v>
      </c>
      <c r="Z823">
        <v>100153</v>
      </c>
      <c r="AA823" t="s">
        <v>445</v>
      </c>
      <c r="AB823" t="s">
        <v>521</v>
      </c>
      <c r="AC823" s="9">
        <v>2</v>
      </c>
      <c r="AD823" s="9" t="str">
        <f t="shared" si="97"/>
        <v>N/A</v>
      </c>
      <c r="AE823" s="11" t="e">
        <f t="shared" si="99"/>
        <v>#VALUE!</v>
      </c>
    </row>
    <row r="824" spans="1:31" x14ac:dyDescent="0.3">
      <c r="A824">
        <v>92</v>
      </c>
      <c r="B824">
        <v>4581467</v>
      </c>
      <c r="C824" t="s">
        <v>217</v>
      </c>
      <c r="D824">
        <v>1518030</v>
      </c>
      <c r="E824" t="s">
        <v>562</v>
      </c>
      <c r="F824" t="s">
        <v>18</v>
      </c>
      <c r="G824" t="s">
        <v>815</v>
      </c>
      <c r="H824" t="s">
        <v>816</v>
      </c>
      <c r="I824" t="s">
        <v>3178</v>
      </c>
      <c r="J824">
        <v>51133862075</v>
      </c>
      <c r="K824" t="s">
        <v>3950</v>
      </c>
      <c r="L824" t="s">
        <v>3949</v>
      </c>
      <c r="M824">
        <v>2500</v>
      </c>
      <c r="N824" s="10">
        <v>7.5800000000000006E-2</v>
      </c>
      <c r="O824" s="10">
        <f t="shared" si="95"/>
        <v>189.50000000000003</v>
      </c>
      <c r="P824" s="10">
        <v>0</v>
      </c>
      <c r="Q824" s="10">
        <v>0</v>
      </c>
      <c r="R824" s="10">
        <f>IF(COUNTIF($J$2:J824,J824)=1,SUMIFS($O:$O,$J:$J,J824)+SUMIFS($P:$P,$J:$J,J824)+SUMIFS($Q:$Q,$J:$J,J824),"")</f>
        <v>1263.1500000000001</v>
      </c>
      <c r="S824" s="10">
        <v>1745.9</v>
      </c>
      <c r="T824" s="11" t="str">
        <f t="shared" si="98"/>
        <v>Check</v>
      </c>
      <c r="U824" s="12">
        <v>46037</v>
      </c>
      <c r="V824" s="10">
        <v>1234.05</v>
      </c>
      <c r="W824" s="10" t="str">
        <f t="shared" si="96"/>
        <v>Short Paid</v>
      </c>
      <c r="X824" t="s">
        <v>468</v>
      </c>
      <c r="Y824" t="s">
        <v>28</v>
      </c>
      <c r="Z824">
        <v>100196</v>
      </c>
      <c r="AA824" t="s">
        <v>3095</v>
      </c>
      <c r="AB824" t="s">
        <v>523</v>
      </c>
      <c r="AC824" s="9">
        <v>4</v>
      </c>
      <c r="AD824" s="9" t="str">
        <f t="shared" si="97"/>
        <v>Check</v>
      </c>
      <c r="AE824" s="11">
        <f t="shared" si="99"/>
        <v>-482.75</v>
      </c>
    </row>
    <row r="825" spans="1:31" x14ac:dyDescent="0.3">
      <c r="A825">
        <v>92</v>
      </c>
      <c r="B825">
        <v>4581467</v>
      </c>
      <c r="C825" t="s">
        <v>217</v>
      </c>
      <c r="D825">
        <v>1518030</v>
      </c>
      <c r="E825" t="s">
        <v>562</v>
      </c>
      <c r="F825" t="s">
        <v>18</v>
      </c>
      <c r="G825" t="s">
        <v>815</v>
      </c>
      <c r="H825" t="s">
        <v>816</v>
      </c>
      <c r="I825" t="s">
        <v>3178</v>
      </c>
      <c r="J825">
        <v>51133862075</v>
      </c>
      <c r="K825" t="s">
        <v>3950</v>
      </c>
      <c r="L825" t="s">
        <v>3951</v>
      </c>
      <c r="M825">
        <v>4000</v>
      </c>
      <c r="N825" s="10">
        <v>3.0700000000000002E-2</v>
      </c>
      <c r="O825" s="10">
        <f t="shared" si="95"/>
        <v>122.80000000000001</v>
      </c>
      <c r="P825" s="10" t="s">
        <v>5006</v>
      </c>
      <c r="Q825" s="10" t="s">
        <v>5006</v>
      </c>
      <c r="R825" s="10" t="str">
        <f>IF(COUNTIF($J$2:J825,J825)=1,SUMIFS($O:$O,$J:$J,J825)+SUMIFS($P:$P,$J:$J,J825)+SUMIFS($Q:$Q,$J:$J,J825),"")</f>
        <v/>
      </c>
      <c r="S825" s="10" t="s">
        <v>5006</v>
      </c>
      <c r="T825" s="11" t="str">
        <f t="shared" si="98"/>
        <v>Check</v>
      </c>
      <c r="U825" s="12">
        <v>46037</v>
      </c>
      <c r="V825" s="10">
        <v>1234.05</v>
      </c>
      <c r="W825" s="10" t="str">
        <f t="shared" si="96"/>
        <v>N/A</v>
      </c>
      <c r="X825" t="s">
        <v>468</v>
      </c>
      <c r="Y825" t="s">
        <v>28</v>
      </c>
      <c r="Z825">
        <v>100196</v>
      </c>
      <c r="AA825" t="s">
        <v>3095</v>
      </c>
      <c r="AB825" t="s">
        <v>523</v>
      </c>
      <c r="AC825" s="9">
        <v>4</v>
      </c>
      <c r="AD825" s="9" t="str">
        <f t="shared" si="97"/>
        <v>N/A</v>
      </c>
      <c r="AE825" s="11" t="e">
        <f t="shared" si="99"/>
        <v>#VALUE!</v>
      </c>
    </row>
    <row r="826" spans="1:31" x14ac:dyDescent="0.3">
      <c r="A826">
        <v>92</v>
      </c>
      <c r="B826">
        <v>4581467</v>
      </c>
      <c r="C826" t="s">
        <v>217</v>
      </c>
      <c r="D826">
        <v>1518030</v>
      </c>
      <c r="E826" t="s">
        <v>562</v>
      </c>
      <c r="F826" t="s">
        <v>18</v>
      </c>
      <c r="G826" t="s">
        <v>815</v>
      </c>
      <c r="H826" t="s">
        <v>816</v>
      </c>
      <c r="I826" t="s">
        <v>3178</v>
      </c>
      <c r="J826">
        <v>51133862075</v>
      </c>
      <c r="K826" t="s">
        <v>3950</v>
      </c>
      <c r="L826" t="s">
        <v>3952</v>
      </c>
      <c r="M826">
        <v>2000</v>
      </c>
      <c r="N826" s="10">
        <v>0.2195</v>
      </c>
      <c r="O826" s="10">
        <f t="shared" si="95"/>
        <v>439</v>
      </c>
      <c r="P826" s="10" t="s">
        <v>5006</v>
      </c>
      <c r="Q826" s="10" t="s">
        <v>5006</v>
      </c>
      <c r="R826" s="10" t="str">
        <f>IF(COUNTIF($J$2:J826,J826)=1,SUMIFS($O:$O,$J:$J,J826)+SUMIFS($P:$P,$J:$J,J826)+SUMIFS($Q:$Q,$J:$J,J826),"")</f>
        <v/>
      </c>
      <c r="S826" s="10" t="s">
        <v>5006</v>
      </c>
      <c r="T826" s="11" t="str">
        <f t="shared" si="98"/>
        <v>Check</v>
      </c>
      <c r="U826" s="12">
        <v>46037</v>
      </c>
      <c r="V826" s="10">
        <v>1234.05</v>
      </c>
      <c r="W826" s="10" t="str">
        <f t="shared" si="96"/>
        <v>N/A</v>
      </c>
      <c r="X826" t="s">
        <v>468</v>
      </c>
      <c r="Y826" t="s">
        <v>28</v>
      </c>
      <c r="Z826">
        <v>100196</v>
      </c>
      <c r="AA826" t="s">
        <v>3095</v>
      </c>
      <c r="AB826" t="s">
        <v>523</v>
      </c>
      <c r="AC826" s="9">
        <v>4</v>
      </c>
      <c r="AD826" s="9" t="str">
        <f t="shared" si="97"/>
        <v>N/A</v>
      </c>
      <c r="AE826" s="11" t="e">
        <f t="shared" si="99"/>
        <v>#VALUE!</v>
      </c>
    </row>
    <row r="827" spans="1:31" x14ac:dyDescent="0.3">
      <c r="A827">
        <v>92</v>
      </c>
      <c r="B827">
        <v>4581467</v>
      </c>
      <c r="C827" t="s">
        <v>217</v>
      </c>
      <c r="D827">
        <v>1518030</v>
      </c>
      <c r="E827" t="s">
        <v>562</v>
      </c>
      <c r="F827" t="s">
        <v>18</v>
      </c>
      <c r="G827" t="s">
        <v>815</v>
      </c>
      <c r="H827" t="s">
        <v>816</v>
      </c>
      <c r="I827" t="s">
        <v>3325</v>
      </c>
      <c r="J827">
        <v>51133862075</v>
      </c>
      <c r="K827" t="s">
        <v>3187</v>
      </c>
      <c r="L827" t="s">
        <v>3186</v>
      </c>
      <c r="M827">
        <v>5</v>
      </c>
      <c r="N827" s="10">
        <v>102.37</v>
      </c>
      <c r="O827" s="10">
        <f t="shared" si="95"/>
        <v>511.85</v>
      </c>
      <c r="P827" s="10" t="s">
        <v>5006</v>
      </c>
      <c r="Q827" s="10" t="s">
        <v>5006</v>
      </c>
      <c r="R827" s="10" t="str">
        <f>IF(COUNTIF($J$2:J827,J827)=1,SUMIFS($O:$O,$J:$J,J827)+SUMIFS($P:$P,$J:$J,J827)+SUMIFS($Q:$Q,$J:$J,J827),"")</f>
        <v/>
      </c>
      <c r="S827" s="10" t="s">
        <v>5006</v>
      </c>
      <c r="T827" s="11" t="str">
        <f t="shared" si="98"/>
        <v>Check</v>
      </c>
      <c r="U827" s="12">
        <v>46037</v>
      </c>
      <c r="V827" s="10">
        <v>1234.05</v>
      </c>
      <c r="W827" s="10" t="str">
        <f t="shared" si="96"/>
        <v>N/A</v>
      </c>
      <c r="X827" t="s">
        <v>468</v>
      </c>
      <c r="Y827" t="s">
        <v>28</v>
      </c>
      <c r="Z827">
        <v>100196</v>
      </c>
      <c r="AA827" t="s">
        <v>3095</v>
      </c>
      <c r="AB827" t="s">
        <v>523</v>
      </c>
      <c r="AC827" s="9">
        <v>4</v>
      </c>
      <c r="AD827" s="9" t="str">
        <f t="shared" si="97"/>
        <v>N/A</v>
      </c>
      <c r="AE827" s="11" t="e">
        <f t="shared" si="99"/>
        <v>#VALUE!</v>
      </c>
    </row>
    <row r="828" spans="1:31" x14ac:dyDescent="0.3">
      <c r="A828">
        <v>92</v>
      </c>
      <c r="B828">
        <v>4581189</v>
      </c>
      <c r="C828" t="s">
        <v>217</v>
      </c>
      <c r="D828">
        <v>1518030</v>
      </c>
      <c r="E828" t="s">
        <v>562</v>
      </c>
      <c r="F828" t="s">
        <v>18</v>
      </c>
      <c r="G828" t="s">
        <v>813</v>
      </c>
      <c r="H828" t="s">
        <v>814</v>
      </c>
      <c r="I828" t="s">
        <v>3395</v>
      </c>
      <c r="J828">
        <v>51133862086</v>
      </c>
      <c r="K828" t="s">
        <v>3370</v>
      </c>
      <c r="L828" t="s">
        <v>3953</v>
      </c>
      <c r="M828">
        <v>12000</v>
      </c>
      <c r="N828" s="10">
        <v>4.4220000000000002E-2</v>
      </c>
      <c r="O828" s="10">
        <f t="shared" si="95"/>
        <v>530.64</v>
      </c>
      <c r="P828" s="10">
        <v>0</v>
      </c>
      <c r="Q828" s="10">
        <v>0</v>
      </c>
      <c r="R828" s="10">
        <f>IF(COUNTIF($J$2:J828,J828)=1,SUMIFS($O:$O,$J:$J,J828)+SUMIFS($P:$P,$J:$J,J828)+SUMIFS($Q:$Q,$J:$J,J828),"")</f>
        <v>111458.64</v>
      </c>
      <c r="S828" s="10">
        <v>111458.64</v>
      </c>
      <c r="T828" s="11" t="str">
        <f t="shared" si="98"/>
        <v>Ok</v>
      </c>
      <c r="U828" s="12">
        <v>46037</v>
      </c>
      <c r="V828" s="10">
        <v>899.04</v>
      </c>
      <c r="W828" s="10" t="str">
        <f t="shared" si="96"/>
        <v>Short Paid</v>
      </c>
      <c r="X828" t="s">
        <v>468</v>
      </c>
      <c r="Y828" t="s">
        <v>28</v>
      </c>
      <c r="Z828">
        <v>100166</v>
      </c>
      <c r="AA828" t="s">
        <v>3069</v>
      </c>
      <c r="AB828" t="s">
        <v>523</v>
      </c>
      <c r="AC828" s="9">
        <v>3</v>
      </c>
      <c r="AD828" s="9" t="str">
        <f t="shared" si="97"/>
        <v>Ok</v>
      </c>
      <c r="AE828" s="11">
        <f t="shared" si="99"/>
        <v>0</v>
      </c>
    </row>
    <row r="829" spans="1:31" x14ac:dyDescent="0.3">
      <c r="A829">
        <v>92</v>
      </c>
      <c r="B829">
        <v>4581189</v>
      </c>
      <c r="C829" t="s">
        <v>217</v>
      </c>
      <c r="D829">
        <v>1518030</v>
      </c>
      <c r="E829" t="s">
        <v>562</v>
      </c>
      <c r="F829" t="s">
        <v>18</v>
      </c>
      <c r="G829" t="s">
        <v>813</v>
      </c>
      <c r="H829" t="s">
        <v>814</v>
      </c>
      <c r="I829" t="s">
        <v>3395</v>
      </c>
      <c r="J829">
        <v>51133862086</v>
      </c>
      <c r="K829" t="s">
        <v>3950</v>
      </c>
      <c r="L829" t="s">
        <v>3951</v>
      </c>
      <c r="M829">
        <v>12000</v>
      </c>
      <c r="N829" s="10">
        <v>3.0700000000000002E-2</v>
      </c>
      <c r="O829" s="10">
        <f t="shared" si="95"/>
        <v>368.40000000000003</v>
      </c>
      <c r="P829" s="10" t="s">
        <v>5006</v>
      </c>
      <c r="Q829" s="10" t="s">
        <v>5006</v>
      </c>
      <c r="R829" s="10" t="str">
        <f>IF(COUNTIF($J$2:J829,J829)=1,SUMIFS($O:$O,$J:$J,J829)+SUMIFS($P:$P,$J:$J,J829)+SUMIFS($Q:$Q,$J:$J,J829),"")</f>
        <v/>
      </c>
      <c r="S829" s="10" t="s">
        <v>5006</v>
      </c>
      <c r="T829" s="11" t="str">
        <f t="shared" si="98"/>
        <v>Ok</v>
      </c>
      <c r="U829" s="12">
        <v>46037</v>
      </c>
      <c r="V829" s="10">
        <v>899.04</v>
      </c>
      <c r="W829" s="10" t="str">
        <f t="shared" si="96"/>
        <v>N/A</v>
      </c>
      <c r="X829" t="s">
        <v>468</v>
      </c>
      <c r="Y829" t="s">
        <v>28</v>
      </c>
      <c r="Z829">
        <v>100166</v>
      </c>
      <c r="AA829" t="s">
        <v>3069</v>
      </c>
      <c r="AB829" t="s">
        <v>523</v>
      </c>
      <c r="AC829" s="9">
        <v>3</v>
      </c>
      <c r="AD829" s="9" t="str">
        <f t="shared" si="97"/>
        <v>N/A</v>
      </c>
      <c r="AE829" s="11" t="e">
        <f t="shared" si="99"/>
        <v>#VALUE!</v>
      </c>
    </row>
    <row r="830" spans="1:31" x14ac:dyDescent="0.3">
      <c r="A830">
        <v>92</v>
      </c>
      <c r="B830">
        <v>4581189</v>
      </c>
      <c r="C830" t="s">
        <v>217</v>
      </c>
      <c r="D830">
        <v>1518030</v>
      </c>
      <c r="E830" t="s">
        <v>562</v>
      </c>
      <c r="F830" t="s">
        <v>18</v>
      </c>
      <c r="G830" t="s">
        <v>813</v>
      </c>
      <c r="H830" t="s">
        <v>814</v>
      </c>
      <c r="I830" t="s">
        <v>3441</v>
      </c>
      <c r="J830">
        <v>51133862086</v>
      </c>
      <c r="K830" t="s">
        <v>3187</v>
      </c>
      <c r="L830" t="s">
        <v>3186</v>
      </c>
      <c r="M830">
        <v>1080</v>
      </c>
      <c r="N830" s="10">
        <v>102.37</v>
      </c>
      <c r="O830" s="10">
        <f t="shared" si="95"/>
        <v>110559.6</v>
      </c>
      <c r="P830" s="10" t="s">
        <v>5006</v>
      </c>
      <c r="Q830" s="10" t="s">
        <v>5006</v>
      </c>
      <c r="R830" s="10" t="str">
        <f>IF(COUNTIF($J$2:J830,J830)=1,SUMIFS($O:$O,$J:$J,J830)+SUMIFS($P:$P,$J:$J,J830)+SUMIFS($Q:$Q,$J:$J,J830),"")</f>
        <v/>
      </c>
      <c r="S830" s="10" t="s">
        <v>5006</v>
      </c>
      <c r="T830" s="11" t="str">
        <f t="shared" si="98"/>
        <v>Ok</v>
      </c>
      <c r="U830" s="12">
        <v>46037</v>
      </c>
      <c r="V830" s="10">
        <v>899.04</v>
      </c>
      <c r="W830" s="10" t="str">
        <f t="shared" si="96"/>
        <v>N/A</v>
      </c>
      <c r="X830" t="s">
        <v>468</v>
      </c>
      <c r="Y830" t="s">
        <v>28</v>
      </c>
      <c r="Z830">
        <v>100166</v>
      </c>
      <c r="AA830" t="s">
        <v>3069</v>
      </c>
      <c r="AB830" t="s">
        <v>523</v>
      </c>
      <c r="AC830" s="9">
        <v>3</v>
      </c>
      <c r="AD830" s="9" t="str">
        <f t="shared" si="97"/>
        <v>N/A</v>
      </c>
      <c r="AE830" s="11" t="e">
        <f t="shared" si="99"/>
        <v>#VALUE!</v>
      </c>
    </row>
    <row r="831" spans="1:31" x14ac:dyDescent="0.3">
      <c r="A831">
        <v>92</v>
      </c>
      <c r="B831">
        <v>4580632</v>
      </c>
      <c r="C831" t="s">
        <v>94</v>
      </c>
      <c r="D831">
        <v>1470631</v>
      </c>
      <c r="E831" t="s">
        <v>214</v>
      </c>
      <c r="F831" t="s">
        <v>20</v>
      </c>
      <c r="G831" t="s">
        <v>806</v>
      </c>
      <c r="H831" t="s">
        <v>807</v>
      </c>
      <c r="I831" t="s">
        <v>3419</v>
      </c>
      <c r="J831">
        <v>51133918258</v>
      </c>
      <c r="K831" t="s">
        <v>3203</v>
      </c>
      <c r="L831" t="s">
        <v>3954</v>
      </c>
      <c r="M831">
        <v>4622</v>
      </c>
      <c r="N831" s="10">
        <v>7.4999999999999997E-2</v>
      </c>
      <c r="O831" s="10">
        <f t="shared" si="95"/>
        <v>346.65</v>
      </c>
      <c r="P831" s="10">
        <v>0</v>
      </c>
      <c r="Q831" s="10">
        <v>0</v>
      </c>
      <c r="R831" s="10">
        <f>IF(COUNTIF($J$2:J831,J831)=1,SUMIFS($O:$O,$J:$J,J831)+SUMIFS($P:$P,$J:$J,J831)+SUMIFS($Q:$Q,$J:$J,J831),"")</f>
        <v>86494.41</v>
      </c>
      <c r="S831" s="10">
        <v>86494.409999999989</v>
      </c>
      <c r="T831" s="11" t="str">
        <f t="shared" si="98"/>
        <v>Ok</v>
      </c>
      <c r="U831" s="12">
        <v>45688</v>
      </c>
      <c r="V831" s="10">
        <v>346.65</v>
      </c>
      <c r="W831" s="10" t="str">
        <f t="shared" si="96"/>
        <v>Short Paid</v>
      </c>
      <c r="X831" t="s">
        <v>450</v>
      </c>
      <c r="Y831" t="s">
        <v>28</v>
      </c>
      <c r="Z831">
        <v>100127</v>
      </c>
      <c r="AA831" t="s">
        <v>3090</v>
      </c>
      <c r="AB831" t="s">
        <v>521</v>
      </c>
      <c r="AC831" s="9">
        <v>4</v>
      </c>
      <c r="AD831" s="9" t="str">
        <f t="shared" si="97"/>
        <v>Ok</v>
      </c>
      <c r="AE831" s="11">
        <f t="shared" si="99"/>
        <v>0</v>
      </c>
    </row>
    <row r="832" spans="1:31" x14ac:dyDescent="0.3">
      <c r="A832">
        <v>92</v>
      </c>
      <c r="B832">
        <v>4580632</v>
      </c>
      <c r="C832" t="s">
        <v>94</v>
      </c>
      <c r="D832">
        <v>1470631</v>
      </c>
      <c r="E832" t="s">
        <v>214</v>
      </c>
      <c r="F832" t="s">
        <v>20</v>
      </c>
      <c r="G832" t="s">
        <v>806</v>
      </c>
      <c r="H832" t="s">
        <v>807</v>
      </c>
      <c r="I832" t="s">
        <v>3441</v>
      </c>
      <c r="J832">
        <v>51133918258</v>
      </c>
      <c r="K832" t="s">
        <v>3362</v>
      </c>
      <c r="L832" t="s">
        <v>3931</v>
      </c>
      <c r="M832">
        <v>3</v>
      </c>
      <c r="N832" s="10">
        <v>14.74</v>
      </c>
      <c r="O832" s="10">
        <f t="shared" si="95"/>
        <v>44.22</v>
      </c>
      <c r="P832" s="10" t="s">
        <v>5006</v>
      </c>
      <c r="Q832" s="10" t="s">
        <v>5006</v>
      </c>
      <c r="R832" s="10" t="str">
        <f>IF(COUNTIF($J$2:J832,J832)=1,SUMIFS($O:$O,$J:$J,J832)+SUMIFS($P:$P,$J:$J,J832)+SUMIFS($Q:$Q,$J:$J,J832),"")</f>
        <v/>
      </c>
      <c r="S832" s="10" t="s">
        <v>5006</v>
      </c>
      <c r="T832" s="11" t="str">
        <f t="shared" si="98"/>
        <v>Ok</v>
      </c>
      <c r="U832" s="12">
        <v>45688</v>
      </c>
      <c r="V832" s="10">
        <v>346.65</v>
      </c>
      <c r="W832" s="10" t="str">
        <f t="shared" si="96"/>
        <v>N/A</v>
      </c>
      <c r="X832" t="s">
        <v>450</v>
      </c>
      <c r="Y832" t="s">
        <v>28</v>
      </c>
      <c r="Z832">
        <v>100127</v>
      </c>
      <c r="AA832" t="s">
        <v>3090</v>
      </c>
      <c r="AB832" t="s">
        <v>521</v>
      </c>
      <c r="AC832" s="9">
        <v>4</v>
      </c>
      <c r="AD832" s="9" t="str">
        <f t="shared" si="97"/>
        <v>N/A</v>
      </c>
      <c r="AE832" s="11" t="e">
        <f t="shared" si="99"/>
        <v>#VALUE!</v>
      </c>
    </row>
    <row r="833" spans="1:31" x14ac:dyDescent="0.3">
      <c r="A833">
        <v>92</v>
      </c>
      <c r="B833">
        <v>4580632</v>
      </c>
      <c r="C833" t="s">
        <v>94</v>
      </c>
      <c r="D833">
        <v>1470631</v>
      </c>
      <c r="E833" t="s">
        <v>214</v>
      </c>
      <c r="F833" t="s">
        <v>20</v>
      </c>
      <c r="G833" t="s">
        <v>806</v>
      </c>
      <c r="H833" t="s">
        <v>807</v>
      </c>
      <c r="I833" t="s">
        <v>3441</v>
      </c>
      <c r="J833">
        <v>51133918258</v>
      </c>
      <c r="K833" t="s">
        <v>3362</v>
      </c>
      <c r="L833" t="s">
        <v>3832</v>
      </c>
      <c r="M833">
        <v>3</v>
      </c>
      <c r="N833" s="10">
        <v>28700.680000000004</v>
      </c>
      <c r="O833" s="10">
        <f t="shared" si="95"/>
        <v>86102.040000000008</v>
      </c>
      <c r="P833" s="10" t="s">
        <v>5006</v>
      </c>
      <c r="Q833" s="10" t="s">
        <v>5006</v>
      </c>
      <c r="R833" s="10" t="str">
        <f>IF(COUNTIF($J$2:J833,J833)=1,SUMIFS($O:$O,$J:$J,J833)+SUMIFS($P:$P,$J:$J,J833)+SUMIFS($Q:$Q,$J:$J,J833),"")</f>
        <v/>
      </c>
      <c r="S833" s="10" t="s">
        <v>5006</v>
      </c>
      <c r="T833" s="11" t="str">
        <f t="shared" si="98"/>
        <v>Ok</v>
      </c>
      <c r="U833" s="12">
        <v>45688</v>
      </c>
      <c r="V833" s="10">
        <v>346.65</v>
      </c>
      <c r="W833" s="10" t="str">
        <f t="shared" si="96"/>
        <v>N/A</v>
      </c>
      <c r="X833" t="s">
        <v>450</v>
      </c>
      <c r="Y833" t="s">
        <v>28</v>
      </c>
      <c r="Z833">
        <v>100127</v>
      </c>
      <c r="AA833" t="s">
        <v>3090</v>
      </c>
      <c r="AB833" t="s">
        <v>521</v>
      </c>
      <c r="AC833" s="9">
        <v>4</v>
      </c>
      <c r="AD833" s="9" t="str">
        <f t="shared" si="97"/>
        <v>N/A</v>
      </c>
      <c r="AE833" s="11" t="e">
        <f t="shared" si="99"/>
        <v>#VALUE!</v>
      </c>
    </row>
    <row r="834" spans="1:31" x14ac:dyDescent="0.3">
      <c r="A834">
        <v>92</v>
      </c>
      <c r="B834">
        <v>4580632</v>
      </c>
      <c r="C834" t="s">
        <v>94</v>
      </c>
      <c r="D834">
        <v>1470631</v>
      </c>
      <c r="E834" t="s">
        <v>214</v>
      </c>
      <c r="F834" t="s">
        <v>20</v>
      </c>
      <c r="G834" t="s">
        <v>806</v>
      </c>
      <c r="H834" t="s">
        <v>807</v>
      </c>
      <c r="I834" t="s">
        <v>3441</v>
      </c>
      <c r="J834">
        <v>51133918258</v>
      </c>
      <c r="K834" t="s">
        <v>3183</v>
      </c>
      <c r="L834" t="s">
        <v>3816</v>
      </c>
      <c r="M834">
        <v>6</v>
      </c>
      <c r="N834" s="10">
        <v>0.25</v>
      </c>
      <c r="O834" s="10">
        <f t="shared" ref="O834:O897" si="100">M834*N834</f>
        <v>1.5</v>
      </c>
      <c r="P834" s="10" t="s">
        <v>5006</v>
      </c>
      <c r="Q834" s="10" t="s">
        <v>5006</v>
      </c>
      <c r="R834" s="10" t="str">
        <f>IF(COUNTIF($J$2:J834,J834)=1,SUMIFS($O:$O,$J:$J,J834)+SUMIFS($P:$P,$J:$J,J834)+SUMIFS($Q:$Q,$J:$J,J834),"")</f>
        <v/>
      </c>
      <c r="S834" s="10" t="s">
        <v>5006</v>
      </c>
      <c r="T834" s="11" t="str">
        <f t="shared" si="98"/>
        <v>Ok</v>
      </c>
      <c r="U834" s="12">
        <v>45688</v>
      </c>
      <c r="V834" s="10">
        <v>346.65</v>
      </c>
      <c r="W834" s="10" t="str">
        <f t="shared" ref="W834:W897" si="101">IF(OR(S834="",V834=""),"N/A",IF(S834&lt;&gt;V834,"Short Paid","Not Paid"))</f>
        <v>N/A</v>
      </c>
      <c r="X834" t="s">
        <v>450</v>
      </c>
      <c r="Y834" t="s">
        <v>28</v>
      </c>
      <c r="Z834">
        <v>100127</v>
      </c>
      <c r="AA834" t="s">
        <v>3090</v>
      </c>
      <c r="AB834" t="s">
        <v>521</v>
      </c>
      <c r="AC834" s="9">
        <v>4</v>
      </c>
      <c r="AD834" s="9" t="str">
        <f t="shared" ref="AD834:AD897" si="102">IF(AND(R834="",S834=""),"N/A",IF(R834=S834,"Ok","Check"))</f>
        <v>N/A</v>
      </c>
      <c r="AE834" s="11" t="e">
        <f t="shared" si="99"/>
        <v>#VALUE!</v>
      </c>
    </row>
    <row r="835" spans="1:31" x14ac:dyDescent="0.3">
      <c r="A835">
        <v>90</v>
      </c>
      <c r="B835">
        <v>4593433</v>
      </c>
      <c r="C835" t="s">
        <v>60</v>
      </c>
      <c r="D835">
        <v>1588891</v>
      </c>
      <c r="E835" t="s">
        <v>61</v>
      </c>
      <c r="F835" t="s">
        <v>18</v>
      </c>
      <c r="G835" t="s">
        <v>839</v>
      </c>
      <c r="H835" t="s">
        <v>840</v>
      </c>
      <c r="I835" t="s">
        <v>3218</v>
      </c>
      <c r="J835">
        <v>51134031232</v>
      </c>
      <c r="K835" t="s">
        <v>3837</v>
      </c>
      <c r="L835" t="s">
        <v>3836</v>
      </c>
      <c r="M835">
        <v>7500</v>
      </c>
      <c r="N835" s="10">
        <v>2.8989999999999996</v>
      </c>
      <c r="O835" s="10">
        <f t="shared" si="100"/>
        <v>21742.499999999996</v>
      </c>
      <c r="P835" s="10">
        <v>0</v>
      </c>
      <c r="Q835" s="10">
        <v>0</v>
      </c>
      <c r="R835" s="10">
        <f>IF(COUNTIF($J$2:J835,J835)=1,SUMIFS($O:$O,$J:$J,J835)+SUMIFS($P:$P,$J:$J,J835)+SUMIFS($Q:$Q,$J:$J,J835),"")</f>
        <v>24017.499999999996</v>
      </c>
      <c r="S835" s="10">
        <v>24017.5</v>
      </c>
      <c r="T835" s="11" t="str">
        <f t="shared" ref="T835:T898" si="103">IFERROR(INDEX(AD:AD,MATCH(J835,J:J,0)),"")</f>
        <v>Ok</v>
      </c>
      <c r="U835" s="12">
        <v>45644</v>
      </c>
      <c r="V835" s="10">
        <v>1608.6</v>
      </c>
      <c r="W835" s="10" t="str">
        <f t="shared" si="101"/>
        <v>Short Paid</v>
      </c>
      <c r="X835" t="s">
        <v>438</v>
      </c>
      <c r="Y835" t="s">
        <v>28</v>
      </c>
      <c r="Z835">
        <v>100243</v>
      </c>
      <c r="AA835" t="s">
        <v>446</v>
      </c>
      <c r="AB835" t="s">
        <v>523</v>
      </c>
      <c r="AC835" s="9">
        <v>2</v>
      </c>
      <c r="AD835" s="9" t="str">
        <f t="shared" si="102"/>
        <v>Ok</v>
      </c>
      <c r="AE835" s="11">
        <f t="shared" si="99"/>
        <v>0</v>
      </c>
    </row>
    <row r="836" spans="1:31" x14ac:dyDescent="0.3">
      <c r="A836">
        <v>90</v>
      </c>
      <c r="B836">
        <v>4593433</v>
      </c>
      <c r="C836" t="s">
        <v>60</v>
      </c>
      <c r="D836">
        <v>1588891</v>
      </c>
      <c r="E836" t="s">
        <v>61</v>
      </c>
      <c r="F836" t="s">
        <v>18</v>
      </c>
      <c r="G836" t="s">
        <v>839</v>
      </c>
      <c r="H836" t="s">
        <v>840</v>
      </c>
      <c r="I836" t="s">
        <v>3423</v>
      </c>
      <c r="J836">
        <v>51134031232</v>
      </c>
      <c r="K836" t="s">
        <v>3379</v>
      </c>
      <c r="L836" t="s">
        <v>3378</v>
      </c>
      <c r="M836">
        <v>14000</v>
      </c>
      <c r="N836" s="10">
        <v>0.16250000000000001</v>
      </c>
      <c r="O836" s="10">
        <f t="shared" si="100"/>
        <v>2275</v>
      </c>
      <c r="P836" s="10" t="s">
        <v>5006</v>
      </c>
      <c r="Q836" s="10" t="s">
        <v>5006</v>
      </c>
      <c r="R836" s="10" t="str">
        <f>IF(COUNTIF($J$2:J836,J836)=1,SUMIFS($O:$O,$J:$J,J836)+SUMIFS($P:$P,$J:$J,J836)+SUMIFS($Q:$Q,$J:$J,J836),"")</f>
        <v/>
      </c>
      <c r="S836" s="10" t="s">
        <v>5006</v>
      </c>
      <c r="T836" s="11" t="str">
        <f t="shared" si="103"/>
        <v>Ok</v>
      </c>
      <c r="U836" s="12">
        <v>45644</v>
      </c>
      <c r="V836" s="10">
        <v>1608.6</v>
      </c>
      <c r="W836" s="10" t="str">
        <f t="shared" si="101"/>
        <v>N/A</v>
      </c>
      <c r="X836" t="s">
        <v>438</v>
      </c>
      <c r="Y836" t="s">
        <v>28</v>
      </c>
      <c r="Z836">
        <v>100243</v>
      </c>
      <c r="AA836" t="s">
        <v>446</v>
      </c>
      <c r="AB836" t="s">
        <v>523</v>
      </c>
      <c r="AC836" s="9">
        <v>2</v>
      </c>
      <c r="AD836" s="9" t="str">
        <f t="shared" si="102"/>
        <v>N/A</v>
      </c>
      <c r="AE836" s="11" t="e">
        <f t="shared" si="99"/>
        <v>#VALUE!</v>
      </c>
    </row>
    <row r="837" spans="1:31" x14ac:dyDescent="0.3">
      <c r="A837">
        <v>91</v>
      </c>
      <c r="B837">
        <v>4592877</v>
      </c>
      <c r="C837" t="s">
        <v>167</v>
      </c>
      <c r="D837">
        <v>1235549</v>
      </c>
      <c r="E837" t="s">
        <v>168</v>
      </c>
      <c r="F837" t="s">
        <v>20</v>
      </c>
      <c r="G837" t="s">
        <v>835</v>
      </c>
      <c r="H837" t="s">
        <v>836</v>
      </c>
      <c r="I837" t="s">
        <v>3291</v>
      </c>
      <c r="J837">
        <v>51134307624</v>
      </c>
      <c r="K837" t="s">
        <v>3837</v>
      </c>
      <c r="L837" t="s">
        <v>3848</v>
      </c>
      <c r="M837">
        <v>2500</v>
      </c>
      <c r="N837" s="10">
        <v>2.3439999999999999</v>
      </c>
      <c r="O837" s="10">
        <f t="shared" si="100"/>
        <v>5860</v>
      </c>
      <c r="P837" s="10">
        <v>91.43</v>
      </c>
      <c r="Q837" s="10">
        <v>0</v>
      </c>
      <c r="R837" s="10">
        <f>IF(COUNTIF($J$2:J837,J837)=1,SUMIFS($O:$O,$J:$J,J837)+SUMIFS($P:$P,$J:$J,J837)+SUMIFS($Q:$Q,$J:$J,J837),"")</f>
        <v>7414.2300000000005</v>
      </c>
      <c r="S837" s="10">
        <v>7414.23</v>
      </c>
      <c r="T837" s="11" t="str">
        <f t="shared" si="103"/>
        <v>Ok</v>
      </c>
      <c r="U837" s="12">
        <v>45832</v>
      </c>
      <c r="V837" s="10">
        <v>1554.23</v>
      </c>
      <c r="W837" s="10" t="str">
        <f t="shared" si="101"/>
        <v>Short Paid</v>
      </c>
      <c r="X837" t="s">
        <v>455</v>
      </c>
      <c r="Y837" t="s">
        <v>28</v>
      </c>
      <c r="Z837">
        <v>100200</v>
      </c>
      <c r="AA837" t="s">
        <v>461</v>
      </c>
      <c r="AB837" t="s">
        <v>521</v>
      </c>
      <c r="AC837" s="9">
        <v>2</v>
      </c>
      <c r="AD837" s="9" t="str">
        <f t="shared" si="102"/>
        <v>Ok</v>
      </c>
      <c r="AE837" s="11">
        <f t="shared" si="99"/>
        <v>0</v>
      </c>
    </row>
    <row r="838" spans="1:31" x14ac:dyDescent="0.3">
      <c r="A838">
        <v>91</v>
      </c>
      <c r="B838">
        <v>4592877</v>
      </c>
      <c r="C838" t="s">
        <v>167</v>
      </c>
      <c r="D838">
        <v>1235549</v>
      </c>
      <c r="E838" t="s">
        <v>168</v>
      </c>
      <c r="F838" t="s">
        <v>20</v>
      </c>
      <c r="G838" t="s">
        <v>835</v>
      </c>
      <c r="H838" t="s">
        <v>836</v>
      </c>
      <c r="I838" t="s">
        <v>3420</v>
      </c>
      <c r="J838">
        <v>51134307624</v>
      </c>
      <c r="K838" t="s">
        <v>3165</v>
      </c>
      <c r="L838" t="s">
        <v>3955</v>
      </c>
      <c r="M838">
        <v>6</v>
      </c>
      <c r="N838" s="10">
        <v>243.8</v>
      </c>
      <c r="O838" s="10">
        <f t="shared" si="100"/>
        <v>1462.8000000000002</v>
      </c>
      <c r="P838" s="10" t="s">
        <v>5006</v>
      </c>
      <c r="Q838" s="10" t="s">
        <v>5006</v>
      </c>
      <c r="R838" s="10" t="str">
        <f>IF(COUNTIF($J$2:J838,J838)=1,SUMIFS($O:$O,$J:$J,J838)+SUMIFS($P:$P,$J:$J,J838)+SUMIFS($Q:$Q,$J:$J,J838),"")</f>
        <v/>
      </c>
      <c r="S838" s="10" t="s">
        <v>5006</v>
      </c>
      <c r="T838" s="11" t="str">
        <f t="shared" si="103"/>
        <v>Ok</v>
      </c>
      <c r="U838" s="12">
        <v>45832</v>
      </c>
      <c r="V838" s="10">
        <v>1554.23</v>
      </c>
      <c r="W838" s="10" t="str">
        <f t="shared" si="101"/>
        <v>N/A</v>
      </c>
      <c r="X838" t="s">
        <v>455</v>
      </c>
      <c r="Y838" t="s">
        <v>28</v>
      </c>
      <c r="Z838">
        <v>100200</v>
      </c>
      <c r="AA838" t="s">
        <v>461</v>
      </c>
      <c r="AB838" t="s">
        <v>521</v>
      </c>
      <c r="AC838" s="9">
        <v>2</v>
      </c>
      <c r="AD838" s="9" t="str">
        <f t="shared" si="102"/>
        <v>N/A</v>
      </c>
      <c r="AE838" s="11" t="e">
        <f t="shared" si="99"/>
        <v>#VALUE!</v>
      </c>
    </row>
    <row r="839" spans="1:31" x14ac:dyDescent="0.3">
      <c r="A839">
        <v>90</v>
      </c>
      <c r="B839">
        <v>4593155</v>
      </c>
      <c r="C839" t="s">
        <v>60</v>
      </c>
      <c r="D839">
        <v>1588891</v>
      </c>
      <c r="E839" t="s">
        <v>61</v>
      </c>
      <c r="F839" t="s">
        <v>18</v>
      </c>
      <c r="G839" t="s">
        <v>837</v>
      </c>
      <c r="H839" t="s">
        <v>838</v>
      </c>
      <c r="I839" t="s">
        <v>3419</v>
      </c>
      <c r="J839">
        <v>51134327513</v>
      </c>
      <c r="K839" t="s">
        <v>3379</v>
      </c>
      <c r="L839" t="s">
        <v>3956</v>
      </c>
      <c r="M839">
        <v>20000</v>
      </c>
      <c r="N839" s="10">
        <v>3.7510000000000002E-2</v>
      </c>
      <c r="O839" s="10">
        <f t="shared" si="100"/>
        <v>750.2</v>
      </c>
      <c r="P839" s="10">
        <v>0</v>
      </c>
      <c r="Q839" s="10">
        <v>0</v>
      </c>
      <c r="R839" s="10">
        <f>IF(COUNTIF($J$2:J839,J839)=1,SUMIFS($O:$O,$J:$J,J839)+SUMIFS($P:$P,$J:$J,J839)+SUMIFS($Q:$Q,$J:$J,J839),"")</f>
        <v>5437.7</v>
      </c>
      <c r="S839" s="10">
        <v>5437.7</v>
      </c>
      <c r="T839" s="11" t="str">
        <f t="shared" si="103"/>
        <v>Ok</v>
      </c>
      <c r="U839" s="12">
        <v>45383</v>
      </c>
      <c r="V839" s="10">
        <v>686.24</v>
      </c>
      <c r="W839" s="10" t="str">
        <f t="shared" si="101"/>
        <v>Short Paid</v>
      </c>
      <c r="X839" t="s">
        <v>438</v>
      </c>
      <c r="Y839" t="s">
        <v>28</v>
      </c>
      <c r="Z839">
        <v>100233</v>
      </c>
      <c r="AA839" t="s">
        <v>448</v>
      </c>
      <c r="AB839" t="s">
        <v>523</v>
      </c>
      <c r="AC839" s="9">
        <v>2</v>
      </c>
      <c r="AD839" s="9" t="str">
        <f t="shared" si="102"/>
        <v>Ok</v>
      </c>
      <c r="AE839" s="11">
        <f t="shared" ref="AE839:AE902" si="104">R839-S839</f>
        <v>0</v>
      </c>
    </row>
    <row r="840" spans="1:31" x14ac:dyDescent="0.3">
      <c r="A840">
        <v>90</v>
      </c>
      <c r="B840">
        <v>4593155</v>
      </c>
      <c r="C840" t="s">
        <v>60</v>
      </c>
      <c r="D840">
        <v>1588891</v>
      </c>
      <c r="E840" t="s">
        <v>61</v>
      </c>
      <c r="F840" t="s">
        <v>18</v>
      </c>
      <c r="G840" t="s">
        <v>837</v>
      </c>
      <c r="H840" t="s">
        <v>838</v>
      </c>
      <c r="I840" t="s">
        <v>3446</v>
      </c>
      <c r="J840">
        <v>51134327513</v>
      </c>
      <c r="K840" t="s">
        <v>3183</v>
      </c>
      <c r="L840" t="s">
        <v>3843</v>
      </c>
      <c r="M840">
        <v>150</v>
      </c>
      <c r="N840" s="10">
        <v>31.25</v>
      </c>
      <c r="O840" s="10">
        <f t="shared" si="100"/>
        <v>4687.5</v>
      </c>
      <c r="P840" s="10" t="s">
        <v>5006</v>
      </c>
      <c r="Q840" s="10" t="s">
        <v>5006</v>
      </c>
      <c r="R840" s="10" t="str">
        <f>IF(COUNTIF($J$2:J840,J840)=1,SUMIFS($O:$O,$J:$J,J840)+SUMIFS($P:$P,$J:$J,J840)+SUMIFS($Q:$Q,$J:$J,J840),"")</f>
        <v/>
      </c>
      <c r="S840" s="10" t="s">
        <v>5006</v>
      </c>
      <c r="T840" s="11" t="str">
        <f t="shared" si="103"/>
        <v>Ok</v>
      </c>
      <c r="U840" s="12">
        <v>45383</v>
      </c>
      <c r="V840" s="10">
        <v>686.24</v>
      </c>
      <c r="W840" s="10" t="str">
        <f t="shared" si="101"/>
        <v>N/A</v>
      </c>
      <c r="X840" t="s">
        <v>438</v>
      </c>
      <c r="Y840" t="s">
        <v>28</v>
      </c>
      <c r="Z840">
        <v>100233</v>
      </c>
      <c r="AA840" t="s">
        <v>448</v>
      </c>
      <c r="AB840" t="s">
        <v>523</v>
      </c>
      <c r="AC840" s="9">
        <v>2</v>
      </c>
      <c r="AD840" s="9" t="str">
        <f t="shared" si="102"/>
        <v>N/A</v>
      </c>
      <c r="AE840" s="11" t="e">
        <f t="shared" si="104"/>
        <v>#VALUE!</v>
      </c>
    </row>
    <row r="841" spans="1:31" x14ac:dyDescent="0.3">
      <c r="A841">
        <v>59</v>
      </c>
      <c r="B841">
        <v>4664396</v>
      </c>
      <c r="C841" t="s">
        <v>220</v>
      </c>
      <c r="D841">
        <v>1469829</v>
      </c>
      <c r="E841" t="s">
        <v>224</v>
      </c>
      <c r="F841" t="s">
        <v>20</v>
      </c>
      <c r="G841" t="s">
        <v>1023</v>
      </c>
      <c r="H841" t="s">
        <v>1024</v>
      </c>
      <c r="I841" t="s">
        <v>3198</v>
      </c>
      <c r="J841">
        <v>51134593007</v>
      </c>
      <c r="K841" t="s">
        <v>3229</v>
      </c>
      <c r="L841" t="s">
        <v>3409</v>
      </c>
      <c r="M841">
        <v>12000</v>
      </c>
      <c r="N841" s="10">
        <v>1.8200000000000001E-2</v>
      </c>
      <c r="O841" s="10">
        <f t="shared" si="100"/>
        <v>218.4</v>
      </c>
      <c r="P841" s="10">
        <v>0</v>
      </c>
      <c r="Q841" s="10">
        <v>96.95</v>
      </c>
      <c r="R841" s="10">
        <f>IF(COUNTIF($J$2:J841,J841)=1,SUMIFS($O:$O,$J:$J,J841)+SUMIFS($P:$P,$J:$J,J841)+SUMIFS($Q:$Q,$J:$J,J841),"")</f>
        <v>825.63</v>
      </c>
      <c r="S841" s="10">
        <v>825.63</v>
      </c>
      <c r="T841" s="11" t="str">
        <f t="shared" si="103"/>
        <v>Ok</v>
      </c>
      <c r="U841" s="12">
        <v>46092</v>
      </c>
      <c r="V841" s="10">
        <v>510.28</v>
      </c>
      <c r="W841" s="10" t="str">
        <f t="shared" si="101"/>
        <v>Short Paid</v>
      </c>
      <c r="X841" t="s">
        <v>470</v>
      </c>
      <c r="Y841" t="s">
        <v>28</v>
      </c>
      <c r="Z841">
        <v>100158</v>
      </c>
      <c r="AA841" t="s">
        <v>510</v>
      </c>
      <c r="AB841" t="s">
        <v>521</v>
      </c>
      <c r="AC841" s="9">
        <v>3</v>
      </c>
      <c r="AD841" s="9" t="str">
        <f t="shared" si="102"/>
        <v>Ok</v>
      </c>
      <c r="AE841" s="11">
        <f t="shared" si="104"/>
        <v>0</v>
      </c>
    </row>
    <row r="842" spans="1:31" x14ac:dyDescent="0.3">
      <c r="A842">
        <v>59</v>
      </c>
      <c r="B842">
        <v>4664396</v>
      </c>
      <c r="C842" t="s">
        <v>220</v>
      </c>
      <c r="D842">
        <v>1469829</v>
      </c>
      <c r="E842" t="s">
        <v>224</v>
      </c>
      <c r="F842" t="s">
        <v>20</v>
      </c>
      <c r="G842" t="s">
        <v>1023</v>
      </c>
      <c r="H842" t="s">
        <v>1024</v>
      </c>
      <c r="I842" t="s">
        <v>3365</v>
      </c>
      <c r="J842">
        <v>51134593007</v>
      </c>
      <c r="K842" t="s">
        <v>3177</v>
      </c>
      <c r="L842" t="s">
        <v>3957</v>
      </c>
      <c r="M842">
        <v>10000</v>
      </c>
      <c r="N842" s="10">
        <v>3.7999999999999999E-2</v>
      </c>
      <c r="O842" s="10">
        <f t="shared" si="100"/>
        <v>380</v>
      </c>
      <c r="P842" s="10" t="s">
        <v>5006</v>
      </c>
      <c r="Q842" s="10" t="s">
        <v>5006</v>
      </c>
      <c r="R842" s="10" t="str">
        <f>IF(COUNTIF($J$2:J842,J842)=1,SUMIFS($O:$O,$J:$J,J842)+SUMIFS($P:$P,$J:$J,J842)+SUMIFS($Q:$Q,$J:$J,J842),"")</f>
        <v/>
      </c>
      <c r="S842" s="10" t="s">
        <v>5006</v>
      </c>
      <c r="T842" s="11" t="str">
        <f t="shared" si="103"/>
        <v>Ok</v>
      </c>
      <c r="U842" s="12">
        <v>46092</v>
      </c>
      <c r="V842" s="10">
        <v>510.28</v>
      </c>
      <c r="W842" s="10" t="str">
        <f t="shared" si="101"/>
        <v>N/A</v>
      </c>
      <c r="X842" t="s">
        <v>470</v>
      </c>
      <c r="Y842" t="s">
        <v>28</v>
      </c>
      <c r="Z842">
        <v>100158</v>
      </c>
      <c r="AA842" t="s">
        <v>510</v>
      </c>
      <c r="AB842" t="s">
        <v>521</v>
      </c>
      <c r="AC842" s="9">
        <v>3</v>
      </c>
      <c r="AD842" s="9" t="str">
        <f t="shared" si="102"/>
        <v>N/A</v>
      </c>
      <c r="AE842" s="11" t="e">
        <f t="shared" si="104"/>
        <v>#VALUE!</v>
      </c>
    </row>
    <row r="843" spans="1:31" x14ac:dyDescent="0.3">
      <c r="A843">
        <v>59</v>
      </c>
      <c r="B843">
        <v>4664396</v>
      </c>
      <c r="C843" t="s">
        <v>220</v>
      </c>
      <c r="D843">
        <v>1469829</v>
      </c>
      <c r="E843" t="s">
        <v>224</v>
      </c>
      <c r="F843" t="s">
        <v>20</v>
      </c>
      <c r="G843" t="s">
        <v>1023</v>
      </c>
      <c r="H843" t="s">
        <v>1024</v>
      </c>
      <c r="I843" t="s">
        <v>3365</v>
      </c>
      <c r="J843">
        <v>51134593007</v>
      </c>
      <c r="K843" t="s">
        <v>3177</v>
      </c>
      <c r="L843" t="s">
        <v>3958</v>
      </c>
      <c r="M843">
        <v>4000</v>
      </c>
      <c r="N843" s="10">
        <v>3.2570000000000002E-2</v>
      </c>
      <c r="O843" s="10">
        <f t="shared" si="100"/>
        <v>130.28</v>
      </c>
      <c r="P843" s="10" t="s">
        <v>5006</v>
      </c>
      <c r="Q843" s="10" t="s">
        <v>5006</v>
      </c>
      <c r="R843" s="10" t="str">
        <f>IF(COUNTIF($J$2:J843,J843)=1,SUMIFS($O:$O,$J:$J,J843)+SUMIFS($P:$P,$J:$J,J843)+SUMIFS($Q:$Q,$J:$J,J843),"")</f>
        <v/>
      </c>
      <c r="S843" s="10" t="s">
        <v>5006</v>
      </c>
      <c r="T843" s="11" t="str">
        <f t="shared" si="103"/>
        <v>Ok</v>
      </c>
      <c r="U843" s="12">
        <v>46092</v>
      </c>
      <c r="V843" s="10">
        <v>510.28</v>
      </c>
      <c r="W843" s="10" t="str">
        <f t="shared" si="101"/>
        <v>N/A</v>
      </c>
      <c r="X843" t="s">
        <v>470</v>
      </c>
      <c r="Y843" t="s">
        <v>28</v>
      </c>
      <c r="Z843">
        <v>100158</v>
      </c>
      <c r="AA843" t="s">
        <v>510</v>
      </c>
      <c r="AB843" t="s">
        <v>521</v>
      </c>
      <c r="AC843" s="9">
        <v>3</v>
      </c>
      <c r="AD843" s="9" t="str">
        <f t="shared" si="102"/>
        <v>N/A</v>
      </c>
      <c r="AE843" s="11" t="e">
        <f t="shared" si="104"/>
        <v>#VALUE!</v>
      </c>
    </row>
    <row r="844" spans="1:31" x14ac:dyDescent="0.3">
      <c r="A844">
        <v>90</v>
      </c>
      <c r="B844">
        <v>4593712</v>
      </c>
      <c r="C844" t="s">
        <v>38</v>
      </c>
      <c r="D844">
        <v>1064072</v>
      </c>
      <c r="E844" t="s">
        <v>652</v>
      </c>
      <c r="F844" t="s">
        <v>18</v>
      </c>
      <c r="G844" t="s">
        <v>833</v>
      </c>
      <c r="H844" t="s">
        <v>834</v>
      </c>
      <c r="I844" t="s">
        <v>3494</v>
      </c>
      <c r="J844">
        <v>51134598241</v>
      </c>
      <c r="K844" t="s">
        <v>3960</v>
      </c>
      <c r="L844" t="s">
        <v>3959</v>
      </c>
      <c r="M844">
        <v>1080</v>
      </c>
      <c r="N844" s="10">
        <v>2.2066699999999999</v>
      </c>
      <c r="O844" s="10">
        <f t="shared" si="100"/>
        <v>2383.2035999999998</v>
      </c>
      <c r="P844" s="10">
        <v>0</v>
      </c>
      <c r="Q844" s="10">
        <v>0</v>
      </c>
      <c r="R844" s="10">
        <f>IF(COUNTIF($J$2:J844,J844)=1,SUMIFS($O:$O,$J:$J,J844)+SUMIFS($P:$P,$J:$J,J844)+SUMIFS($Q:$Q,$J:$J,J844),"")</f>
        <v>4289.1336000000001</v>
      </c>
      <c r="S844" s="10">
        <v>5058.51</v>
      </c>
      <c r="T844" s="11" t="str">
        <f t="shared" si="103"/>
        <v>Check</v>
      </c>
      <c r="U844" s="12">
        <v>45986</v>
      </c>
      <c r="V844" s="10">
        <v>769.38</v>
      </c>
      <c r="W844" s="10" t="str">
        <f t="shared" si="101"/>
        <v>Short Paid</v>
      </c>
      <c r="X844" t="s">
        <v>474</v>
      </c>
      <c r="Y844" t="s">
        <v>28</v>
      </c>
      <c r="Z844">
        <v>100279</v>
      </c>
      <c r="AA844" t="s">
        <v>485</v>
      </c>
      <c r="AB844" t="s">
        <v>523</v>
      </c>
      <c r="AC844" s="9">
        <v>2</v>
      </c>
      <c r="AD844" s="9" t="str">
        <f t="shared" si="102"/>
        <v>Check</v>
      </c>
      <c r="AE844" s="11">
        <f t="shared" si="104"/>
        <v>-769.3764000000001</v>
      </c>
    </row>
    <row r="845" spans="1:31" x14ac:dyDescent="0.3">
      <c r="A845">
        <v>90</v>
      </c>
      <c r="B845">
        <v>4593712</v>
      </c>
      <c r="C845" t="s">
        <v>38</v>
      </c>
      <c r="D845">
        <v>1064072</v>
      </c>
      <c r="E845" t="s">
        <v>652</v>
      </c>
      <c r="F845" t="s">
        <v>18</v>
      </c>
      <c r="G845" t="s">
        <v>833</v>
      </c>
      <c r="H845" t="s">
        <v>834</v>
      </c>
      <c r="I845" t="s">
        <v>3283</v>
      </c>
      <c r="J845">
        <v>51134598241</v>
      </c>
      <c r="K845" t="s">
        <v>3962</v>
      </c>
      <c r="L845" t="s">
        <v>3961</v>
      </c>
      <c r="M845">
        <v>9000</v>
      </c>
      <c r="N845" s="10">
        <v>0.21177000000000001</v>
      </c>
      <c r="O845" s="10">
        <f t="shared" si="100"/>
        <v>1905.93</v>
      </c>
      <c r="P845" s="10" t="s">
        <v>5006</v>
      </c>
      <c r="Q845" s="10" t="s">
        <v>5006</v>
      </c>
      <c r="R845" s="10" t="str">
        <f>IF(COUNTIF($J$2:J845,J845)=1,SUMIFS($O:$O,$J:$J,J845)+SUMIFS($P:$P,$J:$J,J845)+SUMIFS($Q:$Q,$J:$J,J845),"")</f>
        <v/>
      </c>
      <c r="S845" s="10" t="s">
        <v>5006</v>
      </c>
      <c r="T845" s="11" t="str">
        <f t="shared" si="103"/>
        <v>Check</v>
      </c>
      <c r="U845" s="12">
        <v>45986</v>
      </c>
      <c r="V845" s="10">
        <v>769.38</v>
      </c>
      <c r="W845" s="10" t="str">
        <f t="shared" si="101"/>
        <v>N/A</v>
      </c>
      <c r="X845" t="s">
        <v>474</v>
      </c>
      <c r="Y845" t="s">
        <v>28</v>
      </c>
      <c r="Z845">
        <v>100279</v>
      </c>
      <c r="AA845" t="s">
        <v>485</v>
      </c>
      <c r="AB845" t="s">
        <v>523</v>
      </c>
      <c r="AC845" s="9">
        <v>2</v>
      </c>
      <c r="AD845" s="9" t="str">
        <f t="shared" si="102"/>
        <v>N/A</v>
      </c>
      <c r="AE845" s="11" t="e">
        <f t="shared" si="104"/>
        <v>#VALUE!</v>
      </c>
    </row>
    <row r="846" spans="1:31" x14ac:dyDescent="0.3">
      <c r="A846">
        <v>91</v>
      </c>
      <c r="B846">
        <v>4592320</v>
      </c>
      <c r="C846" t="s">
        <v>167</v>
      </c>
      <c r="D846">
        <v>1235549</v>
      </c>
      <c r="E846" t="s">
        <v>168</v>
      </c>
      <c r="F846" t="s">
        <v>20</v>
      </c>
      <c r="G846" t="s">
        <v>831</v>
      </c>
      <c r="H846" t="s">
        <v>832</v>
      </c>
      <c r="I846" t="s">
        <v>3421</v>
      </c>
      <c r="J846">
        <v>51134615156</v>
      </c>
      <c r="K846" t="s">
        <v>3187</v>
      </c>
      <c r="L846" t="s">
        <v>3186</v>
      </c>
      <c r="M846">
        <v>2085</v>
      </c>
      <c r="N846" s="10">
        <v>102.37</v>
      </c>
      <c r="O846" s="10">
        <f t="shared" si="100"/>
        <v>213441.45</v>
      </c>
      <c r="P846" s="10">
        <v>0</v>
      </c>
      <c r="Q846" s="10" t="s">
        <v>5006</v>
      </c>
      <c r="R846" s="10">
        <f>IF(COUNTIF($J$2:J846,J846)=1,SUMIFS($O:$O,$J:$J,J846)+SUMIFS($P:$P,$J:$J,J846)+SUMIFS($Q:$Q,$J:$J,J846),"")</f>
        <v>213611.77000000002</v>
      </c>
      <c r="S846" s="10">
        <v>221289.52000000002</v>
      </c>
      <c r="T846" s="11" t="str">
        <f t="shared" si="103"/>
        <v>Check</v>
      </c>
      <c r="U846" s="12">
        <v>45573</v>
      </c>
      <c r="V846" s="10">
        <v>170.32</v>
      </c>
      <c r="W846" s="10" t="str">
        <f t="shared" si="101"/>
        <v>Short Paid</v>
      </c>
      <c r="X846" t="s">
        <v>455</v>
      </c>
      <c r="Y846" t="s">
        <v>28</v>
      </c>
      <c r="Z846">
        <v>100160</v>
      </c>
      <c r="AA846" t="s">
        <v>457</v>
      </c>
      <c r="AB846" t="s">
        <v>521</v>
      </c>
      <c r="AC846" s="9">
        <v>2</v>
      </c>
      <c r="AD846" s="9" t="str">
        <f t="shared" si="102"/>
        <v>Check</v>
      </c>
      <c r="AE846" s="11">
        <f t="shared" si="104"/>
        <v>-7677.75</v>
      </c>
    </row>
    <row r="847" spans="1:31" x14ac:dyDescent="0.3">
      <c r="A847">
        <v>91</v>
      </c>
      <c r="B847">
        <v>4592320</v>
      </c>
      <c r="C847" t="s">
        <v>167</v>
      </c>
      <c r="D847">
        <v>1235549</v>
      </c>
      <c r="E847" t="s">
        <v>168</v>
      </c>
      <c r="F847" t="s">
        <v>20</v>
      </c>
      <c r="G847" t="s">
        <v>831</v>
      </c>
      <c r="H847" t="s">
        <v>832</v>
      </c>
      <c r="I847" t="s">
        <v>3410</v>
      </c>
      <c r="J847">
        <v>51134615156</v>
      </c>
      <c r="K847" t="s">
        <v>3165</v>
      </c>
      <c r="L847" t="s">
        <v>3844</v>
      </c>
      <c r="M847">
        <v>2</v>
      </c>
      <c r="N847" s="10">
        <v>85.16</v>
      </c>
      <c r="O847" s="10">
        <f t="shared" si="100"/>
        <v>170.32</v>
      </c>
      <c r="P847" s="10" t="s">
        <v>5006</v>
      </c>
      <c r="Q847" s="10" t="s">
        <v>5006</v>
      </c>
      <c r="R847" s="10" t="str">
        <f>IF(COUNTIF($J$2:J847,J847)=1,SUMIFS($O:$O,$J:$J,J847)+SUMIFS($P:$P,$J:$J,J847)+SUMIFS($Q:$Q,$J:$J,J847),"")</f>
        <v/>
      </c>
      <c r="S847" s="10" t="s">
        <v>5006</v>
      </c>
      <c r="T847" s="11" t="str">
        <f t="shared" si="103"/>
        <v>Check</v>
      </c>
      <c r="U847" s="12">
        <v>45573</v>
      </c>
      <c r="V847" s="10">
        <v>170.32</v>
      </c>
      <c r="W847" s="10" t="str">
        <f t="shared" si="101"/>
        <v>N/A</v>
      </c>
      <c r="X847" t="s">
        <v>455</v>
      </c>
      <c r="Y847" t="s">
        <v>28</v>
      </c>
      <c r="Z847">
        <v>100160</v>
      </c>
      <c r="AA847" t="s">
        <v>457</v>
      </c>
      <c r="AB847" t="s">
        <v>521</v>
      </c>
      <c r="AC847" s="9">
        <v>2</v>
      </c>
      <c r="AD847" s="9" t="str">
        <f t="shared" si="102"/>
        <v>N/A</v>
      </c>
      <c r="AE847" s="11" t="e">
        <f t="shared" si="104"/>
        <v>#VALUE!</v>
      </c>
    </row>
    <row r="848" spans="1:31" x14ac:dyDescent="0.3">
      <c r="A848">
        <v>91</v>
      </c>
      <c r="B848">
        <v>4592042</v>
      </c>
      <c r="C848" t="s">
        <v>167</v>
      </c>
      <c r="D848">
        <v>1235549</v>
      </c>
      <c r="E848" t="s">
        <v>168</v>
      </c>
      <c r="F848" t="s">
        <v>20</v>
      </c>
      <c r="G848" t="s">
        <v>829</v>
      </c>
      <c r="H848" t="s">
        <v>830</v>
      </c>
      <c r="I848" t="s">
        <v>3381</v>
      </c>
      <c r="J848">
        <v>51134996037</v>
      </c>
      <c r="K848" t="s">
        <v>3183</v>
      </c>
      <c r="L848" t="s">
        <v>3963</v>
      </c>
      <c r="M848">
        <v>10</v>
      </c>
      <c r="N848" s="10">
        <v>49.63</v>
      </c>
      <c r="O848" s="10">
        <f t="shared" si="100"/>
        <v>496.3</v>
      </c>
      <c r="P848" s="10">
        <v>941.73</v>
      </c>
      <c r="Q848" s="10" t="s">
        <v>5006</v>
      </c>
      <c r="R848" s="10">
        <f>IF(COUNTIF($J$2:J848,J848)=1,SUMIFS($O:$O,$J:$J,J848)+SUMIFS($P:$P,$J:$J,J848)+SUMIFS($Q:$Q,$J:$J,J848),"")</f>
        <v>11115.880000000001</v>
      </c>
      <c r="S848" s="10">
        <v>12540.88</v>
      </c>
      <c r="T848" s="11" t="str">
        <f t="shared" si="103"/>
        <v>Check</v>
      </c>
      <c r="U848" s="12">
        <v>45568</v>
      </c>
      <c r="V848" s="10">
        <v>184.25</v>
      </c>
      <c r="W848" s="10" t="str">
        <f t="shared" si="101"/>
        <v>Short Paid</v>
      </c>
      <c r="X848" t="s">
        <v>455</v>
      </c>
      <c r="Y848" t="s">
        <v>28</v>
      </c>
      <c r="Z848">
        <v>100150</v>
      </c>
      <c r="AA848" t="s">
        <v>458</v>
      </c>
      <c r="AB848" t="s">
        <v>521</v>
      </c>
      <c r="AC848" s="9">
        <v>7</v>
      </c>
      <c r="AD848" s="9" t="str">
        <f t="shared" si="102"/>
        <v>Check</v>
      </c>
      <c r="AE848" s="11">
        <f t="shared" si="104"/>
        <v>-1424.9999999999982</v>
      </c>
    </row>
    <row r="849" spans="1:31" x14ac:dyDescent="0.3">
      <c r="A849">
        <v>91</v>
      </c>
      <c r="B849">
        <v>4592042</v>
      </c>
      <c r="C849" t="s">
        <v>167</v>
      </c>
      <c r="D849">
        <v>1235549</v>
      </c>
      <c r="E849" t="s">
        <v>168</v>
      </c>
      <c r="F849" t="s">
        <v>20</v>
      </c>
      <c r="G849" t="s">
        <v>829</v>
      </c>
      <c r="H849" t="s">
        <v>830</v>
      </c>
      <c r="I849" t="s">
        <v>3381</v>
      </c>
      <c r="J849">
        <v>51134996037</v>
      </c>
      <c r="K849" t="s">
        <v>3183</v>
      </c>
      <c r="L849" t="s">
        <v>3964</v>
      </c>
      <c r="M849">
        <v>65</v>
      </c>
      <c r="N849" s="10">
        <v>49.63</v>
      </c>
      <c r="O849" s="10">
        <f t="shared" si="100"/>
        <v>3225.9500000000003</v>
      </c>
      <c r="P849" s="10" t="s">
        <v>5006</v>
      </c>
      <c r="Q849" s="10" t="s">
        <v>5006</v>
      </c>
      <c r="R849" s="10" t="str">
        <f>IF(COUNTIF($J$2:J849,J849)=1,SUMIFS($O:$O,$J:$J,J849)+SUMIFS($P:$P,$J:$J,J849)+SUMIFS($Q:$Q,$J:$J,J849),"")</f>
        <v/>
      </c>
      <c r="S849" s="10" t="s">
        <v>5006</v>
      </c>
      <c r="T849" s="11" t="str">
        <f t="shared" si="103"/>
        <v>Check</v>
      </c>
      <c r="U849" s="12">
        <v>45568</v>
      </c>
      <c r="V849" s="10">
        <v>184.25</v>
      </c>
      <c r="W849" s="10" t="str">
        <f t="shared" si="101"/>
        <v>N/A</v>
      </c>
      <c r="X849" t="s">
        <v>455</v>
      </c>
      <c r="Y849" t="s">
        <v>28</v>
      </c>
      <c r="Z849">
        <v>100150</v>
      </c>
      <c r="AA849" t="s">
        <v>458</v>
      </c>
      <c r="AB849" t="s">
        <v>521</v>
      </c>
      <c r="AC849" s="9">
        <v>7</v>
      </c>
      <c r="AD849" s="9" t="str">
        <f t="shared" si="102"/>
        <v>N/A</v>
      </c>
      <c r="AE849" s="11" t="e">
        <f t="shared" si="104"/>
        <v>#VALUE!</v>
      </c>
    </row>
    <row r="850" spans="1:31" x14ac:dyDescent="0.3">
      <c r="A850">
        <v>91</v>
      </c>
      <c r="B850">
        <v>4592042</v>
      </c>
      <c r="C850" t="s">
        <v>167</v>
      </c>
      <c r="D850">
        <v>1235549</v>
      </c>
      <c r="E850" t="s">
        <v>168</v>
      </c>
      <c r="F850" t="s">
        <v>20</v>
      </c>
      <c r="G850" t="s">
        <v>829</v>
      </c>
      <c r="H850" t="s">
        <v>830</v>
      </c>
      <c r="I850" t="s">
        <v>3381</v>
      </c>
      <c r="J850">
        <v>51134996037</v>
      </c>
      <c r="K850" t="s">
        <v>3183</v>
      </c>
      <c r="L850" t="s">
        <v>3965</v>
      </c>
      <c r="M850">
        <v>15</v>
      </c>
      <c r="N850" s="10">
        <v>49.63</v>
      </c>
      <c r="O850" s="10">
        <f t="shared" si="100"/>
        <v>744.45</v>
      </c>
      <c r="P850" s="10" t="s">
        <v>5006</v>
      </c>
      <c r="Q850" s="10" t="s">
        <v>5006</v>
      </c>
      <c r="R850" s="10" t="str">
        <f>IF(COUNTIF($J$2:J850,J850)=1,SUMIFS($O:$O,$J:$J,J850)+SUMIFS($P:$P,$J:$J,J850)+SUMIFS($Q:$Q,$J:$J,J850),"")</f>
        <v/>
      </c>
      <c r="S850" s="10" t="s">
        <v>5006</v>
      </c>
      <c r="T850" s="11" t="str">
        <f t="shared" si="103"/>
        <v>Check</v>
      </c>
      <c r="U850" s="12">
        <v>45568</v>
      </c>
      <c r="V850" s="10">
        <v>184.25</v>
      </c>
      <c r="W850" s="10" t="str">
        <f t="shared" si="101"/>
        <v>N/A</v>
      </c>
      <c r="X850" t="s">
        <v>455</v>
      </c>
      <c r="Y850" t="s">
        <v>28</v>
      </c>
      <c r="Z850">
        <v>100150</v>
      </c>
      <c r="AA850" t="s">
        <v>458</v>
      </c>
      <c r="AB850" t="s">
        <v>521</v>
      </c>
      <c r="AC850" s="9">
        <v>7</v>
      </c>
      <c r="AD850" s="9" t="str">
        <f t="shared" si="102"/>
        <v>N/A</v>
      </c>
      <c r="AE850" s="11" t="e">
        <f t="shared" si="104"/>
        <v>#VALUE!</v>
      </c>
    </row>
    <row r="851" spans="1:31" x14ac:dyDescent="0.3">
      <c r="A851">
        <v>91</v>
      </c>
      <c r="B851">
        <v>4592042</v>
      </c>
      <c r="C851" t="s">
        <v>167</v>
      </c>
      <c r="D851">
        <v>1235549</v>
      </c>
      <c r="E851" t="s">
        <v>168</v>
      </c>
      <c r="F851" t="s">
        <v>20</v>
      </c>
      <c r="G851" t="s">
        <v>829</v>
      </c>
      <c r="H851" t="s">
        <v>830</v>
      </c>
      <c r="I851" t="s">
        <v>3381</v>
      </c>
      <c r="J851">
        <v>51134996037</v>
      </c>
      <c r="K851" t="s">
        <v>3183</v>
      </c>
      <c r="L851" t="s">
        <v>3966</v>
      </c>
      <c r="M851">
        <v>40</v>
      </c>
      <c r="N851" s="10">
        <v>49.63</v>
      </c>
      <c r="O851" s="10">
        <f t="shared" si="100"/>
        <v>1985.2</v>
      </c>
      <c r="P851" s="10" t="s">
        <v>5006</v>
      </c>
      <c r="Q851" s="10" t="s">
        <v>5006</v>
      </c>
      <c r="R851" s="10" t="str">
        <f>IF(COUNTIF($J$2:J851,J851)=1,SUMIFS($O:$O,$J:$J,J851)+SUMIFS($P:$P,$J:$J,J851)+SUMIFS($Q:$Q,$J:$J,J851),"")</f>
        <v/>
      </c>
      <c r="S851" s="10" t="s">
        <v>5006</v>
      </c>
      <c r="T851" s="11" t="str">
        <f t="shared" si="103"/>
        <v>Check</v>
      </c>
      <c r="U851" s="12">
        <v>45568</v>
      </c>
      <c r="V851" s="10">
        <v>184.25</v>
      </c>
      <c r="W851" s="10" t="str">
        <f t="shared" si="101"/>
        <v>N/A</v>
      </c>
      <c r="X851" t="s">
        <v>455</v>
      </c>
      <c r="Y851" t="s">
        <v>28</v>
      </c>
      <c r="Z851">
        <v>100150</v>
      </c>
      <c r="AA851" t="s">
        <v>458</v>
      </c>
      <c r="AB851" t="s">
        <v>521</v>
      </c>
      <c r="AC851" s="9">
        <v>7</v>
      </c>
      <c r="AD851" s="9" t="str">
        <f t="shared" si="102"/>
        <v>N/A</v>
      </c>
      <c r="AE851" s="11" t="e">
        <f t="shared" si="104"/>
        <v>#VALUE!</v>
      </c>
    </row>
    <row r="852" spans="1:31" x14ac:dyDescent="0.3">
      <c r="A852">
        <v>91</v>
      </c>
      <c r="B852">
        <v>4592042</v>
      </c>
      <c r="C852" t="s">
        <v>167</v>
      </c>
      <c r="D852">
        <v>1235549</v>
      </c>
      <c r="E852" t="s">
        <v>168</v>
      </c>
      <c r="F852" t="s">
        <v>20</v>
      </c>
      <c r="G852" t="s">
        <v>829</v>
      </c>
      <c r="H852" t="s">
        <v>830</v>
      </c>
      <c r="I852" t="s">
        <v>3381</v>
      </c>
      <c r="J852">
        <v>51134996037</v>
      </c>
      <c r="K852" t="s">
        <v>3183</v>
      </c>
      <c r="L852" t="s">
        <v>3967</v>
      </c>
      <c r="M852">
        <v>50</v>
      </c>
      <c r="N852" s="10">
        <v>49.63</v>
      </c>
      <c r="O852" s="10">
        <f t="shared" si="100"/>
        <v>2481.5</v>
      </c>
      <c r="P852" s="10" t="s">
        <v>5006</v>
      </c>
      <c r="Q852" s="10" t="s">
        <v>5006</v>
      </c>
      <c r="R852" s="10" t="str">
        <f>IF(COUNTIF($J$2:J852,J852)=1,SUMIFS($O:$O,$J:$J,J852)+SUMIFS($P:$P,$J:$J,J852)+SUMIFS($Q:$Q,$J:$J,J852),"")</f>
        <v/>
      </c>
      <c r="S852" s="10" t="s">
        <v>5006</v>
      </c>
      <c r="T852" s="11" t="str">
        <f t="shared" si="103"/>
        <v>Check</v>
      </c>
      <c r="U852" s="12">
        <v>45568</v>
      </c>
      <c r="V852" s="10">
        <v>184.25</v>
      </c>
      <c r="W852" s="10" t="str">
        <f t="shared" si="101"/>
        <v>N/A</v>
      </c>
      <c r="X852" t="s">
        <v>455</v>
      </c>
      <c r="Y852" t="s">
        <v>28</v>
      </c>
      <c r="Z852">
        <v>100150</v>
      </c>
      <c r="AA852" t="s">
        <v>458</v>
      </c>
      <c r="AB852" t="s">
        <v>521</v>
      </c>
      <c r="AC852" s="9">
        <v>7</v>
      </c>
      <c r="AD852" s="9" t="str">
        <f t="shared" si="102"/>
        <v>N/A</v>
      </c>
      <c r="AE852" s="11" t="e">
        <f t="shared" si="104"/>
        <v>#VALUE!</v>
      </c>
    </row>
    <row r="853" spans="1:31" x14ac:dyDescent="0.3">
      <c r="A853">
        <v>91</v>
      </c>
      <c r="B853">
        <v>4592042</v>
      </c>
      <c r="C853" t="s">
        <v>167</v>
      </c>
      <c r="D853">
        <v>1235549</v>
      </c>
      <c r="E853" t="s">
        <v>168</v>
      </c>
      <c r="F853" t="s">
        <v>20</v>
      </c>
      <c r="G853" t="s">
        <v>829</v>
      </c>
      <c r="H853" t="s">
        <v>830</v>
      </c>
      <c r="I853" t="s">
        <v>3381</v>
      </c>
      <c r="J853">
        <v>51134996037</v>
      </c>
      <c r="K853" t="s">
        <v>3183</v>
      </c>
      <c r="L853" t="s">
        <v>3968</v>
      </c>
      <c r="M853">
        <v>5</v>
      </c>
      <c r="N853" s="10">
        <v>49.63</v>
      </c>
      <c r="O853" s="10">
        <f t="shared" si="100"/>
        <v>248.15</v>
      </c>
      <c r="P853" s="10" t="s">
        <v>5006</v>
      </c>
      <c r="Q853" s="10" t="s">
        <v>5006</v>
      </c>
      <c r="R853" s="10" t="str">
        <f>IF(COUNTIF($J$2:J853,J853)=1,SUMIFS($O:$O,$J:$J,J853)+SUMIFS($P:$P,$J:$J,J853)+SUMIFS($Q:$Q,$J:$J,J853),"")</f>
        <v/>
      </c>
      <c r="S853" s="10" t="s">
        <v>5006</v>
      </c>
      <c r="T853" s="11" t="str">
        <f t="shared" si="103"/>
        <v>Check</v>
      </c>
      <c r="U853" s="12">
        <v>45568</v>
      </c>
      <c r="V853" s="10">
        <v>184.25</v>
      </c>
      <c r="W853" s="10" t="str">
        <f t="shared" si="101"/>
        <v>N/A</v>
      </c>
      <c r="X853" t="s">
        <v>455</v>
      </c>
      <c r="Y853" t="s">
        <v>28</v>
      </c>
      <c r="Z853">
        <v>100150</v>
      </c>
      <c r="AA853" t="s">
        <v>458</v>
      </c>
      <c r="AB853" t="s">
        <v>521</v>
      </c>
      <c r="AC853" s="9">
        <v>7</v>
      </c>
      <c r="AD853" s="9" t="str">
        <f t="shared" si="102"/>
        <v>N/A</v>
      </c>
      <c r="AE853" s="11" t="e">
        <f t="shared" si="104"/>
        <v>#VALUE!</v>
      </c>
    </row>
    <row r="854" spans="1:31" x14ac:dyDescent="0.3">
      <c r="A854">
        <v>91</v>
      </c>
      <c r="B854">
        <v>4592042</v>
      </c>
      <c r="C854" t="s">
        <v>167</v>
      </c>
      <c r="D854">
        <v>1235549</v>
      </c>
      <c r="E854" t="s">
        <v>168</v>
      </c>
      <c r="F854" t="s">
        <v>20</v>
      </c>
      <c r="G854" t="s">
        <v>829</v>
      </c>
      <c r="H854" t="s">
        <v>830</v>
      </c>
      <c r="I854" t="s">
        <v>3381</v>
      </c>
      <c r="J854">
        <v>51134996037</v>
      </c>
      <c r="K854" t="s">
        <v>3183</v>
      </c>
      <c r="L854" t="s">
        <v>3969</v>
      </c>
      <c r="M854">
        <v>20</v>
      </c>
      <c r="N854" s="10">
        <v>49.63</v>
      </c>
      <c r="O854" s="10">
        <f t="shared" si="100"/>
        <v>992.6</v>
      </c>
      <c r="P854" s="10" t="s">
        <v>5006</v>
      </c>
      <c r="Q854" s="10" t="s">
        <v>5006</v>
      </c>
      <c r="R854" s="10" t="str">
        <f>IF(COUNTIF($J$2:J854,J854)=1,SUMIFS($O:$O,$J:$J,J854)+SUMIFS($P:$P,$J:$J,J854)+SUMIFS($Q:$Q,$J:$J,J854),"")</f>
        <v/>
      </c>
      <c r="S854" s="10" t="s">
        <v>5006</v>
      </c>
      <c r="T854" s="11" t="str">
        <f t="shared" si="103"/>
        <v>Check</v>
      </c>
      <c r="U854" s="12">
        <v>45568</v>
      </c>
      <c r="V854" s="10">
        <v>184.25</v>
      </c>
      <c r="W854" s="10" t="str">
        <f t="shared" si="101"/>
        <v>N/A</v>
      </c>
      <c r="X854" t="s">
        <v>455</v>
      </c>
      <c r="Y854" t="s">
        <v>28</v>
      </c>
      <c r="Z854">
        <v>100150</v>
      </c>
      <c r="AA854" t="s">
        <v>458</v>
      </c>
      <c r="AB854" t="s">
        <v>521</v>
      </c>
      <c r="AC854" s="9">
        <v>7</v>
      </c>
      <c r="AD854" s="9" t="str">
        <f t="shared" si="102"/>
        <v>N/A</v>
      </c>
      <c r="AE854" s="11" t="e">
        <f t="shared" si="104"/>
        <v>#VALUE!</v>
      </c>
    </row>
    <row r="855" spans="1:31" x14ac:dyDescent="0.3">
      <c r="A855">
        <v>77</v>
      </c>
      <c r="B855">
        <v>4624045</v>
      </c>
      <c r="C855" t="s">
        <v>167</v>
      </c>
      <c r="D855">
        <v>1235549</v>
      </c>
      <c r="E855" t="s">
        <v>168</v>
      </c>
      <c r="F855" t="s">
        <v>3807</v>
      </c>
      <c r="G855" t="s">
        <v>902</v>
      </c>
      <c r="H855" t="s">
        <v>903</v>
      </c>
      <c r="I855" t="s">
        <v>3543</v>
      </c>
      <c r="J855">
        <v>51135181752</v>
      </c>
      <c r="K855" t="s">
        <v>3183</v>
      </c>
      <c r="L855" t="s">
        <v>3816</v>
      </c>
      <c r="M855">
        <v>8</v>
      </c>
      <c r="N855" s="10">
        <v>0.25</v>
      </c>
      <c r="O855" s="10">
        <f t="shared" si="100"/>
        <v>2</v>
      </c>
      <c r="P855" s="10">
        <v>121.93</v>
      </c>
      <c r="Q855" s="10" t="s">
        <v>5006</v>
      </c>
      <c r="R855" s="10">
        <f>IF(COUNTIF($J$2:J855,J855)=1,SUMIFS($O:$O,$J:$J,J855)+SUMIFS($P:$P,$J:$J,J855)+SUMIFS($Q:$Q,$J:$J,J855),"")</f>
        <v>2833.0099999999998</v>
      </c>
      <c r="S855" s="10">
        <v>2711.08</v>
      </c>
      <c r="T855" s="11" t="str">
        <f t="shared" si="103"/>
        <v>Check</v>
      </c>
      <c r="U855" s="12">
        <v>45893</v>
      </c>
      <c r="V855" s="10">
        <v>1636.19</v>
      </c>
      <c r="W855" s="10" t="str">
        <f t="shared" si="101"/>
        <v>Short Paid</v>
      </c>
      <c r="X855" t="s">
        <v>455</v>
      </c>
      <c r="Y855" t="s">
        <v>40</v>
      </c>
      <c r="Z855">
        <v>100180</v>
      </c>
      <c r="AA855" t="s">
        <v>3049</v>
      </c>
      <c r="AB855" t="s">
        <v>3808</v>
      </c>
      <c r="AC855" s="9">
        <v>2</v>
      </c>
      <c r="AD855" s="9" t="str">
        <f t="shared" si="102"/>
        <v>Check</v>
      </c>
      <c r="AE855" s="11">
        <f t="shared" si="104"/>
        <v>121.92999999999984</v>
      </c>
    </row>
    <row r="856" spans="1:31" x14ac:dyDescent="0.3">
      <c r="A856">
        <v>77</v>
      </c>
      <c r="B856">
        <v>4624045</v>
      </c>
      <c r="C856" t="s">
        <v>167</v>
      </c>
      <c r="D856">
        <v>1235549</v>
      </c>
      <c r="E856" t="s">
        <v>168</v>
      </c>
      <c r="F856" t="s">
        <v>3807</v>
      </c>
      <c r="G856" t="s">
        <v>902</v>
      </c>
      <c r="H856" t="s">
        <v>903</v>
      </c>
      <c r="I856" t="s">
        <v>3543</v>
      </c>
      <c r="J856">
        <v>51135181752</v>
      </c>
      <c r="K856" t="s">
        <v>3183</v>
      </c>
      <c r="L856" t="s">
        <v>3970</v>
      </c>
      <c r="M856">
        <v>4</v>
      </c>
      <c r="N856" s="10">
        <v>677.27</v>
      </c>
      <c r="O856" s="10">
        <f t="shared" si="100"/>
        <v>2709.08</v>
      </c>
      <c r="P856" s="10" t="s">
        <v>5006</v>
      </c>
      <c r="Q856" s="10" t="s">
        <v>5006</v>
      </c>
      <c r="R856" s="10" t="str">
        <f>IF(COUNTIF($J$2:J856,J856)=1,SUMIFS($O:$O,$J:$J,J856)+SUMIFS($P:$P,$J:$J,J856)+SUMIFS($Q:$Q,$J:$J,J856),"")</f>
        <v/>
      </c>
      <c r="S856" s="10" t="s">
        <v>5006</v>
      </c>
      <c r="T856" s="11" t="str">
        <f t="shared" si="103"/>
        <v>Check</v>
      </c>
      <c r="U856" s="12">
        <v>45893</v>
      </c>
      <c r="V856" s="10">
        <v>1636.19</v>
      </c>
      <c r="W856" s="10" t="str">
        <f t="shared" si="101"/>
        <v>N/A</v>
      </c>
      <c r="X856" t="s">
        <v>455</v>
      </c>
      <c r="Y856" t="s">
        <v>40</v>
      </c>
      <c r="Z856">
        <v>100180</v>
      </c>
      <c r="AA856" t="s">
        <v>3049</v>
      </c>
      <c r="AB856" t="s">
        <v>3808</v>
      </c>
      <c r="AC856" s="9">
        <v>2</v>
      </c>
      <c r="AD856" s="9" t="str">
        <f t="shared" si="102"/>
        <v>N/A</v>
      </c>
      <c r="AE856" s="11" t="e">
        <f t="shared" si="104"/>
        <v>#VALUE!</v>
      </c>
    </row>
    <row r="857" spans="1:31" x14ac:dyDescent="0.3">
      <c r="A857">
        <v>38</v>
      </c>
      <c r="B857">
        <v>4731463</v>
      </c>
      <c r="C857" t="s">
        <v>94</v>
      </c>
      <c r="D857">
        <v>1200599</v>
      </c>
      <c r="E857" t="s">
        <v>656</v>
      </c>
      <c r="F857" t="s">
        <v>19</v>
      </c>
      <c r="G857" t="s">
        <v>2791</v>
      </c>
      <c r="H857" t="s">
        <v>1227</v>
      </c>
      <c r="I857" t="s">
        <v>3484</v>
      </c>
      <c r="J857">
        <v>51135629726</v>
      </c>
      <c r="K857" t="s">
        <v>3318</v>
      </c>
      <c r="L857" t="s">
        <v>3317</v>
      </c>
      <c r="M857">
        <v>20000</v>
      </c>
      <c r="N857" s="10">
        <v>0.11169999999999999</v>
      </c>
      <c r="O857" s="10">
        <f t="shared" si="100"/>
        <v>2234</v>
      </c>
      <c r="P857" s="10">
        <v>0</v>
      </c>
      <c r="Q857" s="10">
        <v>0</v>
      </c>
      <c r="R857" s="10">
        <f>IF(COUNTIF($J$2:J857,J857)=1,SUMIFS($O:$O,$J:$J,J857)+SUMIFS($P:$P,$J:$J,J857)+SUMIFS($Q:$Q,$J:$J,J857),"")</f>
        <v>2454.13</v>
      </c>
      <c r="S857" s="10">
        <v>4435.2800000000007</v>
      </c>
      <c r="T857" s="11" t="str">
        <f t="shared" si="103"/>
        <v>Check</v>
      </c>
      <c r="U857" s="12">
        <v>46091</v>
      </c>
      <c r="V857" s="10">
        <v>2201.2800000000002</v>
      </c>
      <c r="W857" s="10" t="str">
        <f t="shared" si="101"/>
        <v>Short Paid</v>
      </c>
      <c r="X857" t="s">
        <v>450</v>
      </c>
      <c r="Y857" t="s">
        <v>28</v>
      </c>
      <c r="Z857">
        <v>100167</v>
      </c>
      <c r="AA857" t="s">
        <v>499</v>
      </c>
      <c r="AB857" t="s">
        <v>524</v>
      </c>
      <c r="AC857" s="9">
        <v>2</v>
      </c>
      <c r="AD857" s="9" t="str">
        <f t="shared" si="102"/>
        <v>Check</v>
      </c>
      <c r="AE857" s="11">
        <f t="shared" si="104"/>
        <v>-1981.1500000000005</v>
      </c>
    </row>
    <row r="858" spans="1:31" x14ac:dyDescent="0.3">
      <c r="A858">
        <v>38</v>
      </c>
      <c r="B858">
        <v>4731463</v>
      </c>
      <c r="C858" t="s">
        <v>94</v>
      </c>
      <c r="D858">
        <v>1200599</v>
      </c>
      <c r="E858" t="s">
        <v>656</v>
      </c>
      <c r="F858" t="s">
        <v>19</v>
      </c>
      <c r="G858" t="s">
        <v>2791</v>
      </c>
      <c r="H858" t="s">
        <v>1227</v>
      </c>
      <c r="I858" t="s">
        <v>3202</v>
      </c>
      <c r="J858">
        <v>51135629726</v>
      </c>
      <c r="K858" t="s">
        <v>3572</v>
      </c>
      <c r="L858" t="s">
        <v>3571</v>
      </c>
      <c r="M858">
        <v>1</v>
      </c>
      <c r="N858" s="10">
        <v>220.13</v>
      </c>
      <c r="O858" s="10">
        <f t="shared" si="100"/>
        <v>220.13</v>
      </c>
      <c r="P858" s="10" t="s">
        <v>5006</v>
      </c>
      <c r="Q858" s="10" t="s">
        <v>5006</v>
      </c>
      <c r="R858" s="10" t="str">
        <f>IF(COUNTIF($J$2:J858,J858)=1,SUMIFS($O:$O,$J:$J,J858)+SUMIFS($P:$P,$J:$J,J858)+SUMIFS($Q:$Q,$J:$J,J858),"")</f>
        <v/>
      </c>
      <c r="S858" s="10" t="s">
        <v>5006</v>
      </c>
      <c r="T858" s="11" t="str">
        <f t="shared" si="103"/>
        <v>Check</v>
      </c>
      <c r="U858" s="12">
        <v>46091</v>
      </c>
      <c r="V858" s="10">
        <v>2201.2800000000002</v>
      </c>
      <c r="W858" s="10" t="str">
        <f t="shared" si="101"/>
        <v>N/A</v>
      </c>
      <c r="X858" t="s">
        <v>450</v>
      </c>
      <c r="Y858" t="s">
        <v>28</v>
      </c>
      <c r="Z858">
        <v>100167</v>
      </c>
      <c r="AA858" t="s">
        <v>499</v>
      </c>
      <c r="AB858" t="s">
        <v>524</v>
      </c>
      <c r="AC858" s="9">
        <v>2</v>
      </c>
      <c r="AD858" s="9" t="str">
        <f t="shared" si="102"/>
        <v>N/A</v>
      </c>
      <c r="AE858" s="11" t="e">
        <f t="shared" si="104"/>
        <v>#VALUE!</v>
      </c>
    </row>
    <row r="859" spans="1:31" x14ac:dyDescent="0.3">
      <c r="A859">
        <v>92</v>
      </c>
      <c r="B859">
        <v>4584528</v>
      </c>
      <c r="C859" t="s">
        <v>94</v>
      </c>
      <c r="D859">
        <v>1526082</v>
      </c>
      <c r="E859" t="s">
        <v>155</v>
      </c>
      <c r="F859" t="s">
        <v>20</v>
      </c>
      <c r="G859" t="s">
        <v>2654</v>
      </c>
      <c r="H859" t="s">
        <v>2655</v>
      </c>
      <c r="I859" t="s">
        <v>3402</v>
      </c>
      <c r="J859">
        <v>51136265724</v>
      </c>
      <c r="K859" t="s">
        <v>3165</v>
      </c>
      <c r="L859" t="s">
        <v>3971</v>
      </c>
      <c r="M859">
        <v>1</v>
      </c>
      <c r="N859" s="10">
        <v>11527.35</v>
      </c>
      <c r="O859" s="10">
        <f t="shared" si="100"/>
        <v>11527.35</v>
      </c>
      <c r="P859" s="10">
        <v>0</v>
      </c>
      <c r="Q859" s="10">
        <v>0</v>
      </c>
      <c r="R859" s="10">
        <f>IF(COUNTIF($J$2:J859,J859)=1,SUMIFS($O:$O,$J:$J,J859)+SUMIFS($P:$P,$J:$J,J859)+SUMIFS($Q:$Q,$J:$J,J859),"")</f>
        <v>15620.31</v>
      </c>
      <c r="S859" s="10">
        <v>27147.66</v>
      </c>
      <c r="T859" s="11" t="str">
        <f t="shared" si="103"/>
        <v>Check</v>
      </c>
      <c r="U859" s="12">
        <v>46014</v>
      </c>
      <c r="V859" s="10">
        <v>23054.7</v>
      </c>
      <c r="W859" s="10" t="str">
        <f t="shared" si="101"/>
        <v>Short Paid</v>
      </c>
      <c r="X859" t="s">
        <v>450</v>
      </c>
      <c r="Y859" t="s">
        <v>28</v>
      </c>
      <c r="Z859">
        <v>100207</v>
      </c>
      <c r="AA859" t="s">
        <v>519</v>
      </c>
      <c r="AB859" t="s">
        <v>521</v>
      </c>
      <c r="AC859" s="9">
        <v>2</v>
      </c>
      <c r="AD859" s="9" t="str">
        <f t="shared" si="102"/>
        <v>Check</v>
      </c>
      <c r="AE859" s="11">
        <f t="shared" si="104"/>
        <v>-11527.35</v>
      </c>
    </row>
    <row r="860" spans="1:31" x14ac:dyDescent="0.3">
      <c r="A860">
        <v>92</v>
      </c>
      <c r="B860">
        <v>4584528</v>
      </c>
      <c r="C860" t="s">
        <v>94</v>
      </c>
      <c r="D860">
        <v>1526082</v>
      </c>
      <c r="E860" t="s">
        <v>155</v>
      </c>
      <c r="F860" t="s">
        <v>20</v>
      </c>
      <c r="G860" t="s">
        <v>2654</v>
      </c>
      <c r="H860" t="s">
        <v>2655</v>
      </c>
      <c r="I860" t="s">
        <v>3376</v>
      </c>
      <c r="J860">
        <v>51136265724</v>
      </c>
      <c r="K860" t="s">
        <v>3165</v>
      </c>
      <c r="L860" t="s">
        <v>3839</v>
      </c>
      <c r="M860">
        <v>250</v>
      </c>
      <c r="N860" s="10">
        <v>16.371839999999999</v>
      </c>
      <c r="O860" s="10">
        <f t="shared" si="100"/>
        <v>4092.9599999999996</v>
      </c>
      <c r="P860" s="10" t="s">
        <v>5006</v>
      </c>
      <c r="Q860" s="10" t="s">
        <v>5006</v>
      </c>
      <c r="R860" s="10" t="str">
        <f>IF(COUNTIF($J$2:J860,J860)=1,SUMIFS($O:$O,$J:$J,J860)+SUMIFS($P:$P,$J:$J,J860)+SUMIFS($Q:$Q,$J:$J,J860),"")</f>
        <v/>
      </c>
      <c r="S860" s="10" t="s">
        <v>5006</v>
      </c>
      <c r="T860" s="11" t="str">
        <f t="shared" si="103"/>
        <v>Check</v>
      </c>
      <c r="U860" s="12">
        <v>46014</v>
      </c>
      <c r="V860" s="10">
        <v>23054.7</v>
      </c>
      <c r="W860" s="10" t="str">
        <f t="shared" si="101"/>
        <v>N/A</v>
      </c>
      <c r="X860" t="s">
        <v>450</v>
      </c>
      <c r="Y860" t="s">
        <v>28</v>
      </c>
      <c r="Z860">
        <v>100207</v>
      </c>
      <c r="AA860" t="s">
        <v>519</v>
      </c>
      <c r="AB860" t="s">
        <v>521</v>
      </c>
      <c r="AC860" s="9">
        <v>2</v>
      </c>
      <c r="AD860" s="9" t="str">
        <f t="shared" si="102"/>
        <v>N/A</v>
      </c>
      <c r="AE860" s="11" t="e">
        <f t="shared" si="104"/>
        <v>#VALUE!</v>
      </c>
    </row>
    <row r="861" spans="1:31" x14ac:dyDescent="0.3">
      <c r="A861">
        <v>87</v>
      </c>
      <c r="B861">
        <v>4600390</v>
      </c>
      <c r="C861" t="s">
        <v>239</v>
      </c>
      <c r="D861">
        <v>1098309</v>
      </c>
      <c r="E861" t="s">
        <v>544</v>
      </c>
      <c r="F861" t="s">
        <v>49</v>
      </c>
      <c r="G861" t="s">
        <v>861</v>
      </c>
      <c r="H861" t="s">
        <v>862</v>
      </c>
      <c r="I861" t="s">
        <v>3296</v>
      </c>
      <c r="J861">
        <v>51136293847</v>
      </c>
      <c r="K861" t="s">
        <v>3194</v>
      </c>
      <c r="L861" t="s">
        <v>3193</v>
      </c>
      <c r="M861">
        <v>15000</v>
      </c>
      <c r="N861" s="10">
        <v>0.41799999999999998</v>
      </c>
      <c r="O861" s="10">
        <f t="shared" si="100"/>
        <v>6270</v>
      </c>
      <c r="P861" s="10">
        <v>54.09</v>
      </c>
      <c r="Q861" s="10">
        <v>0</v>
      </c>
      <c r="R861" s="10">
        <f>IF(COUNTIF($J$2:J861,J861)=1,SUMIFS($O:$O,$J:$J,J861)+SUMIFS($P:$P,$J:$J,J861)+SUMIFS($Q:$Q,$J:$J,J861),"")</f>
        <v>6901.09</v>
      </c>
      <c r="S861" s="10">
        <v>6901.09</v>
      </c>
      <c r="T861" s="11" t="str">
        <f t="shared" si="103"/>
        <v>Ok</v>
      </c>
      <c r="U861" s="12">
        <v>46038</v>
      </c>
      <c r="V861" s="10">
        <v>54.09</v>
      </c>
      <c r="W861" s="10" t="str">
        <f t="shared" si="101"/>
        <v>Short Paid</v>
      </c>
      <c r="X861" t="s">
        <v>476</v>
      </c>
      <c r="Y861" t="s">
        <v>29</v>
      </c>
      <c r="Z861">
        <v>100295</v>
      </c>
      <c r="AA861" t="s">
        <v>3127</v>
      </c>
      <c r="AB861" t="s">
        <v>3041</v>
      </c>
      <c r="AC861" s="9">
        <v>2</v>
      </c>
      <c r="AD861" s="9" t="str">
        <f t="shared" si="102"/>
        <v>Ok</v>
      </c>
      <c r="AE861" s="11">
        <f t="shared" si="104"/>
        <v>0</v>
      </c>
    </row>
    <row r="862" spans="1:31" x14ac:dyDescent="0.3">
      <c r="A862">
        <v>87</v>
      </c>
      <c r="B862">
        <v>4600390</v>
      </c>
      <c r="C862" t="s">
        <v>239</v>
      </c>
      <c r="D862">
        <v>1098309</v>
      </c>
      <c r="E862" t="s">
        <v>544</v>
      </c>
      <c r="F862" t="s">
        <v>49</v>
      </c>
      <c r="G862" t="s">
        <v>861</v>
      </c>
      <c r="H862" t="s">
        <v>862</v>
      </c>
      <c r="I862" t="s">
        <v>3303</v>
      </c>
      <c r="J862">
        <v>51136293847</v>
      </c>
      <c r="K862" t="s">
        <v>3908</v>
      </c>
      <c r="L862" t="s">
        <v>3972</v>
      </c>
      <c r="M862">
        <v>1</v>
      </c>
      <c r="N862" s="10">
        <v>577</v>
      </c>
      <c r="O862" s="10">
        <f t="shared" si="100"/>
        <v>577</v>
      </c>
      <c r="P862" s="10" t="s">
        <v>5006</v>
      </c>
      <c r="Q862" s="10" t="s">
        <v>5006</v>
      </c>
      <c r="R862" s="10" t="str">
        <f>IF(COUNTIF($J$2:J862,J862)=1,SUMIFS($O:$O,$J:$J,J862)+SUMIFS($P:$P,$J:$J,J862)+SUMIFS($Q:$Q,$J:$J,J862),"")</f>
        <v/>
      </c>
      <c r="S862" s="10" t="s">
        <v>5006</v>
      </c>
      <c r="T862" s="11" t="str">
        <f t="shared" si="103"/>
        <v>Ok</v>
      </c>
      <c r="U862" s="12">
        <v>46038</v>
      </c>
      <c r="V862" s="10">
        <v>54.09</v>
      </c>
      <c r="W862" s="10" t="str">
        <f t="shared" si="101"/>
        <v>N/A</v>
      </c>
      <c r="X862" t="s">
        <v>476</v>
      </c>
      <c r="Y862" t="s">
        <v>29</v>
      </c>
      <c r="Z862">
        <v>100295</v>
      </c>
      <c r="AA862" t="s">
        <v>3127</v>
      </c>
      <c r="AB862" t="s">
        <v>3041</v>
      </c>
      <c r="AC862" s="9">
        <v>2</v>
      </c>
      <c r="AD862" s="9" t="str">
        <f t="shared" si="102"/>
        <v>N/A</v>
      </c>
      <c r="AE862" s="11" t="e">
        <f t="shared" si="104"/>
        <v>#VALUE!</v>
      </c>
    </row>
    <row r="863" spans="1:31" x14ac:dyDescent="0.3">
      <c r="A863">
        <v>91</v>
      </c>
      <c r="B863">
        <v>4591207</v>
      </c>
      <c r="C863" t="s">
        <v>167</v>
      </c>
      <c r="D863">
        <v>1235549</v>
      </c>
      <c r="E863" t="s">
        <v>168</v>
      </c>
      <c r="F863" t="s">
        <v>20</v>
      </c>
      <c r="G863" t="s">
        <v>2666</v>
      </c>
      <c r="H863" t="s">
        <v>2667</v>
      </c>
      <c r="I863" t="s">
        <v>3305</v>
      </c>
      <c r="J863">
        <v>51136635510</v>
      </c>
      <c r="K863" t="s">
        <v>3289</v>
      </c>
      <c r="L863" t="s">
        <v>3973</v>
      </c>
      <c r="M863">
        <v>15200</v>
      </c>
      <c r="N863" s="10">
        <v>0.66700000000000004</v>
      </c>
      <c r="O863" s="10">
        <f t="shared" si="100"/>
        <v>10138.400000000001</v>
      </c>
      <c r="P863" s="10">
        <v>0</v>
      </c>
      <c r="Q863" s="10">
        <v>0</v>
      </c>
      <c r="R863" s="10">
        <f>IF(COUNTIF($J$2:J863,J863)=1,SUMIFS($O:$O,$J:$J,J863)+SUMIFS($P:$P,$J:$J,J863)+SUMIFS($Q:$Q,$J:$J,J863),"")</f>
        <v>10308.720000000001</v>
      </c>
      <c r="S863" s="10">
        <v>12443.119999999999</v>
      </c>
      <c r="T863" s="11" t="str">
        <f t="shared" si="103"/>
        <v>Check</v>
      </c>
      <c r="U863" s="12">
        <v>45545</v>
      </c>
      <c r="V863" s="10">
        <v>170.32</v>
      </c>
      <c r="W863" s="10" t="str">
        <f t="shared" si="101"/>
        <v>Short Paid</v>
      </c>
      <c r="X863" t="s">
        <v>455</v>
      </c>
      <c r="Y863" t="s">
        <v>28</v>
      </c>
      <c r="Z863">
        <v>100280</v>
      </c>
      <c r="AA863" t="s">
        <v>465</v>
      </c>
      <c r="AB863" t="s">
        <v>521</v>
      </c>
      <c r="AC863" s="9">
        <v>2</v>
      </c>
      <c r="AD863" s="9" t="str">
        <f t="shared" si="102"/>
        <v>Check</v>
      </c>
      <c r="AE863" s="11">
        <f t="shared" si="104"/>
        <v>-2134.3999999999978</v>
      </c>
    </row>
    <row r="864" spans="1:31" x14ac:dyDescent="0.3">
      <c r="A864">
        <v>91</v>
      </c>
      <c r="B864">
        <v>4591207</v>
      </c>
      <c r="C864" t="s">
        <v>167</v>
      </c>
      <c r="D864">
        <v>1235549</v>
      </c>
      <c r="E864" t="s">
        <v>168</v>
      </c>
      <c r="F864" t="s">
        <v>20</v>
      </c>
      <c r="G864" t="s">
        <v>2666</v>
      </c>
      <c r="H864" t="s">
        <v>2667</v>
      </c>
      <c r="I864" t="s">
        <v>3287</v>
      </c>
      <c r="J864">
        <v>51136635510</v>
      </c>
      <c r="K864" t="s">
        <v>3165</v>
      </c>
      <c r="L864" t="s">
        <v>3844</v>
      </c>
      <c r="M864">
        <v>2</v>
      </c>
      <c r="N864" s="10">
        <v>85.16</v>
      </c>
      <c r="O864" s="10">
        <f t="shared" si="100"/>
        <v>170.32</v>
      </c>
      <c r="P864" s="10" t="s">
        <v>5006</v>
      </c>
      <c r="Q864" s="10" t="s">
        <v>5006</v>
      </c>
      <c r="R864" s="10" t="str">
        <f>IF(COUNTIF($J$2:J864,J864)=1,SUMIFS($O:$O,$J:$J,J864)+SUMIFS($P:$P,$J:$J,J864)+SUMIFS($Q:$Q,$J:$J,J864),"")</f>
        <v/>
      </c>
      <c r="S864" s="10" t="s">
        <v>5006</v>
      </c>
      <c r="T864" s="11" t="str">
        <f t="shared" si="103"/>
        <v>Check</v>
      </c>
      <c r="U864" s="12">
        <v>45545</v>
      </c>
      <c r="V864" s="10">
        <v>170.32</v>
      </c>
      <c r="W864" s="10" t="str">
        <f t="shared" si="101"/>
        <v>N/A</v>
      </c>
      <c r="X864" t="s">
        <v>455</v>
      </c>
      <c r="Y864" t="s">
        <v>28</v>
      </c>
      <c r="Z864">
        <v>100280</v>
      </c>
      <c r="AA864" t="s">
        <v>465</v>
      </c>
      <c r="AB864" t="s">
        <v>521</v>
      </c>
      <c r="AC864" s="9">
        <v>2</v>
      </c>
      <c r="AD864" s="9" t="str">
        <f t="shared" si="102"/>
        <v>N/A</v>
      </c>
      <c r="AE864" s="11" t="e">
        <f t="shared" si="104"/>
        <v>#VALUE!</v>
      </c>
    </row>
    <row r="865" spans="1:31" x14ac:dyDescent="0.3">
      <c r="A865">
        <v>86</v>
      </c>
      <c r="B865">
        <v>4604008</v>
      </c>
      <c r="C865" t="s">
        <v>38</v>
      </c>
      <c r="D865">
        <v>1963277</v>
      </c>
      <c r="E865" t="s">
        <v>250</v>
      </c>
      <c r="F865" t="s">
        <v>18</v>
      </c>
      <c r="G865" t="s">
        <v>868</v>
      </c>
      <c r="H865" t="s">
        <v>869</v>
      </c>
      <c r="I865" t="s">
        <v>3525</v>
      </c>
      <c r="J865">
        <v>51136737604</v>
      </c>
      <c r="K865" t="s">
        <v>3517</v>
      </c>
      <c r="L865" t="s">
        <v>3516</v>
      </c>
      <c r="M865">
        <v>6000</v>
      </c>
      <c r="N865" s="10">
        <v>0.11824999999999999</v>
      </c>
      <c r="O865" s="10">
        <f t="shared" si="100"/>
        <v>709.5</v>
      </c>
      <c r="P865" s="10">
        <v>0</v>
      </c>
      <c r="Q865" s="10">
        <v>0</v>
      </c>
      <c r="R865" s="10">
        <f>IF(COUNTIF($J$2:J865,J865)=1,SUMIFS($O:$O,$J:$J,J865)+SUMIFS($P:$P,$J:$J,J865)+SUMIFS($Q:$Q,$J:$J,J865),"")</f>
        <v>2279.9</v>
      </c>
      <c r="S865" s="10">
        <v>2279.9</v>
      </c>
      <c r="T865" s="11" t="str">
        <f t="shared" si="103"/>
        <v>Ok</v>
      </c>
      <c r="U865" s="12">
        <v>45999</v>
      </c>
      <c r="V865" s="10">
        <v>529.5</v>
      </c>
      <c r="W865" s="10" t="str">
        <f t="shared" si="101"/>
        <v>Short Paid</v>
      </c>
      <c r="X865" t="s">
        <v>474</v>
      </c>
      <c r="Y865" t="s">
        <v>28</v>
      </c>
      <c r="Z865">
        <v>100209</v>
      </c>
      <c r="AA865" t="s">
        <v>483</v>
      </c>
      <c r="AB865" t="s">
        <v>523</v>
      </c>
      <c r="AC865" s="9">
        <v>2</v>
      </c>
      <c r="AD865" s="9" t="str">
        <f t="shared" si="102"/>
        <v>Ok</v>
      </c>
      <c r="AE865" s="11">
        <f t="shared" si="104"/>
        <v>0</v>
      </c>
    </row>
    <row r="866" spans="1:31" x14ac:dyDescent="0.3">
      <c r="A866">
        <v>86</v>
      </c>
      <c r="B866">
        <v>4604008</v>
      </c>
      <c r="C866" t="s">
        <v>38</v>
      </c>
      <c r="D866">
        <v>1963277</v>
      </c>
      <c r="E866" t="s">
        <v>250</v>
      </c>
      <c r="F866" t="s">
        <v>18</v>
      </c>
      <c r="G866" t="s">
        <v>868</v>
      </c>
      <c r="H866" t="s">
        <v>869</v>
      </c>
      <c r="I866" t="s">
        <v>3477</v>
      </c>
      <c r="J866">
        <v>51136737604</v>
      </c>
      <c r="K866" t="s">
        <v>3351</v>
      </c>
      <c r="L866" t="s">
        <v>3974</v>
      </c>
      <c r="M866">
        <v>4000</v>
      </c>
      <c r="N866" s="10">
        <v>0.3926</v>
      </c>
      <c r="O866" s="10">
        <f t="shared" si="100"/>
        <v>1570.4</v>
      </c>
      <c r="P866" s="10" t="s">
        <v>5006</v>
      </c>
      <c r="Q866" s="10" t="s">
        <v>5006</v>
      </c>
      <c r="R866" s="10" t="str">
        <f>IF(COUNTIF($J$2:J866,J866)=1,SUMIFS($O:$O,$J:$J,J866)+SUMIFS($P:$P,$J:$J,J866)+SUMIFS($Q:$Q,$J:$J,J866),"")</f>
        <v/>
      </c>
      <c r="S866" s="10" t="s">
        <v>5006</v>
      </c>
      <c r="T866" s="11" t="str">
        <f t="shared" si="103"/>
        <v>Ok</v>
      </c>
      <c r="U866" s="12">
        <v>45999</v>
      </c>
      <c r="V866" s="10">
        <v>529.5</v>
      </c>
      <c r="W866" s="10" t="str">
        <f t="shared" si="101"/>
        <v>N/A</v>
      </c>
      <c r="X866" t="s">
        <v>474</v>
      </c>
      <c r="Y866" t="s">
        <v>28</v>
      </c>
      <c r="Z866">
        <v>100209</v>
      </c>
      <c r="AA866" t="s">
        <v>483</v>
      </c>
      <c r="AB866" t="s">
        <v>523</v>
      </c>
      <c r="AC866" s="9">
        <v>2</v>
      </c>
      <c r="AD866" s="9" t="str">
        <f t="shared" si="102"/>
        <v>N/A</v>
      </c>
      <c r="AE866" s="11" t="e">
        <f t="shared" si="104"/>
        <v>#VALUE!</v>
      </c>
    </row>
    <row r="867" spans="1:31" x14ac:dyDescent="0.3">
      <c r="A867">
        <v>39</v>
      </c>
      <c r="B867">
        <v>4718105</v>
      </c>
      <c r="C867" t="s">
        <v>60</v>
      </c>
      <c r="D867">
        <v>1130746</v>
      </c>
      <c r="E867" t="s">
        <v>596</v>
      </c>
      <c r="F867" t="s">
        <v>20</v>
      </c>
      <c r="G867" t="s">
        <v>1187</v>
      </c>
      <c r="H867" t="s">
        <v>1188</v>
      </c>
      <c r="I867" t="s">
        <v>3449</v>
      </c>
      <c r="J867">
        <v>51137012934</v>
      </c>
      <c r="K867" t="s">
        <v>3351</v>
      </c>
      <c r="L867" t="s">
        <v>3450</v>
      </c>
      <c r="M867">
        <v>6000</v>
      </c>
      <c r="N867" s="10">
        <v>3.8679999999999999</v>
      </c>
      <c r="O867" s="10">
        <f t="shared" si="100"/>
        <v>23208</v>
      </c>
      <c r="P867" s="10">
        <v>0</v>
      </c>
      <c r="Q867" s="10">
        <v>0</v>
      </c>
      <c r="R867" s="10">
        <f>IF(COUNTIF($J$2:J867,J867)=1,SUMIFS($O:$O,$J:$J,J867)+SUMIFS($P:$P,$J:$J,J867)+SUMIFS($Q:$Q,$J:$J,J867),"")</f>
        <v>167628.61919999999</v>
      </c>
      <c r="S867" s="10">
        <v>167628.62</v>
      </c>
      <c r="T867" s="11" t="str">
        <f t="shared" si="103"/>
        <v>Check</v>
      </c>
      <c r="U867" s="12">
        <v>46093</v>
      </c>
      <c r="V867" s="10">
        <v>144420.62</v>
      </c>
      <c r="W867" s="10" t="str">
        <f t="shared" si="101"/>
        <v>Short Paid</v>
      </c>
      <c r="X867" t="s">
        <v>438</v>
      </c>
      <c r="Y867" t="s">
        <v>28</v>
      </c>
      <c r="Z867">
        <v>100203</v>
      </c>
      <c r="AA867" t="s">
        <v>441</v>
      </c>
      <c r="AB867" t="s">
        <v>521</v>
      </c>
      <c r="AC867" s="9">
        <v>2</v>
      </c>
      <c r="AD867" s="9" t="str">
        <f t="shared" si="102"/>
        <v>Check</v>
      </c>
      <c r="AE867" s="11">
        <f t="shared" si="104"/>
        <v>-8.0000000889413059E-4</v>
      </c>
    </row>
    <row r="868" spans="1:31" x14ac:dyDescent="0.3">
      <c r="A868">
        <v>39</v>
      </c>
      <c r="B868">
        <v>4718105</v>
      </c>
      <c r="C868" t="s">
        <v>60</v>
      </c>
      <c r="D868">
        <v>1130746</v>
      </c>
      <c r="E868" t="s">
        <v>596</v>
      </c>
      <c r="F868" t="s">
        <v>20</v>
      </c>
      <c r="G868" t="s">
        <v>1187</v>
      </c>
      <c r="H868" t="s">
        <v>1188</v>
      </c>
      <c r="I868" t="s">
        <v>3300</v>
      </c>
      <c r="J868">
        <v>51137012934</v>
      </c>
      <c r="K868" t="s">
        <v>3289</v>
      </c>
      <c r="L868" t="s">
        <v>3515</v>
      </c>
      <c r="M868">
        <v>312</v>
      </c>
      <c r="N868" s="10">
        <v>462.88659999999999</v>
      </c>
      <c r="O868" s="10">
        <f t="shared" si="100"/>
        <v>144420.61919999999</v>
      </c>
      <c r="P868" s="10" t="s">
        <v>5006</v>
      </c>
      <c r="Q868" s="10" t="s">
        <v>5006</v>
      </c>
      <c r="R868" s="10" t="str">
        <f>IF(COUNTIF($J$2:J868,J868)=1,SUMIFS($O:$O,$J:$J,J868)+SUMIFS($P:$P,$J:$J,J868)+SUMIFS($Q:$Q,$J:$J,J868),"")</f>
        <v/>
      </c>
      <c r="S868" s="10" t="s">
        <v>5006</v>
      </c>
      <c r="T868" s="11" t="str">
        <f t="shared" si="103"/>
        <v>Check</v>
      </c>
      <c r="U868" s="12">
        <v>46093</v>
      </c>
      <c r="V868" s="10">
        <v>144420.62</v>
      </c>
      <c r="W868" s="10" t="str">
        <f t="shared" si="101"/>
        <v>N/A</v>
      </c>
      <c r="X868" t="s">
        <v>438</v>
      </c>
      <c r="Y868" t="s">
        <v>28</v>
      </c>
      <c r="Z868">
        <v>100203</v>
      </c>
      <c r="AA868" t="s">
        <v>441</v>
      </c>
      <c r="AB868" t="s">
        <v>521</v>
      </c>
      <c r="AC868" s="9">
        <v>2</v>
      </c>
      <c r="AD868" s="9" t="str">
        <f t="shared" si="102"/>
        <v>N/A</v>
      </c>
      <c r="AE868" s="11" t="e">
        <f t="shared" si="104"/>
        <v>#VALUE!</v>
      </c>
    </row>
    <row r="869" spans="1:31" x14ac:dyDescent="0.3">
      <c r="A869">
        <v>88</v>
      </c>
      <c r="B869">
        <v>4598999</v>
      </c>
      <c r="C869" t="s">
        <v>38</v>
      </c>
      <c r="D869">
        <v>1531708</v>
      </c>
      <c r="E869" t="s">
        <v>677</v>
      </c>
      <c r="F869" t="s">
        <v>20</v>
      </c>
      <c r="G869" t="s">
        <v>859</v>
      </c>
      <c r="H869" t="s">
        <v>860</v>
      </c>
      <c r="I869" t="s">
        <v>3395</v>
      </c>
      <c r="J869">
        <v>51137048012</v>
      </c>
      <c r="K869" t="s">
        <v>3165</v>
      </c>
      <c r="L869" t="s">
        <v>3191</v>
      </c>
      <c r="M869">
        <v>1</v>
      </c>
      <c r="N869" s="10">
        <v>641.44000000000005</v>
      </c>
      <c r="O869" s="10">
        <f t="shared" si="100"/>
        <v>641.44000000000005</v>
      </c>
      <c r="P869" s="10">
        <v>38.49</v>
      </c>
      <c r="Q869" s="10" t="s">
        <v>5006</v>
      </c>
      <c r="R869" s="10">
        <f>IF(COUNTIF($J$2:J869,J869)=1,SUMIFS($O:$O,$J:$J,J869)+SUMIFS($P:$P,$J:$J,J869)+SUMIFS($Q:$Q,$J:$J,J869),"")</f>
        <v>22341.579999999998</v>
      </c>
      <c r="S869" s="10">
        <v>22341.58</v>
      </c>
      <c r="T869" s="11" t="str">
        <f t="shared" si="103"/>
        <v>Ok</v>
      </c>
      <c r="U869" s="12">
        <v>45684</v>
      </c>
      <c r="V869" s="10">
        <v>679.93</v>
      </c>
      <c r="W869" s="10" t="str">
        <f t="shared" si="101"/>
        <v>Short Paid</v>
      </c>
      <c r="X869" t="s">
        <v>474</v>
      </c>
      <c r="Y869" t="s">
        <v>28</v>
      </c>
      <c r="Z869">
        <v>100249</v>
      </c>
      <c r="AA869" t="s">
        <v>484</v>
      </c>
      <c r="AB869" t="s">
        <v>521</v>
      </c>
      <c r="AC869" s="9">
        <v>2</v>
      </c>
      <c r="AD869" s="9" t="str">
        <f t="shared" si="102"/>
        <v>Ok</v>
      </c>
      <c r="AE869" s="11">
        <f t="shared" si="104"/>
        <v>0</v>
      </c>
    </row>
    <row r="870" spans="1:31" x14ac:dyDescent="0.3">
      <c r="A870">
        <v>88</v>
      </c>
      <c r="B870">
        <v>4598999</v>
      </c>
      <c r="C870" t="s">
        <v>38</v>
      </c>
      <c r="D870">
        <v>1531708</v>
      </c>
      <c r="E870" t="s">
        <v>677</v>
      </c>
      <c r="F870" t="s">
        <v>20</v>
      </c>
      <c r="G870" t="s">
        <v>859</v>
      </c>
      <c r="H870" t="s">
        <v>860</v>
      </c>
      <c r="I870" t="s">
        <v>3359</v>
      </c>
      <c r="J870">
        <v>51137048012</v>
      </c>
      <c r="K870" t="s">
        <v>3183</v>
      </c>
      <c r="L870" t="s">
        <v>3975</v>
      </c>
      <c r="M870">
        <v>15</v>
      </c>
      <c r="N870" s="10">
        <v>1444.11</v>
      </c>
      <c r="O870" s="10">
        <f t="shared" si="100"/>
        <v>21661.649999999998</v>
      </c>
      <c r="P870" s="10" t="s">
        <v>5006</v>
      </c>
      <c r="Q870" s="10" t="s">
        <v>5006</v>
      </c>
      <c r="R870" s="10" t="str">
        <f>IF(COUNTIF($J$2:J870,J870)=1,SUMIFS($O:$O,$J:$J,J870)+SUMIFS($P:$P,$J:$J,J870)+SUMIFS($Q:$Q,$J:$J,J870),"")</f>
        <v/>
      </c>
      <c r="S870" s="10" t="s">
        <v>5006</v>
      </c>
      <c r="T870" s="11" t="str">
        <f t="shared" si="103"/>
        <v>Ok</v>
      </c>
      <c r="U870" s="12">
        <v>45684</v>
      </c>
      <c r="V870" s="10">
        <v>679.93</v>
      </c>
      <c r="W870" s="10" t="str">
        <f t="shared" si="101"/>
        <v>N/A</v>
      </c>
      <c r="X870" t="s">
        <v>474</v>
      </c>
      <c r="Y870" t="s">
        <v>28</v>
      </c>
      <c r="Z870">
        <v>100249</v>
      </c>
      <c r="AA870" t="s">
        <v>484</v>
      </c>
      <c r="AB870" t="s">
        <v>521</v>
      </c>
      <c r="AC870" s="9">
        <v>2</v>
      </c>
      <c r="AD870" s="9" t="str">
        <f t="shared" si="102"/>
        <v>N/A</v>
      </c>
      <c r="AE870" s="11" t="e">
        <f t="shared" si="104"/>
        <v>#VALUE!</v>
      </c>
    </row>
    <row r="871" spans="1:31" x14ac:dyDescent="0.3">
      <c r="A871">
        <v>86</v>
      </c>
      <c r="B871">
        <v>4601504</v>
      </c>
      <c r="C871" t="s">
        <v>160</v>
      </c>
      <c r="D871">
        <v>1545570</v>
      </c>
      <c r="E871" t="s">
        <v>678</v>
      </c>
      <c r="F871" t="s">
        <v>47</v>
      </c>
      <c r="G871" t="s">
        <v>863</v>
      </c>
      <c r="H871" t="s">
        <v>864</v>
      </c>
      <c r="I871" t="s">
        <v>3397</v>
      </c>
      <c r="J871">
        <v>51137278193</v>
      </c>
      <c r="K871" t="s">
        <v>3479</v>
      </c>
      <c r="L871" t="s">
        <v>3478</v>
      </c>
      <c r="M871">
        <v>40000</v>
      </c>
      <c r="N871" s="10">
        <v>1.6049999999999998E-2</v>
      </c>
      <c r="O871" s="10">
        <f t="shared" si="100"/>
        <v>641.99999999999989</v>
      </c>
      <c r="P871" s="10">
        <v>0</v>
      </c>
      <c r="Q871" s="10">
        <v>435.35</v>
      </c>
      <c r="R871" s="10">
        <f>IF(COUNTIF($J$2:J871,J871)=1,SUMIFS($O:$O,$J:$J,J871)+SUMIFS($P:$P,$J:$J,J871)+SUMIFS($Q:$Q,$J:$J,J871),"")</f>
        <v>2906.54</v>
      </c>
      <c r="S871" s="10">
        <v>2918.38</v>
      </c>
      <c r="T871" s="11" t="str">
        <f t="shared" si="103"/>
        <v>Check</v>
      </c>
      <c r="U871" s="12">
        <v>46053</v>
      </c>
      <c r="V871" s="10">
        <v>435.35</v>
      </c>
      <c r="W871" s="10" t="str">
        <f t="shared" si="101"/>
        <v>Short Paid</v>
      </c>
      <c r="X871" t="s">
        <v>453</v>
      </c>
      <c r="Y871" t="s">
        <v>28</v>
      </c>
      <c r="Z871">
        <v>100234</v>
      </c>
      <c r="AA871" t="s">
        <v>502</v>
      </c>
      <c r="AB871" t="s">
        <v>3039</v>
      </c>
      <c r="AC871" s="9">
        <v>2</v>
      </c>
      <c r="AD871" s="9" t="str">
        <f t="shared" si="102"/>
        <v>Check</v>
      </c>
      <c r="AE871" s="11">
        <f t="shared" si="104"/>
        <v>-11.840000000000146</v>
      </c>
    </row>
    <row r="872" spans="1:31" x14ac:dyDescent="0.3">
      <c r="A872">
        <v>86</v>
      </c>
      <c r="B872">
        <v>4601504</v>
      </c>
      <c r="C872" t="s">
        <v>160</v>
      </c>
      <c r="D872">
        <v>1545570</v>
      </c>
      <c r="E872" t="s">
        <v>678</v>
      </c>
      <c r="F872" t="s">
        <v>47</v>
      </c>
      <c r="G872" t="s">
        <v>863</v>
      </c>
      <c r="H872" t="s">
        <v>864</v>
      </c>
      <c r="I872" t="s">
        <v>3551</v>
      </c>
      <c r="J872">
        <v>51137278193</v>
      </c>
      <c r="K872" t="s">
        <v>3798</v>
      </c>
      <c r="L872" t="s">
        <v>3976</v>
      </c>
      <c r="M872">
        <v>23</v>
      </c>
      <c r="N872" s="10">
        <v>79.53</v>
      </c>
      <c r="O872" s="10">
        <f t="shared" si="100"/>
        <v>1829.19</v>
      </c>
      <c r="P872" s="10" t="s">
        <v>5006</v>
      </c>
      <c r="Q872" s="10" t="s">
        <v>5006</v>
      </c>
      <c r="R872" s="10" t="str">
        <f>IF(COUNTIF($J$2:J872,J872)=1,SUMIFS($O:$O,$J:$J,J872)+SUMIFS($P:$P,$J:$J,J872)+SUMIFS($Q:$Q,$J:$J,J872),"")</f>
        <v/>
      </c>
      <c r="S872" s="10" t="s">
        <v>5006</v>
      </c>
      <c r="T872" s="11" t="str">
        <f t="shared" si="103"/>
        <v>Check</v>
      </c>
      <c r="U872" s="12">
        <v>46053</v>
      </c>
      <c r="V872" s="10">
        <v>435.35</v>
      </c>
      <c r="W872" s="10" t="str">
        <f t="shared" si="101"/>
        <v>N/A</v>
      </c>
      <c r="X872" t="s">
        <v>453</v>
      </c>
      <c r="Y872" t="s">
        <v>28</v>
      </c>
      <c r="Z872">
        <v>100234</v>
      </c>
      <c r="AA872" t="s">
        <v>502</v>
      </c>
      <c r="AB872" t="s">
        <v>3039</v>
      </c>
      <c r="AC872" s="9">
        <v>2</v>
      </c>
      <c r="AD872" s="9" t="str">
        <f t="shared" si="102"/>
        <v>N/A</v>
      </c>
      <c r="AE872" s="11" t="e">
        <f t="shared" si="104"/>
        <v>#VALUE!</v>
      </c>
    </row>
    <row r="873" spans="1:31" x14ac:dyDescent="0.3">
      <c r="A873">
        <v>83</v>
      </c>
      <c r="B873">
        <v>4614305</v>
      </c>
      <c r="C873" t="s">
        <v>60</v>
      </c>
      <c r="D873">
        <v>1588891</v>
      </c>
      <c r="E873" t="s">
        <v>61</v>
      </c>
      <c r="F873" t="s">
        <v>18</v>
      </c>
      <c r="G873" t="s">
        <v>3977</v>
      </c>
      <c r="H873" t="s">
        <v>3978</v>
      </c>
      <c r="I873" t="s">
        <v>3315</v>
      </c>
      <c r="J873">
        <v>51137285437</v>
      </c>
      <c r="K873" t="s">
        <v>3168</v>
      </c>
      <c r="L873" t="s">
        <v>3979</v>
      </c>
      <c r="M873">
        <v>5000</v>
      </c>
      <c r="N873" s="10">
        <v>0.32190000000000002</v>
      </c>
      <c r="O873" s="10">
        <f t="shared" si="100"/>
        <v>1609.5</v>
      </c>
      <c r="P873" s="10">
        <v>0</v>
      </c>
      <c r="Q873" s="10">
        <v>0</v>
      </c>
      <c r="R873" s="10">
        <f>IF(COUNTIF($J$2:J873,J873)=1,SUMIFS($O:$O,$J:$J,J873)+SUMIFS($P:$P,$J:$J,J873)+SUMIFS($Q:$Q,$J:$J,J873),"")</f>
        <v>8539.5</v>
      </c>
      <c r="S873" s="10">
        <v>16708.5</v>
      </c>
      <c r="T873" s="11" t="str">
        <f t="shared" si="103"/>
        <v>Check</v>
      </c>
      <c r="U873" s="12">
        <v>45974</v>
      </c>
      <c r="V873" s="10">
        <v>811.8</v>
      </c>
      <c r="W873" s="10" t="str">
        <f t="shared" si="101"/>
        <v>Short Paid</v>
      </c>
      <c r="X873" t="s">
        <v>438</v>
      </c>
      <c r="Y873" t="s">
        <v>28</v>
      </c>
      <c r="Z873">
        <v>100153</v>
      </c>
      <c r="AA873" t="s">
        <v>445</v>
      </c>
      <c r="AB873" t="s">
        <v>523</v>
      </c>
      <c r="AC873" s="9">
        <v>2</v>
      </c>
      <c r="AD873" s="9" t="str">
        <f t="shared" si="102"/>
        <v>Check</v>
      </c>
      <c r="AE873" s="11">
        <f t="shared" si="104"/>
        <v>-8169</v>
      </c>
    </row>
    <row r="874" spans="1:31" x14ac:dyDescent="0.3">
      <c r="A874">
        <v>83</v>
      </c>
      <c r="B874">
        <v>4614305</v>
      </c>
      <c r="C874" t="s">
        <v>60</v>
      </c>
      <c r="D874">
        <v>1588891</v>
      </c>
      <c r="E874" t="s">
        <v>61</v>
      </c>
      <c r="F874" t="s">
        <v>18</v>
      </c>
      <c r="G874" t="s">
        <v>3977</v>
      </c>
      <c r="H874" t="s">
        <v>3978</v>
      </c>
      <c r="I874" t="s">
        <v>3329</v>
      </c>
      <c r="J874">
        <v>51137285437</v>
      </c>
      <c r="K874" t="s">
        <v>3226</v>
      </c>
      <c r="L874" t="s">
        <v>3897</v>
      </c>
      <c r="M874">
        <v>23100</v>
      </c>
      <c r="N874" s="10">
        <v>0.3</v>
      </c>
      <c r="O874" s="10">
        <f t="shared" si="100"/>
        <v>6930</v>
      </c>
      <c r="P874" s="10" t="s">
        <v>5006</v>
      </c>
      <c r="Q874" s="10" t="s">
        <v>5006</v>
      </c>
      <c r="R874" s="10" t="str">
        <f>IF(COUNTIF($J$2:J874,J874)=1,SUMIFS($O:$O,$J:$J,J874)+SUMIFS($P:$P,$J:$J,J874)+SUMIFS($Q:$Q,$J:$J,J874),"")</f>
        <v/>
      </c>
      <c r="S874" s="10" t="s">
        <v>5006</v>
      </c>
      <c r="T874" s="11" t="str">
        <f t="shared" si="103"/>
        <v>Check</v>
      </c>
      <c r="U874" s="12">
        <v>45974</v>
      </c>
      <c r="V874" s="10">
        <v>811.8</v>
      </c>
      <c r="W874" s="10" t="str">
        <f t="shared" si="101"/>
        <v>N/A</v>
      </c>
      <c r="X874" t="s">
        <v>438</v>
      </c>
      <c r="Y874" t="s">
        <v>28</v>
      </c>
      <c r="Z874">
        <v>100153</v>
      </c>
      <c r="AA874" t="s">
        <v>445</v>
      </c>
      <c r="AB874" t="s">
        <v>523</v>
      </c>
      <c r="AC874" s="9">
        <v>2</v>
      </c>
      <c r="AD874" s="9" t="str">
        <f t="shared" si="102"/>
        <v>N/A</v>
      </c>
      <c r="AE874" s="11" t="e">
        <f t="shared" si="104"/>
        <v>#VALUE!</v>
      </c>
    </row>
    <row r="875" spans="1:31" x14ac:dyDescent="0.3">
      <c r="A875">
        <v>83</v>
      </c>
      <c r="B875">
        <v>4614583</v>
      </c>
      <c r="C875" t="s">
        <v>217</v>
      </c>
      <c r="D875">
        <v>1560144</v>
      </c>
      <c r="E875" t="s">
        <v>565</v>
      </c>
      <c r="F875" t="s">
        <v>20</v>
      </c>
      <c r="G875" t="s">
        <v>882</v>
      </c>
      <c r="H875" t="s">
        <v>883</v>
      </c>
      <c r="I875" t="s">
        <v>3359</v>
      </c>
      <c r="J875">
        <v>51137285896</v>
      </c>
      <c r="K875" t="s">
        <v>3168</v>
      </c>
      <c r="L875" t="s">
        <v>3979</v>
      </c>
      <c r="M875">
        <v>5000</v>
      </c>
      <c r="N875" s="10">
        <v>0.32190000000000002</v>
      </c>
      <c r="O875" s="10">
        <f t="shared" si="100"/>
        <v>1609.5</v>
      </c>
      <c r="P875" s="10">
        <v>0</v>
      </c>
      <c r="Q875" s="10">
        <v>1504.81</v>
      </c>
      <c r="R875" s="10">
        <f>IF(COUNTIF($J$2:J875,J875)=1,SUMIFS($O:$O,$J:$J,J875)+SUMIFS($P:$P,$J:$J,J875)+SUMIFS($Q:$Q,$J:$J,J875),"")</f>
        <v>5991.5649999999987</v>
      </c>
      <c r="S875" s="10">
        <v>5991.57</v>
      </c>
      <c r="T875" s="11" t="str">
        <f t="shared" si="103"/>
        <v>Check</v>
      </c>
      <c r="U875" s="12">
        <v>45959</v>
      </c>
      <c r="V875" s="10">
        <v>4382.07</v>
      </c>
      <c r="W875" s="10" t="str">
        <f t="shared" si="101"/>
        <v>Short Paid</v>
      </c>
      <c r="X875" t="s">
        <v>468</v>
      </c>
      <c r="Y875" t="s">
        <v>28</v>
      </c>
      <c r="Z875">
        <v>100166</v>
      </c>
      <c r="AA875" t="s">
        <v>3069</v>
      </c>
      <c r="AB875" t="s">
        <v>521</v>
      </c>
      <c r="AC875" s="9">
        <v>2</v>
      </c>
      <c r="AD875" s="9" t="str">
        <f t="shared" si="102"/>
        <v>Check</v>
      </c>
      <c r="AE875" s="11">
        <f t="shared" si="104"/>
        <v>-5.0000000010186341E-3</v>
      </c>
    </row>
    <row r="876" spans="1:31" x14ac:dyDescent="0.3">
      <c r="A876">
        <v>83</v>
      </c>
      <c r="B876">
        <v>4614583</v>
      </c>
      <c r="C876" t="s">
        <v>217</v>
      </c>
      <c r="D876">
        <v>1560144</v>
      </c>
      <c r="E876" t="s">
        <v>565</v>
      </c>
      <c r="F876" t="s">
        <v>20</v>
      </c>
      <c r="G876" t="s">
        <v>882</v>
      </c>
      <c r="H876" t="s">
        <v>883</v>
      </c>
      <c r="I876" t="s">
        <v>3397</v>
      </c>
      <c r="J876">
        <v>51137285896</v>
      </c>
      <c r="K876" t="s">
        <v>3183</v>
      </c>
      <c r="L876" t="s">
        <v>3568</v>
      </c>
      <c r="M876">
        <v>13500</v>
      </c>
      <c r="N876" s="10">
        <v>0.21312999999999999</v>
      </c>
      <c r="O876" s="10">
        <f t="shared" si="100"/>
        <v>2877.2549999999997</v>
      </c>
      <c r="P876" s="10" t="s">
        <v>5006</v>
      </c>
      <c r="Q876" s="10" t="s">
        <v>5006</v>
      </c>
      <c r="R876" s="10" t="str">
        <f>IF(COUNTIF($J$2:J876,J876)=1,SUMIFS($O:$O,$J:$J,J876)+SUMIFS($P:$P,$J:$J,J876)+SUMIFS($Q:$Q,$J:$J,J876),"")</f>
        <v/>
      </c>
      <c r="S876" s="10" t="s">
        <v>5006</v>
      </c>
      <c r="T876" s="11" t="str">
        <f t="shared" si="103"/>
        <v>Check</v>
      </c>
      <c r="U876" s="12">
        <v>45959</v>
      </c>
      <c r="V876" s="10">
        <v>4382.07</v>
      </c>
      <c r="W876" s="10" t="str">
        <f t="shared" si="101"/>
        <v>N/A</v>
      </c>
      <c r="X876" t="s">
        <v>468</v>
      </c>
      <c r="Y876" t="s">
        <v>28</v>
      </c>
      <c r="Z876">
        <v>100166</v>
      </c>
      <c r="AA876" t="s">
        <v>3069</v>
      </c>
      <c r="AB876" t="s">
        <v>521</v>
      </c>
      <c r="AC876" s="9">
        <v>2</v>
      </c>
      <c r="AD876" s="9" t="str">
        <f t="shared" si="102"/>
        <v>N/A</v>
      </c>
      <c r="AE876" s="11" t="e">
        <f t="shared" si="104"/>
        <v>#VALUE!</v>
      </c>
    </row>
    <row r="877" spans="1:31" x14ac:dyDescent="0.3">
      <c r="A877">
        <v>80</v>
      </c>
      <c r="B877">
        <v>4615696</v>
      </c>
      <c r="C877" t="s">
        <v>217</v>
      </c>
      <c r="D877">
        <v>1518030</v>
      </c>
      <c r="E877" t="s">
        <v>562</v>
      </c>
      <c r="F877" t="s">
        <v>18</v>
      </c>
      <c r="G877" t="s">
        <v>884</v>
      </c>
      <c r="H877" t="s">
        <v>885</v>
      </c>
      <c r="I877" t="s">
        <v>3361</v>
      </c>
      <c r="J877">
        <v>51137296452</v>
      </c>
      <c r="K877" t="s">
        <v>3168</v>
      </c>
      <c r="L877" t="s">
        <v>3979</v>
      </c>
      <c r="M877">
        <v>5000</v>
      </c>
      <c r="N877" s="10">
        <v>0.32190000000000002</v>
      </c>
      <c r="O877" s="10">
        <f t="shared" si="100"/>
        <v>1609.5</v>
      </c>
      <c r="P877" s="10">
        <v>0</v>
      </c>
      <c r="Q877" s="10">
        <v>0</v>
      </c>
      <c r="R877" s="10">
        <f>IF(COUNTIF($J$2:J877,J877)=1,SUMIFS($O:$O,$J:$J,J877)+SUMIFS($P:$P,$J:$J,J877)+SUMIFS($Q:$Q,$J:$J,J877),"")</f>
        <v>4337.7000000000007</v>
      </c>
      <c r="S877" s="10">
        <v>4337.7</v>
      </c>
      <c r="T877" s="11" t="str">
        <f t="shared" si="103"/>
        <v>Ok</v>
      </c>
      <c r="U877" s="12">
        <v>46085</v>
      </c>
      <c r="V877" s="10">
        <v>2728.2</v>
      </c>
      <c r="W877" s="10" t="str">
        <f t="shared" si="101"/>
        <v>Short Paid</v>
      </c>
      <c r="X877" t="s">
        <v>468</v>
      </c>
      <c r="Y877" t="s">
        <v>28</v>
      </c>
      <c r="Z877">
        <v>100246</v>
      </c>
      <c r="AA877" t="s">
        <v>3060</v>
      </c>
      <c r="AB877" t="s">
        <v>523</v>
      </c>
      <c r="AC877" s="9">
        <v>2</v>
      </c>
      <c r="AD877" s="9" t="str">
        <f t="shared" si="102"/>
        <v>Ok</v>
      </c>
      <c r="AE877" s="11">
        <f t="shared" si="104"/>
        <v>0</v>
      </c>
    </row>
    <row r="878" spans="1:31" x14ac:dyDescent="0.3">
      <c r="A878">
        <v>80</v>
      </c>
      <c r="B878">
        <v>4615696</v>
      </c>
      <c r="C878" t="s">
        <v>217</v>
      </c>
      <c r="D878">
        <v>1518030</v>
      </c>
      <c r="E878" t="s">
        <v>562</v>
      </c>
      <c r="F878" t="s">
        <v>18</v>
      </c>
      <c r="G878" t="s">
        <v>884</v>
      </c>
      <c r="H878" t="s">
        <v>885</v>
      </c>
      <c r="I878" t="s">
        <v>3181</v>
      </c>
      <c r="J878">
        <v>51137296452</v>
      </c>
      <c r="K878" t="s">
        <v>3981</v>
      </c>
      <c r="L878" t="s">
        <v>3980</v>
      </c>
      <c r="M878">
        <v>6000</v>
      </c>
      <c r="N878" s="10">
        <v>0.45470000000000005</v>
      </c>
      <c r="O878" s="10">
        <f t="shared" si="100"/>
        <v>2728.2000000000003</v>
      </c>
      <c r="P878" s="10" t="s">
        <v>5006</v>
      </c>
      <c r="Q878" s="10" t="s">
        <v>5006</v>
      </c>
      <c r="R878" s="10" t="str">
        <f>IF(COUNTIF($J$2:J878,J878)=1,SUMIFS($O:$O,$J:$J,J878)+SUMIFS($P:$P,$J:$J,J878)+SUMIFS($Q:$Q,$J:$J,J878),"")</f>
        <v/>
      </c>
      <c r="S878" s="10" t="s">
        <v>5006</v>
      </c>
      <c r="T878" s="11" t="str">
        <f t="shared" si="103"/>
        <v>Ok</v>
      </c>
      <c r="U878" s="12">
        <v>46085</v>
      </c>
      <c r="V878" s="10">
        <v>2728.2</v>
      </c>
      <c r="W878" s="10" t="str">
        <f t="shared" si="101"/>
        <v>N/A</v>
      </c>
      <c r="X878" t="s">
        <v>468</v>
      </c>
      <c r="Y878" t="s">
        <v>28</v>
      </c>
      <c r="Z878">
        <v>100246</v>
      </c>
      <c r="AA878" t="s">
        <v>3060</v>
      </c>
      <c r="AB878" t="s">
        <v>523</v>
      </c>
      <c r="AC878" s="9">
        <v>2</v>
      </c>
      <c r="AD878" s="9" t="str">
        <f t="shared" si="102"/>
        <v>N/A</v>
      </c>
      <c r="AE878" s="11" t="e">
        <f t="shared" si="104"/>
        <v>#VALUE!</v>
      </c>
    </row>
    <row r="879" spans="1:31" x14ac:dyDescent="0.3">
      <c r="A879">
        <v>86</v>
      </c>
      <c r="B879">
        <v>4603173</v>
      </c>
      <c r="C879" t="s">
        <v>38</v>
      </c>
      <c r="D879">
        <v>1963277</v>
      </c>
      <c r="E879" t="s">
        <v>250</v>
      </c>
      <c r="F879" t="s">
        <v>18</v>
      </c>
      <c r="G879" t="s">
        <v>2685</v>
      </c>
      <c r="H879" t="s">
        <v>2686</v>
      </c>
      <c r="I879" t="s">
        <v>3181</v>
      </c>
      <c r="J879">
        <v>51137380507</v>
      </c>
      <c r="K879" t="s">
        <v>3165</v>
      </c>
      <c r="L879" t="s">
        <v>3839</v>
      </c>
      <c r="M879">
        <v>250</v>
      </c>
      <c r="N879" s="10">
        <v>16.371839999999999</v>
      </c>
      <c r="O879" s="10">
        <f t="shared" si="100"/>
        <v>4092.9599999999996</v>
      </c>
      <c r="P879" s="10">
        <v>0</v>
      </c>
      <c r="Q879" s="10">
        <v>0</v>
      </c>
      <c r="R879" s="10">
        <f>IF(COUNTIF($J$2:J879,J879)=1,SUMIFS($O:$O,$J:$J,J879)+SUMIFS($P:$P,$J:$J,J879)+SUMIFS($Q:$Q,$J:$J,J879),"")</f>
        <v>4802.4599999999991</v>
      </c>
      <c r="S879" s="10">
        <v>4802.46</v>
      </c>
      <c r="T879" s="11" t="str">
        <f t="shared" si="103"/>
        <v>Ok</v>
      </c>
      <c r="U879" s="12">
        <v>45999</v>
      </c>
      <c r="V879" s="10">
        <v>529.5</v>
      </c>
      <c r="W879" s="10" t="str">
        <f t="shared" si="101"/>
        <v>Short Paid</v>
      </c>
      <c r="X879" t="s">
        <v>474</v>
      </c>
      <c r="Y879" t="s">
        <v>28</v>
      </c>
      <c r="Z879">
        <v>100159</v>
      </c>
      <c r="AA879" t="s">
        <v>488</v>
      </c>
      <c r="AB879" t="s">
        <v>523</v>
      </c>
      <c r="AC879" s="9">
        <v>2</v>
      </c>
      <c r="AD879" s="9" t="str">
        <f t="shared" si="102"/>
        <v>Ok</v>
      </c>
      <c r="AE879" s="11">
        <f t="shared" si="104"/>
        <v>0</v>
      </c>
    </row>
    <row r="880" spans="1:31" x14ac:dyDescent="0.3">
      <c r="A880">
        <v>86</v>
      </c>
      <c r="B880">
        <v>4603173</v>
      </c>
      <c r="C880" t="s">
        <v>38</v>
      </c>
      <c r="D880">
        <v>1963277</v>
      </c>
      <c r="E880" t="s">
        <v>250</v>
      </c>
      <c r="F880" t="s">
        <v>18</v>
      </c>
      <c r="G880" t="s">
        <v>2685</v>
      </c>
      <c r="H880" t="s">
        <v>2686</v>
      </c>
      <c r="I880" t="s">
        <v>3441</v>
      </c>
      <c r="J880">
        <v>51137380507</v>
      </c>
      <c r="K880" t="s">
        <v>3517</v>
      </c>
      <c r="L880" t="s">
        <v>3516</v>
      </c>
      <c r="M880">
        <v>6000</v>
      </c>
      <c r="N880" s="10">
        <v>0.11824999999999999</v>
      </c>
      <c r="O880" s="10">
        <f t="shared" si="100"/>
        <v>709.5</v>
      </c>
      <c r="P880" s="10" t="s">
        <v>5006</v>
      </c>
      <c r="Q880" s="10" t="s">
        <v>5006</v>
      </c>
      <c r="R880" s="10" t="str">
        <f>IF(COUNTIF($J$2:J880,J880)=1,SUMIFS($O:$O,$J:$J,J880)+SUMIFS($P:$P,$J:$J,J880)+SUMIFS($Q:$Q,$J:$J,J880),"")</f>
        <v/>
      </c>
      <c r="S880" s="10" t="s">
        <v>5006</v>
      </c>
      <c r="T880" s="11" t="str">
        <f t="shared" si="103"/>
        <v>Ok</v>
      </c>
      <c r="U880" s="12">
        <v>45999</v>
      </c>
      <c r="V880" s="10">
        <v>529.5</v>
      </c>
      <c r="W880" s="10" t="str">
        <f t="shared" si="101"/>
        <v>N/A</v>
      </c>
      <c r="X880" t="s">
        <v>474</v>
      </c>
      <c r="Y880" t="s">
        <v>28</v>
      </c>
      <c r="Z880">
        <v>100159</v>
      </c>
      <c r="AA880" t="s">
        <v>488</v>
      </c>
      <c r="AB880" t="s">
        <v>523</v>
      </c>
      <c r="AC880" s="9">
        <v>2</v>
      </c>
      <c r="AD880" s="9" t="str">
        <f t="shared" si="102"/>
        <v>N/A</v>
      </c>
      <c r="AE880" s="11" t="e">
        <f t="shared" si="104"/>
        <v>#VALUE!</v>
      </c>
    </row>
    <row r="881" spans="1:31" x14ac:dyDescent="0.3">
      <c r="A881">
        <v>86</v>
      </c>
      <c r="B881">
        <v>4604565</v>
      </c>
      <c r="C881" t="s">
        <v>217</v>
      </c>
      <c r="D881">
        <v>1518030</v>
      </c>
      <c r="E881" t="s">
        <v>562</v>
      </c>
      <c r="F881" t="s">
        <v>18</v>
      </c>
      <c r="G881" t="s">
        <v>2645</v>
      </c>
      <c r="H881" t="s">
        <v>2646</v>
      </c>
      <c r="I881" t="s">
        <v>3455</v>
      </c>
      <c r="J881">
        <v>51137380512</v>
      </c>
      <c r="K881" t="s">
        <v>3229</v>
      </c>
      <c r="L881" t="s">
        <v>3982</v>
      </c>
      <c r="M881">
        <v>4000</v>
      </c>
      <c r="N881" s="10">
        <v>6.3E-3</v>
      </c>
      <c r="O881" s="10">
        <f t="shared" si="100"/>
        <v>25.2</v>
      </c>
      <c r="P881" s="10">
        <v>0</v>
      </c>
      <c r="Q881" s="10">
        <v>0</v>
      </c>
      <c r="R881" s="10">
        <f>IF(COUNTIF($J$2:J881,J881)=1,SUMIFS($O:$O,$J:$J,J881)+SUMIFS($P:$P,$J:$J,J881)+SUMIFS($Q:$Q,$J:$J,J881),"")</f>
        <v>1434.4</v>
      </c>
      <c r="S881" s="10">
        <v>2803.6</v>
      </c>
      <c r="T881" s="11" t="str">
        <f t="shared" si="103"/>
        <v>Check</v>
      </c>
      <c r="U881" s="12">
        <v>46071</v>
      </c>
      <c r="V881" s="10">
        <v>145.19999999999999</v>
      </c>
      <c r="W881" s="10" t="str">
        <f t="shared" si="101"/>
        <v>Short Paid</v>
      </c>
      <c r="X881" t="s">
        <v>468</v>
      </c>
      <c r="Y881" t="s">
        <v>28</v>
      </c>
      <c r="Z881">
        <v>100246</v>
      </c>
      <c r="AA881" t="s">
        <v>3060</v>
      </c>
      <c r="AB881" t="s">
        <v>523</v>
      </c>
      <c r="AC881" s="9">
        <v>3</v>
      </c>
      <c r="AD881" s="9" t="str">
        <f t="shared" si="102"/>
        <v>Check</v>
      </c>
      <c r="AE881" s="11">
        <f t="shared" si="104"/>
        <v>-1369.1999999999998</v>
      </c>
    </row>
    <row r="882" spans="1:31" x14ac:dyDescent="0.3">
      <c r="A882">
        <v>86</v>
      </c>
      <c r="B882">
        <v>4604565</v>
      </c>
      <c r="C882" t="s">
        <v>217</v>
      </c>
      <c r="D882">
        <v>1518030</v>
      </c>
      <c r="E882" t="s">
        <v>562</v>
      </c>
      <c r="F882" t="s">
        <v>18</v>
      </c>
      <c r="G882" t="s">
        <v>2645</v>
      </c>
      <c r="H882" t="s">
        <v>2646</v>
      </c>
      <c r="I882" t="s">
        <v>3455</v>
      </c>
      <c r="J882">
        <v>51137380512</v>
      </c>
      <c r="K882" t="s">
        <v>3229</v>
      </c>
      <c r="L882" t="s">
        <v>3983</v>
      </c>
      <c r="M882">
        <v>8000</v>
      </c>
      <c r="N882" s="10">
        <v>0.01</v>
      </c>
      <c r="O882" s="10">
        <f t="shared" si="100"/>
        <v>80</v>
      </c>
      <c r="P882" s="10" t="s">
        <v>5006</v>
      </c>
      <c r="Q882" s="10" t="s">
        <v>5006</v>
      </c>
      <c r="R882" s="10" t="str">
        <f>IF(COUNTIF($J$2:J882,J882)=1,SUMIFS($O:$O,$J:$J,J882)+SUMIFS($P:$P,$J:$J,J882)+SUMIFS($Q:$Q,$J:$J,J882),"")</f>
        <v/>
      </c>
      <c r="S882" s="10" t="s">
        <v>5006</v>
      </c>
      <c r="T882" s="11" t="str">
        <f t="shared" si="103"/>
        <v>Check</v>
      </c>
      <c r="U882" s="12">
        <v>46071</v>
      </c>
      <c r="V882" s="10">
        <v>145.19999999999999</v>
      </c>
      <c r="W882" s="10" t="str">
        <f t="shared" si="101"/>
        <v>N/A</v>
      </c>
      <c r="X882" t="s">
        <v>468</v>
      </c>
      <c r="Y882" t="s">
        <v>28</v>
      </c>
      <c r="Z882">
        <v>100246</v>
      </c>
      <c r="AA882" t="s">
        <v>3060</v>
      </c>
      <c r="AB882" t="s">
        <v>523</v>
      </c>
      <c r="AC882" s="9">
        <v>3</v>
      </c>
      <c r="AD882" s="9" t="str">
        <f t="shared" si="102"/>
        <v>N/A</v>
      </c>
      <c r="AE882" s="11" t="e">
        <f t="shared" si="104"/>
        <v>#VALUE!</v>
      </c>
    </row>
    <row r="883" spans="1:31" x14ac:dyDescent="0.3">
      <c r="A883">
        <v>86</v>
      </c>
      <c r="B883">
        <v>4604565</v>
      </c>
      <c r="C883" t="s">
        <v>217</v>
      </c>
      <c r="D883">
        <v>1518030</v>
      </c>
      <c r="E883" t="s">
        <v>562</v>
      </c>
      <c r="F883" t="s">
        <v>18</v>
      </c>
      <c r="G883" t="s">
        <v>2645</v>
      </c>
      <c r="H883" t="s">
        <v>2646</v>
      </c>
      <c r="I883" t="s">
        <v>3184</v>
      </c>
      <c r="J883">
        <v>51137380512</v>
      </c>
      <c r="K883" t="s">
        <v>3194</v>
      </c>
      <c r="L883" t="s">
        <v>3382</v>
      </c>
      <c r="M883">
        <v>2000</v>
      </c>
      <c r="N883" s="10">
        <v>0.66459999999999997</v>
      </c>
      <c r="O883" s="10">
        <f t="shared" si="100"/>
        <v>1329.2</v>
      </c>
      <c r="P883" s="10" t="s">
        <v>5006</v>
      </c>
      <c r="Q883" s="10" t="s">
        <v>5006</v>
      </c>
      <c r="R883" s="10" t="str">
        <f>IF(COUNTIF($J$2:J883,J883)=1,SUMIFS($O:$O,$J:$J,J883)+SUMIFS($P:$P,$J:$J,J883)+SUMIFS($Q:$Q,$J:$J,J883),"")</f>
        <v/>
      </c>
      <c r="S883" s="10" t="s">
        <v>5006</v>
      </c>
      <c r="T883" s="11" t="str">
        <f t="shared" si="103"/>
        <v>Check</v>
      </c>
      <c r="U883" s="12">
        <v>46071</v>
      </c>
      <c r="V883" s="10">
        <v>145.19999999999999</v>
      </c>
      <c r="W883" s="10" t="str">
        <f t="shared" si="101"/>
        <v>N/A</v>
      </c>
      <c r="X883" t="s">
        <v>468</v>
      </c>
      <c r="Y883" t="s">
        <v>28</v>
      </c>
      <c r="Z883">
        <v>100246</v>
      </c>
      <c r="AA883" t="s">
        <v>3060</v>
      </c>
      <c r="AB883" t="s">
        <v>523</v>
      </c>
      <c r="AC883" s="9">
        <v>3</v>
      </c>
      <c r="AD883" s="9" t="str">
        <f t="shared" si="102"/>
        <v>N/A</v>
      </c>
      <c r="AE883" s="11" t="e">
        <f t="shared" si="104"/>
        <v>#VALUE!</v>
      </c>
    </row>
    <row r="884" spans="1:31" x14ac:dyDescent="0.3">
      <c r="A884">
        <v>86</v>
      </c>
      <c r="B884">
        <v>4604843</v>
      </c>
      <c r="C884" t="s">
        <v>94</v>
      </c>
      <c r="D884">
        <v>1208231</v>
      </c>
      <c r="E884" t="s">
        <v>288</v>
      </c>
      <c r="F884" t="s">
        <v>20</v>
      </c>
      <c r="G884" t="s">
        <v>870</v>
      </c>
      <c r="H884" t="s">
        <v>871</v>
      </c>
      <c r="I884" t="s">
        <v>3208</v>
      </c>
      <c r="J884">
        <v>51137380551</v>
      </c>
      <c r="K884" t="s">
        <v>3443</v>
      </c>
      <c r="L884" t="s">
        <v>3984</v>
      </c>
      <c r="M884">
        <v>1680</v>
      </c>
      <c r="N884" s="10">
        <v>2.30423</v>
      </c>
      <c r="O884" s="10">
        <f t="shared" si="100"/>
        <v>3871.1064000000001</v>
      </c>
      <c r="P884" s="10">
        <v>0</v>
      </c>
      <c r="Q884" s="10">
        <v>1656.84</v>
      </c>
      <c r="R884" s="10">
        <f>IF(COUNTIF($J$2:J884,J884)=1,SUMIFS($O:$O,$J:$J,J884)+SUMIFS($P:$P,$J:$J,J884)+SUMIFS($Q:$Q,$J:$J,J884),"")</f>
        <v>6857.1464000000005</v>
      </c>
      <c r="S884" s="10">
        <v>6857.15</v>
      </c>
      <c r="T884" s="11" t="str">
        <f t="shared" si="103"/>
        <v>Check</v>
      </c>
      <c r="U884" s="12">
        <v>46070</v>
      </c>
      <c r="V884" s="10">
        <v>276.51</v>
      </c>
      <c r="W884" s="10" t="str">
        <f t="shared" si="101"/>
        <v>Short Paid</v>
      </c>
      <c r="X884" t="s">
        <v>450</v>
      </c>
      <c r="Y884" t="s">
        <v>28</v>
      </c>
      <c r="Z884">
        <v>100277</v>
      </c>
      <c r="AA884" t="s">
        <v>467</v>
      </c>
      <c r="AB884" t="s">
        <v>521</v>
      </c>
      <c r="AC884" s="9">
        <v>2</v>
      </c>
      <c r="AD884" s="9" t="str">
        <f t="shared" si="102"/>
        <v>Check</v>
      </c>
      <c r="AE884" s="11">
        <f t="shared" si="104"/>
        <v>-3.5999999990963261E-3</v>
      </c>
    </row>
    <row r="885" spans="1:31" x14ac:dyDescent="0.3">
      <c r="A885">
        <v>86</v>
      </c>
      <c r="B885">
        <v>4604843</v>
      </c>
      <c r="C885" t="s">
        <v>94</v>
      </c>
      <c r="D885">
        <v>1208231</v>
      </c>
      <c r="E885" t="s">
        <v>288</v>
      </c>
      <c r="F885" t="s">
        <v>20</v>
      </c>
      <c r="G885" t="s">
        <v>870</v>
      </c>
      <c r="H885" t="s">
        <v>871</v>
      </c>
      <c r="I885" t="s">
        <v>3543</v>
      </c>
      <c r="J885">
        <v>51137380551</v>
      </c>
      <c r="K885" t="s">
        <v>3194</v>
      </c>
      <c r="L885" t="s">
        <v>3382</v>
      </c>
      <c r="M885">
        <v>2000</v>
      </c>
      <c r="N885" s="10">
        <v>0.66459999999999997</v>
      </c>
      <c r="O885" s="10">
        <f t="shared" si="100"/>
        <v>1329.2</v>
      </c>
      <c r="P885" s="10" t="s">
        <v>5006</v>
      </c>
      <c r="Q885" s="10" t="s">
        <v>5006</v>
      </c>
      <c r="R885" s="10" t="str">
        <f>IF(COUNTIF($J$2:J885,J885)=1,SUMIFS($O:$O,$J:$J,J885)+SUMIFS($P:$P,$J:$J,J885)+SUMIFS($Q:$Q,$J:$J,J885),"")</f>
        <v/>
      </c>
      <c r="S885" s="10" t="s">
        <v>5006</v>
      </c>
      <c r="T885" s="11" t="str">
        <f t="shared" si="103"/>
        <v>Check</v>
      </c>
      <c r="U885" s="12">
        <v>46070</v>
      </c>
      <c r="V885" s="10">
        <v>276.51</v>
      </c>
      <c r="W885" s="10" t="str">
        <f t="shared" si="101"/>
        <v>N/A</v>
      </c>
      <c r="X885" t="s">
        <v>450</v>
      </c>
      <c r="Y885" t="s">
        <v>28</v>
      </c>
      <c r="Z885">
        <v>100277</v>
      </c>
      <c r="AA885" t="s">
        <v>467</v>
      </c>
      <c r="AB885" t="s">
        <v>521</v>
      </c>
      <c r="AC885" s="9">
        <v>2</v>
      </c>
      <c r="AD885" s="9" t="str">
        <f t="shared" si="102"/>
        <v>N/A</v>
      </c>
      <c r="AE885" s="11" t="e">
        <f t="shared" si="104"/>
        <v>#VALUE!</v>
      </c>
    </row>
    <row r="886" spans="1:31" x14ac:dyDescent="0.3">
      <c r="A886">
        <v>79</v>
      </c>
      <c r="B886">
        <v>4617088</v>
      </c>
      <c r="C886" t="s">
        <v>220</v>
      </c>
      <c r="D886">
        <v>1309220</v>
      </c>
      <c r="E886" t="s">
        <v>638</v>
      </c>
      <c r="F886" t="s">
        <v>49</v>
      </c>
      <c r="G886" t="s">
        <v>886</v>
      </c>
      <c r="H886" t="s">
        <v>887</v>
      </c>
      <c r="I886" t="s">
        <v>3200</v>
      </c>
      <c r="J886">
        <v>51137569747</v>
      </c>
      <c r="K886" t="s">
        <v>3168</v>
      </c>
      <c r="L886" t="s">
        <v>3985</v>
      </c>
      <c r="M886">
        <v>5000</v>
      </c>
      <c r="N886" s="10">
        <v>0.14849999999999999</v>
      </c>
      <c r="O886" s="10">
        <f t="shared" si="100"/>
        <v>742.5</v>
      </c>
      <c r="P886" s="10">
        <v>114.87</v>
      </c>
      <c r="Q886" s="10">
        <v>141.08000000000001</v>
      </c>
      <c r="R886" s="10">
        <f>IF(COUNTIF($J$2:J886,J886)=1,SUMIFS($O:$O,$J:$J,J886)+SUMIFS($P:$P,$J:$J,J886)+SUMIFS($Q:$Q,$J:$J,J886),"")</f>
        <v>10373.450000000001</v>
      </c>
      <c r="S886" s="10">
        <v>10373.450000000001</v>
      </c>
      <c r="T886" s="11" t="str">
        <f t="shared" si="103"/>
        <v>Ok</v>
      </c>
      <c r="U886" s="12">
        <v>45870</v>
      </c>
      <c r="V886" s="10">
        <v>114.87</v>
      </c>
      <c r="W886" s="10" t="str">
        <f t="shared" si="101"/>
        <v>Short Paid</v>
      </c>
      <c r="X886" t="s">
        <v>470</v>
      </c>
      <c r="Y886" t="s">
        <v>29</v>
      </c>
      <c r="Z886">
        <v>100298</v>
      </c>
      <c r="AA886" t="s">
        <v>3105</v>
      </c>
      <c r="AB886" t="s">
        <v>3041</v>
      </c>
      <c r="AC886" s="9">
        <v>2</v>
      </c>
      <c r="AD886" s="9" t="str">
        <f t="shared" si="102"/>
        <v>Ok</v>
      </c>
      <c r="AE886" s="11">
        <f t="shared" si="104"/>
        <v>0</v>
      </c>
    </row>
    <row r="887" spans="1:31" x14ac:dyDescent="0.3">
      <c r="A887">
        <v>79</v>
      </c>
      <c r="B887">
        <v>4617088</v>
      </c>
      <c r="C887" t="s">
        <v>220</v>
      </c>
      <c r="D887">
        <v>1309220</v>
      </c>
      <c r="E887" t="s">
        <v>638</v>
      </c>
      <c r="F887" t="s">
        <v>49</v>
      </c>
      <c r="G887" t="s">
        <v>886</v>
      </c>
      <c r="H887" t="s">
        <v>887</v>
      </c>
      <c r="I887" t="s">
        <v>3230</v>
      </c>
      <c r="J887">
        <v>51137569747</v>
      </c>
      <c r="K887" t="s">
        <v>3183</v>
      </c>
      <c r="L887" t="s">
        <v>3843</v>
      </c>
      <c r="M887">
        <v>300</v>
      </c>
      <c r="N887" s="10">
        <v>31.25</v>
      </c>
      <c r="O887" s="10">
        <f t="shared" si="100"/>
        <v>9375</v>
      </c>
      <c r="P887" s="10" t="s">
        <v>5006</v>
      </c>
      <c r="Q887" s="10" t="s">
        <v>5006</v>
      </c>
      <c r="R887" s="10" t="str">
        <f>IF(COUNTIF($J$2:J887,J887)=1,SUMIFS($O:$O,$J:$J,J887)+SUMIFS($P:$P,$J:$J,J887)+SUMIFS($Q:$Q,$J:$J,J887),"")</f>
        <v/>
      </c>
      <c r="S887" s="10" t="s">
        <v>5006</v>
      </c>
      <c r="T887" s="11" t="str">
        <f t="shared" si="103"/>
        <v>Ok</v>
      </c>
      <c r="U887" s="12">
        <v>45870</v>
      </c>
      <c r="V887" s="10">
        <v>114.87</v>
      </c>
      <c r="W887" s="10" t="str">
        <f t="shared" si="101"/>
        <v>N/A</v>
      </c>
      <c r="X887" t="s">
        <v>470</v>
      </c>
      <c r="Y887" t="s">
        <v>29</v>
      </c>
      <c r="Z887">
        <v>100298</v>
      </c>
      <c r="AA887" t="s">
        <v>3105</v>
      </c>
      <c r="AB887" t="s">
        <v>3041</v>
      </c>
      <c r="AC887" s="9">
        <v>2</v>
      </c>
      <c r="AD887" s="9" t="str">
        <f t="shared" si="102"/>
        <v>N/A</v>
      </c>
      <c r="AE887" s="11" t="e">
        <f t="shared" si="104"/>
        <v>#VALUE!</v>
      </c>
    </row>
    <row r="888" spans="1:31" x14ac:dyDescent="0.3">
      <c r="A888">
        <v>86</v>
      </c>
      <c r="B888">
        <v>4606513</v>
      </c>
      <c r="C888" t="s">
        <v>217</v>
      </c>
      <c r="D888">
        <v>1518030</v>
      </c>
      <c r="E888" t="s">
        <v>562</v>
      </c>
      <c r="F888" t="s">
        <v>18</v>
      </c>
      <c r="G888" t="s">
        <v>880</v>
      </c>
      <c r="H888" t="s">
        <v>881</v>
      </c>
      <c r="I888" t="s">
        <v>3388</v>
      </c>
      <c r="J888">
        <v>51137651445</v>
      </c>
      <c r="K888" t="s">
        <v>3479</v>
      </c>
      <c r="L888" t="s">
        <v>3478</v>
      </c>
      <c r="M888">
        <v>120000</v>
      </c>
      <c r="N888" s="10">
        <v>1.6049999999999998E-2</v>
      </c>
      <c r="O888" s="10">
        <f t="shared" si="100"/>
        <v>1925.9999999999998</v>
      </c>
      <c r="P888" s="10">
        <v>0</v>
      </c>
      <c r="Q888" s="10">
        <v>0</v>
      </c>
      <c r="R888" s="10">
        <f>IF(COUNTIF($J$2:J888,J888)=1,SUMIFS($O:$O,$J:$J,J888)+SUMIFS($P:$P,$J:$J,J888)+SUMIFS($Q:$Q,$J:$J,J888),"")</f>
        <v>3338</v>
      </c>
      <c r="S888" s="10">
        <v>3338</v>
      </c>
      <c r="T888" s="11" t="str">
        <f t="shared" si="103"/>
        <v>Ok</v>
      </c>
      <c r="U888" s="12">
        <v>46071</v>
      </c>
      <c r="V888" s="10">
        <v>1412</v>
      </c>
      <c r="W888" s="10" t="str">
        <f t="shared" si="101"/>
        <v>Short Paid</v>
      </c>
      <c r="X888" t="s">
        <v>468</v>
      </c>
      <c r="Y888" t="s">
        <v>28</v>
      </c>
      <c r="Z888">
        <v>100196</v>
      </c>
      <c r="AA888" t="s">
        <v>3095</v>
      </c>
      <c r="AB888" t="s">
        <v>523</v>
      </c>
      <c r="AC888" s="9">
        <v>4</v>
      </c>
      <c r="AD888" s="9" t="str">
        <f t="shared" si="102"/>
        <v>Ok</v>
      </c>
      <c r="AE888" s="11">
        <f t="shared" si="104"/>
        <v>0</v>
      </c>
    </row>
    <row r="889" spans="1:31" x14ac:dyDescent="0.3">
      <c r="A889">
        <v>86</v>
      </c>
      <c r="B889">
        <v>4606513</v>
      </c>
      <c r="C889" t="s">
        <v>217</v>
      </c>
      <c r="D889">
        <v>1518030</v>
      </c>
      <c r="E889" t="s">
        <v>562</v>
      </c>
      <c r="F889" t="s">
        <v>18</v>
      </c>
      <c r="G889" t="s">
        <v>880</v>
      </c>
      <c r="H889" t="s">
        <v>881</v>
      </c>
      <c r="I889" t="s">
        <v>3283</v>
      </c>
      <c r="J889">
        <v>51137651445</v>
      </c>
      <c r="K889" t="s">
        <v>3229</v>
      </c>
      <c r="L889" t="s">
        <v>3986</v>
      </c>
      <c r="M889">
        <v>64000</v>
      </c>
      <c r="N889" s="10">
        <v>6.1999999999999998E-3</v>
      </c>
      <c r="O889" s="10">
        <f t="shared" si="100"/>
        <v>396.8</v>
      </c>
      <c r="P889" s="10" t="s">
        <v>5006</v>
      </c>
      <c r="Q889" s="10" t="s">
        <v>5006</v>
      </c>
      <c r="R889" s="10" t="str">
        <f>IF(COUNTIF($J$2:J889,J889)=1,SUMIFS($O:$O,$J:$J,J889)+SUMIFS($P:$P,$J:$J,J889)+SUMIFS($Q:$Q,$J:$J,J889),"")</f>
        <v/>
      </c>
      <c r="S889" s="10" t="s">
        <v>5006</v>
      </c>
      <c r="T889" s="11" t="str">
        <f t="shared" si="103"/>
        <v>Ok</v>
      </c>
      <c r="U889" s="12">
        <v>46071</v>
      </c>
      <c r="V889" s="10">
        <v>1412</v>
      </c>
      <c r="W889" s="10" t="str">
        <f t="shared" si="101"/>
        <v>N/A</v>
      </c>
      <c r="X889" t="s">
        <v>468</v>
      </c>
      <c r="Y889" t="s">
        <v>28</v>
      </c>
      <c r="Z889">
        <v>100196</v>
      </c>
      <c r="AA889" t="s">
        <v>3095</v>
      </c>
      <c r="AB889" t="s">
        <v>523</v>
      </c>
      <c r="AC889" s="9">
        <v>4</v>
      </c>
      <c r="AD889" s="9" t="str">
        <f t="shared" si="102"/>
        <v>N/A</v>
      </c>
      <c r="AE889" s="11" t="e">
        <f t="shared" si="104"/>
        <v>#VALUE!</v>
      </c>
    </row>
    <row r="890" spans="1:31" x14ac:dyDescent="0.3">
      <c r="A890">
        <v>86</v>
      </c>
      <c r="B890">
        <v>4606513</v>
      </c>
      <c r="C890" t="s">
        <v>217</v>
      </c>
      <c r="D890">
        <v>1518030</v>
      </c>
      <c r="E890" t="s">
        <v>562</v>
      </c>
      <c r="F890" t="s">
        <v>18</v>
      </c>
      <c r="G890" t="s">
        <v>880</v>
      </c>
      <c r="H890" t="s">
        <v>881</v>
      </c>
      <c r="I890" t="s">
        <v>3283</v>
      </c>
      <c r="J890">
        <v>51137651445</v>
      </c>
      <c r="K890" t="s">
        <v>3229</v>
      </c>
      <c r="L890" t="s">
        <v>3987</v>
      </c>
      <c r="M890">
        <v>4000</v>
      </c>
      <c r="N890" s="10">
        <v>3.7000000000000002E-3</v>
      </c>
      <c r="O890" s="10">
        <f t="shared" si="100"/>
        <v>14.8</v>
      </c>
      <c r="P890" s="10" t="s">
        <v>5006</v>
      </c>
      <c r="Q890" s="10" t="s">
        <v>5006</v>
      </c>
      <c r="R890" s="10" t="str">
        <f>IF(COUNTIF($J$2:J890,J890)=1,SUMIFS($O:$O,$J:$J,J890)+SUMIFS($P:$P,$J:$J,J890)+SUMIFS($Q:$Q,$J:$J,J890),"")</f>
        <v/>
      </c>
      <c r="S890" s="10" t="s">
        <v>5006</v>
      </c>
      <c r="T890" s="11" t="str">
        <f t="shared" si="103"/>
        <v>Ok</v>
      </c>
      <c r="U890" s="12">
        <v>46071</v>
      </c>
      <c r="V890" s="10">
        <v>1412</v>
      </c>
      <c r="W890" s="10" t="str">
        <f t="shared" si="101"/>
        <v>N/A</v>
      </c>
      <c r="X890" t="s">
        <v>468</v>
      </c>
      <c r="Y890" t="s">
        <v>28</v>
      </c>
      <c r="Z890">
        <v>100196</v>
      </c>
      <c r="AA890" t="s">
        <v>3095</v>
      </c>
      <c r="AB890" t="s">
        <v>523</v>
      </c>
      <c r="AC890" s="9">
        <v>4</v>
      </c>
      <c r="AD890" s="9" t="str">
        <f t="shared" si="102"/>
        <v>N/A</v>
      </c>
      <c r="AE890" s="11" t="e">
        <f t="shared" si="104"/>
        <v>#VALUE!</v>
      </c>
    </row>
    <row r="891" spans="1:31" x14ac:dyDescent="0.3">
      <c r="A891">
        <v>86</v>
      </c>
      <c r="B891">
        <v>4606513</v>
      </c>
      <c r="C891" t="s">
        <v>217</v>
      </c>
      <c r="D891">
        <v>1518030</v>
      </c>
      <c r="E891" t="s">
        <v>562</v>
      </c>
      <c r="F891" t="s">
        <v>18</v>
      </c>
      <c r="G891" t="s">
        <v>880</v>
      </c>
      <c r="H891" t="s">
        <v>881</v>
      </c>
      <c r="I891" t="s">
        <v>3283</v>
      </c>
      <c r="J891">
        <v>51137651445</v>
      </c>
      <c r="K891" t="s">
        <v>3229</v>
      </c>
      <c r="L891" t="s">
        <v>3988</v>
      </c>
      <c r="M891">
        <v>164000</v>
      </c>
      <c r="N891" s="10">
        <v>6.1000000000000004E-3</v>
      </c>
      <c r="O891" s="10">
        <f t="shared" si="100"/>
        <v>1000.4000000000001</v>
      </c>
      <c r="P891" s="10" t="s">
        <v>5006</v>
      </c>
      <c r="Q891" s="10" t="s">
        <v>5006</v>
      </c>
      <c r="R891" s="10" t="str">
        <f>IF(COUNTIF($J$2:J891,J891)=1,SUMIFS($O:$O,$J:$J,J891)+SUMIFS($P:$P,$J:$J,J891)+SUMIFS($Q:$Q,$J:$J,J891),"")</f>
        <v/>
      </c>
      <c r="S891" s="10" t="s">
        <v>5006</v>
      </c>
      <c r="T891" s="11" t="str">
        <f t="shared" si="103"/>
        <v>Ok</v>
      </c>
      <c r="U891" s="12">
        <v>46071</v>
      </c>
      <c r="V891" s="10">
        <v>1412</v>
      </c>
      <c r="W891" s="10" t="str">
        <f t="shared" si="101"/>
        <v>N/A</v>
      </c>
      <c r="X891" t="s">
        <v>468</v>
      </c>
      <c r="Y891" t="s">
        <v>28</v>
      </c>
      <c r="Z891">
        <v>100196</v>
      </c>
      <c r="AA891" t="s">
        <v>3095</v>
      </c>
      <c r="AB891" t="s">
        <v>523</v>
      </c>
      <c r="AC891" s="9">
        <v>4</v>
      </c>
      <c r="AD891" s="9" t="str">
        <f t="shared" si="102"/>
        <v>N/A</v>
      </c>
      <c r="AE891" s="11" t="e">
        <f t="shared" si="104"/>
        <v>#VALUE!</v>
      </c>
    </row>
    <row r="892" spans="1:31" x14ac:dyDescent="0.3">
      <c r="A892">
        <v>88</v>
      </c>
      <c r="B892">
        <v>4594825</v>
      </c>
      <c r="C892" t="s">
        <v>239</v>
      </c>
      <c r="D892">
        <v>1062540</v>
      </c>
      <c r="E892" t="s">
        <v>564</v>
      </c>
      <c r="F892" t="s">
        <v>47</v>
      </c>
      <c r="G892" t="s">
        <v>847</v>
      </c>
      <c r="H892" t="s">
        <v>848</v>
      </c>
      <c r="I892" t="s">
        <v>3432</v>
      </c>
      <c r="J892">
        <v>51137651477</v>
      </c>
      <c r="K892" t="s">
        <v>3990</v>
      </c>
      <c r="L892" t="s">
        <v>3989</v>
      </c>
      <c r="M892">
        <v>100</v>
      </c>
      <c r="N892" s="10">
        <v>11.89</v>
      </c>
      <c r="O892" s="10">
        <f t="shared" si="100"/>
        <v>1189</v>
      </c>
      <c r="P892" s="10">
        <v>0</v>
      </c>
      <c r="Q892" s="10">
        <v>439.56</v>
      </c>
      <c r="R892" s="10">
        <f>IF(COUNTIF($J$2:J892,J892)=1,SUMIFS($O:$O,$J:$J,J892)+SUMIFS($P:$P,$J:$J,J892)+SUMIFS($Q:$Q,$J:$J,J892),"")</f>
        <v>1998.56</v>
      </c>
      <c r="S892" s="10">
        <v>2368.56</v>
      </c>
      <c r="T892" s="11" t="str">
        <f t="shared" si="103"/>
        <v>Check</v>
      </c>
      <c r="U892" s="12">
        <v>45947</v>
      </c>
      <c r="V892" s="10">
        <v>1179.56</v>
      </c>
      <c r="W892" s="10" t="str">
        <f t="shared" si="101"/>
        <v>Short Paid</v>
      </c>
      <c r="X892" t="s">
        <v>476</v>
      </c>
      <c r="Y892" t="s">
        <v>28</v>
      </c>
      <c r="Z892">
        <v>100155</v>
      </c>
      <c r="AA892" t="s">
        <v>3072</v>
      </c>
      <c r="AB892" t="s">
        <v>3039</v>
      </c>
      <c r="AC892" s="9">
        <v>2</v>
      </c>
      <c r="AD892" s="9" t="str">
        <f t="shared" si="102"/>
        <v>Check</v>
      </c>
      <c r="AE892" s="11">
        <f t="shared" si="104"/>
        <v>-370</v>
      </c>
    </row>
    <row r="893" spans="1:31" x14ac:dyDescent="0.3">
      <c r="A893">
        <v>88</v>
      </c>
      <c r="B893">
        <v>4594825</v>
      </c>
      <c r="C893" t="s">
        <v>239</v>
      </c>
      <c r="D893">
        <v>1062540</v>
      </c>
      <c r="E893" t="s">
        <v>564</v>
      </c>
      <c r="F893" t="s">
        <v>47</v>
      </c>
      <c r="G893" t="s">
        <v>847</v>
      </c>
      <c r="H893" t="s">
        <v>848</v>
      </c>
      <c r="I893" t="s">
        <v>3213</v>
      </c>
      <c r="J893">
        <v>51137651477</v>
      </c>
      <c r="K893" t="s">
        <v>3190</v>
      </c>
      <c r="L893" t="s">
        <v>3189</v>
      </c>
      <c r="M893">
        <v>1</v>
      </c>
      <c r="N893" s="10">
        <v>370</v>
      </c>
      <c r="O893" s="10">
        <f t="shared" si="100"/>
        <v>370</v>
      </c>
      <c r="P893" s="10" t="s">
        <v>5006</v>
      </c>
      <c r="Q893" s="10" t="s">
        <v>5006</v>
      </c>
      <c r="R893" s="10" t="str">
        <f>IF(COUNTIF($J$2:J893,J893)=1,SUMIFS($O:$O,$J:$J,J893)+SUMIFS($P:$P,$J:$J,J893)+SUMIFS($Q:$Q,$J:$J,J893),"")</f>
        <v/>
      </c>
      <c r="S893" s="10" t="s">
        <v>5006</v>
      </c>
      <c r="T893" s="11" t="str">
        <f t="shared" si="103"/>
        <v>Check</v>
      </c>
      <c r="U893" s="12">
        <v>45947</v>
      </c>
      <c r="V893" s="10">
        <v>1179.56</v>
      </c>
      <c r="W893" s="10" t="str">
        <f t="shared" si="101"/>
        <v>N/A</v>
      </c>
      <c r="X893" t="s">
        <v>476</v>
      </c>
      <c r="Y893" t="s">
        <v>28</v>
      </c>
      <c r="Z893">
        <v>100155</v>
      </c>
      <c r="AA893" t="s">
        <v>3072</v>
      </c>
      <c r="AB893" t="s">
        <v>3039</v>
      </c>
      <c r="AC893" s="9">
        <v>2</v>
      </c>
      <c r="AD893" s="9" t="str">
        <f t="shared" si="102"/>
        <v>N/A</v>
      </c>
      <c r="AE893" s="11" t="e">
        <f t="shared" si="104"/>
        <v>#VALUE!</v>
      </c>
    </row>
    <row r="894" spans="1:31" x14ac:dyDescent="0.3">
      <c r="A894">
        <v>86</v>
      </c>
      <c r="B894">
        <v>4605956</v>
      </c>
      <c r="C894" t="s">
        <v>217</v>
      </c>
      <c r="D894">
        <v>1518030</v>
      </c>
      <c r="E894" t="s">
        <v>562</v>
      </c>
      <c r="F894" t="s">
        <v>18</v>
      </c>
      <c r="G894" t="s">
        <v>876</v>
      </c>
      <c r="H894" t="s">
        <v>877</v>
      </c>
      <c r="I894" t="s">
        <v>3423</v>
      </c>
      <c r="J894">
        <v>51137651547</v>
      </c>
      <c r="K894" t="s">
        <v>3229</v>
      </c>
      <c r="L894" t="s">
        <v>3991</v>
      </c>
      <c r="M894">
        <v>12000</v>
      </c>
      <c r="N894" s="10">
        <v>3.15E-2</v>
      </c>
      <c r="O894" s="10">
        <f t="shared" si="100"/>
        <v>378</v>
      </c>
      <c r="P894" s="10">
        <v>0</v>
      </c>
      <c r="Q894" s="10">
        <v>0</v>
      </c>
      <c r="R894" s="10">
        <f>IF(COUNTIF($J$2:J894,J894)=1,SUMIFS($O:$O,$J:$J,J894)+SUMIFS($P:$P,$J:$J,J894)+SUMIFS($Q:$Q,$J:$J,J894),"")</f>
        <v>9931.0600000000013</v>
      </c>
      <c r="S894" s="10">
        <v>9931.0600000000013</v>
      </c>
      <c r="T894" s="11" t="str">
        <f t="shared" si="103"/>
        <v>Ok</v>
      </c>
      <c r="U894" s="12">
        <v>46058</v>
      </c>
      <c r="V894" s="10">
        <v>7476.76</v>
      </c>
      <c r="W894" s="10" t="str">
        <f t="shared" si="101"/>
        <v>Short Paid</v>
      </c>
      <c r="X894" t="s">
        <v>468</v>
      </c>
      <c r="Y894" t="s">
        <v>28</v>
      </c>
      <c r="Z894">
        <v>100156</v>
      </c>
      <c r="AA894" t="s">
        <v>3112</v>
      </c>
      <c r="AB894" t="s">
        <v>523</v>
      </c>
      <c r="AC894" s="9">
        <v>8</v>
      </c>
      <c r="AD894" s="9" t="str">
        <f t="shared" si="102"/>
        <v>Ok</v>
      </c>
      <c r="AE894" s="11">
        <f t="shared" si="104"/>
        <v>0</v>
      </c>
    </row>
    <row r="895" spans="1:31" x14ac:dyDescent="0.3">
      <c r="A895">
        <v>86</v>
      </c>
      <c r="B895">
        <v>4605956</v>
      </c>
      <c r="C895" t="s">
        <v>217</v>
      </c>
      <c r="D895">
        <v>1518030</v>
      </c>
      <c r="E895" t="s">
        <v>562</v>
      </c>
      <c r="F895" t="s">
        <v>18</v>
      </c>
      <c r="G895" t="s">
        <v>876</v>
      </c>
      <c r="H895" t="s">
        <v>877</v>
      </c>
      <c r="I895" t="s">
        <v>3423</v>
      </c>
      <c r="J895">
        <v>51137651547</v>
      </c>
      <c r="K895" t="s">
        <v>3229</v>
      </c>
      <c r="L895" t="s">
        <v>3992</v>
      </c>
      <c r="M895">
        <v>12000</v>
      </c>
      <c r="N895" s="10">
        <v>3.0999999999999999E-3</v>
      </c>
      <c r="O895" s="10">
        <f t="shared" si="100"/>
        <v>37.199999999999996</v>
      </c>
      <c r="P895" s="10" t="s">
        <v>5006</v>
      </c>
      <c r="Q895" s="10" t="s">
        <v>5006</v>
      </c>
      <c r="R895" s="10" t="str">
        <f>IF(COUNTIF($J$2:J895,J895)=1,SUMIFS($O:$O,$J:$J,J895)+SUMIFS($P:$P,$J:$J,J895)+SUMIFS($Q:$Q,$J:$J,J895),"")</f>
        <v/>
      </c>
      <c r="S895" s="10" t="s">
        <v>5006</v>
      </c>
      <c r="T895" s="11" t="str">
        <f t="shared" si="103"/>
        <v>Ok</v>
      </c>
      <c r="U895" s="12">
        <v>46058</v>
      </c>
      <c r="V895" s="10">
        <v>7476.76</v>
      </c>
      <c r="W895" s="10" t="str">
        <f t="shared" si="101"/>
        <v>N/A</v>
      </c>
      <c r="X895" t="s">
        <v>468</v>
      </c>
      <c r="Y895" t="s">
        <v>28</v>
      </c>
      <c r="Z895">
        <v>100156</v>
      </c>
      <c r="AA895" t="s">
        <v>3112</v>
      </c>
      <c r="AB895" t="s">
        <v>523</v>
      </c>
      <c r="AC895" s="9">
        <v>8</v>
      </c>
      <c r="AD895" s="9" t="str">
        <f t="shared" si="102"/>
        <v>N/A</v>
      </c>
      <c r="AE895" s="11" t="e">
        <f t="shared" si="104"/>
        <v>#VALUE!</v>
      </c>
    </row>
    <row r="896" spans="1:31" x14ac:dyDescent="0.3">
      <c r="A896">
        <v>86</v>
      </c>
      <c r="B896">
        <v>4605956</v>
      </c>
      <c r="C896" t="s">
        <v>217</v>
      </c>
      <c r="D896">
        <v>1518030</v>
      </c>
      <c r="E896" t="s">
        <v>562</v>
      </c>
      <c r="F896" t="s">
        <v>18</v>
      </c>
      <c r="G896" t="s">
        <v>876</v>
      </c>
      <c r="H896" t="s">
        <v>877</v>
      </c>
      <c r="I896" t="s">
        <v>3423</v>
      </c>
      <c r="J896">
        <v>51137651547</v>
      </c>
      <c r="K896" t="s">
        <v>3229</v>
      </c>
      <c r="L896" t="s">
        <v>3993</v>
      </c>
      <c r="M896">
        <v>136000</v>
      </c>
      <c r="N896" s="10">
        <v>1.21E-2</v>
      </c>
      <c r="O896" s="10">
        <f t="shared" si="100"/>
        <v>1645.6</v>
      </c>
      <c r="P896" s="10" t="s">
        <v>5006</v>
      </c>
      <c r="Q896" s="10" t="s">
        <v>5006</v>
      </c>
      <c r="R896" s="10" t="str">
        <f>IF(COUNTIF($J$2:J896,J896)=1,SUMIFS($O:$O,$J:$J,J896)+SUMIFS($P:$P,$J:$J,J896)+SUMIFS($Q:$Q,$J:$J,J896),"")</f>
        <v/>
      </c>
      <c r="S896" s="10" t="s">
        <v>5006</v>
      </c>
      <c r="T896" s="11" t="str">
        <f t="shared" si="103"/>
        <v>Ok</v>
      </c>
      <c r="U896" s="12">
        <v>46058</v>
      </c>
      <c r="V896" s="10">
        <v>7476.76</v>
      </c>
      <c r="W896" s="10" t="str">
        <f t="shared" si="101"/>
        <v>N/A</v>
      </c>
      <c r="X896" t="s">
        <v>468</v>
      </c>
      <c r="Y896" t="s">
        <v>28</v>
      </c>
      <c r="Z896">
        <v>100156</v>
      </c>
      <c r="AA896" t="s">
        <v>3112</v>
      </c>
      <c r="AB896" t="s">
        <v>523</v>
      </c>
      <c r="AC896" s="9">
        <v>8</v>
      </c>
      <c r="AD896" s="9" t="str">
        <f t="shared" si="102"/>
        <v>N/A</v>
      </c>
      <c r="AE896" s="11" t="e">
        <f t="shared" si="104"/>
        <v>#VALUE!</v>
      </c>
    </row>
    <row r="897" spans="1:31" x14ac:dyDescent="0.3">
      <c r="A897">
        <v>86</v>
      </c>
      <c r="B897">
        <v>4605956</v>
      </c>
      <c r="C897" t="s">
        <v>217</v>
      </c>
      <c r="D897">
        <v>1518030</v>
      </c>
      <c r="E897" t="s">
        <v>562</v>
      </c>
      <c r="F897" t="s">
        <v>18</v>
      </c>
      <c r="G897" t="s">
        <v>876</v>
      </c>
      <c r="H897" t="s">
        <v>877</v>
      </c>
      <c r="I897" t="s">
        <v>3423</v>
      </c>
      <c r="J897">
        <v>51137651547</v>
      </c>
      <c r="K897" t="s">
        <v>3229</v>
      </c>
      <c r="L897" t="s">
        <v>3987</v>
      </c>
      <c r="M897">
        <v>12000</v>
      </c>
      <c r="N897" s="10">
        <v>3.3E-3</v>
      </c>
      <c r="O897" s="10">
        <f t="shared" si="100"/>
        <v>39.6</v>
      </c>
      <c r="P897" s="10" t="s">
        <v>5006</v>
      </c>
      <c r="Q897" s="10" t="s">
        <v>5006</v>
      </c>
      <c r="R897" s="10" t="str">
        <f>IF(COUNTIF($J$2:J897,J897)=1,SUMIFS($O:$O,$J:$J,J897)+SUMIFS($P:$P,$J:$J,J897)+SUMIFS($Q:$Q,$J:$J,J897),"")</f>
        <v/>
      </c>
      <c r="S897" s="10" t="s">
        <v>5006</v>
      </c>
      <c r="T897" s="11" t="str">
        <f t="shared" si="103"/>
        <v>Ok</v>
      </c>
      <c r="U897" s="12">
        <v>46058</v>
      </c>
      <c r="V897" s="10">
        <v>7476.76</v>
      </c>
      <c r="W897" s="10" t="str">
        <f t="shared" si="101"/>
        <v>N/A</v>
      </c>
      <c r="X897" t="s">
        <v>468</v>
      </c>
      <c r="Y897" t="s">
        <v>28</v>
      </c>
      <c r="Z897">
        <v>100156</v>
      </c>
      <c r="AA897" t="s">
        <v>3112</v>
      </c>
      <c r="AB897" t="s">
        <v>523</v>
      </c>
      <c r="AC897" s="9">
        <v>8</v>
      </c>
      <c r="AD897" s="9" t="str">
        <f t="shared" si="102"/>
        <v>N/A</v>
      </c>
      <c r="AE897" s="11" t="e">
        <f t="shared" si="104"/>
        <v>#VALUE!</v>
      </c>
    </row>
    <row r="898" spans="1:31" x14ac:dyDescent="0.3">
      <c r="A898">
        <v>86</v>
      </c>
      <c r="B898">
        <v>4605956</v>
      </c>
      <c r="C898" t="s">
        <v>217</v>
      </c>
      <c r="D898">
        <v>1518030</v>
      </c>
      <c r="E898" t="s">
        <v>562</v>
      </c>
      <c r="F898" t="s">
        <v>18</v>
      </c>
      <c r="G898" t="s">
        <v>876</v>
      </c>
      <c r="H898" t="s">
        <v>877</v>
      </c>
      <c r="I898" t="s">
        <v>3423</v>
      </c>
      <c r="J898">
        <v>51137651547</v>
      </c>
      <c r="K898" t="s">
        <v>3229</v>
      </c>
      <c r="L898" t="s">
        <v>3994</v>
      </c>
      <c r="M898">
        <v>36000</v>
      </c>
      <c r="N898" s="10">
        <v>6.1000000000000004E-3</v>
      </c>
      <c r="O898" s="10">
        <f t="shared" ref="O898:O961" si="105">M898*N898</f>
        <v>219.60000000000002</v>
      </c>
      <c r="P898" s="10" t="s">
        <v>5006</v>
      </c>
      <c r="Q898" s="10" t="s">
        <v>5006</v>
      </c>
      <c r="R898" s="10" t="str">
        <f>IF(COUNTIF($J$2:J898,J898)=1,SUMIFS($O:$O,$J:$J,J898)+SUMIFS($P:$P,$J:$J,J898)+SUMIFS($Q:$Q,$J:$J,J898),"")</f>
        <v/>
      </c>
      <c r="S898" s="10" t="s">
        <v>5006</v>
      </c>
      <c r="T898" s="11" t="str">
        <f t="shared" si="103"/>
        <v>Ok</v>
      </c>
      <c r="U898" s="12">
        <v>46058</v>
      </c>
      <c r="V898" s="10">
        <v>7476.76</v>
      </c>
      <c r="W898" s="10" t="str">
        <f t="shared" ref="W898:W961" si="106">IF(OR(S898="",V898=""),"N/A",IF(S898&lt;&gt;V898,"Short Paid","Not Paid"))</f>
        <v>N/A</v>
      </c>
      <c r="X898" t="s">
        <v>468</v>
      </c>
      <c r="Y898" t="s">
        <v>28</v>
      </c>
      <c r="Z898">
        <v>100156</v>
      </c>
      <c r="AA898" t="s">
        <v>3112</v>
      </c>
      <c r="AB898" t="s">
        <v>523</v>
      </c>
      <c r="AC898" s="9">
        <v>8</v>
      </c>
      <c r="AD898" s="9" t="str">
        <f t="shared" ref="AD898:AD961" si="107">IF(AND(R898="",S898=""),"N/A",IF(R898=S898,"Ok","Check"))</f>
        <v>N/A</v>
      </c>
      <c r="AE898" s="11" t="e">
        <f t="shared" si="104"/>
        <v>#VALUE!</v>
      </c>
    </row>
    <row r="899" spans="1:31" x14ac:dyDescent="0.3">
      <c r="A899">
        <v>86</v>
      </c>
      <c r="B899">
        <v>4605956</v>
      </c>
      <c r="C899" t="s">
        <v>217</v>
      </c>
      <c r="D899">
        <v>1518030</v>
      </c>
      <c r="E899" t="s">
        <v>562</v>
      </c>
      <c r="F899" t="s">
        <v>18</v>
      </c>
      <c r="G899" t="s">
        <v>876</v>
      </c>
      <c r="H899" t="s">
        <v>877</v>
      </c>
      <c r="I899" t="s">
        <v>3423</v>
      </c>
      <c r="J899">
        <v>51137651547</v>
      </c>
      <c r="K899" t="s">
        <v>3981</v>
      </c>
      <c r="L899" t="s">
        <v>3995</v>
      </c>
      <c r="M899">
        <v>20000</v>
      </c>
      <c r="N899" s="10">
        <v>0.23730000000000001</v>
      </c>
      <c r="O899" s="10">
        <f t="shared" si="105"/>
        <v>4746</v>
      </c>
      <c r="P899" s="10" t="s">
        <v>5006</v>
      </c>
      <c r="Q899" s="10" t="s">
        <v>5006</v>
      </c>
      <c r="R899" s="10" t="str">
        <f>IF(COUNTIF($J$2:J899,J899)=1,SUMIFS($O:$O,$J:$J,J899)+SUMIFS($P:$P,$J:$J,J899)+SUMIFS($Q:$Q,$J:$J,J899),"")</f>
        <v/>
      </c>
      <c r="S899" s="10" t="s">
        <v>5006</v>
      </c>
      <c r="T899" s="11" t="str">
        <f t="shared" ref="T899:T962" si="108">IFERROR(INDEX(AD:AD,MATCH(J899,J:J,0)),"")</f>
        <v>Ok</v>
      </c>
      <c r="U899" s="12">
        <v>46058</v>
      </c>
      <c r="V899" s="10">
        <v>7476.76</v>
      </c>
      <c r="W899" s="10" t="str">
        <f t="shared" si="106"/>
        <v>N/A</v>
      </c>
      <c r="X899" t="s">
        <v>468</v>
      </c>
      <c r="Y899" t="s">
        <v>28</v>
      </c>
      <c r="Z899">
        <v>100156</v>
      </c>
      <c r="AA899" t="s">
        <v>3112</v>
      </c>
      <c r="AB899" t="s">
        <v>523</v>
      </c>
      <c r="AC899" s="9">
        <v>8</v>
      </c>
      <c r="AD899" s="9" t="str">
        <f t="shared" si="107"/>
        <v>N/A</v>
      </c>
      <c r="AE899" s="11" t="e">
        <f t="shared" si="104"/>
        <v>#VALUE!</v>
      </c>
    </row>
    <row r="900" spans="1:31" x14ac:dyDescent="0.3">
      <c r="A900">
        <v>86</v>
      </c>
      <c r="B900">
        <v>4605956</v>
      </c>
      <c r="C900" t="s">
        <v>217</v>
      </c>
      <c r="D900">
        <v>1518030</v>
      </c>
      <c r="E900" t="s">
        <v>562</v>
      </c>
      <c r="F900" t="s">
        <v>18</v>
      </c>
      <c r="G900" t="s">
        <v>876</v>
      </c>
      <c r="H900" t="s">
        <v>877</v>
      </c>
      <c r="I900" t="s">
        <v>3423</v>
      </c>
      <c r="J900">
        <v>51137651547</v>
      </c>
      <c r="K900" t="s">
        <v>3479</v>
      </c>
      <c r="L900" t="s">
        <v>3996</v>
      </c>
      <c r="M900">
        <v>36000</v>
      </c>
      <c r="N900" s="10">
        <v>1.141E-2</v>
      </c>
      <c r="O900" s="10">
        <f t="shared" si="105"/>
        <v>410.76</v>
      </c>
      <c r="P900" s="10" t="s">
        <v>5006</v>
      </c>
      <c r="Q900" s="10" t="s">
        <v>5006</v>
      </c>
      <c r="R900" s="10" t="str">
        <f>IF(COUNTIF($J$2:J900,J900)=1,SUMIFS($O:$O,$J:$J,J900)+SUMIFS($P:$P,$J:$J,J900)+SUMIFS($Q:$Q,$J:$J,J900),"")</f>
        <v/>
      </c>
      <c r="S900" s="10" t="s">
        <v>5006</v>
      </c>
      <c r="T900" s="11" t="str">
        <f t="shared" si="108"/>
        <v>Ok</v>
      </c>
      <c r="U900" s="12">
        <v>46058</v>
      </c>
      <c r="V900" s="10">
        <v>7476.76</v>
      </c>
      <c r="W900" s="10" t="str">
        <f t="shared" si="106"/>
        <v>N/A</v>
      </c>
      <c r="X900" t="s">
        <v>468</v>
      </c>
      <c r="Y900" t="s">
        <v>28</v>
      </c>
      <c r="Z900">
        <v>100156</v>
      </c>
      <c r="AA900" t="s">
        <v>3112</v>
      </c>
      <c r="AB900" t="s">
        <v>523</v>
      </c>
      <c r="AC900" s="9">
        <v>8</v>
      </c>
      <c r="AD900" s="9" t="str">
        <f t="shared" si="107"/>
        <v>N/A</v>
      </c>
      <c r="AE900" s="11" t="e">
        <f t="shared" si="104"/>
        <v>#VALUE!</v>
      </c>
    </row>
    <row r="901" spans="1:31" x14ac:dyDescent="0.3">
      <c r="A901">
        <v>86</v>
      </c>
      <c r="B901">
        <v>4605956</v>
      </c>
      <c r="C901" t="s">
        <v>217</v>
      </c>
      <c r="D901">
        <v>1518030</v>
      </c>
      <c r="E901" t="s">
        <v>562</v>
      </c>
      <c r="F901" t="s">
        <v>18</v>
      </c>
      <c r="G901" t="s">
        <v>876</v>
      </c>
      <c r="H901" t="s">
        <v>877</v>
      </c>
      <c r="I901" t="s">
        <v>3287</v>
      </c>
      <c r="J901">
        <v>51137651547</v>
      </c>
      <c r="K901" t="s">
        <v>3246</v>
      </c>
      <c r="L901" t="s">
        <v>3404</v>
      </c>
      <c r="M901">
        <v>9000</v>
      </c>
      <c r="N901" s="10">
        <v>0.2727</v>
      </c>
      <c r="O901" s="10">
        <f t="shared" si="105"/>
        <v>2454.3000000000002</v>
      </c>
      <c r="P901" s="10" t="s">
        <v>5006</v>
      </c>
      <c r="Q901" s="10" t="s">
        <v>5006</v>
      </c>
      <c r="R901" s="10" t="str">
        <f>IF(COUNTIF($J$2:J901,J901)=1,SUMIFS($O:$O,$J:$J,J901)+SUMIFS($P:$P,$J:$J,J901)+SUMIFS($Q:$Q,$J:$J,J901),"")</f>
        <v/>
      </c>
      <c r="S901" s="10" t="s">
        <v>5006</v>
      </c>
      <c r="T901" s="11" t="str">
        <f t="shared" si="108"/>
        <v>Ok</v>
      </c>
      <c r="U901" s="12">
        <v>46058</v>
      </c>
      <c r="V901" s="10">
        <v>7476.76</v>
      </c>
      <c r="W901" s="10" t="str">
        <f t="shared" si="106"/>
        <v>N/A</v>
      </c>
      <c r="X901" t="s">
        <v>468</v>
      </c>
      <c r="Y901" t="s">
        <v>28</v>
      </c>
      <c r="Z901">
        <v>100156</v>
      </c>
      <c r="AA901" t="s">
        <v>3112</v>
      </c>
      <c r="AB901" t="s">
        <v>523</v>
      </c>
      <c r="AC901" s="9">
        <v>8</v>
      </c>
      <c r="AD901" s="9" t="str">
        <f t="shared" si="107"/>
        <v>N/A</v>
      </c>
      <c r="AE901" s="11" t="e">
        <f t="shared" si="104"/>
        <v>#VALUE!</v>
      </c>
    </row>
    <row r="902" spans="1:31" x14ac:dyDescent="0.3">
      <c r="A902">
        <v>25</v>
      </c>
      <c r="B902">
        <v>4823853</v>
      </c>
      <c r="C902" t="s">
        <v>239</v>
      </c>
      <c r="D902">
        <v>1079286</v>
      </c>
      <c r="E902" t="s">
        <v>629</v>
      </c>
      <c r="F902" t="s">
        <v>20</v>
      </c>
      <c r="G902" t="s">
        <v>1421</v>
      </c>
      <c r="H902" t="s">
        <v>1422</v>
      </c>
      <c r="I902" t="s">
        <v>3453</v>
      </c>
      <c r="J902">
        <v>51137701724</v>
      </c>
      <c r="K902" t="s">
        <v>3177</v>
      </c>
      <c r="L902" t="s">
        <v>3875</v>
      </c>
      <c r="M902">
        <v>80000</v>
      </c>
      <c r="N902" s="10">
        <v>3.2200000000000002E-3</v>
      </c>
      <c r="O902" s="10">
        <f t="shared" si="105"/>
        <v>257.60000000000002</v>
      </c>
      <c r="P902" s="10">
        <v>0</v>
      </c>
      <c r="Q902" s="10">
        <v>0</v>
      </c>
      <c r="R902" s="10">
        <f>IF(COUNTIF($J$2:J902,J902)=1,SUMIFS($O:$O,$J:$J,J902)+SUMIFS($P:$P,$J:$J,J902)+SUMIFS($Q:$Q,$J:$J,J902),"")</f>
        <v>830.06</v>
      </c>
      <c r="S902" s="10">
        <v>965.66</v>
      </c>
      <c r="T902" s="11" t="str">
        <f t="shared" si="108"/>
        <v>Check</v>
      </c>
      <c r="U902" s="12">
        <v>46009</v>
      </c>
      <c r="V902" s="10">
        <v>135.6</v>
      </c>
      <c r="W902" s="10" t="str">
        <f t="shared" si="106"/>
        <v>Short Paid</v>
      </c>
      <c r="X902" t="s">
        <v>476</v>
      </c>
      <c r="Y902" t="s">
        <v>28</v>
      </c>
      <c r="Z902">
        <v>100205</v>
      </c>
      <c r="AA902" t="s">
        <v>3075</v>
      </c>
      <c r="AB902" t="s">
        <v>521</v>
      </c>
      <c r="AC902" s="9">
        <v>2</v>
      </c>
      <c r="AD902" s="9" t="str">
        <f t="shared" si="107"/>
        <v>Check</v>
      </c>
      <c r="AE902" s="11">
        <f t="shared" si="104"/>
        <v>-135.60000000000002</v>
      </c>
    </row>
    <row r="903" spans="1:31" x14ac:dyDescent="0.3">
      <c r="A903">
        <v>25</v>
      </c>
      <c r="B903">
        <v>4823853</v>
      </c>
      <c r="C903" t="s">
        <v>239</v>
      </c>
      <c r="D903">
        <v>1079286</v>
      </c>
      <c r="E903" t="s">
        <v>629</v>
      </c>
      <c r="F903" t="s">
        <v>20</v>
      </c>
      <c r="G903" t="s">
        <v>1421</v>
      </c>
      <c r="H903" t="s">
        <v>1422</v>
      </c>
      <c r="I903" t="s">
        <v>3453</v>
      </c>
      <c r="J903">
        <v>51137701724</v>
      </c>
      <c r="K903" t="s">
        <v>3473</v>
      </c>
      <c r="L903" t="s">
        <v>3472</v>
      </c>
      <c r="M903">
        <v>6000</v>
      </c>
      <c r="N903" s="10">
        <v>9.5409999999999995E-2</v>
      </c>
      <c r="O903" s="10">
        <f t="shared" si="105"/>
        <v>572.45999999999992</v>
      </c>
      <c r="P903" s="10" t="s">
        <v>5006</v>
      </c>
      <c r="Q903" s="10" t="s">
        <v>5006</v>
      </c>
      <c r="R903" s="10" t="str">
        <f>IF(COUNTIF($J$2:J903,J903)=1,SUMIFS($O:$O,$J:$J,J903)+SUMIFS($P:$P,$J:$J,J903)+SUMIFS($Q:$Q,$J:$J,J903),"")</f>
        <v/>
      </c>
      <c r="S903" s="10" t="s">
        <v>5006</v>
      </c>
      <c r="T903" s="11" t="str">
        <f t="shared" si="108"/>
        <v>Check</v>
      </c>
      <c r="U903" s="12">
        <v>46009</v>
      </c>
      <c r="V903" s="10">
        <v>135.6</v>
      </c>
      <c r="W903" s="10" t="str">
        <f t="shared" si="106"/>
        <v>N/A</v>
      </c>
      <c r="X903" t="s">
        <v>476</v>
      </c>
      <c r="Y903" t="s">
        <v>28</v>
      </c>
      <c r="Z903">
        <v>100205</v>
      </c>
      <c r="AA903" t="s">
        <v>3075</v>
      </c>
      <c r="AB903" t="s">
        <v>521</v>
      </c>
      <c r="AC903" s="9">
        <v>2</v>
      </c>
      <c r="AD903" s="9" t="str">
        <f t="shared" si="107"/>
        <v>N/A</v>
      </c>
      <c r="AE903" s="11" t="e">
        <f t="shared" ref="AE903:AE966" si="109">R903-S903</f>
        <v>#VALUE!</v>
      </c>
    </row>
    <row r="904" spans="1:31" x14ac:dyDescent="0.3">
      <c r="A904">
        <v>80</v>
      </c>
      <c r="B904">
        <v>4616809</v>
      </c>
      <c r="C904" t="s">
        <v>94</v>
      </c>
      <c r="D904">
        <v>1560352</v>
      </c>
      <c r="E904" t="s">
        <v>680</v>
      </c>
      <c r="F904" t="s">
        <v>48</v>
      </c>
      <c r="G904" t="s">
        <v>866</v>
      </c>
      <c r="H904" t="s">
        <v>867</v>
      </c>
      <c r="I904" t="s">
        <v>3342</v>
      </c>
      <c r="J904">
        <v>51137732708</v>
      </c>
      <c r="K904" t="s">
        <v>3743</v>
      </c>
      <c r="L904" t="s">
        <v>3997</v>
      </c>
      <c r="M904">
        <v>22</v>
      </c>
      <c r="N904" s="10">
        <v>97.93</v>
      </c>
      <c r="O904" s="10">
        <f t="shared" si="105"/>
        <v>2154.46</v>
      </c>
      <c r="P904" s="10">
        <v>0</v>
      </c>
      <c r="Q904" s="10" t="s">
        <v>5006</v>
      </c>
      <c r="R904" s="10">
        <f>IF(COUNTIF($J$2:J904,J904)=1,SUMIFS($O:$O,$J:$J,J904)+SUMIFS($P:$P,$J:$J,J904)+SUMIFS($Q:$Q,$J:$J,J904),"")</f>
        <v>7467.04</v>
      </c>
      <c r="S904" s="10">
        <v>7467.04</v>
      </c>
      <c r="T904" s="11" t="str">
        <f t="shared" si="108"/>
        <v>Ok</v>
      </c>
      <c r="U904" s="12">
        <v>46034</v>
      </c>
      <c r="V904" s="10">
        <v>2154.46</v>
      </c>
      <c r="W904" s="10" t="str">
        <f t="shared" si="106"/>
        <v>Short Paid</v>
      </c>
      <c r="X904" t="s">
        <v>450</v>
      </c>
      <c r="Y904" t="s">
        <v>28</v>
      </c>
      <c r="Z904">
        <v>100127</v>
      </c>
      <c r="AA904" t="s">
        <v>3090</v>
      </c>
      <c r="AB904" t="s">
        <v>3040</v>
      </c>
      <c r="AC904" s="9">
        <v>3</v>
      </c>
      <c r="AD904" s="9" t="str">
        <f t="shared" si="107"/>
        <v>Ok</v>
      </c>
      <c r="AE904" s="11">
        <f t="shared" si="109"/>
        <v>0</v>
      </c>
    </row>
    <row r="905" spans="1:31" x14ac:dyDescent="0.3">
      <c r="A905">
        <v>80</v>
      </c>
      <c r="B905">
        <v>4616809</v>
      </c>
      <c r="C905" t="s">
        <v>94</v>
      </c>
      <c r="D905">
        <v>1560352</v>
      </c>
      <c r="E905" t="s">
        <v>680</v>
      </c>
      <c r="F905" t="s">
        <v>48</v>
      </c>
      <c r="G905" t="s">
        <v>866</v>
      </c>
      <c r="H905" t="s">
        <v>867</v>
      </c>
      <c r="I905" t="s">
        <v>3347</v>
      </c>
      <c r="J905">
        <v>51137732708</v>
      </c>
      <c r="K905" t="s">
        <v>3944</v>
      </c>
      <c r="L905" t="s">
        <v>3998</v>
      </c>
      <c r="M905">
        <v>14</v>
      </c>
      <c r="N905" s="10">
        <v>378.97</v>
      </c>
      <c r="O905" s="10">
        <f t="shared" si="105"/>
        <v>5305.58</v>
      </c>
      <c r="P905" s="10" t="s">
        <v>5006</v>
      </c>
      <c r="Q905" s="10" t="s">
        <v>5006</v>
      </c>
      <c r="R905" s="10" t="str">
        <f>IF(COUNTIF($J$2:J905,J905)=1,SUMIFS($O:$O,$J:$J,J905)+SUMIFS($P:$P,$J:$J,J905)+SUMIFS($Q:$Q,$J:$J,J905),"")</f>
        <v/>
      </c>
      <c r="S905" s="10" t="s">
        <v>5006</v>
      </c>
      <c r="T905" s="11" t="str">
        <f t="shared" si="108"/>
        <v>Ok</v>
      </c>
      <c r="U905" s="12">
        <v>46034</v>
      </c>
      <c r="V905" s="10">
        <v>2154.46</v>
      </c>
      <c r="W905" s="10" t="str">
        <f t="shared" si="106"/>
        <v>N/A</v>
      </c>
      <c r="X905" t="s">
        <v>450</v>
      </c>
      <c r="Y905" t="s">
        <v>28</v>
      </c>
      <c r="Z905">
        <v>100127</v>
      </c>
      <c r="AA905" t="s">
        <v>3090</v>
      </c>
      <c r="AB905" t="s">
        <v>3040</v>
      </c>
      <c r="AC905" s="9">
        <v>3</v>
      </c>
      <c r="AD905" s="9" t="str">
        <f t="shared" si="107"/>
        <v>N/A</v>
      </c>
      <c r="AE905" s="11" t="e">
        <f t="shared" si="109"/>
        <v>#VALUE!</v>
      </c>
    </row>
    <row r="906" spans="1:31" x14ac:dyDescent="0.3">
      <c r="A906">
        <v>80</v>
      </c>
      <c r="B906">
        <v>4616809</v>
      </c>
      <c r="C906" t="s">
        <v>94</v>
      </c>
      <c r="D906">
        <v>1560352</v>
      </c>
      <c r="E906" t="s">
        <v>680</v>
      </c>
      <c r="F906" t="s">
        <v>48</v>
      </c>
      <c r="G906" t="s">
        <v>866</v>
      </c>
      <c r="H906" t="s">
        <v>867</v>
      </c>
      <c r="I906" t="s">
        <v>3347</v>
      </c>
      <c r="J906">
        <v>51137732708</v>
      </c>
      <c r="K906" t="s">
        <v>3183</v>
      </c>
      <c r="L906" t="s">
        <v>3816</v>
      </c>
      <c r="M906">
        <v>28</v>
      </c>
      <c r="N906" s="10">
        <v>0.25</v>
      </c>
      <c r="O906" s="10">
        <f t="shared" si="105"/>
        <v>7</v>
      </c>
      <c r="P906" s="10" t="s">
        <v>5006</v>
      </c>
      <c r="Q906" s="10" t="s">
        <v>5006</v>
      </c>
      <c r="R906" s="10" t="str">
        <f>IF(COUNTIF($J$2:J906,J906)=1,SUMIFS($O:$O,$J:$J,J906)+SUMIFS($P:$P,$J:$J,J906)+SUMIFS($Q:$Q,$J:$J,J906),"")</f>
        <v/>
      </c>
      <c r="S906" s="10" t="s">
        <v>5006</v>
      </c>
      <c r="T906" s="11" t="str">
        <f t="shared" si="108"/>
        <v>Ok</v>
      </c>
      <c r="U906" s="12">
        <v>46034</v>
      </c>
      <c r="V906" s="10">
        <v>2154.46</v>
      </c>
      <c r="W906" s="10" t="str">
        <f t="shared" si="106"/>
        <v>N/A</v>
      </c>
      <c r="X906" t="s">
        <v>450</v>
      </c>
      <c r="Y906" t="s">
        <v>28</v>
      </c>
      <c r="Z906">
        <v>100127</v>
      </c>
      <c r="AA906" t="s">
        <v>3090</v>
      </c>
      <c r="AB906" t="s">
        <v>3040</v>
      </c>
      <c r="AC906" s="9">
        <v>3</v>
      </c>
      <c r="AD906" s="9" t="str">
        <f t="shared" si="107"/>
        <v>N/A</v>
      </c>
      <c r="AE906" s="11" t="e">
        <f t="shared" si="109"/>
        <v>#VALUE!</v>
      </c>
    </row>
    <row r="907" spans="1:31" x14ac:dyDescent="0.3">
      <c r="A907">
        <v>25</v>
      </c>
      <c r="B907">
        <v>4823018</v>
      </c>
      <c r="C907" t="s">
        <v>239</v>
      </c>
      <c r="D907">
        <v>1079286</v>
      </c>
      <c r="E907" t="s">
        <v>629</v>
      </c>
      <c r="F907" t="s">
        <v>20</v>
      </c>
      <c r="G907" t="s">
        <v>1441</v>
      </c>
      <c r="H907" t="s">
        <v>1442</v>
      </c>
      <c r="I907" t="s">
        <v>3336</v>
      </c>
      <c r="J907">
        <v>51137818337</v>
      </c>
      <c r="K907" t="s">
        <v>3375</v>
      </c>
      <c r="L907" t="s">
        <v>3380</v>
      </c>
      <c r="M907">
        <v>7500</v>
      </c>
      <c r="N907" s="10">
        <v>0.27429999999999999</v>
      </c>
      <c r="O907" s="10">
        <f t="shared" si="105"/>
        <v>2057.25</v>
      </c>
      <c r="P907" s="10">
        <v>0</v>
      </c>
      <c r="Q907" s="10">
        <v>0</v>
      </c>
      <c r="R907" s="10">
        <f>IF(COUNTIF($J$2:J907,J907)=1,SUMIFS($O:$O,$J:$J,J907)+SUMIFS($P:$P,$J:$J,J907)+SUMIFS($Q:$Q,$J:$J,J907),"")</f>
        <v>8010.21</v>
      </c>
      <c r="S907" s="10">
        <v>10481.25</v>
      </c>
      <c r="T907" s="11" t="str">
        <f t="shared" si="108"/>
        <v>Check</v>
      </c>
      <c r="U907" s="12">
        <v>46009</v>
      </c>
      <c r="V907" s="10">
        <v>8424</v>
      </c>
      <c r="W907" s="10" t="str">
        <f t="shared" si="106"/>
        <v>Short Paid</v>
      </c>
      <c r="X907" t="s">
        <v>476</v>
      </c>
      <c r="Y907" t="s">
        <v>28</v>
      </c>
      <c r="Z907">
        <v>100155</v>
      </c>
      <c r="AA907" t="s">
        <v>3072</v>
      </c>
      <c r="AB907" t="s">
        <v>521</v>
      </c>
      <c r="AC907" s="9">
        <v>2</v>
      </c>
      <c r="AD907" s="9" t="str">
        <f t="shared" si="107"/>
        <v>Check</v>
      </c>
      <c r="AE907" s="11">
        <f t="shared" si="109"/>
        <v>-2471.04</v>
      </c>
    </row>
    <row r="908" spans="1:31" x14ac:dyDescent="0.3">
      <c r="A908">
        <v>25</v>
      </c>
      <c r="B908">
        <v>4823018</v>
      </c>
      <c r="C908" t="s">
        <v>239</v>
      </c>
      <c r="D908">
        <v>1079286</v>
      </c>
      <c r="E908" t="s">
        <v>629</v>
      </c>
      <c r="F908" t="s">
        <v>20</v>
      </c>
      <c r="G908" t="s">
        <v>1441</v>
      </c>
      <c r="H908" t="s">
        <v>1442</v>
      </c>
      <c r="I908" t="s">
        <v>3208</v>
      </c>
      <c r="J908">
        <v>51137818337</v>
      </c>
      <c r="K908" t="s">
        <v>3370</v>
      </c>
      <c r="L908" t="s">
        <v>3999</v>
      </c>
      <c r="M908">
        <v>106000</v>
      </c>
      <c r="N908" s="10">
        <v>5.6160000000000002E-2</v>
      </c>
      <c r="O908" s="10">
        <f t="shared" si="105"/>
        <v>5952.96</v>
      </c>
      <c r="P908" s="10" t="s">
        <v>5006</v>
      </c>
      <c r="Q908" s="10" t="s">
        <v>5006</v>
      </c>
      <c r="R908" s="10" t="str">
        <f>IF(COUNTIF($J$2:J908,J908)=1,SUMIFS($O:$O,$J:$J,J908)+SUMIFS($P:$P,$J:$J,J908)+SUMIFS($Q:$Q,$J:$J,J908),"")</f>
        <v/>
      </c>
      <c r="S908" s="10" t="s">
        <v>5006</v>
      </c>
      <c r="T908" s="11" t="str">
        <f t="shared" si="108"/>
        <v>Check</v>
      </c>
      <c r="U908" s="12">
        <v>46009</v>
      </c>
      <c r="V908" s="10">
        <v>8424</v>
      </c>
      <c r="W908" s="10" t="str">
        <f t="shared" si="106"/>
        <v>N/A</v>
      </c>
      <c r="X908" t="s">
        <v>476</v>
      </c>
      <c r="Y908" t="s">
        <v>28</v>
      </c>
      <c r="Z908">
        <v>100155</v>
      </c>
      <c r="AA908" t="s">
        <v>3072</v>
      </c>
      <c r="AB908" t="s">
        <v>521</v>
      </c>
      <c r="AC908" s="9">
        <v>2</v>
      </c>
      <c r="AD908" s="9" t="str">
        <f t="shared" si="107"/>
        <v>N/A</v>
      </c>
      <c r="AE908" s="11" t="e">
        <f t="shared" si="109"/>
        <v>#VALUE!</v>
      </c>
    </row>
    <row r="909" spans="1:31" x14ac:dyDescent="0.3">
      <c r="A909">
        <v>85</v>
      </c>
      <c r="B909">
        <v>4607626</v>
      </c>
      <c r="C909" t="s">
        <v>38</v>
      </c>
      <c r="D909">
        <v>1963277</v>
      </c>
      <c r="E909" t="s">
        <v>250</v>
      </c>
      <c r="F909" t="s">
        <v>18</v>
      </c>
      <c r="G909" t="s">
        <v>2689</v>
      </c>
      <c r="H909" t="s">
        <v>2690</v>
      </c>
      <c r="I909" t="s">
        <v>3275</v>
      </c>
      <c r="J909">
        <v>51137853211</v>
      </c>
      <c r="K909" t="s">
        <v>3194</v>
      </c>
      <c r="L909" t="s">
        <v>3382</v>
      </c>
      <c r="M909">
        <v>2000</v>
      </c>
      <c r="N909" s="10">
        <v>0.66459999999999997</v>
      </c>
      <c r="O909" s="10">
        <f t="shared" si="105"/>
        <v>1329.2</v>
      </c>
      <c r="P909" s="10">
        <v>0</v>
      </c>
      <c r="Q909" s="10">
        <v>0</v>
      </c>
      <c r="R909" s="10">
        <f>IF(COUNTIF($J$2:J909,J909)=1,SUMIFS($O:$O,$J:$J,J909)+SUMIFS($P:$P,$J:$J,J909)+SUMIFS($Q:$Q,$J:$J,J909),"")</f>
        <v>4483.34</v>
      </c>
      <c r="S909" s="10">
        <v>5812.54</v>
      </c>
      <c r="T909" s="11" t="str">
        <f t="shared" si="108"/>
        <v>Check</v>
      </c>
      <c r="U909" s="12">
        <v>46015</v>
      </c>
      <c r="V909" s="10">
        <v>262.70999999999998</v>
      </c>
      <c r="W909" s="10" t="str">
        <f t="shared" si="106"/>
        <v>Short Paid</v>
      </c>
      <c r="X909" t="s">
        <v>474</v>
      </c>
      <c r="Y909" t="s">
        <v>28</v>
      </c>
      <c r="Z909">
        <v>100279</v>
      </c>
      <c r="AA909" t="s">
        <v>485</v>
      </c>
      <c r="AB909" t="s">
        <v>523</v>
      </c>
      <c r="AC909" s="9">
        <v>2</v>
      </c>
      <c r="AD909" s="9" t="str">
        <f t="shared" si="107"/>
        <v>Check</v>
      </c>
      <c r="AE909" s="11">
        <f t="shared" si="109"/>
        <v>-1329.1999999999998</v>
      </c>
    </row>
    <row r="910" spans="1:31" x14ac:dyDescent="0.3">
      <c r="A910">
        <v>85</v>
      </c>
      <c r="B910">
        <v>4607626</v>
      </c>
      <c r="C910" t="s">
        <v>38</v>
      </c>
      <c r="D910">
        <v>1963277</v>
      </c>
      <c r="E910" t="s">
        <v>250</v>
      </c>
      <c r="F910" t="s">
        <v>18</v>
      </c>
      <c r="G910" t="s">
        <v>2689</v>
      </c>
      <c r="H910" t="s">
        <v>2690</v>
      </c>
      <c r="I910" t="s">
        <v>3219</v>
      </c>
      <c r="J910">
        <v>51137853211</v>
      </c>
      <c r="K910" t="s">
        <v>3351</v>
      </c>
      <c r="L910" t="s">
        <v>3407</v>
      </c>
      <c r="M910">
        <v>59</v>
      </c>
      <c r="N910" s="10">
        <v>53.46</v>
      </c>
      <c r="O910" s="10">
        <f t="shared" si="105"/>
        <v>3154.14</v>
      </c>
      <c r="P910" s="10" t="s">
        <v>5006</v>
      </c>
      <c r="Q910" s="10" t="s">
        <v>5006</v>
      </c>
      <c r="R910" s="10" t="str">
        <f>IF(COUNTIF($J$2:J910,J910)=1,SUMIFS($O:$O,$J:$J,J910)+SUMIFS($P:$P,$J:$J,J910)+SUMIFS($Q:$Q,$J:$J,J910),"")</f>
        <v/>
      </c>
      <c r="S910" s="10" t="s">
        <v>5006</v>
      </c>
      <c r="T910" s="11" t="str">
        <f t="shared" si="108"/>
        <v>Check</v>
      </c>
      <c r="U910" s="12">
        <v>46015</v>
      </c>
      <c r="V910" s="10">
        <v>262.70999999999998</v>
      </c>
      <c r="W910" s="10" t="str">
        <f t="shared" si="106"/>
        <v>N/A</v>
      </c>
      <c r="X910" t="s">
        <v>474</v>
      </c>
      <c r="Y910" t="s">
        <v>28</v>
      </c>
      <c r="Z910">
        <v>100279</v>
      </c>
      <c r="AA910" t="s">
        <v>485</v>
      </c>
      <c r="AB910" t="s">
        <v>523</v>
      </c>
      <c r="AC910" s="9">
        <v>2</v>
      </c>
      <c r="AD910" s="9" t="str">
        <f t="shared" si="107"/>
        <v>N/A</v>
      </c>
      <c r="AE910" s="11" t="e">
        <f t="shared" si="109"/>
        <v>#VALUE!</v>
      </c>
    </row>
    <row r="911" spans="1:31" x14ac:dyDescent="0.3">
      <c r="A911">
        <v>86</v>
      </c>
      <c r="B911">
        <v>4605400</v>
      </c>
      <c r="C911" t="s">
        <v>217</v>
      </c>
      <c r="D911">
        <v>1518030</v>
      </c>
      <c r="E911" t="s">
        <v>562</v>
      </c>
      <c r="F911" t="s">
        <v>18</v>
      </c>
      <c r="G911" t="s">
        <v>872</v>
      </c>
      <c r="H911" t="s">
        <v>873</v>
      </c>
      <c r="I911" t="s">
        <v>3476</v>
      </c>
      <c r="J911">
        <v>51137942259</v>
      </c>
      <c r="K911" t="s">
        <v>3194</v>
      </c>
      <c r="L911" t="s">
        <v>3382</v>
      </c>
      <c r="M911">
        <v>2000</v>
      </c>
      <c r="N911" s="10">
        <v>0.66459999999999997</v>
      </c>
      <c r="O911" s="10">
        <f t="shared" si="105"/>
        <v>1329.2</v>
      </c>
      <c r="P911" s="10">
        <v>0</v>
      </c>
      <c r="Q911" s="10">
        <v>0</v>
      </c>
      <c r="R911" s="10">
        <f>IF(COUNTIF($J$2:J911,J911)=1,SUMIFS($O:$O,$J:$J,J911)+SUMIFS($P:$P,$J:$J,J911)+SUMIFS($Q:$Q,$J:$J,J911),"")</f>
        <v>1463.6000000000001</v>
      </c>
      <c r="S911" s="10">
        <v>1463.6000000000001</v>
      </c>
      <c r="T911" s="11" t="str">
        <f t="shared" si="108"/>
        <v>Ok</v>
      </c>
      <c r="U911" s="12">
        <v>46050</v>
      </c>
      <c r="V911" s="10">
        <v>134.4</v>
      </c>
      <c r="W911" s="10" t="str">
        <f t="shared" si="106"/>
        <v>Short Paid</v>
      </c>
      <c r="X911" t="s">
        <v>468</v>
      </c>
      <c r="Y911" t="s">
        <v>28</v>
      </c>
      <c r="Z911">
        <v>100116</v>
      </c>
      <c r="AA911" t="s">
        <v>3082</v>
      </c>
      <c r="AB911" t="s">
        <v>523</v>
      </c>
      <c r="AC911" s="9">
        <v>2</v>
      </c>
      <c r="AD911" s="9" t="str">
        <f t="shared" si="107"/>
        <v>Ok</v>
      </c>
      <c r="AE911" s="11">
        <f t="shared" si="109"/>
        <v>0</v>
      </c>
    </row>
    <row r="912" spans="1:31" x14ac:dyDescent="0.3">
      <c r="A912">
        <v>86</v>
      </c>
      <c r="B912">
        <v>4605400</v>
      </c>
      <c r="C912" t="s">
        <v>217</v>
      </c>
      <c r="D912">
        <v>1518030</v>
      </c>
      <c r="E912" t="s">
        <v>562</v>
      </c>
      <c r="F912" t="s">
        <v>18</v>
      </c>
      <c r="G912" t="s">
        <v>872</v>
      </c>
      <c r="H912" t="s">
        <v>873</v>
      </c>
      <c r="I912" t="s">
        <v>3357</v>
      </c>
      <c r="J912">
        <v>51137942259</v>
      </c>
      <c r="K912" t="s">
        <v>3229</v>
      </c>
      <c r="L912" t="s">
        <v>4000</v>
      </c>
      <c r="M912">
        <v>12000</v>
      </c>
      <c r="N912" s="10">
        <v>1.12E-2</v>
      </c>
      <c r="O912" s="10">
        <f t="shared" si="105"/>
        <v>134.4</v>
      </c>
      <c r="P912" s="10" t="s">
        <v>5006</v>
      </c>
      <c r="Q912" s="10" t="s">
        <v>5006</v>
      </c>
      <c r="R912" s="10" t="str">
        <f>IF(COUNTIF($J$2:J912,J912)=1,SUMIFS($O:$O,$J:$J,J912)+SUMIFS($P:$P,$J:$J,J912)+SUMIFS($Q:$Q,$J:$J,J912),"")</f>
        <v/>
      </c>
      <c r="S912" s="10" t="s">
        <v>5006</v>
      </c>
      <c r="T912" s="11" t="str">
        <f t="shared" si="108"/>
        <v>Ok</v>
      </c>
      <c r="U912" s="12">
        <v>46050</v>
      </c>
      <c r="V912" s="10">
        <v>134.4</v>
      </c>
      <c r="W912" s="10" t="str">
        <f t="shared" si="106"/>
        <v>N/A</v>
      </c>
      <c r="X912" t="s">
        <v>468</v>
      </c>
      <c r="Y912" t="s">
        <v>28</v>
      </c>
      <c r="Z912">
        <v>100116</v>
      </c>
      <c r="AA912" t="s">
        <v>3082</v>
      </c>
      <c r="AB912" t="s">
        <v>523</v>
      </c>
      <c r="AC912" s="9">
        <v>2</v>
      </c>
      <c r="AD912" s="9" t="str">
        <f t="shared" si="107"/>
        <v>N/A</v>
      </c>
      <c r="AE912" s="11" t="e">
        <f t="shared" si="109"/>
        <v>#VALUE!</v>
      </c>
    </row>
    <row r="913" spans="1:31" x14ac:dyDescent="0.3">
      <c r="A913">
        <v>86</v>
      </c>
      <c r="B913">
        <v>4605678</v>
      </c>
      <c r="C913" t="s">
        <v>217</v>
      </c>
      <c r="D913">
        <v>1518030</v>
      </c>
      <c r="E913" t="s">
        <v>562</v>
      </c>
      <c r="F913" t="s">
        <v>18</v>
      </c>
      <c r="G913" t="s">
        <v>874</v>
      </c>
      <c r="H913" t="s">
        <v>875</v>
      </c>
      <c r="I913" t="s">
        <v>3273</v>
      </c>
      <c r="J913">
        <v>51137956958</v>
      </c>
      <c r="K913" t="s">
        <v>3229</v>
      </c>
      <c r="L913" t="s">
        <v>4001</v>
      </c>
      <c r="M913">
        <v>12000</v>
      </c>
      <c r="N913" s="10">
        <v>0.24629999999999999</v>
      </c>
      <c r="O913" s="10">
        <f t="shared" si="105"/>
        <v>2955.6</v>
      </c>
      <c r="P913" s="10">
        <v>0</v>
      </c>
      <c r="Q913" s="10">
        <v>0</v>
      </c>
      <c r="R913" s="10">
        <f>IF(COUNTIF($J$2:J913,J913)=1,SUMIFS($O:$O,$J:$J,J913)+SUMIFS($P:$P,$J:$J,J913)+SUMIFS($Q:$Q,$J:$J,J913),"")</f>
        <v>4284.8</v>
      </c>
      <c r="S913" s="10">
        <v>4284.8</v>
      </c>
      <c r="T913" s="11" t="str">
        <f t="shared" si="108"/>
        <v>Ok</v>
      </c>
      <c r="U913" s="12">
        <v>46057</v>
      </c>
      <c r="V913" s="10">
        <v>2955.6</v>
      </c>
      <c r="W913" s="10" t="str">
        <f t="shared" si="106"/>
        <v>Short Paid</v>
      </c>
      <c r="X913" t="s">
        <v>468</v>
      </c>
      <c r="Y913" t="s">
        <v>28</v>
      </c>
      <c r="Z913">
        <v>100126</v>
      </c>
      <c r="AA913" t="s">
        <v>3123</v>
      </c>
      <c r="AB913" t="s">
        <v>523</v>
      </c>
      <c r="AC913" s="9">
        <v>2</v>
      </c>
      <c r="AD913" s="9" t="str">
        <f t="shared" si="107"/>
        <v>Ok</v>
      </c>
      <c r="AE913" s="11">
        <f t="shared" si="109"/>
        <v>0</v>
      </c>
    </row>
    <row r="914" spans="1:31" x14ac:dyDescent="0.3">
      <c r="A914">
        <v>86</v>
      </c>
      <c r="B914">
        <v>4605678</v>
      </c>
      <c r="C914" t="s">
        <v>217</v>
      </c>
      <c r="D914">
        <v>1518030</v>
      </c>
      <c r="E914" t="s">
        <v>562</v>
      </c>
      <c r="F914" t="s">
        <v>18</v>
      </c>
      <c r="G914" t="s">
        <v>874</v>
      </c>
      <c r="H914" t="s">
        <v>875</v>
      </c>
      <c r="I914" t="s">
        <v>3257</v>
      </c>
      <c r="J914">
        <v>51137956958</v>
      </c>
      <c r="K914" t="s">
        <v>3194</v>
      </c>
      <c r="L914" t="s">
        <v>3382</v>
      </c>
      <c r="M914">
        <v>2000</v>
      </c>
      <c r="N914" s="10">
        <v>0.66459999999999997</v>
      </c>
      <c r="O914" s="10">
        <f t="shared" si="105"/>
        <v>1329.2</v>
      </c>
      <c r="P914" s="10" t="s">
        <v>5006</v>
      </c>
      <c r="Q914" s="10" t="s">
        <v>5006</v>
      </c>
      <c r="R914" s="10" t="str">
        <f>IF(COUNTIF($J$2:J914,J914)=1,SUMIFS($O:$O,$J:$J,J914)+SUMIFS($P:$P,$J:$J,J914)+SUMIFS($Q:$Q,$J:$J,J914),"")</f>
        <v/>
      </c>
      <c r="S914" s="10" t="s">
        <v>5006</v>
      </c>
      <c r="T914" s="11" t="str">
        <f t="shared" si="108"/>
        <v>Ok</v>
      </c>
      <c r="U914" s="12">
        <v>46057</v>
      </c>
      <c r="V914" s="10">
        <v>2955.6</v>
      </c>
      <c r="W914" s="10" t="str">
        <f t="shared" si="106"/>
        <v>N/A</v>
      </c>
      <c r="X914" t="s">
        <v>468</v>
      </c>
      <c r="Y914" t="s">
        <v>28</v>
      </c>
      <c r="Z914">
        <v>100126</v>
      </c>
      <c r="AA914" t="s">
        <v>3123</v>
      </c>
      <c r="AB914" t="s">
        <v>523</v>
      </c>
      <c r="AC914" s="9">
        <v>2</v>
      </c>
      <c r="AD914" s="9" t="str">
        <f t="shared" si="107"/>
        <v>N/A</v>
      </c>
      <c r="AE914" s="11" t="e">
        <f t="shared" si="109"/>
        <v>#VALUE!</v>
      </c>
    </row>
    <row r="915" spans="1:31" x14ac:dyDescent="0.3">
      <c r="A915">
        <v>79</v>
      </c>
      <c r="B915">
        <v>4617366</v>
      </c>
      <c r="C915" t="s">
        <v>220</v>
      </c>
      <c r="D915">
        <v>1577945</v>
      </c>
      <c r="E915" t="s">
        <v>681</v>
      </c>
      <c r="F915" t="s">
        <v>4876</v>
      </c>
      <c r="G915" t="s">
        <v>2695</v>
      </c>
      <c r="H915" t="s">
        <v>2696</v>
      </c>
      <c r="I915" t="s">
        <v>3283</v>
      </c>
      <c r="J915">
        <v>51137964476</v>
      </c>
      <c r="K915" t="s">
        <v>3339</v>
      </c>
      <c r="L915" t="s">
        <v>4002</v>
      </c>
      <c r="M915">
        <v>1</v>
      </c>
      <c r="N915" s="10">
        <v>2016.59</v>
      </c>
      <c r="O915" s="10">
        <f t="shared" si="105"/>
        <v>2016.59</v>
      </c>
      <c r="P915" s="10">
        <v>262.16000000000003</v>
      </c>
      <c r="Q915" s="10">
        <v>0</v>
      </c>
      <c r="R915" s="10">
        <f>IF(COUNTIF($J$2:J915,J915)=1,SUMIFS($O:$O,$J:$J,J915)+SUMIFS($P:$P,$J:$J,J915)+SUMIFS($Q:$Q,$J:$J,J915),"")</f>
        <v>6990.25</v>
      </c>
      <c r="S915" s="10">
        <v>6990.25</v>
      </c>
      <c r="T915" s="11" t="str">
        <f t="shared" si="108"/>
        <v>Ok</v>
      </c>
      <c r="U915" s="12">
        <v>46065</v>
      </c>
      <c r="V915" s="10">
        <v>881.87</v>
      </c>
      <c r="W915" s="10" t="str">
        <f t="shared" si="106"/>
        <v>Short Paid</v>
      </c>
      <c r="X915" t="s">
        <v>470</v>
      </c>
      <c r="Y915" t="s">
        <v>436</v>
      </c>
      <c r="Z915">
        <v>100258</v>
      </c>
      <c r="AA915" t="s">
        <v>3135</v>
      </c>
      <c r="AB915" t="e">
        <v>#N/A</v>
      </c>
      <c r="AC915" s="9">
        <v>2</v>
      </c>
      <c r="AD915" s="9" t="str">
        <f t="shared" si="107"/>
        <v>Ok</v>
      </c>
      <c r="AE915" s="11">
        <f t="shared" si="109"/>
        <v>0</v>
      </c>
    </row>
    <row r="916" spans="1:31" x14ac:dyDescent="0.3">
      <c r="A916">
        <v>79</v>
      </c>
      <c r="B916">
        <v>4617366</v>
      </c>
      <c r="C916" t="s">
        <v>220</v>
      </c>
      <c r="D916">
        <v>1577945</v>
      </c>
      <c r="E916" t="s">
        <v>681</v>
      </c>
      <c r="F916" t="s">
        <v>4876</v>
      </c>
      <c r="G916" t="s">
        <v>2695</v>
      </c>
      <c r="H916" t="s">
        <v>2696</v>
      </c>
      <c r="I916" t="s">
        <v>3424</v>
      </c>
      <c r="J916">
        <v>51137964476</v>
      </c>
      <c r="K916" t="s">
        <v>3165</v>
      </c>
      <c r="L916" t="s">
        <v>3839</v>
      </c>
      <c r="M916">
        <v>250</v>
      </c>
      <c r="N916" s="10">
        <v>18.846</v>
      </c>
      <c r="O916" s="10">
        <f t="shared" si="105"/>
        <v>4711.5</v>
      </c>
      <c r="P916" s="10" t="s">
        <v>5006</v>
      </c>
      <c r="Q916" s="10" t="s">
        <v>5006</v>
      </c>
      <c r="R916" s="10" t="str">
        <f>IF(COUNTIF($J$2:J916,J916)=1,SUMIFS($O:$O,$J:$J,J916)+SUMIFS($P:$P,$J:$J,J916)+SUMIFS($Q:$Q,$J:$J,J916),"")</f>
        <v/>
      </c>
      <c r="S916" s="10" t="s">
        <v>5006</v>
      </c>
      <c r="T916" s="11" t="str">
        <f t="shared" si="108"/>
        <v>Ok</v>
      </c>
      <c r="U916" s="12">
        <v>46065</v>
      </c>
      <c r="V916" s="10">
        <v>881.87</v>
      </c>
      <c r="W916" s="10" t="str">
        <f t="shared" si="106"/>
        <v>N/A</v>
      </c>
      <c r="X916" t="s">
        <v>470</v>
      </c>
      <c r="Y916" t="s">
        <v>436</v>
      </c>
      <c r="Z916">
        <v>100258</v>
      </c>
      <c r="AA916" t="s">
        <v>3135</v>
      </c>
      <c r="AB916" t="e">
        <v>#N/A</v>
      </c>
      <c r="AC916" s="9">
        <v>2</v>
      </c>
      <c r="AD916" s="9" t="str">
        <f t="shared" si="107"/>
        <v>N/A</v>
      </c>
      <c r="AE916" s="11" t="e">
        <f t="shared" si="109"/>
        <v>#VALUE!</v>
      </c>
    </row>
    <row r="917" spans="1:31" x14ac:dyDescent="0.3">
      <c r="A917">
        <v>72</v>
      </c>
      <c r="B917">
        <v>4631837</v>
      </c>
      <c r="C917" t="s">
        <v>239</v>
      </c>
      <c r="D917">
        <v>1037347</v>
      </c>
      <c r="E917" t="s">
        <v>291</v>
      </c>
      <c r="F917" t="s">
        <v>18</v>
      </c>
      <c r="G917" t="s">
        <v>939</v>
      </c>
      <c r="H917" t="s">
        <v>940</v>
      </c>
      <c r="I917" t="s">
        <v>3273</v>
      </c>
      <c r="J917">
        <v>51138002094</v>
      </c>
      <c r="K917" t="s">
        <v>3370</v>
      </c>
      <c r="L917" t="s">
        <v>4003</v>
      </c>
      <c r="M917">
        <v>6000</v>
      </c>
      <c r="N917" s="10">
        <v>3.2000000000000001E-2</v>
      </c>
      <c r="O917" s="10">
        <f t="shared" si="105"/>
        <v>192</v>
      </c>
      <c r="P917" s="10">
        <v>0</v>
      </c>
      <c r="Q917" s="10">
        <v>109.44</v>
      </c>
      <c r="R917" s="10">
        <f>IF(COUNTIF($J$2:J917,J917)=1,SUMIFS($O:$O,$J:$J,J917)+SUMIFS($P:$P,$J:$J,J917)+SUMIFS($Q:$Q,$J:$J,J917),"")</f>
        <v>10580.79</v>
      </c>
      <c r="S917" s="10">
        <v>10580.79</v>
      </c>
      <c r="T917" s="11" t="str">
        <f t="shared" si="108"/>
        <v>Ok</v>
      </c>
      <c r="U917" s="12">
        <v>46045</v>
      </c>
      <c r="V917" s="10">
        <v>301.44</v>
      </c>
      <c r="W917" s="10" t="str">
        <f t="shared" si="106"/>
        <v>Short Paid</v>
      </c>
      <c r="X917" t="s">
        <v>476</v>
      </c>
      <c r="Y917" t="s">
        <v>28</v>
      </c>
      <c r="Z917">
        <v>100205</v>
      </c>
      <c r="AA917" t="s">
        <v>3075</v>
      </c>
      <c r="AB917" t="s">
        <v>523</v>
      </c>
      <c r="AC917" s="9">
        <v>2</v>
      </c>
      <c r="AD917" s="9" t="str">
        <f t="shared" si="107"/>
        <v>Ok</v>
      </c>
      <c r="AE917" s="11">
        <f t="shared" si="109"/>
        <v>0</v>
      </c>
    </row>
    <row r="918" spans="1:31" x14ac:dyDescent="0.3">
      <c r="A918">
        <v>72</v>
      </c>
      <c r="B918">
        <v>4631837</v>
      </c>
      <c r="C918" t="s">
        <v>239</v>
      </c>
      <c r="D918">
        <v>1037347</v>
      </c>
      <c r="E918" t="s">
        <v>291</v>
      </c>
      <c r="F918" t="s">
        <v>18</v>
      </c>
      <c r="G918" t="s">
        <v>939</v>
      </c>
      <c r="H918" t="s">
        <v>940</v>
      </c>
      <c r="I918" t="s">
        <v>3230</v>
      </c>
      <c r="J918">
        <v>51138002094</v>
      </c>
      <c r="K918" t="s">
        <v>3168</v>
      </c>
      <c r="L918" t="s">
        <v>3205</v>
      </c>
      <c r="M918">
        <v>159000</v>
      </c>
      <c r="N918" s="10">
        <v>6.4649999999999999E-2</v>
      </c>
      <c r="O918" s="10">
        <f t="shared" si="105"/>
        <v>10279.35</v>
      </c>
      <c r="P918" s="10" t="s">
        <v>5006</v>
      </c>
      <c r="Q918" s="10" t="s">
        <v>5006</v>
      </c>
      <c r="R918" s="10" t="str">
        <f>IF(COUNTIF($J$2:J918,J918)=1,SUMIFS($O:$O,$J:$J,J918)+SUMIFS($P:$P,$J:$J,J918)+SUMIFS($Q:$Q,$J:$J,J918),"")</f>
        <v/>
      </c>
      <c r="S918" s="10" t="s">
        <v>5006</v>
      </c>
      <c r="T918" s="11" t="str">
        <f t="shared" si="108"/>
        <v>Ok</v>
      </c>
      <c r="U918" s="12">
        <v>46045</v>
      </c>
      <c r="V918" s="10">
        <v>301.44</v>
      </c>
      <c r="W918" s="10" t="str">
        <f t="shared" si="106"/>
        <v>N/A</v>
      </c>
      <c r="X918" t="s">
        <v>476</v>
      </c>
      <c r="Y918" t="s">
        <v>28</v>
      </c>
      <c r="Z918">
        <v>100205</v>
      </c>
      <c r="AA918" t="s">
        <v>3075</v>
      </c>
      <c r="AB918" t="s">
        <v>523</v>
      </c>
      <c r="AC918" s="9">
        <v>2</v>
      </c>
      <c r="AD918" s="9" t="str">
        <f t="shared" si="107"/>
        <v>N/A</v>
      </c>
      <c r="AE918" s="11" t="e">
        <f t="shared" si="109"/>
        <v>#VALUE!</v>
      </c>
    </row>
    <row r="919" spans="1:31" x14ac:dyDescent="0.3">
      <c r="A919">
        <v>86</v>
      </c>
      <c r="B919">
        <v>4606234</v>
      </c>
      <c r="C919" t="s">
        <v>217</v>
      </c>
      <c r="D919">
        <v>1518030</v>
      </c>
      <c r="E919" t="s">
        <v>562</v>
      </c>
      <c r="F919" t="s">
        <v>18</v>
      </c>
      <c r="G919" t="s">
        <v>878</v>
      </c>
      <c r="H919" t="s">
        <v>879</v>
      </c>
      <c r="I919" t="s">
        <v>3298</v>
      </c>
      <c r="J919">
        <v>51138132566</v>
      </c>
      <c r="K919" t="s">
        <v>3229</v>
      </c>
      <c r="L919" t="s">
        <v>3982</v>
      </c>
      <c r="M919">
        <v>8000</v>
      </c>
      <c r="N919" s="10">
        <v>6.3E-3</v>
      </c>
      <c r="O919" s="10">
        <f t="shared" si="105"/>
        <v>50.4</v>
      </c>
      <c r="P919" s="10">
        <v>0</v>
      </c>
      <c r="Q919" s="10">
        <v>0</v>
      </c>
      <c r="R919" s="10">
        <f>IF(COUNTIF($J$2:J919,J919)=1,SUMIFS($O:$O,$J:$J,J919)+SUMIFS($P:$P,$J:$J,J919)+SUMIFS($Q:$Q,$J:$J,J919),"")</f>
        <v>2148.09</v>
      </c>
      <c r="S919" s="10">
        <v>2148.09</v>
      </c>
      <c r="T919" s="11" t="str">
        <f t="shared" si="108"/>
        <v>Ok</v>
      </c>
      <c r="U919" s="12">
        <v>46059</v>
      </c>
      <c r="V919" s="10">
        <v>50.4</v>
      </c>
      <c r="W919" s="10" t="str">
        <f t="shared" si="106"/>
        <v>Short Paid</v>
      </c>
      <c r="X919" t="s">
        <v>468</v>
      </c>
      <c r="Y919" t="s">
        <v>28</v>
      </c>
      <c r="Z919">
        <v>100166</v>
      </c>
      <c r="AA919" t="s">
        <v>3069</v>
      </c>
      <c r="AB919" t="s">
        <v>523</v>
      </c>
      <c r="AC919" s="9">
        <v>2</v>
      </c>
      <c r="AD919" s="9" t="str">
        <f t="shared" si="107"/>
        <v>Ok</v>
      </c>
      <c r="AE919" s="11">
        <f t="shared" si="109"/>
        <v>0</v>
      </c>
    </row>
    <row r="920" spans="1:31" x14ac:dyDescent="0.3">
      <c r="A920">
        <v>86</v>
      </c>
      <c r="B920">
        <v>4606234</v>
      </c>
      <c r="C920" t="s">
        <v>217</v>
      </c>
      <c r="D920">
        <v>1518030</v>
      </c>
      <c r="E920" t="s">
        <v>562</v>
      </c>
      <c r="F920" t="s">
        <v>18</v>
      </c>
      <c r="G920" t="s">
        <v>878</v>
      </c>
      <c r="H920" t="s">
        <v>879</v>
      </c>
      <c r="I920" t="s">
        <v>3485</v>
      </c>
      <c r="J920">
        <v>51138132566</v>
      </c>
      <c r="K920" t="s">
        <v>3379</v>
      </c>
      <c r="L920" t="s">
        <v>3415</v>
      </c>
      <c r="M920">
        <v>21000</v>
      </c>
      <c r="N920" s="10">
        <v>9.9889999999999993E-2</v>
      </c>
      <c r="O920" s="10">
        <f t="shared" si="105"/>
        <v>2097.69</v>
      </c>
      <c r="P920" s="10" t="s">
        <v>5006</v>
      </c>
      <c r="Q920" s="10" t="s">
        <v>5006</v>
      </c>
      <c r="R920" s="10" t="str">
        <f>IF(COUNTIF($J$2:J920,J920)=1,SUMIFS($O:$O,$J:$J,J920)+SUMIFS($P:$P,$J:$J,J920)+SUMIFS($Q:$Q,$J:$J,J920),"")</f>
        <v/>
      </c>
      <c r="S920" s="10" t="s">
        <v>5006</v>
      </c>
      <c r="T920" s="11" t="str">
        <f t="shared" si="108"/>
        <v>Ok</v>
      </c>
      <c r="U920" s="12">
        <v>46059</v>
      </c>
      <c r="V920" s="10">
        <v>50.4</v>
      </c>
      <c r="W920" s="10" t="str">
        <f t="shared" si="106"/>
        <v>N/A</v>
      </c>
      <c r="X920" t="s">
        <v>468</v>
      </c>
      <c r="Y920" t="s">
        <v>28</v>
      </c>
      <c r="Z920">
        <v>100166</v>
      </c>
      <c r="AA920" t="s">
        <v>3069</v>
      </c>
      <c r="AB920" t="s">
        <v>523</v>
      </c>
      <c r="AC920" s="9">
        <v>2</v>
      </c>
      <c r="AD920" s="9" t="str">
        <f t="shared" si="107"/>
        <v>N/A</v>
      </c>
      <c r="AE920" s="11" t="e">
        <f t="shared" si="109"/>
        <v>#VALUE!</v>
      </c>
    </row>
    <row r="921" spans="1:31" x14ac:dyDescent="0.3">
      <c r="A921">
        <v>78</v>
      </c>
      <c r="B921">
        <v>4620984</v>
      </c>
      <c r="C921" t="s">
        <v>220</v>
      </c>
      <c r="D921">
        <v>1469829</v>
      </c>
      <c r="E921" t="s">
        <v>224</v>
      </c>
      <c r="F921" t="s">
        <v>20</v>
      </c>
      <c r="G921" t="s">
        <v>892</v>
      </c>
      <c r="H921" t="s">
        <v>893</v>
      </c>
      <c r="I921" t="s">
        <v>3419</v>
      </c>
      <c r="J921">
        <v>51138171573</v>
      </c>
      <c r="K921" t="s">
        <v>3209</v>
      </c>
      <c r="L921" t="s">
        <v>4004</v>
      </c>
      <c r="M921">
        <v>1</v>
      </c>
      <c r="N921" s="10">
        <v>250</v>
      </c>
      <c r="O921" s="10">
        <f t="shared" si="105"/>
        <v>250</v>
      </c>
      <c r="P921" s="10">
        <v>0</v>
      </c>
      <c r="Q921" s="10">
        <v>0</v>
      </c>
      <c r="R921" s="10">
        <f>IF(COUNTIF($J$2:J921,J921)=1,SUMIFS($O:$O,$J:$J,J921)+SUMIFS($P:$P,$J:$J,J921)+SUMIFS($Q:$Q,$J:$J,J921),"")</f>
        <v>769</v>
      </c>
      <c r="S921" s="10">
        <v>1059</v>
      </c>
      <c r="T921" s="11" t="str">
        <f t="shared" si="108"/>
        <v>Check</v>
      </c>
      <c r="U921" s="12">
        <v>45996</v>
      </c>
      <c r="V921" s="10">
        <v>540</v>
      </c>
      <c r="W921" s="10" t="str">
        <f t="shared" si="106"/>
        <v>Short Paid</v>
      </c>
      <c r="X921" t="s">
        <v>470</v>
      </c>
      <c r="Y921" t="s">
        <v>28</v>
      </c>
      <c r="Z921">
        <v>100238</v>
      </c>
      <c r="AA921" t="s">
        <v>3078</v>
      </c>
      <c r="AB921" t="s">
        <v>521</v>
      </c>
      <c r="AC921" s="9">
        <v>2</v>
      </c>
      <c r="AD921" s="9" t="str">
        <f t="shared" si="107"/>
        <v>Check</v>
      </c>
      <c r="AE921" s="11">
        <f t="shared" si="109"/>
        <v>-290</v>
      </c>
    </row>
    <row r="922" spans="1:31" x14ac:dyDescent="0.3">
      <c r="A922">
        <v>78</v>
      </c>
      <c r="B922">
        <v>4620984</v>
      </c>
      <c r="C922" t="s">
        <v>220</v>
      </c>
      <c r="D922">
        <v>1469829</v>
      </c>
      <c r="E922" t="s">
        <v>224</v>
      </c>
      <c r="F922" t="s">
        <v>20</v>
      </c>
      <c r="G922" t="s">
        <v>892</v>
      </c>
      <c r="H922" t="s">
        <v>893</v>
      </c>
      <c r="I922" t="s">
        <v>3250</v>
      </c>
      <c r="J922">
        <v>51138171573</v>
      </c>
      <c r="K922" t="s">
        <v>3180</v>
      </c>
      <c r="L922" t="s">
        <v>4005</v>
      </c>
      <c r="M922">
        <v>1000</v>
      </c>
      <c r="N922" s="10">
        <v>0.51900000000000002</v>
      </c>
      <c r="O922" s="10">
        <f t="shared" si="105"/>
        <v>519</v>
      </c>
      <c r="P922" s="10" t="s">
        <v>5006</v>
      </c>
      <c r="Q922" s="10" t="s">
        <v>5006</v>
      </c>
      <c r="R922" s="10" t="str">
        <f>IF(COUNTIF($J$2:J922,J922)=1,SUMIFS($O:$O,$J:$J,J922)+SUMIFS($P:$P,$J:$J,J922)+SUMIFS($Q:$Q,$J:$J,J922),"")</f>
        <v/>
      </c>
      <c r="S922" s="10" t="s">
        <v>5006</v>
      </c>
      <c r="T922" s="11" t="str">
        <f t="shared" si="108"/>
        <v>Check</v>
      </c>
      <c r="U922" s="12">
        <v>45996</v>
      </c>
      <c r="V922" s="10">
        <v>540</v>
      </c>
      <c r="W922" s="10" t="str">
        <f t="shared" si="106"/>
        <v>N/A</v>
      </c>
      <c r="X922" t="s">
        <v>470</v>
      </c>
      <c r="Y922" t="s">
        <v>28</v>
      </c>
      <c r="Z922">
        <v>100238</v>
      </c>
      <c r="AA922" t="s">
        <v>3078</v>
      </c>
      <c r="AB922" t="s">
        <v>521</v>
      </c>
      <c r="AC922" s="9">
        <v>2</v>
      </c>
      <c r="AD922" s="9" t="str">
        <f t="shared" si="107"/>
        <v>N/A</v>
      </c>
      <c r="AE922" s="11" t="e">
        <f t="shared" si="109"/>
        <v>#VALUE!</v>
      </c>
    </row>
    <row r="923" spans="1:31" x14ac:dyDescent="0.3">
      <c r="A923">
        <v>78</v>
      </c>
      <c r="B923">
        <v>4621818</v>
      </c>
      <c r="C923" t="s">
        <v>94</v>
      </c>
      <c r="D923">
        <v>1470631</v>
      </c>
      <c r="E923" t="s">
        <v>214</v>
      </c>
      <c r="F923" t="s">
        <v>45</v>
      </c>
      <c r="G923" t="s">
        <v>894</v>
      </c>
      <c r="H923" t="s">
        <v>895</v>
      </c>
      <c r="I923" t="s">
        <v>3542</v>
      </c>
      <c r="J923">
        <v>51138249170</v>
      </c>
      <c r="K923" t="s">
        <v>3295</v>
      </c>
      <c r="L923" t="s">
        <v>4006</v>
      </c>
      <c r="M923">
        <v>1</v>
      </c>
      <c r="N923" s="10">
        <v>500</v>
      </c>
      <c r="O923" s="10">
        <f t="shared" si="105"/>
        <v>500</v>
      </c>
      <c r="P923" s="10">
        <v>0</v>
      </c>
      <c r="Q923" s="10">
        <v>1956.05</v>
      </c>
      <c r="R923" s="10">
        <f>IF(COUNTIF($J$2:J923,J923)=1,SUMIFS($O:$O,$J:$J,J923)+SUMIFS($P:$P,$J:$J,J923)+SUMIFS($Q:$Q,$J:$J,J923),"")</f>
        <v>16001.3</v>
      </c>
      <c r="S923" s="10">
        <v>16001.3</v>
      </c>
      <c r="T923" s="11" t="str">
        <f t="shared" si="108"/>
        <v>Ok</v>
      </c>
      <c r="U923" s="12">
        <v>45848</v>
      </c>
      <c r="V923" s="10">
        <v>500</v>
      </c>
      <c r="W923" s="10" t="str">
        <f t="shared" si="106"/>
        <v>Short Paid</v>
      </c>
      <c r="X923" t="s">
        <v>450</v>
      </c>
      <c r="Y923" t="s">
        <v>40</v>
      </c>
      <c r="Z923">
        <v>100267</v>
      </c>
      <c r="AA923" t="s">
        <v>3134</v>
      </c>
      <c r="AB923" t="s">
        <v>526</v>
      </c>
      <c r="AC923" s="9">
        <v>3</v>
      </c>
      <c r="AD923" s="9" t="str">
        <f t="shared" si="107"/>
        <v>Ok</v>
      </c>
      <c r="AE923" s="11">
        <f t="shared" si="109"/>
        <v>0</v>
      </c>
    </row>
    <row r="924" spans="1:31" x14ac:dyDescent="0.3">
      <c r="A924">
        <v>78</v>
      </c>
      <c r="B924">
        <v>4621818</v>
      </c>
      <c r="C924" t="s">
        <v>94</v>
      </c>
      <c r="D924">
        <v>1470631</v>
      </c>
      <c r="E924" t="s">
        <v>214</v>
      </c>
      <c r="F924" t="s">
        <v>45</v>
      </c>
      <c r="G924" t="s">
        <v>894</v>
      </c>
      <c r="H924" t="s">
        <v>895</v>
      </c>
      <c r="I924" t="s">
        <v>3542</v>
      </c>
      <c r="J924">
        <v>51138249170</v>
      </c>
      <c r="K924" t="s">
        <v>3295</v>
      </c>
      <c r="L924" t="s">
        <v>4007</v>
      </c>
      <c r="M924">
        <v>500</v>
      </c>
      <c r="N924" s="10">
        <v>17.09</v>
      </c>
      <c r="O924" s="10">
        <f t="shared" si="105"/>
        <v>8545</v>
      </c>
      <c r="P924" s="10" t="s">
        <v>5006</v>
      </c>
      <c r="Q924" s="10" t="s">
        <v>5006</v>
      </c>
      <c r="R924" s="10" t="str">
        <f>IF(COUNTIF($J$2:J924,J924)=1,SUMIFS($O:$O,$J:$J,J924)+SUMIFS($P:$P,$J:$J,J924)+SUMIFS($Q:$Q,$J:$J,J924),"")</f>
        <v/>
      </c>
      <c r="S924" s="10" t="s">
        <v>5006</v>
      </c>
      <c r="T924" s="11" t="str">
        <f t="shared" si="108"/>
        <v>Ok</v>
      </c>
      <c r="U924" s="12">
        <v>45848</v>
      </c>
      <c r="V924" s="10">
        <v>500</v>
      </c>
      <c r="W924" s="10" t="str">
        <f t="shared" si="106"/>
        <v>N/A</v>
      </c>
      <c r="X924" t="s">
        <v>450</v>
      </c>
      <c r="Y924" t="s">
        <v>40</v>
      </c>
      <c r="Z924">
        <v>100267</v>
      </c>
      <c r="AA924" t="s">
        <v>3134</v>
      </c>
      <c r="AB924" t="s">
        <v>526</v>
      </c>
      <c r="AC924" s="9">
        <v>3</v>
      </c>
      <c r="AD924" s="9" t="str">
        <f t="shared" si="107"/>
        <v>N/A</v>
      </c>
      <c r="AE924" s="11" t="e">
        <f t="shared" si="109"/>
        <v>#VALUE!</v>
      </c>
    </row>
    <row r="925" spans="1:31" x14ac:dyDescent="0.3">
      <c r="A925">
        <v>78</v>
      </c>
      <c r="B925">
        <v>4621818</v>
      </c>
      <c r="C925" t="s">
        <v>94</v>
      </c>
      <c r="D925">
        <v>1470631</v>
      </c>
      <c r="E925" t="s">
        <v>214</v>
      </c>
      <c r="F925" t="s">
        <v>45</v>
      </c>
      <c r="G925" t="s">
        <v>894</v>
      </c>
      <c r="H925" t="s">
        <v>895</v>
      </c>
      <c r="I925" t="s">
        <v>3543</v>
      </c>
      <c r="J925">
        <v>51138249170</v>
      </c>
      <c r="K925" t="s">
        <v>3194</v>
      </c>
      <c r="L925" t="s">
        <v>4008</v>
      </c>
      <c r="M925">
        <v>1500</v>
      </c>
      <c r="N925" s="10">
        <v>3.3334999999999999</v>
      </c>
      <c r="O925" s="10">
        <f t="shared" si="105"/>
        <v>5000.25</v>
      </c>
      <c r="P925" s="10" t="s">
        <v>5006</v>
      </c>
      <c r="Q925" s="10" t="s">
        <v>5006</v>
      </c>
      <c r="R925" s="10" t="str">
        <f>IF(COUNTIF($J$2:J925,J925)=1,SUMIFS($O:$O,$J:$J,J925)+SUMIFS($P:$P,$J:$J,J925)+SUMIFS($Q:$Q,$J:$J,J925),"")</f>
        <v/>
      </c>
      <c r="S925" s="10" t="s">
        <v>5006</v>
      </c>
      <c r="T925" s="11" t="str">
        <f t="shared" si="108"/>
        <v>Ok</v>
      </c>
      <c r="U925" s="12">
        <v>45848</v>
      </c>
      <c r="V925" s="10">
        <v>500</v>
      </c>
      <c r="W925" s="10" t="str">
        <f t="shared" si="106"/>
        <v>N/A</v>
      </c>
      <c r="X925" t="s">
        <v>450</v>
      </c>
      <c r="Y925" t="s">
        <v>40</v>
      </c>
      <c r="Z925">
        <v>100267</v>
      </c>
      <c r="AA925" t="s">
        <v>3134</v>
      </c>
      <c r="AB925" t="s">
        <v>526</v>
      </c>
      <c r="AC925" s="9">
        <v>3</v>
      </c>
      <c r="AD925" s="9" t="str">
        <f t="shared" si="107"/>
        <v>N/A</v>
      </c>
      <c r="AE925" s="11" t="e">
        <f t="shared" si="109"/>
        <v>#VALUE!</v>
      </c>
    </row>
    <row r="926" spans="1:31" x14ac:dyDescent="0.3">
      <c r="A926">
        <v>14</v>
      </c>
      <c r="B926">
        <v>4887580</v>
      </c>
      <c r="C926" t="s">
        <v>60</v>
      </c>
      <c r="D926">
        <v>1006248</v>
      </c>
      <c r="E926" t="s">
        <v>129</v>
      </c>
      <c r="F926" t="s">
        <v>24</v>
      </c>
      <c r="G926" t="s">
        <v>1686</v>
      </c>
      <c r="H926" t="s">
        <v>1687</v>
      </c>
      <c r="I926" t="s">
        <v>3219</v>
      </c>
      <c r="J926">
        <v>51138318495</v>
      </c>
      <c r="K926" t="s">
        <v>3276</v>
      </c>
      <c r="L926" t="s">
        <v>4009</v>
      </c>
      <c r="M926">
        <v>1</v>
      </c>
      <c r="N926" s="10">
        <v>23.53</v>
      </c>
      <c r="O926" s="10">
        <f t="shared" si="105"/>
        <v>23.53</v>
      </c>
      <c r="P926" s="10">
        <v>0</v>
      </c>
      <c r="Q926" s="10">
        <v>0</v>
      </c>
      <c r="R926" s="10">
        <f>IF(COUNTIF($J$2:J926,J926)=1,SUMIFS($O:$O,$J:$J,J926)+SUMIFS($P:$P,$J:$J,J926)+SUMIFS($Q:$Q,$J:$J,J926),"")</f>
        <v>1355.72</v>
      </c>
      <c r="S926" s="10">
        <v>1654.59</v>
      </c>
      <c r="T926" s="11" t="str">
        <f t="shared" si="108"/>
        <v>Check</v>
      </c>
      <c r="U926" s="12">
        <v>46177</v>
      </c>
      <c r="V926" s="10">
        <v>4050</v>
      </c>
      <c r="W926" s="10" t="str">
        <f t="shared" si="106"/>
        <v>Short Paid</v>
      </c>
      <c r="X926" t="s">
        <v>438</v>
      </c>
      <c r="Y926" t="s">
        <v>40</v>
      </c>
      <c r="Z926">
        <v>100223</v>
      </c>
      <c r="AA926" t="s">
        <v>4877</v>
      </c>
      <c r="AB926" t="s">
        <v>522</v>
      </c>
      <c r="AC926" s="9">
        <v>3</v>
      </c>
      <c r="AD926" s="9" t="str">
        <f t="shared" si="107"/>
        <v>Check</v>
      </c>
      <c r="AE926" s="11">
        <f t="shared" si="109"/>
        <v>-298.86999999999989</v>
      </c>
    </row>
    <row r="927" spans="1:31" x14ac:dyDescent="0.3">
      <c r="A927">
        <v>14</v>
      </c>
      <c r="B927">
        <v>4887580</v>
      </c>
      <c r="C927" t="s">
        <v>60</v>
      </c>
      <c r="D927">
        <v>1006248</v>
      </c>
      <c r="E927" t="s">
        <v>129</v>
      </c>
      <c r="F927" t="s">
        <v>24</v>
      </c>
      <c r="G927" t="s">
        <v>1686</v>
      </c>
      <c r="H927" t="s">
        <v>1687</v>
      </c>
      <c r="I927" t="s">
        <v>3219</v>
      </c>
      <c r="J927">
        <v>51138318495</v>
      </c>
      <c r="K927" t="s">
        <v>3276</v>
      </c>
      <c r="L927" t="s">
        <v>4010</v>
      </c>
      <c r="M927">
        <v>2</v>
      </c>
      <c r="N927" s="10">
        <v>54.47</v>
      </c>
      <c r="O927" s="10">
        <f t="shared" si="105"/>
        <v>108.94</v>
      </c>
      <c r="P927" s="10" t="s">
        <v>5006</v>
      </c>
      <c r="Q927" s="10" t="s">
        <v>5006</v>
      </c>
      <c r="R927" s="10" t="str">
        <f>IF(COUNTIF($J$2:J927,J927)=1,SUMIFS($O:$O,$J:$J,J927)+SUMIFS($P:$P,$J:$J,J927)+SUMIFS($Q:$Q,$J:$J,J927),"")</f>
        <v/>
      </c>
      <c r="S927" s="10" t="s">
        <v>5006</v>
      </c>
      <c r="T927" s="11" t="str">
        <f t="shared" si="108"/>
        <v>Check</v>
      </c>
      <c r="U927" s="12">
        <v>46177</v>
      </c>
      <c r="V927" s="10">
        <v>4050</v>
      </c>
      <c r="W927" s="10" t="str">
        <f t="shared" si="106"/>
        <v>N/A</v>
      </c>
      <c r="X927" t="s">
        <v>438</v>
      </c>
      <c r="Y927" t="s">
        <v>40</v>
      </c>
      <c r="Z927">
        <v>100223</v>
      </c>
      <c r="AA927" t="s">
        <v>4877</v>
      </c>
      <c r="AB927" t="s">
        <v>522</v>
      </c>
      <c r="AC927" s="9">
        <v>3</v>
      </c>
      <c r="AD927" s="9" t="str">
        <f t="shared" si="107"/>
        <v>N/A</v>
      </c>
      <c r="AE927" s="11" t="e">
        <f t="shared" si="109"/>
        <v>#VALUE!</v>
      </c>
    </row>
    <row r="928" spans="1:31" x14ac:dyDescent="0.3">
      <c r="A928">
        <v>14</v>
      </c>
      <c r="B928">
        <v>4887580</v>
      </c>
      <c r="C928" t="s">
        <v>60</v>
      </c>
      <c r="D928">
        <v>1006248</v>
      </c>
      <c r="E928" t="s">
        <v>129</v>
      </c>
      <c r="F928" t="s">
        <v>24</v>
      </c>
      <c r="G928" t="s">
        <v>1686</v>
      </c>
      <c r="H928" t="s">
        <v>1687</v>
      </c>
      <c r="I928" t="s">
        <v>3219</v>
      </c>
      <c r="J928">
        <v>51138318495</v>
      </c>
      <c r="K928" t="s">
        <v>3276</v>
      </c>
      <c r="L928" t="s">
        <v>4011</v>
      </c>
      <c r="M928">
        <v>25</v>
      </c>
      <c r="N928" s="10">
        <v>48.93</v>
      </c>
      <c r="O928" s="10">
        <f t="shared" si="105"/>
        <v>1223.25</v>
      </c>
      <c r="P928" s="10" t="s">
        <v>5006</v>
      </c>
      <c r="Q928" s="10" t="s">
        <v>5006</v>
      </c>
      <c r="R928" s="10" t="str">
        <f>IF(COUNTIF($J$2:J928,J928)=1,SUMIFS($O:$O,$J:$J,J928)+SUMIFS($P:$P,$J:$J,J928)+SUMIFS($Q:$Q,$J:$J,J928),"")</f>
        <v/>
      </c>
      <c r="S928" s="10" t="s">
        <v>5006</v>
      </c>
      <c r="T928" s="11" t="str">
        <f t="shared" si="108"/>
        <v>Check</v>
      </c>
      <c r="U928" s="12">
        <v>46177</v>
      </c>
      <c r="V928" s="10">
        <v>4050</v>
      </c>
      <c r="W928" s="10" t="str">
        <f t="shared" si="106"/>
        <v>N/A</v>
      </c>
      <c r="X928" t="s">
        <v>438</v>
      </c>
      <c r="Y928" t="s">
        <v>40</v>
      </c>
      <c r="Z928">
        <v>100223</v>
      </c>
      <c r="AA928" t="s">
        <v>4877</v>
      </c>
      <c r="AB928" t="s">
        <v>522</v>
      </c>
      <c r="AC928" s="9">
        <v>3</v>
      </c>
      <c r="AD928" s="9" t="str">
        <f t="shared" si="107"/>
        <v>N/A</v>
      </c>
      <c r="AE928" s="11" t="e">
        <f t="shared" si="109"/>
        <v>#VALUE!</v>
      </c>
    </row>
    <row r="929" spans="1:31" x14ac:dyDescent="0.3">
      <c r="A929">
        <v>25</v>
      </c>
      <c r="B929">
        <v>4822462</v>
      </c>
      <c r="C929" t="s">
        <v>239</v>
      </c>
      <c r="D929">
        <v>1079286</v>
      </c>
      <c r="E929" t="s">
        <v>629</v>
      </c>
      <c r="F929" t="s">
        <v>20</v>
      </c>
      <c r="G929" t="s">
        <v>1417</v>
      </c>
      <c r="H929" t="s">
        <v>1418</v>
      </c>
      <c r="I929" t="s">
        <v>3169</v>
      </c>
      <c r="J929">
        <v>51138340109</v>
      </c>
      <c r="K929" t="s">
        <v>3630</v>
      </c>
      <c r="L929" t="s">
        <v>4012</v>
      </c>
      <c r="M929">
        <v>50000</v>
      </c>
      <c r="N929" s="10">
        <v>0.35699999999999998</v>
      </c>
      <c r="O929" s="10">
        <f t="shared" si="105"/>
        <v>17850</v>
      </c>
      <c r="P929" s="10">
        <v>0</v>
      </c>
      <c r="Q929" s="10">
        <v>0</v>
      </c>
      <c r="R929" s="10">
        <f>IF(COUNTIF($J$2:J929,J929)=1,SUMIFS($O:$O,$J:$J,J929)+SUMIFS($P:$P,$J:$J,J929)+SUMIFS($Q:$Q,$J:$J,J929),"")</f>
        <v>21366.7</v>
      </c>
      <c r="S929" s="10">
        <v>22439.200000000001</v>
      </c>
      <c r="T929" s="11" t="str">
        <f t="shared" si="108"/>
        <v>Check</v>
      </c>
      <c r="U929" s="12">
        <v>46007</v>
      </c>
      <c r="V929" s="10">
        <v>2475</v>
      </c>
      <c r="W929" s="10" t="str">
        <f t="shared" si="106"/>
        <v>Short Paid</v>
      </c>
      <c r="X929" t="s">
        <v>476</v>
      </c>
      <c r="Y929" t="s">
        <v>28</v>
      </c>
      <c r="Z929">
        <v>100115</v>
      </c>
      <c r="AA929" t="s">
        <v>504</v>
      </c>
      <c r="AB929" t="s">
        <v>521</v>
      </c>
      <c r="AC929" s="9">
        <v>3</v>
      </c>
      <c r="AD929" s="9" t="str">
        <f t="shared" si="107"/>
        <v>Check</v>
      </c>
      <c r="AE929" s="11">
        <f t="shared" si="109"/>
        <v>-1072.5</v>
      </c>
    </row>
    <row r="930" spans="1:31" x14ac:dyDescent="0.3">
      <c r="A930">
        <v>25</v>
      </c>
      <c r="B930">
        <v>4822462</v>
      </c>
      <c r="C930" t="s">
        <v>239</v>
      </c>
      <c r="D930">
        <v>1079286</v>
      </c>
      <c r="E930" t="s">
        <v>629</v>
      </c>
      <c r="F930" t="s">
        <v>20</v>
      </c>
      <c r="G930" t="s">
        <v>1417</v>
      </c>
      <c r="H930" t="s">
        <v>1418</v>
      </c>
      <c r="I930" t="s">
        <v>3169</v>
      </c>
      <c r="J930">
        <v>51138340109</v>
      </c>
      <c r="K930" t="s">
        <v>3488</v>
      </c>
      <c r="L930" t="s">
        <v>3487</v>
      </c>
      <c r="M930">
        <v>62000</v>
      </c>
      <c r="N930" s="10">
        <v>3.4099999999999998E-2</v>
      </c>
      <c r="O930" s="10">
        <f t="shared" si="105"/>
        <v>2114.1999999999998</v>
      </c>
      <c r="P930" s="10" t="s">
        <v>5006</v>
      </c>
      <c r="Q930" s="10" t="s">
        <v>5006</v>
      </c>
      <c r="R930" s="10" t="str">
        <f>IF(COUNTIF($J$2:J930,J930)=1,SUMIFS($O:$O,$J:$J,J930)+SUMIFS($P:$P,$J:$J,J930)+SUMIFS($Q:$Q,$J:$J,J930),"")</f>
        <v/>
      </c>
      <c r="S930" s="10" t="s">
        <v>5006</v>
      </c>
      <c r="T930" s="11" t="str">
        <f t="shared" si="108"/>
        <v>Check</v>
      </c>
      <c r="U930" s="12">
        <v>46007</v>
      </c>
      <c r="V930" s="10">
        <v>2475</v>
      </c>
      <c r="W930" s="10" t="str">
        <f t="shared" si="106"/>
        <v>N/A</v>
      </c>
      <c r="X930" t="s">
        <v>476</v>
      </c>
      <c r="Y930" t="s">
        <v>28</v>
      </c>
      <c r="Z930">
        <v>100115</v>
      </c>
      <c r="AA930" t="s">
        <v>504</v>
      </c>
      <c r="AB930" t="s">
        <v>521</v>
      </c>
      <c r="AC930" s="9">
        <v>3</v>
      </c>
      <c r="AD930" s="9" t="str">
        <f t="shared" si="107"/>
        <v>N/A</v>
      </c>
      <c r="AE930" s="11" t="e">
        <f t="shared" si="109"/>
        <v>#VALUE!</v>
      </c>
    </row>
    <row r="931" spans="1:31" x14ac:dyDescent="0.3">
      <c r="A931">
        <v>25</v>
      </c>
      <c r="B931">
        <v>4822462</v>
      </c>
      <c r="C931" t="s">
        <v>239</v>
      </c>
      <c r="D931">
        <v>1079286</v>
      </c>
      <c r="E931" t="s">
        <v>629</v>
      </c>
      <c r="F931" t="s">
        <v>20</v>
      </c>
      <c r="G931" t="s">
        <v>1417</v>
      </c>
      <c r="H931" t="s">
        <v>1418</v>
      </c>
      <c r="I931" t="s">
        <v>3581</v>
      </c>
      <c r="J931">
        <v>51138340109</v>
      </c>
      <c r="K931" t="s">
        <v>3370</v>
      </c>
      <c r="L931" t="s">
        <v>4013</v>
      </c>
      <c r="M931">
        <v>51000</v>
      </c>
      <c r="N931" s="10">
        <v>2.75E-2</v>
      </c>
      <c r="O931" s="10">
        <f t="shared" si="105"/>
        <v>1402.5</v>
      </c>
      <c r="P931" s="10" t="s">
        <v>5006</v>
      </c>
      <c r="Q931" s="10" t="s">
        <v>5006</v>
      </c>
      <c r="R931" s="10" t="str">
        <f>IF(COUNTIF($J$2:J931,J931)=1,SUMIFS($O:$O,$J:$J,J931)+SUMIFS($P:$P,$J:$J,J931)+SUMIFS($Q:$Q,$J:$J,J931),"")</f>
        <v/>
      </c>
      <c r="S931" s="10" t="s">
        <v>5006</v>
      </c>
      <c r="T931" s="11" t="str">
        <f t="shared" si="108"/>
        <v>Check</v>
      </c>
      <c r="U931" s="12">
        <v>46007</v>
      </c>
      <c r="V931" s="10">
        <v>2475</v>
      </c>
      <c r="W931" s="10" t="str">
        <f t="shared" si="106"/>
        <v>N/A</v>
      </c>
      <c r="X931" t="s">
        <v>476</v>
      </c>
      <c r="Y931" t="s">
        <v>28</v>
      </c>
      <c r="Z931">
        <v>100115</v>
      </c>
      <c r="AA931" t="s">
        <v>504</v>
      </c>
      <c r="AB931" t="s">
        <v>521</v>
      </c>
      <c r="AC931" s="9">
        <v>3</v>
      </c>
      <c r="AD931" s="9" t="str">
        <f t="shared" si="107"/>
        <v>N/A</v>
      </c>
      <c r="AE931" s="11" t="e">
        <f t="shared" si="109"/>
        <v>#VALUE!</v>
      </c>
    </row>
    <row r="932" spans="1:31" x14ac:dyDescent="0.3">
      <c r="A932">
        <v>88</v>
      </c>
      <c r="B932">
        <v>4596773</v>
      </c>
      <c r="C932" t="s">
        <v>38</v>
      </c>
      <c r="D932">
        <v>1531708</v>
      </c>
      <c r="E932" t="s">
        <v>677</v>
      </c>
      <c r="F932" t="s">
        <v>17</v>
      </c>
      <c r="G932" t="s">
        <v>855</v>
      </c>
      <c r="H932" t="s">
        <v>856</v>
      </c>
      <c r="I932" t="s">
        <v>3178</v>
      </c>
      <c r="J932">
        <v>51138471590</v>
      </c>
      <c r="K932" t="s">
        <v>3165</v>
      </c>
      <c r="L932" t="s">
        <v>3191</v>
      </c>
      <c r="M932">
        <v>1</v>
      </c>
      <c r="N932" s="10">
        <v>839.79</v>
      </c>
      <c r="O932" s="10">
        <f t="shared" si="105"/>
        <v>839.79</v>
      </c>
      <c r="P932" s="10">
        <v>79.78</v>
      </c>
      <c r="Q932" s="10">
        <v>0</v>
      </c>
      <c r="R932" s="10">
        <f>IF(COUNTIF($J$2:J932,J932)=1,SUMIFS($O:$O,$J:$J,J932)+SUMIFS($P:$P,$J:$J,J932)+SUMIFS($Q:$Q,$J:$J,J932),"")</f>
        <v>24919.57</v>
      </c>
      <c r="S932" s="10">
        <v>24932.44</v>
      </c>
      <c r="T932" s="11" t="str">
        <f t="shared" si="108"/>
        <v>Check</v>
      </c>
      <c r="U932" s="12">
        <v>45562</v>
      </c>
      <c r="V932" s="10">
        <v>919.57</v>
      </c>
      <c r="W932" s="10" t="str">
        <f t="shared" si="106"/>
        <v>Short Paid</v>
      </c>
      <c r="X932" t="s">
        <v>474</v>
      </c>
      <c r="Y932" t="s">
        <v>436</v>
      </c>
      <c r="Z932">
        <v>100259</v>
      </c>
      <c r="AA932" t="s">
        <v>3132</v>
      </c>
      <c r="AB932" t="s">
        <v>528</v>
      </c>
      <c r="AC932" s="9">
        <v>2</v>
      </c>
      <c r="AD932" s="9" t="str">
        <f t="shared" si="107"/>
        <v>Check</v>
      </c>
      <c r="AE932" s="11">
        <f t="shared" si="109"/>
        <v>-12.869999999998981</v>
      </c>
    </row>
    <row r="933" spans="1:31" x14ac:dyDescent="0.3">
      <c r="A933">
        <v>88</v>
      </c>
      <c r="B933">
        <v>4596773</v>
      </c>
      <c r="C933" t="s">
        <v>38</v>
      </c>
      <c r="D933">
        <v>1531708</v>
      </c>
      <c r="E933" t="s">
        <v>677</v>
      </c>
      <c r="F933" t="s">
        <v>17</v>
      </c>
      <c r="G933" t="s">
        <v>855</v>
      </c>
      <c r="H933" t="s">
        <v>856</v>
      </c>
      <c r="I933" t="s">
        <v>3224</v>
      </c>
      <c r="J933">
        <v>51138471590</v>
      </c>
      <c r="K933" t="s">
        <v>3846</v>
      </c>
      <c r="L933" t="s">
        <v>3847</v>
      </c>
      <c r="M933">
        <v>120</v>
      </c>
      <c r="N933" s="10">
        <v>200</v>
      </c>
      <c r="O933" s="10">
        <f t="shared" si="105"/>
        <v>24000</v>
      </c>
      <c r="P933" s="10" t="s">
        <v>5006</v>
      </c>
      <c r="Q933" s="10" t="s">
        <v>5006</v>
      </c>
      <c r="R933" s="10" t="str">
        <f>IF(COUNTIF($J$2:J933,J933)=1,SUMIFS($O:$O,$J:$J,J933)+SUMIFS($P:$P,$J:$J,J933)+SUMIFS($Q:$Q,$J:$J,J933),"")</f>
        <v/>
      </c>
      <c r="S933" s="10" t="s">
        <v>5006</v>
      </c>
      <c r="T933" s="11" t="str">
        <f t="shared" si="108"/>
        <v>Check</v>
      </c>
      <c r="U933" s="12">
        <v>45562</v>
      </c>
      <c r="V933" s="10">
        <v>919.57</v>
      </c>
      <c r="W933" s="10" t="str">
        <f t="shared" si="106"/>
        <v>N/A</v>
      </c>
      <c r="X933" t="s">
        <v>474</v>
      </c>
      <c r="Y933" t="s">
        <v>436</v>
      </c>
      <c r="Z933">
        <v>100259</v>
      </c>
      <c r="AA933" t="s">
        <v>3132</v>
      </c>
      <c r="AB933" t="s">
        <v>528</v>
      </c>
      <c r="AC933" s="9">
        <v>2</v>
      </c>
      <c r="AD933" s="9" t="str">
        <f t="shared" si="107"/>
        <v>N/A</v>
      </c>
      <c r="AE933" s="11" t="e">
        <f t="shared" si="109"/>
        <v>#VALUE!</v>
      </c>
    </row>
    <row r="934" spans="1:31" x14ac:dyDescent="0.3">
      <c r="A934">
        <v>25</v>
      </c>
      <c r="B934">
        <v>4822183</v>
      </c>
      <c r="C934" t="s">
        <v>239</v>
      </c>
      <c r="D934">
        <v>1079286</v>
      </c>
      <c r="E934" t="s">
        <v>629</v>
      </c>
      <c r="F934" t="s">
        <v>20</v>
      </c>
      <c r="G934" t="s">
        <v>1437</v>
      </c>
      <c r="H934" t="s">
        <v>1438</v>
      </c>
      <c r="I934" t="s">
        <v>3328</v>
      </c>
      <c r="J934">
        <v>51138530280</v>
      </c>
      <c r="K934" t="s">
        <v>3289</v>
      </c>
      <c r="L934" t="s">
        <v>4014</v>
      </c>
      <c r="M934">
        <v>3000</v>
      </c>
      <c r="N934" s="10">
        <v>8.5000000000000006E-2</v>
      </c>
      <c r="O934" s="10">
        <f t="shared" si="105"/>
        <v>255.00000000000003</v>
      </c>
      <c r="P934" s="10">
        <v>0</v>
      </c>
      <c r="Q934" s="10">
        <v>0</v>
      </c>
      <c r="R934" s="10">
        <f>IF(COUNTIF($J$2:J934,J934)=1,SUMIFS($O:$O,$J:$J,J934)+SUMIFS($P:$P,$J:$J,J934)+SUMIFS($Q:$Q,$J:$J,J934),"")</f>
        <v>1773</v>
      </c>
      <c r="S934" s="10">
        <v>1773</v>
      </c>
      <c r="T934" s="11" t="str">
        <f t="shared" si="108"/>
        <v>Ok</v>
      </c>
      <c r="U934" s="12">
        <v>46007</v>
      </c>
      <c r="V934" s="10">
        <v>255</v>
      </c>
      <c r="W934" s="10" t="str">
        <f t="shared" si="106"/>
        <v>Short Paid</v>
      </c>
      <c r="X934" t="s">
        <v>476</v>
      </c>
      <c r="Y934" t="s">
        <v>28</v>
      </c>
      <c r="Z934">
        <v>100285</v>
      </c>
      <c r="AA934" t="s">
        <v>501</v>
      </c>
      <c r="AB934" t="s">
        <v>521</v>
      </c>
      <c r="AC934" s="9">
        <v>2</v>
      </c>
      <c r="AD934" s="9" t="str">
        <f t="shared" si="107"/>
        <v>Ok</v>
      </c>
      <c r="AE934" s="11">
        <f t="shared" si="109"/>
        <v>0</v>
      </c>
    </row>
    <row r="935" spans="1:31" x14ac:dyDescent="0.3">
      <c r="A935">
        <v>25</v>
      </c>
      <c r="B935">
        <v>4822183</v>
      </c>
      <c r="C935" t="s">
        <v>239</v>
      </c>
      <c r="D935">
        <v>1079286</v>
      </c>
      <c r="E935" t="s">
        <v>629</v>
      </c>
      <c r="F935" t="s">
        <v>20</v>
      </c>
      <c r="G935" t="s">
        <v>1437</v>
      </c>
      <c r="H935" t="s">
        <v>1438</v>
      </c>
      <c r="I935" t="s">
        <v>3250</v>
      </c>
      <c r="J935">
        <v>51138530280</v>
      </c>
      <c r="K935" t="s">
        <v>3379</v>
      </c>
      <c r="L935" t="s">
        <v>3504</v>
      </c>
      <c r="M935">
        <v>460000</v>
      </c>
      <c r="N935" s="10">
        <v>3.3E-3</v>
      </c>
      <c r="O935" s="10">
        <f t="shared" si="105"/>
        <v>1518</v>
      </c>
      <c r="P935" s="10" t="s">
        <v>5006</v>
      </c>
      <c r="Q935" s="10" t="s">
        <v>5006</v>
      </c>
      <c r="R935" s="10" t="str">
        <f>IF(COUNTIF($J$2:J935,J935)=1,SUMIFS($O:$O,$J:$J,J935)+SUMIFS($P:$P,$J:$J,J935)+SUMIFS($Q:$Q,$J:$J,J935),"")</f>
        <v/>
      </c>
      <c r="S935" s="10" t="s">
        <v>5006</v>
      </c>
      <c r="T935" s="11" t="str">
        <f t="shared" si="108"/>
        <v>Ok</v>
      </c>
      <c r="U935" s="12">
        <v>46007</v>
      </c>
      <c r="V935" s="10">
        <v>255</v>
      </c>
      <c r="W935" s="10" t="str">
        <f t="shared" si="106"/>
        <v>N/A</v>
      </c>
      <c r="X935" t="s">
        <v>476</v>
      </c>
      <c r="Y935" t="s">
        <v>28</v>
      </c>
      <c r="Z935">
        <v>100285</v>
      </c>
      <c r="AA935" t="s">
        <v>501</v>
      </c>
      <c r="AB935" t="s">
        <v>521</v>
      </c>
      <c r="AC935" s="9">
        <v>2</v>
      </c>
      <c r="AD935" s="9" t="str">
        <f t="shared" si="107"/>
        <v>N/A</v>
      </c>
      <c r="AE935" s="11" t="e">
        <f t="shared" si="109"/>
        <v>#VALUE!</v>
      </c>
    </row>
    <row r="936" spans="1:31" x14ac:dyDescent="0.3">
      <c r="A936">
        <v>25</v>
      </c>
      <c r="B936">
        <v>4821905</v>
      </c>
      <c r="C936" t="s">
        <v>239</v>
      </c>
      <c r="D936">
        <v>1079286</v>
      </c>
      <c r="E936" t="s">
        <v>629</v>
      </c>
      <c r="F936" t="s">
        <v>20</v>
      </c>
      <c r="G936" t="s">
        <v>1435</v>
      </c>
      <c r="H936" t="s">
        <v>1436</v>
      </c>
      <c r="I936" t="s">
        <v>3359</v>
      </c>
      <c r="J936">
        <v>51138530291</v>
      </c>
      <c r="K936" t="s">
        <v>3229</v>
      </c>
      <c r="L936" t="s">
        <v>4015</v>
      </c>
      <c r="M936">
        <v>300000</v>
      </c>
      <c r="N936" s="10">
        <v>3.2499999999999999E-3</v>
      </c>
      <c r="O936" s="10">
        <f t="shared" si="105"/>
        <v>975</v>
      </c>
      <c r="P936" s="10">
        <v>0</v>
      </c>
      <c r="Q936" s="10">
        <v>0</v>
      </c>
      <c r="R936" s="10">
        <f>IF(COUNTIF($J$2:J936,J936)=1,SUMIFS($O:$O,$J:$J,J936)+SUMIFS($P:$P,$J:$J,J936)+SUMIFS($Q:$Q,$J:$J,J936),"")</f>
        <v>4387.5</v>
      </c>
      <c r="S936" s="10">
        <v>4387.5</v>
      </c>
      <c r="T936" s="11" t="str">
        <f t="shared" si="108"/>
        <v>Ok</v>
      </c>
      <c r="U936" s="12">
        <v>46007</v>
      </c>
      <c r="V936" s="10">
        <v>3412.5</v>
      </c>
      <c r="W936" s="10" t="str">
        <f t="shared" si="106"/>
        <v>Short Paid</v>
      </c>
      <c r="X936" t="s">
        <v>476</v>
      </c>
      <c r="Y936" t="s">
        <v>28</v>
      </c>
      <c r="Z936">
        <v>100275</v>
      </c>
      <c r="AA936" t="s">
        <v>492</v>
      </c>
      <c r="AB936" t="s">
        <v>521</v>
      </c>
      <c r="AC936" s="9">
        <v>2</v>
      </c>
      <c r="AD936" s="9" t="str">
        <f t="shared" si="107"/>
        <v>Ok</v>
      </c>
      <c r="AE936" s="11">
        <f t="shared" si="109"/>
        <v>0</v>
      </c>
    </row>
    <row r="937" spans="1:31" x14ac:dyDescent="0.3">
      <c r="A937">
        <v>25</v>
      </c>
      <c r="B937">
        <v>4821905</v>
      </c>
      <c r="C937" t="s">
        <v>239</v>
      </c>
      <c r="D937">
        <v>1079286</v>
      </c>
      <c r="E937" t="s">
        <v>629</v>
      </c>
      <c r="F937" t="s">
        <v>20</v>
      </c>
      <c r="G937" t="s">
        <v>1435</v>
      </c>
      <c r="H937" t="s">
        <v>1436</v>
      </c>
      <c r="I937" t="s">
        <v>3365</v>
      </c>
      <c r="J937">
        <v>51138530291</v>
      </c>
      <c r="K937" t="s">
        <v>3375</v>
      </c>
      <c r="L937" t="s">
        <v>4016</v>
      </c>
      <c r="M937">
        <v>75000</v>
      </c>
      <c r="N937" s="10">
        <v>4.5499999999999999E-2</v>
      </c>
      <c r="O937" s="10">
        <f t="shared" si="105"/>
        <v>3412.5</v>
      </c>
      <c r="P937" s="10" t="s">
        <v>5006</v>
      </c>
      <c r="Q937" s="10" t="s">
        <v>5006</v>
      </c>
      <c r="R937" s="10" t="str">
        <f>IF(COUNTIF($J$2:J937,J937)=1,SUMIFS($O:$O,$J:$J,J937)+SUMIFS($P:$P,$J:$J,J937)+SUMIFS($Q:$Q,$J:$J,J937),"")</f>
        <v/>
      </c>
      <c r="S937" s="10" t="s">
        <v>5006</v>
      </c>
      <c r="T937" s="11" t="str">
        <f t="shared" si="108"/>
        <v>Ok</v>
      </c>
      <c r="U937" s="12">
        <v>46007</v>
      </c>
      <c r="V937" s="10">
        <v>3412.5</v>
      </c>
      <c r="W937" s="10" t="str">
        <f t="shared" si="106"/>
        <v>N/A</v>
      </c>
      <c r="X937" t="s">
        <v>476</v>
      </c>
      <c r="Y937" t="s">
        <v>28</v>
      </c>
      <c r="Z937">
        <v>100275</v>
      </c>
      <c r="AA937" t="s">
        <v>492</v>
      </c>
      <c r="AB937" t="s">
        <v>521</v>
      </c>
      <c r="AC937" s="9">
        <v>2</v>
      </c>
      <c r="AD937" s="9" t="str">
        <f t="shared" si="107"/>
        <v>N/A</v>
      </c>
      <c r="AE937" s="11" t="e">
        <f t="shared" si="109"/>
        <v>#VALUE!</v>
      </c>
    </row>
    <row r="938" spans="1:31" x14ac:dyDescent="0.3">
      <c r="A938">
        <v>25</v>
      </c>
      <c r="B938">
        <v>4821627</v>
      </c>
      <c r="C938" t="s">
        <v>239</v>
      </c>
      <c r="D938">
        <v>1079286</v>
      </c>
      <c r="E938" t="s">
        <v>629</v>
      </c>
      <c r="F938" t="s">
        <v>20</v>
      </c>
      <c r="G938" t="s">
        <v>1433</v>
      </c>
      <c r="H938" t="s">
        <v>1434</v>
      </c>
      <c r="I938" t="s">
        <v>3256</v>
      </c>
      <c r="J938">
        <v>51138539012</v>
      </c>
      <c r="K938" t="s">
        <v>3375</v>
      </c>
      <c r="L938" t="s">
        <v>4016</v>
      </c>
      <c r="M938">
        <v>90000</v>
      </c>
      <c r="N938" s="10">
        <v>4.5499999999999999E-2</v>
      </c>
      <c r="O938" s="10">
        <f t="shared" si="105"/>
        <v>4095</v>
      </c>
      <c r="P938" s="10">
        <v>0</v>
      </c>
      <c r="Q938" s="10">
        <v>0</v>
      </c>
      <c r="R938" s="10">
        <f>IF(COUNTIF($J$2:J938,J938)=1,SUMIFS($O:$O,$J:$J,J938)+SUMIFS($P:$P,$J:$J,J938)+SUMIFS($Q:$Q,$J:$J,J938),"")</f>
        <v>5746.2</v>
      </c>
      <c r="S938" s="10">
        <v>5746.2</v>
      </c>
      <c r="T938" s="11" t="str">
        <f t="shared" si="108"/>
        <v>Ok</v>
      </c>
      <c r="U938" s="12">
        <v>46007</v>
      </c>
      <c r="V938" s="10">
        <v>4095</v>
      </c>
      <c r="W938" s="10" t="str">
        <f t="shared" si="106"/>
        <v>Short Paid</v>
      </c>
      <c r="X938" t="s">
        <v>476</v>
      </c>
      <c r="Y938" t="s">
        <v>28</v>
      </c>
      <c r="Z938">
        <v>100245</v>
      </c>
      <c r="AA938" t="s">
        <v>507</v>
      </c>
      <c r="AB938" t="s">
        <v>521</v>
      </c>
      <c r="AC938" s="9">
        <v>2</v>
      </c>
      <c r="AD938" s="9" t="str">
        <f t="shared" si="107"/>
        <v>Ok</v>
      </c>
      <c r="AE938" s="11">
        <f t="shared" si="109"/>
        <v>0</v>
      </c>
    </row>
    <row r="939" spans="1:31" x14ac:dyDescent="0.3">
      <c r="A939">
        <v>25</v>
      </c>
      <c r="B939">
        <v>4821627</v>
      </c>
      <c r="C939" t="s">
        <v>239</v>
      </c>
      <c r="D939">
        <v>1079286</v>
      </c>
      <c r="E939" t="s">
        <v>629</v>
      </c>
      <c r="F939" t="s">
        <v>20</v>
      </c>
      <c r="G939" t="s">
        <v>1433</v>
      </c>
      <c r="H939" t="s">
        <v>1434</v>
      </c>
      <c r="I939" t="s">
        <v>3439</v>
      </c>
      <c r="J939">
        <v>51138539012</v>
      </c>
      <c r="K939" t="s">
        <v>3168</v>
      </c>
      <c r="L939" t="s">
        <v>3541</v>
      </c>
      <c r="M939">
        <v>24000</v>
      </c>
      <c r="N939" s="10">
        <v>6.88E-2</v>
      </c>
      <c r="O939" s="10">
        <f t="shared" si="105"/>
        <v>1651.2</v>
      </c>
      <c r="P939" s="10" t="s">
        <v>5006</v>
      </c>
      <c r="Q939" s="10" t="s">
        <v>5006</v>
      </c>
      <c r="R939" s="10" t="str">
        <f>IF(COUNTIF($J$2:J939,J939)=1,SUMIFS($O:$O,$J:$J,J939)+SUMIFS($P:$P,$J:$J,J939)+SUMIFS($Q:$Q,$J:$J,J939),"")</f>
        <v/>
      </c>
      <c r="S939" s="10" t="s">
        <v>5006</v>
      </c>
      <c r="T939" s="11" t="str">
        <f t="shared" si="108"/>
        <v>Ok</v>
      </c>
      <c r="U939" s="12">
        <v>46007</v>
      </c>
      <c r="V939" s="10">
        <v>4095</v>
      </c>
      <c r="W939" s="10" t="str">
        <f t="shared" si="106"/>
        <v>N/A</v>
      </c>
      <c r="X939" t="s">
        <v>476</v>
      </c>
      <c r="Y939" t="s">
        <v>28</v>
      </c>
      <c r="Z939">
        <v>100245</v>
      </c>
      <c r="AA939" t="s">
        <v>507</v>
      </c>
      <c r="AB939" t="s">
        <v>521</v>
      </c>
      <c r="AC939" s="9">
        <v>2</v>
      </c>
      <c r="AD939" s="9" t="str">
        <f t="shared" si="107"/>
        <v>N/A</v>
      </c>
      <c r="AE939" s="11" t="e">
        <f t="shared" si="109"/>
        <v>#VALUE!</v>
      </c>
    </row>
    <row r="940" spans="1:31" x14ac:dyDescent="0.3">
      <c r="A940">
        <v>88</v>
      </c>
      <c r="B940">
        <v>4596216</v>
      </c>
      <c r="C940" t="s">
        <v>38</v>
      </c>
      <c r="D940">
        <v>1531708</v>
      </c>
      <c r="E940" t="s">
        <v>677</v>
      </c>
      <c r="F940" t="s">
        <v>17</v>
      </c>
      <c r="G940" t="s">
        <v>851</v>
      </c>
      <c r="H940" t="s">
        <v>852</v>
      </c>
      <c r="I940" t="s">
        <v>3421</v>
      </c>
      <c r="J940">
        <v>51138580532</v>
      </c>
      <c r="K940" t="s">
        <v>3488</v>
      </c>
      <c r="L940" t="s">
        <v>4017</v>
      </c>
      <c r="M940">
        <v>28500</v>
      </c>
      <c r="N940" s="10">
        <v>0.216</v>
      </c>
      <c r="O940" s="10">
        <f t="shared" si="105"/>
        <v>6156</v>
      </c>
      <c r="P940" s="10">
        <v>100.78</v>
      </c>
      <c r="Q940" s="10">
        <v>0</v>
      </c>
      <c r="R940" s="10">
        <f>IF(COUNTIF($J$2:J940,J940)=1,SUMIFS($O:$O,$J:$J,J940)+SUMIFS($P:$P,$J:$J,J940)+SUMIFS($Q:$Q,$J:$J,J940),"")</f>
        <v>7096.57</v>
      </c>
      <c r="S940" s="10">
        <v>7936.36</v>
      </c>
      <c r="T940" s="11" t="str">
        <f t="shared" si="108"/>
        <v>Check</v>
      </c>
      <c r="U940" s="12">
        <v>45545</v>
      </c>
      <c r="V940" s="10">
        <v>1780.36</v>
      </c>
      <c r="W940" s="10" t="str">
        <f t="shared" si="106"/>
        <v>Short Paid</v>
      </c>
      <c r="X940" t="s">
        <v>474</v>
      </c>
      <c r="Y940" t="s">
        <v>436</v>
      </c>
      <c r="Z940">
        <v>100179</v>
      </c>
      <c r="AA940" t="s">
        <v>3130</v>
      </c>
      <c r="AB940" t="s">
        <v>528</v>
      </c>
      <c r="AC940" s="9">
        <v>2</v>
      </c>
      <c r="AD940" s="9" t="str">
        <f t="shared" si="107"/>
        <v>Check</v>
      </c>
      <c r="AE940" s="11">
        <f t="shared" si="109"/>
        <v>-839.79</v>
      </c>
    </row>
    <row r="941" spans="1:31" x14ac:dyDescent="0.3">
      <c r="A941">
        <v>88</v>
      </c>
      <c r="B941">
        <v>4596216</v>
      </c>
      <c r="C941" t="s">
        <v>38</v>
      </c>
      <c r="D941">
        <v>1531708</v>
      </c>
      <c r="E941" t="s">
        <v>677</v>
      </c>
      <c r="F941" t="s">
        <v>17</v>
      </c>
      <c r="G941" t="s">
        <v>851</v>
      </c>
      <c r="H941" t="s">
        <v>852</v>
      </c>
      <c r="I941" t="s">
        <v>3250</v>
      </c>
      <c r="J941">
        <v>51138580532</v>
      </c>
      <c r="K941" t="s">
        <v>3165</v>
      </c>
      <c r="L941" t="s">
        <v>3191</v>
      </c>
      <c r="M941">
        <v>1</v>
      </c>
      <c r="N941" s="10">
        <v>839.79</v>
      </c>
      <c r="O941" s="10">
        <f t="shared" si="105"/>
        <v>839.79</v>
      </c>
      <c r="P941" s="10" t="s">
        <v>5006</v>
      </c>
      <c r="Q941" s="10" t="s">
        <v>5006</v>
      </c>
      <c r="R941" s="10" t="str">
        <f>IF(COUNTIF($J$2:J941,J941)=1,SUMIFS($O:$O,$J:$J,J941)+SUMIFS($P:$P,$J:$J,J941)+SUMIFS($Q:$Q,$J:$J,J941),"")</f>
        <v/>
      </c>
      <c r="S941" s="10" t="s">
        <v>5006</v>
      </c>
      <c r="T941" s="11" t="str">
        <f t="shared" si="108"/>
        <v>Check</v>
      </c>
      <c r="U941" s="12">
        <v>45545</v>
      </c>
      <c r="V941" s="10">
        <v>1780.36</v>
      </c>
      <c r="W941" s="10" t="str">
        <f t="shared" si="106"/>
        <v>N/A</v>
      </c>
      <c r="X941" t="s">
        <v>474</v>
      </c>
      <c r="Y941" t="s">
        <v>436</v>
      </c>
      <c r="Z941">
        <v>100179</v>
      </c>
      <c r="AA941" t="s">
        <v>3130</v>
      </c>
      <c r="AB941" t="s">
        <v>528</v>
      </c>
      <c r="AC941" s="9">
        <v>2</v>
      </c>
      <c r="AD941" s="9" t="str">
        <f t="shared" si="107"/>
        <v>N/A</v>
      </c>
      <c r="AE941" s="11" t="e">
        <f t="shared" si="109"/>
        <v>#VALUE!</v>
      </c>
    </row>
    <row r="942" spans="1:31" x14ac:dyDescent="0.3">
      <c r="A942">
        <v>88</v>
      </c>
      <c r="B942">
        <v>4595938</v>
      </c>
      <c r="C942" t="s">
        <v>239</v>
      </c>
      <c r="D942">
        <v>1253414</v>
      </c>
      <c r="E942" t="s">
        <v>4878</v>
      </c>
      <c r="F942" t="s">
        <v>20</v>
      </c>
      <c r="G942" t="s">
        <v>849</v>
      </c>
      <c r="H942" t="s">
        <v>850</v>
      </c>
      <c r="I942" t="s">
        <v>3296</v>
      </c>
      <c r="J942">
        <v>51138580543</v>
      </c>
      <c r="K942" t="s">
        <v>3830</v>
      </c>
      <c r="L942" t="s">
        <v>3829</v>
      </c>
      <c r="M942">
        <v>40</v>
      </c>
      <c r="N942" s="10">
        <v>65</v>
      </c>
      <c r="O942" s="10">
        <f t="shared" si="105"/>
        <v>2600</v>
      </c>
      <c r="P942" s="10">
        <v>0</v>
      </c>
      <c r="Q942" s="10">
        <v>0</v>
      </c>
      <c r="R942" s="10">
        <f>IF(COUNTIF($J$2:J942,J942)=1,SUMIFS($O:$O,$J:$J,J942)+SUMIFS($P:$P,$J:$J,J942)+SUMIFS($Q:$Q,$J:$J,J942),"")</f>
        <v>7484.75</v>
      </c>
      <c r="S942" s="10">
        <v>14673.5</v>
      </c>
      <c r="T942" s="11" t="str">
        <f t="shared" si="108"/>
        <v>Check</v>
      </c>
      <c r="U942" s="12">
        <v>45947</v>
      </c>
      <c r="V942" s="10">
        <v>12073.5</v>
      </c>
      <c r="W942" s="10" t="str">
        <f t="shared" si="106"/>
        <v>Short Paid</v>
      </c>
      <c r="X942" t="s">
        <v>476</v>
      </c>
      <c r="Y942" t="s">
        <v>28</v>
      </c>
      <c r="Z942">
        <v>100235</v>
      </c>
      <c r="AA942" t="s">
        <v>509</v>
      </c>
      <c r="AB942" t="s">
        <v>521</v>
      </c>
      <c r="AC942" s="9">
        <v>3</v>
      </c>
      <c r="AD942" s="9" t="str">
        <f t="shared" si="107"/>
        <v>Check</v>
      </c>
      <c r="AE942" s="11">
        <f t="shared" si="109"/>
        <v>-7188.75</v>
      </c>
    </row>
    <row r="943" spans="1:31" x14ac:dyDescent="0.3">
      <c r="A943">
        <v>88</v>
      </c>
      <c r="B943">
        <v>4595938</v>
      </c>
      <c r="C943" t="s">
        <v>239</v>
      </c>
      <c r="D943">
        <v>1253414</v>
      </c>
      <c r="E943" t="s">
        <v>4878</v>
      </c>
      <c r="F943" t="s">
        <v>20</v>
      </c>
      <c r="G943" t="s">
        <v>849</v>
      </c>
      <c r="H943" t="s">
        <v>850</v>
      </c>
      <c r="I943" t="s">
        <v>3287</v>
      </c>
      <c r="J943">
        <v>51138580543</v>
      </c>
      <c r="K943" t="s">
        <v>3370</v>
      </c>
      <c r="L943" t="s">
        <v>4018</v>
      </c>
      <c r="M943">
        <v>138000</v>
      </c>
      <c r="N943" s="10">
        <v>1.1999999999999999E-2</v>
      </c>
      <c r="O943" s="10">
        <f t="shared" si="105"/>
        <v>1655.9999999999998</v>
      </c>
      <c r="P943" s="10" t="s">
        <v>5006</v>
      </c>
      <c r="Q943" s="10" t="s">
        <v>5006</v>
      </c>
      <c r="R943" s="10" t="str">
        <f>IF(COUNTIF($J$2:J943,J943)=1,SUMIFS($O:$O,$J:$J,J943)+SUMIFS($P:$P,$J:$J,J943)+SUMIFS($Q:$Q,$J:$J,J943),"")</f>
        <v/>
      </c>
      <c r="S943" s="10" t="s">
        <v>5006</v>
      </c>
      <c r="T943" s="11" t="str">
        <f t="shared" si="108"/>
        <v>Check</v>
      </c>
      <c r="U943" s="12">
        <v>45947</v>
      </c>
      <c r="V943" s="10">
        <v>12073.5</v>
      </c>
      <c r="W943" s="10" t="str">
        <f t="shared" si="106"/>
        <v>N/A</v>
      </c>
      <c r="X943" t="s">
        <v>476</v>
      </c>
      <c r="Y943" t="s">
        <v>28</v>
      </c>
      <c r="Z943">
        <v>100235</v>
      </c>
      <c r="AA943" t="s">
        <v>509</v>
      </c>
      <c r="AB943" t="s">
        <v>521</v>
      </c>
      <c r="AC943" s="9">
        <v>3</v>
      </c>
      <c r="AD943" s="9" t="str">
        <f t="shared" si="107"/>
        <v>N/A</v>
      </c>
      <c r="AE943" s="11" t="e">
        <f t="shared" si="109"/>
        <v>#VALUE!</v>
      </c>
    </row>
    <row r="944" spans="1:31" x14ac:dyDescent="0.3">
      <c r="A944">
        <v>88</v>
      </c>
      <c r="B944">
        <v>4595938</v>
      </c>
      <c r="C944" t="s">
        <v>239</v>
      </c>
      <c r="D944">
        <v>1253414</v>
      </c>
      <c r="E944" t="s">
        <v>4878</v>
      </c>
      <c r="F944" t="s">
        <v>20</v>
      </c>
      <c r="G944" t="s">
        <v>849</v>
      </c>
      <c r="H944" t="s">
        <v>850</v>
      </c>
      <c r="I944" t="s">
        <v>3287</v>
      </c>
      <c r="J944">
        <v>51138580543</v>
      </c>
      <c r="K944" t="s">
        <v>3611</v>
      </c>
      <c r="L944" t="s">
        <v>4019</v>
      </c>
      <c r="M944">
        <v>7500</v>
      </c>
      <c r="N944" s="10">
        <v>0.43050000000000005</v>
      </c>
      <c r="O944" s="10">
        <f t="shared" si="105"/>
        <v>3228.7500000000005</v>
      </c>
      <c r="P944" s="10" t="s">
        <v>5006</v>
      </c>
      <c r="Q944" s="10" t="s">
        <v>5006</v>
      </c>
      <c r="R944" s="10" t="str">
        <f>IF(COUNTIF($J$2:J944,J944)=1,SUMIFS($O:$O,$J:$J,J944)+SUMIFS($P:$P,$J:$J,J944)+SUMIFS($Q:$Q,$J:$J,J944),"")</f>
        <v/>
      </c>
      <c r="S944" s="10" t="s">
        <v>5006</v>
      </c>
      <c r="T944" s="11" t="str">
        <f t="shared" si="108"/>
        <v>Check</v>
      </c>
      <c r="U944" s="12">
        <v>45947</v>
      </c>
      <c r="V944" s="10">
        <v>12073.5</v>
      </c>
      <c r="W944" s="10" t="str">
        <f t="shared" si="106"/>
        <v>N/A</v>
      </c>
      <c r="X944" t="s">
        <v>476</v>
      </c>
      <c r="Y944" t="s">
        <v>28</v>
      </c>
      <c r="Z944">
        <v>100235</v>
      </c>
      <c r="AA944" t="s">
        <v>509</v>
      </c>
      <c r="AB944" t="s">
        <v>521</v>
      </c>
      <c r="AC944" s="9">
        <v>3</v>
      </c>
      <c r="AD944" s="9" t="str">
        <f t="shared" si="107"/>
        <v>N/A</v>
      </c>
      <c r="AE944" s="11" t="e">
        <f t="shared" si="109"/>
        <v>#VALUE!</v>
      </c>
    </row>
    <row r="945" spans="1:31" x14ac:dyDescent="0.3">
      <c r="A945">
        <v>88</v>
      </c>
      <c r="B945">
        <v>4596495</v>
      </c>
      <c r="C945" t="s">
        <v>38</v>
      </c>
      <c r="D945">
        <v>1531708</v>
      </c>
      <c r="E945" t="s">
        <v>677</v>
      </c>
      <c r="F945" t="s">
        <v>17</v>
      </c>
      <c r="G945" t="s">
        <v>853</v>
      </c>
      <c r="H945" t="s">
        <v>854</v>
      </c>
      <c r="I945" t="s">
        <v>3395</v>
      </c>
      <c r="J945">
        <v>51138691291</v>
      </c>
      <c r="K945" t="s">
        <v>3165</v>
      </c>
      <c r="L945" t="s">
        <v>3191</v>
      </c>
      <c r="M945">
        <v>1</v>
      </c>
      <c r="N945" s="10">
        <v>920.71</v>
      </c>
      <c r="O945" s="10">
        <f t="shared" si="105"/>
        <v>920.71</v>
      </c>
      <c r="P945" s="10">
        <v>80.56</v>
      </c>
      <c r="Q945" s="10">
        <v>0</v>
      </c>
      <c r="R945" s="10">
        <f>IF(COUNTIF($J$2:J945,J945)=1,SUMIFS($O:$O,$J:$J,J945)+SUMIFS($P:$P,$J:$J,J945)+SUMIFS($Q:$Q,$J:$J,J945),"")</f>
        <v>13001.269999999999</v>
      </c>
      <c r="S945" s="10">
        <v>13010.380000000001</v>
      </c>
      <c r="T945" s="11" t="str">
        <f t="shared" si="108"/>
        <v>Check</v>
      </c>
      <c r="U945" s="12">
        <v>45562</v>
      </c>
      <c r="V945" s="10">
        <v>1001.27</v>
      </c>
      <c r="W945" s="10" t="str">
        <f t="shared" si="106"/>
        <v>Short Paid</v>
      </c>
      <c r="X945" t="s">
        <v>474</v>
      </c>
      <c r="Y945" t="s">
        <v>436</v>
      </c>
      <c r="Z945">
        <v>100219</v>
      </c>
      <c r="AA945" t="s">
        <v>3131</v>
      </c>
      <c r="AB945" t="s">
        <v>528</v>
      </c>
      <c r="AC945" s="9">
        <v>2</v>
      </c>
      <c r="AD945" s="9" t="str">
        <f t="shared" si="107"/>
        <v>Check</v>
      </c>
      <c r="AE945" s="11">
        <f t="shared" si="109"/>
        <v>-9.1100000000024011</v>
      </c>
    </row>
    <row r="946" spans="1:31" x14ac:dyDescent="0.3">
      <c r="A946">
        <v>88</v>
      </c>
      <c r="B946">
        <v>4596495</v>
      </c>
      <c r="C946" t="s">
        <v>38</v>
      </c>
      <c r="D946">
        <v>1531708</v>
      </c>
      <c r="E946" t="s">
        <v>677</v>
      </c>
      <c r="F946" t="s">
        <v>17</v>
      </c>
      <c r="G946" t="s">
        <v>853</v>
      </c>
      <c r="H946" t="s">
        <v>854</v>
      </c>
      <c r="I946" t="s">
        <v>3477</v>
      </c>
      <c r="J946">
        <v>51138691291</v>
      </c>
      <c r="K946" t="s">
        <v>3846</v>
      </c>
      <c r="L946" t="s">
        <v>3847</v>
      </c>
      <c r="M946">
        <v>60</v>
      </c>
      <c r="N946" s="10">
        <v>200</v>
      </c>
      <c r="O946" s="10">
        <f t="shared" si="105"/>
        <v>12000</v>
      </c>
      <c r="P946" s="10" t="s">
        <v>5006</v>
      </c>
      <c r="Q946" s="10" t="s">
        <v>5006</v>
      </c>
      <c r="R946" s="10" t="str">
        <f>IF(COUNTIF($J$2:J946,J946)=1,SUMIFS($O:$O,$J:$J,J946)+SUMIFS($P:$P,$J:$J,J946)+SUMIFS($Q:$Q,$J:$J,J946),"")</f>
        <v/>
      </c>
      <c r="S946" s="10" t="s">
        <v>5006</v>
      </c>
      <c r="T946" s="11" t="str">
        <f t="shared" si="108"/>
        <v>Check</v>
      </c>
      <c r="U946" s="12">
        <v>45562</v>
      </c>
      <c r="V946" s="10">
        <v>1001.27</v>
      </c>
      <c r="W946" s="10" t="str">
        <f t="shared" si="106"/>
        <v>N/A</v>
      </c>
      <c r="X946" t="s">
        <v>474</v>
      </c>
      <c r="Y946" t="s">
        <v>436</v>
      </c>
      <c r="Z946">
        <v>100219</v>
      </c>
      <c r="AA946" t="s">
        <v>3131</v>
      </c>
      <c r="AB946" t="s">
        <v>528</v>
      </c>
      <c r="AC946" s="9">
        <v>2</v>
      </c>
      <c r="AD946" s="9" t="str">
        <f t="shared" si="107"/>
        <v>N/A</v>
      </c>
      <c r="AE946" s="11" t="e">
        <f t="shared" si="109"/>
        <v>#VALUE!</v>
      </c>
    </row>
    <row r="947" spans="1:31" x14ac:dyDescent="0.3">
      <c r="A947">
        <v>74</v>
      </c>
      <c r="B947">
        <v>4624601</v>
      </c>
      <c r="C947" t="s">
        <v>56</v>
      </c>
      <c r="D947">
        <v>1599743</v>
      </c>
      <c r="E947" t="s">
        <v>4879</v>
      </c>
      <c r="F947" t="s">
        <v>4876</v>
      </c>
      <c r="G947" t="s">
        <v>906</v>
      </c>
      <c r="H947" t="s">
        <v>907</v>
      </c>
      <c r="I947" t="s">
        <v>3421</v>
      </c>
      <c r="J947">
        <v>51138899690</v>
      </c>
      <c r="K947" t="s">
        <v>3500</v>
      </c>
      <c r="L947" t="s">
        <v>4020</v>
      </c>
      <c r="M947">
        <v>4</v>
      </c>
      <c r="N947" s="10">
        <v>1678</v>
      </c>
      <c r="O947" s="10">
        <f t="shared" si="105"/>
        <v>6712</v>
      </c>
      <c r="P947" s="10">
        <v>2058.0299999999997</v>
      </c>
      <c r="Q947" s="10">
        <v>0</v>
      </c>
      <c r="R947" s="10">
        <f>IF(COUNTIF($J$2:J947,J947)=1,SUMIFS($O:$O,$J:$J,J947)+SUMIFS($P:$P,$J:$J,J947)+SUMIFS($Q:$Q,$J:$J,J947),"")</f>
        <v>9872.91</v>
      </c>
      <c r="S947" s="10">
        <v>18991.940000000002</v>
      </c>
      <c r="T947" s="11" t="str">
        <f t="shared" si="108"/>
        <v>Check</v>
      </c>
      <c r="U947" s="12">
        <v>46009</v>
      </c>
      <c r="V947" s="10">
        <v>17889.060000000001</v>
      </c>
      <c r="W947" s="10" t="str">
        <f t="shared" si="106"/>
        <v>Short Paid</v>
      </c>
      <c r="X947" t="s">
        <v>435</v>
      </c>
      <c r="Y947" t="s">
        <v>436</v>
      </c>
      <c r="Z947">
        <v>100131</v>
      </c>
      <c r="AA947" t="s">
        <v>3046</v>
      </c>
      <c r="AB947" t="e">
        <v>#N/A</v>
      </c>
      <c r="AC947" s="9">
        <v>2</v>
      </c>
      <c r="AD947" s="9" t="str">
        <f t="shared" si="107"/>
        <v>Check</v>
      </c>
      <c r="AE947" s="11">
        <f t="shared" si="109"/>
        <v>-9119.0300000000025</v>
      </c>
    </row>
    <row r="948" spans="1:31" x14ac:dyDescent="0.3">
      <c r="A948">
        <v>74</v>
      </c>
      <c r="B948">
        <v>4624601</v>
      </c>
      <c r="C948" t="s">
        <v>56</v>
      </c>
      <c r="D948">
        <v>1599743</v>
      </c>
      <c r="E948" t="s">
        <v>4879</v>
      </c>
      <c r="F948" t="s">
        <v>4876</v>
      </c>
      <c r="G948" t="s">
        <v>906</v>
      </c>
      <c r="H948" t="s">
        <v>907</v>
      </c>
      <c r="I948" t="s">
        <v>3287</v>
      </c>
      <c r="J948">
        <v>51138899690</v>
      </c>
      <c r="K948" t="s">
        <v>3207</v>
      </c>
      <c r="L948" t="s">
        <v>4021</v>
      </c>
      <c r="M948">
        <v>2000</v>
      </c>
      <c r="N948" s="10">
        <v>0.55144000000000004</v>
      </c>
      <c r="O948" s="10">
        <f t="shared" si="105"/>
        <v>1102.8800000000001</v>
      </c>
      <c r="P948" s="10" t="s">
        <v>5006</v>
      </c>
      <c r="Q948" s="10" t="s">
        <v>5006</v>
      </c>
      <c r="R948" s="10" t="str">
        <f>IF(COUNTIF($J$2:J948,J948)=1,SUMIFS($O:$O,$J:$J,J948)+SUMIFS($P:$P,$J:$J,J948)+SUMIFS($Q:$Q,$J:$J,J948),"")</f>
        <v/>
      </c>
      <c r="S948" s="10" t="s">
        <v>5006</v>
      </c>
      <c r="T948" s="11" t="str">
        <f t="shared" si="108"/>
        <v>Check</v>
      </c>
      <c r="U948" s="12">
        <v>46009</v>
      </c>
      <c r="V948" s="10">
        <v>17889.060000000001</v>
      </c>
      <c r="W948" s="10" t="str">
        <f t="shared" si="106"/>
        <v>N/A</v>
      </c>
      <c r="X948" t="s">
        <v>435</v>
      </c>
      <c r="Y948" t="s">
        <v>436</v>
      </c>
      <c r="Z948">
        <v>100131</v>
      </c>
      <c r="AA948" t="s">
        <v>3046</v>
      </c>
      <c r="AB948" t="e">
        <v>#N/A</v>
      </c>
      <c r="AC948" s="9">
        <v>2</v>
      </c>
      <c r="AD948" s="9" t="str">
        <f t="shared" si="107"/>
        <v>N/A</v>
      </c>
      <c r="AE948" s="11" t="e">
        <f t="shared" si="109"/>
        <v>#VALUE!</v>
      </c>
    </row>
    <row r="949" spans="1:31" x14ac:dyDescent="0.3">
      <c r="A949">
        <v>91</v>
      </c>
      <c r="B949">
        <v>4591485</v>
      </c>
      <c r="C949" t="s">
        <v>167</v>
      </c>
      <c r="D949">
        <v>1235549</v>
      </c>
      <c r="E949" t="s">
        <v>168</v>
      </c>
      <c r="F949" t="s">
        <v>20</v>
      </c>
      <c r="G949" t="s">
        <v>825</v>
      </c>
      <c r="H949" t="s">
        <v>826</v>
      </c>
      <c r="I949" t="s">
        <v>3451</v>
      </c>
      <c r="J949">
        <v>51138965869</v>
      </c>
      <c r="K949" t="s">
        <v>3183</v>
      </c>
      <c r="L949" t="s">
        <v>3843</v>
      </c>
      <c r="M949">
        <v>150</v>
      </c>
      <c r="N949" s="10">
        <v>31.25</v>
      </c>
      <c r="O949" s="10">
        <f t="shared" si="105"/>
        <v>4687.5</v>
      </c>
      <c r="P949" s="10">
        <v>0</v>
      </c>
      <c r="Q949" s="10">
        <v>0</v>
      </c>
      <c r="R949" s="10">
        <f>IF(COUNTIF($J$2:J949,J949)=1,SUMIFS($O:$O,$J:$J,J949)+SUMIFS($P:$P,$J:$J,J949)+SUMIFS($Q:$Q,$J:$J,J949),"")</f>
        <v>4942.9799999999996</v>
      </c>
      <c r="S949" s="10">
        <v>4942.9799999999996</v>
      </c>
      <c r="T949" s="11" t="str">
        <f t="shared" si="108"/>
        <v>Ok</v>
      </c>
      <c r="U949" s="12">
        <v>45545</v>
      </c>
      <c r="V949" s="10">
        <v>255.48</v>
      </c>
      <c r="W949" s="10" t="str">
        <f t="shared" si="106"/>
        <v>Short Paid</v>
      </c>
      <c r="X949" t="s">
        <v>455</v>
      </c>
      <c r="Y949" t="s">
        <v>28</v>
      </c>
      <c r="Z949">
        <v>100110</v>
      </c>
      <c r="AA949" t="s">
        <v>512</v>
      </c>
      <c r="AB949" t="s">
        <v>521</v>
      </c>
      <c r="AC949" s="9">
        <v>2</v>
      </c>
      <c r="AD949" s="9" t="str">
        <f t="shared" si="107"/>
        <v>Ok</v>
      </c>
      <c r="AE949" s="11">
        <f t="shared" si="109"/>
        <v>0</v>
      </c>
    </row>
    <row r="950" spans="1:31" x14ac:dyDescent="0.3">
      <c r="A950">
        <v>91</v>
      </c>
      <c r="B950">
        <v>4591485</v>
      </c>
      <c r="C950" t="s">
        <v>167</v>
      </c>
      <c r="D950">
        <v>1235549</v>
      </c>
      <c r="E950" t="s">
        <v>168</v>
      </c>
      <c r="F950" t="s">
        <v>20</v>
      </c>
      <c r="G950" t="s">
        <v>825</v>
      </c>
      <c r="H950" t="s">
        <v>826</v>
      </c>
      <c r="I950" t="s">
        <v>3414</v>
      </c>
      <c r="J950">
        <v>51138965869</v>
      </c>
      <c r="K950" t="s">
        <v>3165</v>
      </c>
      <c r="L950" t="s">
        <v>3844</v>
      </c>
      <c r="M950">
        <v>3</v>
      </c>
      <c r="N950" s="10">
        <v>85.16</v>
      </c>
      <c r="O950" s="10">
        <f t="shared" si="105"/>
        <v>255.48</v>
      </c>
      <c r="P950" s="10" t="s">
        <v>5006</v>
      </c>
      <c r="Q950" s="10" t="s">
        <v>5006</v>
      </c>
      <c r="R950" s="10" t="str">
        <f>IF(COUNTIF($J$2:J950,J950)=1,SUMIFS($O:$O,$J:$J,J950)+SUMIFS($P:$P,$J:$J,J950)+SUMIFS($Q:$Q,$J:$J,J950),"")</f>
        <v/>
      </c>
      <c r="S950" s="10" t="s">
        <v>5006</v>
      </c>
      <c r="T950" s="11" t="str">
        <f t="shared" si="108"/>
        <v>Ok</v>
      </c>
      <c r="U950" s="12">
        <v>45545</v>
      </c>
      <c r="V950" s="10">
        <v>255.48</v>
      </c>
      <c r="W950" s="10" t="str">
        <f t="shared" si="106"/>
        <v>N/A</v>
      </c>
      <c r="X950" t="s">
        <v>455</v>
      </c>
      <c r="Y950" t="s">
        <v>28</v>
      </c>
      <c r="Z950">
        <v>100110</v>
      </c>
      <c r="AA950" t="s">
        <v>512</v>
      </c>
      <c r="AB950" t="s">
        <v>521</v>
      </c>
      <c r="AC950" s="9">
        <v>2</v>
      </c>
      <c r="AD950" s="9" t="str">
        <f t="shared" si="107"/>
        <v>N/A</v>
      </c>
      <c r="AE950" s="11" t="e">
        <f t="shared" si="109"/>
        <v>#VALUE!</v>
      </c>
    </row>
    <row r="951" spans="1:31" x14ac:dyDescent="0.3">
      <c r="A951">
        <v>60</v>
      </c>
      <c r="B951">
        <v>4662726</v>
      </c>
      <c r="C951" t="s">
        <v>217</v>
      </c>
      <c r="D951">
        <v>1160621</v>
      </c>
      <c r="E951" t="s">
        <v>571</v>
      </c>
      <c r="F951" t="s">
        <v>18</v>
      </c>
      <c r="G951" t="s">
        <v>1017</v>
      </c>
      <c r="H951" t="s">
        <v>1018</v>
      </c>
      <c r="I951" t="s">
        <v>3402</v>
      </c>
      <c r="J951">
        <v>51139018433</v>
      </c>
      <c r="K951" t="s">
        <v>3314</v>
      </c>
      <c r="L951" t="s">
        <v>4022</v>
      </c>
      <c r="M951">
        <v>1000</v>
      </c>
      <c r="N951" s="10">
        <v>0.12744</v>
      </c>
      <c r="O951" s="10">
        <f t="shared" si="105"/>
        <v>127.44</v>
      </c>
      <c r="P951" s="10">
        <v>0</v>
      </c>
      <c r="Q951" s="10">
        <v>0</v>
      </c>
      <c r="R951" s="10">
        <f>IF(COUNTIF($J$2:J951,J951)=1,SUMIFS($O:$O,$J:$J,J951)+SUMIFS($P:$P,$J:$J,J951)+SUMIFS($Q:$Q,$J:$J,J951),"")</f>
        <v>45354.239999999998</v>
      </c>
      <c r="S951" s="10">
        <v>45354.240000000005</v>
      </c>
      <c r="T951" s="11" t="str">
        <f t="shared" si="108"/>
        <v>Ok</v>
      </c>
      <c r="U951" s="12">
        <v>46041</v>
      </c>
      <c r="V951" s="10">
        <v>127.44</v>
      </c>
      <c r="W951" s="10" t="str">
        <f t="shared" si="106"/>
        <v>Short Paid</v>
      </c>
      <c r="X951" t="s">
        <v>468</v>
      </c>
      <c r="Y951" t="s">
        <v>28</v>
      </c>
      <c r="Z951">
        <v>100236</v>
      </c>
      <c r="AA951" t="s">
        <v>3059</v>
      </c>
      <c r="AB951" t="s">
        <v>523</v>
      </c>
      <c r="AC951" s="9">
        <v>2</v>
      </c>
      <c r="AD951" s="9" t="str">
        <f t="shared" si="107"/>
        <v>Ok</v>
      </c>
      <c r="AE951" s="11">
        <f t="shared" si="109"/>
        <v>0</v>
      </c>
    </row>
    <row r="952" spans="1:31" x14ac:dyDescent="0.3">
      <c r="A952">
        <v>60</v>
      </c>
      <c r="B952">
        <v>4662726</v>
      </c>
      <c r="C952" t="s">
        <v>217</v>
      </c>
      <c r="D952">
        <v>1160621</v>
      </c>
      <c r="E952" t="s">
        <v>571</v>
      </c>
      <c r="F952" t="s">
        <v>18</v>
      </c>
      <c r="G952" t="s">
        <v>1017</v>
      </c>
      <c r="H952" t="s">
        <v>1018</v>
      </c>
      <c r="I952" t="s">
        <v>3524</v>
      </c>
      <c r="J952">
        <v>51139018433</v>
      </c>
      <c r="K952" t="s">
        <v>3437</v>
      </c>
      <c r="L952" t="s">
        <v>3436</v>
      </c>
      <c r="M952">
        <v>408</v>
      </c>
      <c r="N952" s="10">
        <v>110.85</v>
      </c>
      <c r="O952" s="10">
        <f t="shared" si="105"/>
        <v>45226.799999999996</v>
      </c>
      <c r="P952" s="10" t="s">
        <v>5006</v>
      </c>
      <c r="Q952" s="10" t="s">
        <v>5006</v>
      </c>
      <c r="R952" s="10" t="str">
        <f>IF(COUNTIF($J$2:J952,J952)=1,SUMIFS($O:$O,$J:$J,J952)+SUMIFS($P:$P,$J:$J,J952)+SUMIFS($Q:$Q,$J:$J,J952),"")</f>
        <v/>
      </c>
      <c r="S952" s="10" t="s">
        <v>5006</v>
      </c>
      <c r="T952" s="11" t="str">
        <f t="shared" si="108"/>
        <v>Ok</v>
      </c>
      <c r="U952" s="12">
        <v>46041</v>
      </c>
      <c r="V952" s="10">
        <v>127.44</v>
      </c>
      <c r="W952" s="10" t="str">
        <f t="shared" si="106"/>
        <v>N/A</v>
      </c>
      <c r="X952" t="s">
        <v>468</v>
      </c>
      <c r="Y952" t="s">
        <v>28</v>
      </c>
      <c r="Z952">
        <v>100236</v>
      </c>
      <c r="AA952" t="s">
        <v>3059</v>
      </c>
      <c r="AB952" t="s">
        <v>523</v>
      </c>
      <c r="AC952" s="9">
        <v>2</v>
      </c>
      <c r="AD952" s="9" t="str">
        <f t="shared" si="107"/>
        <v>N/A</v>
      </c>
      <c r="AE952" s="11" t="e">
        <f t="shared" si="109"/>
        <v>#VALUE!</v>
      </c>
    </row>
    <row r="953" spans="1:31" x14ac:dyDescent="0.3">
      <c r="A953">
        <v>72</v>
      </c>
      <c r="B953">
        <v>4631280</v>
      </c>
      <c r="C953" t="s">
        <v>239</v>
      </c>
      <c r="D953">
        <v>1037347</v>
      </c>
      <c r="E953" t="s">
        <v>291</v>
      </c>
      <c r="F953" t="s">
        <v>18</v>
      </c>
      <c r="G953" t="s">
        <v>914</v>
      </c>
      <c r="H953" t="s">
        <v>915</v>
      </c>
      <c r="I953" t="s">
        <v>3267</v>
      </c>
      <c r="J953">
        <v>51139042746</v>
      </c>
      <c r="K953" t="s">
        <v>3370</v>
      </c>
      <c r="L953" t="s">
        <v>4003</v>
      </c>
      <c r="M953">
        <v>9000</v>
      </c>
      <c r="N953" s="10">
        <v>3.2000000000000001E-2</v>
      </c>
      <c r="O953" s="10">
        <f t="shared" si="105"/>
        <v>288</v>
      </c>
      <c r="P953" s="10">
        <v>0</v>
      </c>
      <c r="Q953" s="10">
        <v>164.16</v>
      </c>
      <c r="R953" s="10">
        <f>IF(COUNTIF($J$2:J953,J953)=1,SUMIFS($O:$O,$J:$J,J953)+SUMIFS($P:$P,$J:$J,J953)+SUMIFS($Q:$Q,$J:$J,J953),"")</f>
        <v>3247.7849999999999</v>
      </c>
      <c r="S953" s="10">
        <v>3247.79</v>
      </c>
      <c r="T953" s="11" t="str">
        <f t="shared" si="108"/>
        <v>Check</v>
      </c>
      <c r="U953" s="12">
        <v>46045</v>
      </c>
      <c r="V953" s="10">
        <v>452.16</v>
      </c>
      <c r="W953" s="10" t="str">
        <f t="shared" si="106"/>
        <v>Short Paid</v>
      </c>
      <c r="X953" t="s">
        <v>476</v>
      </c>
      <c r="Y953" t="s">
        <v>28</v>
      </c>
      <c r="Z953">
        <v>100165</v>
      </c>
      <c r="AA953" t="s">
        <v>3100</v>
      </c>
      <c r="AB953" t="s">
        <v>523</v>
      </c>
      <c r="AC953" s="9">
        <v>2</v>
      </c>
      <c r="AD953" s="9" t="str">
        <f t="shared" si="107"/>
        <v>Check</v>
      </c>
      <c r="AE953" s="11">
        <f t="shared" si="109"/>
        <v>-5.0000000001091394E-3</v>
      </c>
    </row>
    <row r="954" spans="1:31" x14ac:dyDescent="0.3">
      <c r="A954">
        <v>72</v>
      </c>
      <c r="B954">
        <v>4631280</v>
      </c>
      <c r="C954" t="s">
        <v>239</v>
      </c>
      <c r="D954">
        <v>1037347</v>
      </c>
      <c r="E954" t="s">
        <v>291</v>
      </c>
      <c r="F954" t="s">
        <v>18</v>
      </c>
      <c r="G954" t="s">
        <v>914</v>
      </c>
      <c r="H954" t="s">
        <v>915</v>
      </c>
      <c r="I954" t="s">
        <v>3390</v>
      </c>
      <c r="J954">
        <v>51139042746</v>
      </c>
      <c r="K954" t="s">
        <v>3168</v>
      </c>
      <c r="L954" t="s">
        <v>3332</v>
      </c>
      <c r="M954">
        <v>7500</v>
      </c>
      <c r="N954" s="10">
        <v>0.37275000000000003</v>
      </c>
      <c r="O954" s="10">
        <f t="shared" si="105"/>
        <v>2795.625</v>
      </c>
      <c r="P954" s="10" t="s">
        <v>5006</v>
      </c>
      <c r="Q954" s="10" t="s">
        <v>5006</v>
      </c>
      <c r="R954" s="10" t="str">
        <f>IF(COUNTIF($J$2:J954,J954)=1,SUMIFS($O:$O,$J:$J,J954)+SUMIFS($P:$P,$J:$J,J954)+SUMIFS($Q:$Q,$J:$J,J954),"")</f>
        <v/>
      </c>
      <c r="S954" s="10" t="s">
        <v>5006</v>
      </c>
      <c r="T954" s="11" t="str">
        <f t="shared" si="108"/>
        <v>Check</v>
      </c>
      <c r="U954" s="12">
        <v>46045</v>
      </c>
      <c r="V954" s="10">
        <v>452.16</v>
      </c>
      <c r="W954" s="10" t="str">
        <f t="shared" si="106"/>
        <v>N/A</v>
      </c>
      <c r="X954" t="s">
        <v>476</v>
      </c>
      <c r="Y954" t="s">
        <v>28</v>
      </c>
      <c r="Z954">
        <v>100165</v>
      </c>
      <c r="AA954" t="s">
        <v>3100</v>
      </c>
      <c r="AB954" t="s">
        <v>523</v>
      </c>
      <c r="AC954" s="9">
        <v>2</v>
      </c>
      <c r="AD954" s="9" t="str">
        <f t="shared" si="107"/>
        <v>N/A</v>
      </c>
      <c r="AE954" s="11" t="e">
        <f t="shared" si="109"/>
        <v>#VALUE!</v>
      </c>
    </row>
    <row r="955" spans="1:31" x14ac:dyDescent="0.3">
      <c r="A955">
        <v>60</v>
      </c>
      <c r="B955">
        <v>4661891</v>
      </c>
      <c r="C955" t="s">
        <v>239</v>
      </c>
      <c r="D955">
        <v>1104415</v>
      </c>
      <c r="E955" t="s">
        <v>538</v>
      </c>
      <c r="F955" t="s">
        <v>19</v>
      </c>
      <c r="G955" t="s">
        <v>1011</v>
      </c>
      <c r="H955" t="s">
        <v>1012</v>
      </c>
      <c r="I955" t="s">
        <v>3285</v>
      </c>
      <c r="J955">
        <v>51139231406</v>
      </c>
      <c r="K955" t="s">
        <v>3183</v>
      </c>
      <c r="L955" t="s">
        <v>3940</v>
      </c>
      <c r="M955">
        <v>100</v>
      </c>
      <c r="N955" s="10">
        <v>6.48</v>
      </c>
      <c r="O955" s="10">
        <f t="shared" si="105"/>
        <v>648</v>
      </c>
      <c r="P955" s="10">
        <v>0</v>
      </c>
      <c r="Q955" s="10">
        <v>0</v>
      </c>
      <c r="R955" s="10">
        <f>IF(COUNTIF($J$2:J955,J955)=1,SUMIFS($O:$O,$J:$J,J955)+SUMIFS($P:$P,$J:$J,J955)+SUMIFS($Q:$Q,$J:$J,J955),"")</f>
        <v>1293.3600000000001</v>
      </c>
      <c r="S955" s="10">
        <v>1293.3600000000001</v>
      </c>
      <c r="T955" s="11" t="str">
        <f t="shared" si="108"/>
        <v>Ok</v>
      </c>
      <c r="U955" s="12">
        <v>46071</v>
      </c>
      <c r="V955" s="10">
        <v>645.36</v>
      </c>
      <c r="W955" s="10" t="str">
        <f t="shared" si="106"/>
        <v>Short Paid</v>
      </c>
      <c r="X955" t="s">
        <v>476</v>
      </c>
      <c r="Y955" t="s">
        <v>28</v>
      </c>
      <c r="Z955">
        <v>100165</v>
      </c>
      <c r="AA955" t="s">
        <v>3100</v>
      </c>
      <c r="AB955" t="s">
        <v>524</v>
      </c>
      <c r="AC955" s="9">
        <v>2</v>
      </c>
      <c r="AD955" s="9" t="str">
        <f t="shared" si="107"/>
        <v>Ok</v>
      </c>
      <c r="AE955" s="11">
        <f t="shared" si="109"/>
        <v>0</v>
      </c>
    </row>
    <row r="956" spans="1:31" x14ac:dyDescent="0.3">
      <c r="A956">
        <v>60</v>
      </c>
      <c r="B956">
        <v>4661891</v>
      </c>
      <c r="C956" t="s">
        <v>239</v>
      </c>
      <c r="D956">
        <v>1104415</v>
      </c>
      <c r="E956" t="s">
        <v>538</v>
      </c>
      <c r="F956" t="s">
        <v>19</v>
      </c>
      <c r="G956" t="s">
        <v>1011</v>
      </c>
      <c r="H956" t="s">
        <v>1012</v>
      </c>
      <c r="I956" t="s">
        <v>3247</v>
      </c>
      <c r="J956">
        <v>51139231406</v>
      </c>
      <c r="K956" t="s">
        <v>3266</v>
      </c>
      <c r="L956" t="s">
        <v>4023</v>
      </c>
      <c r="M956">
        <v>12000</v>
      </c>
      <c r="N956" s="10">
        <v>5.3780000000000001E-2</v>
      </c>
      <c r="O956" s="10">
        <f t="shared" si="105"/>
        <v>645.36</v>
      </c>
      <c r="P956" s="10" t="s">
        <v>5006</v>
      </c>
      <c r="Q956" s="10" t="s">
        <v>5006</v>
      </c>
      <c r="R956" s="10" t="str">
        <f>IF(COUNTIF($J$2:J956,J956)=1,SUMIFS($O:$O,$J:$J,J956)+SUMIFS($P:$P,$J:$J,J956)+SUMIFS($Q:$Q,$J:$J,J956),"")</f>
        <v/>
      </c>
      <c r="S956" s="10" t="s">
        <v>5006</v>
      </c>
      <c r="T956" s="11" t="str">
        <f t="shared" si="108"/>
        <v>Ok</v>
      </c>
      <c r="U956" s="12">
        <v>46071</v>
      </c>
      <c r="V956" s="10">
        <v>645.36</v>
      </c>
      <c r="W956" s="10" t="str">
        <f t="shared" si="106"/>
        <v>N/A</v>
      </c>
      <c r="X956" t="s">
        <v>476</v>
      </c>
      <c r="Y956" t="s">
        <v>28</v>
      </c>
      <c r="Z956">
        <v>100165</v>
      </c>
      <c r="AA956" t="s">
        <v>3100</v>
      </c>
      <c r="AB956" t="s">
        <v>524</v>
      </c>
      <c r="AC956" s="9">
        <v>2</v>
      </c>
      <c r="AD956" s="9" t="str">
        <f t="shared" si="107"/>
        <v>N/A</v>
      </c>
      <c r="AE956" s="11" t="e">
        <f t="shared" si="109"/>
        <v>#VALUE!</v>
      </c>
    </row>
    <row r="957" spans="1:31" x14ac:dyDescent="0.3">
      <c r="A957">
        <v>73</v>
      </c>
      <c r="B957">
        <v>4627662</v>
      </c>
      <c r="C957" t="s">
        <v>94</v>
      </c>
      <c r="D957">
        <v>1206689</v>
      </c>
      <c r="E957" t="s">
        <v>533</v>
      </c>
      <c r="F957" t="s">
        <v>18</v>
      </c>
      <c r="G957" t="s">
        <v>928</v>
      </c>
      <c r="H957" t="s">
        <v>929</v>
      </c>
      <c r="I957" t="s">
        <v>3277</v>
      </c>
      <c r="J957">
        <v>51139300139</v>
      </c>
      <c r="K957" t="s">
        <v>3238</v>
      </c>
      <c r="L957" t="s">
        <v>3237</v>
      </c>
      <c r="M957">
        <v>2000</v>
      </c>
      <c r="N957" s="10">
        <v>1.93</v>
      </c>
      <c r="O957" s="10">
        <f t="shared" si="105"/>
        <v>3860</v>
      </c>
      <c r="P957" s="10">
        <v>0</v>
      </c>
      <c r="Q957" s="10">
        <v>551.98</v>
      </c>
      <c r="R957" s="10">
        <f>IF(COUNTIF($J$2:J957,J957)=1,SUMIFS($O:$O,$J:$J,J957)+SUMIFS($P:$P,$J:$J,J957)+SUMIFS($Q:$Q,$J:$J,J957),"")</f>
        <v>22411.98</v>
      </c>
      <c r="S957" s="10">
        <v>22411.98</v>
      </c>
      <c r="T957" s="11" t="str">
        <f t="shared" si="108"/>
        <v>Ok</v>
      </c>
      <c r="U957" s="12">
        <v>46065</v>
      </c>
      <c r="V957" s="10">
        <v>4411.9799999999996</v>
      </c>
      <c r="W957" s="10" t="str">
        <f t="shared" si="106"/>
        <v>Short Paid</v>
      </c>
      <c r="X957" t="s">
        <v>450</v>
      </c>
      <c r="Y957" t="s">
        <v>28</v>
      </c>
      <c r="Z957">
        <v>100117</v>
      </c>
      <c r="AA957" t="s">
        <v>451</v>
      </c>
      <c r="AB957" t="s">
        <v>523</v>
      </c>
      <c r="AC957" s="9">
        <v>2</v>
      </c>
      <c r="AD957" s="9" t="str">
        <f t="shared" si="107"/>
        <v>Ok</v>
      </c>
      <c r="AE957" s="11">
        <f t="shared" si="109"/>
        <v>0</v>
      </c>
    </row>
    <row r="958" spans="1:31" x14ac:dyDescent="0.3">
      <c r="A958">
        <v>73</v>
      </c>
      <c r="B958">
        <v>4627662</v>
      </c>
      <c r="C958" t="s">
        <v>94</v>
      </c>
      <c r="D958">
        <v>1206689</v>
      </c>
      <c r="E958" t="s">
        <v>533</v>
      </c>
      <c r="F958" t="s">
        <v>18</v>
      </c>
      <c r="G958" t="s">
        <v>928</v>
      </c>
      <c r="H958" t="s">
        <v>929</v>
      </c>
      <c r="I958" t="s">
        <v>3336</v>
      </c>
      <c r="J958">
        <v>51139300139</v>
      </c>
      <c r="K958" t="s">
        <v>3226</v>
      </c>
      <c r="L958" t="s">
        <v>4024</v>
      </c>
      <c r="M958">
        <v>3000</v>
      </c>
      <c r="N958" s="10">
        <v>6</v>
      </c>
      <c r="O958" s="10">
        <f t="shared" si="105"/>
        <v>18000</v>
      </c>
      <c r="P958" s="10" t="s">
        <v>5006</v>
      </c>
      <c r="Q958" s="10" t="s">
        <v>5006</v>
      </c>
      <c r="R958" s="10" t="str">
        <f>IF(COUNTIF($J$2:J958,J958)=1,SUMIFS($O:$O,$J:$J,J958)+SUMIFS($P:$P,$J:$J,J958)+SUMIFS($Q:$Q,$J:$J,J958),"")</f>
        <v/>
      </c>
      <c r="S958" s="10" t="s">
        <v>5006</v>
      </c>
      <c r="T958" s="11" t="str">
        <f t="shared" si="108"/>
        <v>Ok</v>
      </c>
      <c r="U958" s="12">
        <v>46065</v>
      </c>
      <c r="V958" s="10">
        <v>4411.9799999999996</v>
      </c>
      <c r="W958" s="10" t="str">
        <f t="shared" si="106"/>
        <v>N/A</v>
      </c>
      <c r="X958" t="s">
        <v>450</v>
      </c>
      <c r="Y958" t="s">
        <v>28</v>
      </c>
      <c r="Z958">
        <v>100117</v>
      </c>
      <c r="AA958" t="s">
        <v>451</v>
      </c>
      <c r="AB958" t="s">
        <v>523</v>
      </c>
      <c r="AC958" s="9">
        <v>2</v>
      </c>
      <c r="AD958" s="9" t="str">
        <f t="shared" si="107"/>
        <v>N/A</v>
      </c>
      <c r="AE958" s="11" t="e">
        <f t="shared" si="109"/>
        <v>#VALUE!</v>
      </c>
    </row>
    <row r="959" spans="1:31" x14ac:dyDescent="0.3">
      <c r="A959">
        <v>74</v>
      </c>
      <c r="B959">
        <v>4624880</v>
      </c>
      <c r="C959" t="s">
        <v>56</v>
      </c>
      <c r="D959">
        <v>1599743</v>
      </c>
      <c r="E959" t="s">
        <v>4879</v>
      </c>
      <c r="F959" t="s">
        <v>4876</v>
      </c>
      <c r="G959" t="s">
        <v>908</v>
      </c>
      <c r="H959" t="s">
        <v>909</v>
      </c>
      <c r="I959" t="s">
        <v>3192</v>
      </c>
      <c r="J959">
        <v>51139319869</v>
      </c>
      <c r="K959" t="s">
        <v>3500</v>
      </c>
      <c r="L959" t="s">
        <v>4025</v>
      </c>
      <c r="M959">
        <v>5</v>
      </c>
      <c r="N959" s="10">
        <v>159</v>
      </c>
      <c r="O959" s="10">
        <f t="shared" si="105"/>
        <v>795</v>
      </c>
      <c r="P959" s="10">
        <v>105.28</v>
      </c>
      <c r="Q959" s="10">
        <v>0</v>
      </c>
      <c r="R959" s="10">
        <f>IF(COUNTIF($J$2:J959,J959)=1,SUMIFS($O:$O,$J:$J,J959)+SUMIFS($P:$P,$J:$J,J959)+SUMIFS($Q:$Q,$J:$J,J959),"")</f>
        <v>4680.28</v>
      </c>
      <c r="S959" s="10">
        <v>4695.09</v>
      </c>
      <c r="T959" s="11" t="str">
        <f t="shared" si="108"/>
        <v>Check</v>
      </c>
      <c r="U959" s="12">
        <v>46022</v>
      </c>
      <c r="V959" s="10">
        <v>915.09</v>
      </c>
      <c r="W959" s="10" t="str">
        <f t="shared" si="106"/>
        <v>Short Paid</v>
      </c>
      <c r="X959" t="s">
        <v>435</v>
      </c>
      <c r="Y959" t="s">
        <v>436</v>
      </c>
      <c r="Z959">
        <v>100171</v>
      </c>
      <c r="AA959" t="s">
        <v>437</v>
      </c>
      <c r="AB959" t="e">
        <v>#N/A</v>
      </c>
      <c r="AC959" s="9">
        <v>2</v>
      </c>
      <c r="AD959" s="9" t="str">
        <f t="shared" si="107"/>
        <v>Check</v>
      </c>
      <c r="AE959" s="11">
        <f t="shared" si="109"/>
        <v>-14.8100000000004</v>
      </c>
    </row>
    <row r="960" spans="1:31" x14ac:dyDescent="0.3">
      <c r="A960">
        <v>74</v>
      </c>
      <c r="B960">
        <v>4624880</v>
      </c>
      <c r="C960" t="s">
        <v>56</v>
      </c>
      <c r="D960">
        <v>1599743</v>
      </c>
      <c r="E960" t="s">
        <v>4879</v>
      </c>
      <c r="F960" t="s">
        <v>4876</v>
      </c>
      <c r="G960" t="s">
        <v>908</v>
      </c>
      <c r="H960" t="s">
        <v>909</v>
      </c>
      <c r="I960" t="s">
        <v>3172</v>
      </c>
      <c r="J960">
        <v>51139319869</v>
      </c>
      <c r="K960" t="s">
        <v>3574</v>
      </c>
      <c r="L960" t="s">
        <v>3573</v>
      </c>
      <c r="M960">
        <v>2</v>
      </c>
      <c r="N960" s="10">
        <v>1890</v>
      </c>
      <c r="O960" s="10">
        <f t="shared" si="105"/>
        <v>3780</v>
      </c>
      <c r="P960" s="10" t="s">
        <v>5006</v>
      </c>
      <c r="Q960" s="10" t="s">
        <v>5006</v>
      </c>
      <c r="R960" s="10" t="str">
        <f>IF(COUNTIF($J$2:J960,J960)=1,SUMIFS($O:$O,$J:$J,J960)+SUMIFS($P:$P,$J:$J,J960)+SUMIFS($Q:$Q,$J:$J,J960),"")</f>
        <v/>
      </c>
      <c r="S960" s="10" t="s">
        <v>5006</v>
      </c>
      <c r="T960" s="11" t="str">
        <f t="shared" si="108"/>
        <v>Check</v>
      </c>
      <c r="U960" s="12">
        <v>46022</v>
      </c>
      <c r="V960" s="10">
        <v>915.09</v>
      </c>
      <c r="W960" s="10" t="str">
        <f t="shared" si="106"/>
        <v>N/A</v>
      </c>
      <c r="X960" t="s">
        <v>435</v>
      </c>
      <c r="Y960" t="s">
        <v>436</v>
      </c>
      <c r="Z960">
        <v>100171</v>
      </c>
      <c r="AA960" t="s">
        <v>437</v>
      </c>
      <c r="AB960" t="e">
        <v>#N/A</v>
      </c>
      <c r="AC960" s="9">
        <v>2</v>
      </c>
      <c r="AD960" s="9" t="str">
        <f t="shared" si="107"/>
        <v>N/A</v>
      </c>
      <c r="AE960" s="11" t="e">
        <f t="shared" si="109"/>
        <v>#VALUE!</v>
      </c>
    </row>
    <row r="961" spans="1:31" x14ac:dyDescent="0.3">
      <c r="A961">
        <v>74</v>
      </c>
      <c r="B961">
        <v>4625436</v>
      </c>
      <c r="C961" t="s">
        <v>240</v>
      </c>
      <c r="D961">
        <v>1607032</v>
      </c>
      <c r="E961" t="s">
        <v>4880</v>
      </c>
      <c r="F961" t="s">
        <v>50</v>
      </c>
      <c r="G961" t="s">
        <v>916</v>
      </c>
      <c r="H961" t="s">
        <v>917</v>
      </c>
      <c r="I961" t="s">
        <v>3467</v>
      </c>
      <c r="J961">
        <v>51139328507</v>
      </c>
      <c r="K961" t="s">
        <v>3203</v>
      </c>
      <c r="L961" t="s">
        <v>3489</v>
      </c>
      <c r="M961">
        <v>33000</v>
      </c>
      <c r="N961" s="10">
        <v>9.2059999999999989E-2</v>
      </c>
      <c r="O961" s="10">
        <f t="shared" si="105"/>
        <v>3037.9799999999996</v>
      </c>
      <c r="P961" s="10">
        <v>0</v>
      </c>
      <c r="Q961" s="10">
        <v>0</v>
      </c>
      <c r="R961" s="10">
        <f>IF(COUNTIF($J$2:J961,J961)=1,SUMIFS($O:$O,$J:$J,J961)+SUMIFS($P:$P,$J:$J,J961)+SUMIFS($Q:$Q,$J:$J,J961),"")</f>
        <v>553037.98</v>
      </c>
      <c r="S961" s="10">
        <v>553230.71</v>
      </c>
      <c r="T961" s="11" t="str">
        <f t="shared" si="108"/>
        <v>Check</v>
      </c>
      <c r="U961" s="12">
        <v>46097</v>
      </c>
      <c r="V961" s="10">
        <v>192.73</v>
      </c>
      <c r="W961" s="10" t="str">
        <f t="shared" si="106"/>
        <v>Short Paid</v>
      </c>
      <c r="X961" t="s">
        <v>478</v>
      </c>
      <c r="Y961" t="s">
        <v>436</v>
      </c>
      <c r="Z961">
        <v>100252</v>
      </c>
      <c r="AA961" t="s">
        <v>3099</v>
      </c>
      <c r="AB961" t="s">
        <v>3042</v>
      </c>
      <c r="AC961" s="9">
        <v>2</v>
      </c>
      <c r="AD961" s="9" t="str">
        <f t="shared" si="107"/>
        <v>Check</v>
      </c>
      <c r="AE961" s="11">
        <f t="shared" si="109"/>
        <v>-192.72999999998137</v>
      </c>
    </row>
    <row r="962" spans="1:31" x14ac:dyDescent="0.3">
      <c r="A962">
        <v>74</v>
      </c>
      <c r="B962">
        <v>4625436</v>
      </c>
      <c r="C962" t="s">
        <v>240</v>
      </c>
      <c r="D962">
        <v>1607032</v>
      </c>
      <c r="E962" t="s">
        <v>4880</v>
      </c>
      <c r="F962" t="s">
        <v>50</v>
      </c>
      <c r="G962" t="s">
        <v>916</v>
      </c>
      <c r="H962" t="s">
        <v>917</v>
      </c>
      <c r="I962" t="s">
        <v>3163</v>
      </c>
      <c r="J962">
        <v>51139328507</v>
      </c>
      <c r="K962" t="s">
        <v>3373</v>
      </c>
      <c r="L962" t="s">
        <v>4026</v>
      </c>
      <c r="M962">
        <v>20000</v>
      </c>
      <c r="N962" s="10">
        <v>27.5</v>
      </c>
      <c r="O962" s="10">
        <f t="shared" ref="O962:O1025" si="110">M962*N962</f>
        <v>550000</v>
      </c>
      <c r="P962" s="10" t="s">
        <v>5006</v>
      </c>
      <c r="Q962" s="10" t="s">
        <v>5006</v>
      </c>
      <c r="R962" s="10" t="str">
        <f>IF(COUNTIF($J$2:J962,J962)=1,SUMIFS($O:$O,$J:$J,J962)+SUMIFS($P:$P,$J:$J,J962)+SUMIFS($Q:$Q,$J:$J,J962),"")</f>
        <v/>
      </c>
      <c r="S962" s="10" t="s">
        <v>5006</v>
      </c>
      <c r="T962" s="11" t="str">
        <f t="shared" si="108"/>
        <v>Check</v>
      </c>
      <c r="U962" s="12">
        <v>46097</v>
      </c>
      <c r="V962" s="10">
        <v>192.73</v>
      </c>
      <c r="W962" s="10" t="str">
        <f t="shared" ref="W962:W1025" si="111">IF(OR(S962="",V962=""),"N/A",IF(S962&lt;&gt;V962,"Short Paid","Not Paid"))</f>
        <v>N/A</v>
      </c>
      <c r="X962" t="s">
        <v>478</v>
      </c>
      <c r="Y962" t="s">
        <v>436</v>
      </c>
      <c r="Z962">
        <v>100252</v>
      </c>
      <c r="AA962" t="s">
        <v>3099</v>
      </c>
      <c r="AB962" t="s">
        <v>3042</v>
      </c>
      <c r="AC962" s="9">
        <v>2</v>
      </c>
      <c r="AD962" s="9" t="str">
        <f t="shared" ref="AD962:AD1025" si="112">IF(AND(R962="",S962=""),"N/A",IF(R962=S962,"Ok","Check"))</f>
        <v>N/A</v>
      </c>
      <c r="AE962" s="11" t="e">
        <f t="shared" si="109"/>
        <v>#VALUE!</v>
      </c>
    </row>
    <row r="963" spans="1:31" x14ac:dyDescent="0.3">
      <c r="A963">
        <v>74</v>
      </c>
      <c r="B963">
        <v>4625714</v>
      </c>
      <c r="C963" t="s">
        <v>94</v>
      </c>
      <c r="D963">
        <v>1206689</v>
      </c>
      <c r="E963" t="s">
        <v>533</v>
      </c>
      <c r="F963" t="s">
        <v>20</v>
      </c>
      <c r="G963" t="s">
        <v>910</v>
      </c>
      <c r="H963" t="s">
        <v>911</v>
      </c>
      <c r="I963" t="s">
        <v>3275</v>
      </c>
      <c r="J963">
        <v>51139328516</v>
      </c>
      <c r="K963" t="s">
        <v>4028</v>
      </c>
      <c r="L963" t="s">
        <v>4027</v>
      </c>
      <c r="M963">
        <v>7000</v>
      </c>
      <c r="N963" s="10">
        <v>0.45910000000000001</v>
      </c>
      <c r="O963" s="10">
        <f t="shared" si="110"/>
        <v>3213.7000000000003</v>
      </c>
      <c r="P963" s="10">
        <v>0</v>
      </c>
      <c r="Q963" s="10">
        <v>0</v>
      </c>
      <c r="R963" s="10">
        <f>IF(COUNTIF($J$2:J963,J963)=1,SUMIFS($O:$O,$J:$J,J963)+SUMIFS($P:$P,$J:$J,J963)+SUMIFS($Q:$Q,$J:$J,J963),"")</f>
        <v>5797.8550000000005</v>
      </c>
      <c r="S963" s="10">
        <v>5797.86</v>
      </c>
      <c r="T963" s="11" t="str">
        <f t="shared" ref="T963:T1026" si="113">IFERROR(INDEX(AD:AD,MATCH(J963,J:J,0)),"")</f>
        <v>Check</v>
      </c>
      <c r="U963" s="12">
        <v>46000</v>
      </c>
      <c r="V963" s="10">
        <v>3213.7</v>
      </c>
      <c r="W963" s="10" t="str">
        <f t="shared" si="111"/>
        <v>Short Paid</v>
      </c>
      <c r="X963" t="s">
        <v>450</v>
      </c>
      <c r="Y963" t="s">
        <v>28</v>
      </c>
      <c r="Z963">
        <v>100167</v>
      </c>
      <c r="AA963" t="s">
        <v>499</v>
      </c>
      <c r="AB963" t="s">
        <v>521</v>
      </c>
      <c r="AC963" s="9">
        <v>2</v>
      </c>
      <c r="AD963" s="9" t="str">
        <f t="shared" si="112"/>
        <v>Check</v>
      </c>
      <c r="AE963" s="11">
        <f t="shared" si="109"/>
        <v>-4.9999999991996447E-3</v>
      </c>
    </row>
    <row r="964" spans="1:31" x14ac:dyDescent="0.3">
      <c r="A964">
        <v>74</v>
      </c>
      <c r="B964">
        <v>4625714</v>
      </c>
      <c r="C964" t="s">
        <v>94</v>
      </c>
      <c r="D964">
        <v>1206689</v>
      </c>
      <c r="E964" t="s">
        <v>533</v>
      </c>
      <c r="F964" t="s">
        <v>20</v>
      </c>
      <c r="G964" t="s">
        <v>910</v>
      </c>
      <c r="H964" t="s">
        <v>911</v>
      </c>
      <c r="I964" t="s">
        <v>3285</v>
      </c>
      <c r="J964">
        <v>51139328516</v>
      </c>
      <c r="K964" t="s">
        <v>3203</v>
      </c>
      <c r="L964" t="s">
        <v>4029</v>
      </c>
      <c r="M964">
        <v>3500</v>
      </c>
      <c r="N964" s="10">
        <v>0.73833000000000004</v>
      </c>
      <c r="O964" s="10">
        <f t="shared" si="110"/>
        <v>2584.1550000000002</v>
      </c>
      <c r="P964" s="10" t="s">
        <v>5006</v>
      </c>
      <c r="Q964" s="10" t="s">
        <v>5006</v>
      </c>
      <c r="R964" s="10" t="str">
        <f>IF(COUNTIF($J$2:J964,J964)=1,SUMIFS($O:$O,$J:$J,J964)+SUMIFS($P:$P,$J:$J,J964)+SUMIFS($Q:$Q,$J:$J,J964),"")</f>
        <v/>
      </c>
      <c r="S964" s="10" t="s">
        <v>5006</v>
      </c>
      <c r="T964" s="11" t="str">
        <f t="shared" si="113"/>
        <v>Check</v>
      </c>
      <c r="U964" s="12">
        <v>46000</v>
      </c>
      <c r="V964" s="10">
        <v>3213.7</v>
      </c>
      <c r="W964" s="10" t="str">
        <f t="shared" si="111"/>
        <v>N/A</v>
      </c>
      <c r="X964" t="s">
        <v>450</v>
      </c>
      <c r="Y964" t="s">
        <v>28</v>
      </c>
      <c r="Z964">
        <v>100167</v>
      </c>
      <c r="AA964" t="s">
        <v>499</v>
      </c>
      <c r="AB964" t="s">
        <v>521</v>
      </c>
      <c r="AC964" s="9">
        <v>2</v>
      </c>
      <c r="AD964" s="9" t="str">
        <f t="shared" si="112"/>
        <v>N/A</v>
      </c>
      <c r="AE964" s="11" t="e">
        <f t="shared" si="109"/>
        <v>#VALUE!</v>
      </c>
    </row>
    <row r="965" spans="1:31" x14ac:dyDescent="0.3">
      <c r="A965">
        <v>74</v>
      </c>
      <c r="B965">
        <v>4625993</v>
      </c>
      <c r="C965" t="s">
        <v>94</v>
      </c>
      <c r="D965">
        <v>1206689</v>
      </c>
      <c r="E965" t="s">
        <v>533</v>
      </c>
      <c r="F965" t="s">
        <v>20</v>
      </c>
      <c r="G965" t="s">
        <v>918</v>
      </c>
      <c r="H965" t="s">
        <v>919</v>
      </c>
      <c r="I965" t="s">
        <v>3381</v>
      </c>
      <c r="J965">
        <v>51139336005</v>
      </c>
      <c r="K965" t="s">
        <v>4028</v>
      </c>
      <c r="L965" t="s">
        <v>4027</v>
      </c>
      <c r="M965">
        <v>23000</v>
      </c>
      <c r="N965" s="10">
        <v>0.45910000000000001</v>
      </c>
      <c r="O965" s="10">
        <f t="shared" si="110"/>
        <v>10559.300000000001</v>
      </c>
      <c r="P965" s="10">
        <v>0</v>
      </c>
      <c r="Q965" s="10">
        <v>0</v>
      </c>
      <c r="R965" s="10">
        <f>IF(COUNTIF($J$2:J965,J965)=1,SUMIFS($O:$O,$J:$J,J965)+SUMIFS($P:$P,$J:$J,J965)+SUMIFS($Q:$Q,$J:$J,J965),"")</f>
        <v>12983.7</v>
      </c>
      <c r="S965" s="10">
        <v>12983.699999999999</v>
      </c>
      <c r="T965" s="11" t="str">
        <f t="shared" si="113"/>
        <v>Ok</v>
      </c>
      <c r="U965" s="12">
        <v>46001</v>
      </c>
      <c r="V965" s="10">
        <v>10559.3</v>
      </c>
      <c r="W965" s="10" t="str">
        <f t="shared" si="111"/>
        <v>Short Paid</v>
      </c>
      <c r="X965" t="s">
        <v>450</v>
      </c>
      <c r="Y965" t="s">
        <v>28</v>
      </c>
      <c r="Z965">
        <v>100197</v>
      </c>
      <c r="AA965" t="s">
        <v>493</v>
      </c>
      <c r="AB965" t="s">
        <v>521</v>
      </c>
      <c r="AC965" s="9">
        <v>2</v>
      </c>
      <c r="AD965" s="9" t="str">
        <f t="shared" si="112"/>
        <v>Ok</v>
      </c>
      <c r="AE965" s="11">
        <f t="shared" si="109"/>
        <v>0</v>
      </c>
    </row>
    <row r="966" spans="1:31" x14ac:dyDescent="0.3">
      <c r="A966">
        <v>74</v>
      </c>
      <c r="B966">
        <v>4625993</v>
      </c>
      <c r="C966" t="s">
        <v>94</v>
      </c>
      <c r="D966">
        <v>1206689</v>
      </c>
      <c r="E966" t="s">
        <v>533</v>
      </c>
      <c r="F966" t="s">
        <v>20</v>
      </c>
      <c r="G966" t="s">
        <v>918</v>
      </c>
      <c r="H966" t="s">
        <v>919</v>
      </c>
      <c r="I966" t="s">
        <v>3505</v>
      </c>
      <c r="J966">
        <v>51139336005</v>
      </c>
      <c r="K966" t="s">
        <v>3266</v>
      </c>
      <c r="L966" t="s">
        <v>4030</v>
      </c>
      <c r="M966">
        <v>4000</v>
      </c>
      <c r="N966" s="10">
        <v>0.60609999999999997</v>
      </c>
      <c r="O966" s="10">
        <f t="shared" si="110"/>
        <v>2424.4</v>
      </c>
      <c r="P966" s="10" t="s">
        <v>5006</v>
      </c>
      <c r="Q966" s="10" t="s">
        <v>5006</v>
      </c>
      <c r="R966" s="10" t="str">
        <f>IF(COUNTIF($J$2:J966,J966)=1,SUMIFS($O:$O,$J:$J,J966)+SUMIFS($P:$P,$J:$J,J966)+SUMIFS($Q:$Q,$J:$J,J966),"")</f>
        <v/>
      </c>
      <c r="S966" s="10" t="s">
        <v>5006</v>
      </c>
      <c r="T966" s="11" t="str">
        <f t="shared" si="113"/>
        <v>Ok</v>
      </c>
      <c r="U966" s="12">
        <v>46001</v>
      </c>
      <c r="V966" s="10">
        <v>10559.3</v>
      </c>
      <c r="W966" s="10" t="str">
        <f t="shared" si="111"/>
        <v>N/A</v>
      </c>
      <c r="X966" t="s">
        <v>450</v>
      </c>
      <c r="Y966" t="s">
        <v>28</v>
      </c>
      <c r="Z966">
        <v>100197</v>
      </c>
      <c r="AA966" t="s">
        <v>493</v>
      </c>
      <c r="AB966" t="s">
        <v>521</v>
      </c>
      <c r="AC966" s="9">
        <v>2</v>
      </c>
      <c r="AD966" s="9" t="str">
        <f t="shared" si="112"/>
        <v>N/A</v>
      </c>
      <c r="AE966" s="11" t="e">
        <f t="shared" si="109"/>
        <v>#VALUE!</v>
      </c>
    </row>
    <row r="967" spans="1:31" x14ac:dyDescent="0.3">
      <c r="A967">
        <v>74</v>
      </c>
      <c r="B967">
        <v>4626271</v>
      </c>
      <c r="C967" t="s">
        <v>94</v>
      </c>
      <c r="D967">
        <v>1206689</v>
      </c>
      <c r="E967" t="s">
        <v>533</v>
      </c>
      <c r="F967" t="s">
        <v>20</v>
      </c>
      <c r="G967" t="s">
        <v>920</v>
      </c>
      <c r="H967" t="s">
        <v>921</v>
      </c>
      <c r="I967" t="s">
        <v>3551</v>
      </c>
      <c r="J967">
        <v>51139361914</v>
      </c>
      <c r="K967" t="s">
        <v>3266</v>
      </c>
      <c r="L967" t="s">
        <v>4030</v>
      </c>
      <c r="M967">
        <v>4000</v>
      </c>
      <c r="N967" s="10">
        <v>0.60609999999999997</v>
      </c>
      <c r="O967" s="10">
        <f t="shared" si="110"/>
        <v>2424.4</v>
      </c>
      <c r="P967" s="10">
        <v>0</v>
      </c>
      <c r="Q967" s="10">
        <v>0</v>
      </c>
      <c r="R967" s="10">
        <f>IF(COUNTIF($J$2:J967,J967)=1,SUMIFS($O:$O,$J:$J,J967)+SUMIFS($P:$P,$J:$J,J967)+SUMIFS($Q:$Q,$J:$J,J967),"")</f>
        <v>8392.7000000000007</v>
      </c>
      <c r="S967" s="10">
        <v>8392.7000000000007</v>
      </c>
      <c r="T967" s="11" t="str">
        <f t="shared" si="113"/>
        <v>Ok</v>
      </c>
      <c r="U967" s="12">
        <v>46001</v>
      </c>
      <c r="V967" s="10">
        <v>5968.3</v>
      </c>
      <c r="W967" s="10" t="str">
        <f t="shared" si="111"/>
        <v>Short Paid</v>
      </c>
      <c r="X967" t="s">
        <v>450</v>
      </c>
      <c r="Y967" t="s">
        <v>28</v>
      </c>
      <c r="Z967">
        <v>100207</v>
      </c>
      <c r="AA967" t="s">
        <v>519</v>
      </c>
      <c r="AB967" t="s">
        <v>521</v>
      </c>
      <c r="AC967" s="9">
        <v>2</v>
      </c>
      <c r="AD967" s="9" t="str">
        <f t="shared" si="112"/>
        <v>Ok</v>
      </c>
      <c r="AE967" s="11">
        <f t="shared" ref="AE967:AE1030" si="114">R967-S967</f>
        <v>0</v>
      </c>
    </row>
    <row r="968" spans="1:31" x14ac:dyDescent="0.3">
      <c r="A968">
        <v>74</v>
      </c>
      <c r="B968">
        <v>4626271</v>
      </c>
      <c r="C968" t="s">
        <v>94</v>
      </c>
      <c r="D968">
        <v>1206689</v>
      </c>
      <c r="E968" t="s">
        <v>533</v>
      </c>
      <c r="F968" t="s">
        <v>20</v>
      </c>
      <c r="G968" t="s">
        <v>920</v>
      </c>
      <c r="H968" t="s">
        <v>921</v>
      </c>
      <c r="I968" t="s">
        <v>3543</v>
      </c>
      <c r="J968">
        <v>51139361914</v>
      </c>
      <c r="K968" t="s">
        <v>4028</v>
      </c>
      <c r="L968" t="s">
        <v>4027</v>
      </c>
      <c r="M968">
        <v>13000</v>
      </c>
      <c r="N968" s="10">
        <v>0.45910000000000001</v>
      </c>
      <c r="O968" s="10">
        <f t="shared" si="110"/>
        <v>5968.3</v>
      </c>
      <c r="P968" s="10" t="s">
        <v>5006</v>
      </c>
      <c r="Q968" s="10" t="s">
        <v>5006</v>
      </c>
      <c r="R968" s="10" t="str">
        <f>IF(COUNTIF($J$2:J968,J968)=1,SUMIFS($O:$O,$J:$J,J968)+SUMIFS($P:$P,$J:$J,J968)+SUMIFS($Q:$Q,$J:$J,J968),"")</f>
        <v/>
      </c>
      <c r="S968" s="10" t="s">
        <v>5006</v>
      </c>
      <c r="T968" s="11" t="str">
        <f t="shared" si="113"/>
        <v>Ok</v>
      </c>
      <c r="U968" s="12">
        <v>46001</v>
      </c>
      <c r="V968" s="10">
        <v>5968.3</v>
      </c>
      <c r="W968" s="10" t="str">
        <f t="shared" si="111"/>
        <v>N/A</v>
      </c>
      <c r="X968" t="s">
        <v>450</v>
      </c>
      <c r="Y968" t="s">
        <v>28</v>
      </c>
      <c r="Z968">
        <v>100207</v>
      </c>
      <c r="AA968" t="s">
        <v>519</v>
      </c>
      <c r="AB968" t="s">
        <v>521</v>
      </c>
      <c r="AC968" s="9">
        <v>2</v>
      </c>
      <c r="AD968" s="9" t="str">
        <f t="shared" si="112"/>
        <v>N/A</v>
      </c>
      <c r="AE968" s="11" t="e">
        <f t="shared" si="114"/>
        <v>#VALUE!</v>
      </c>
    </row>
    <row r="969" spans="1:31" x14ac:dyDescent="0.3">
      <c r="A969">
        <v>73</v>
      </c>
      <c r="B969">
        <v>4626828</v>
      </c>
      <c r="C969" t="s">
        <v>240</v>
      </c>
      <c r="D969">
        <v>1269432</v>
      </c>
      <c r="E969" t="s">
        <v>684</v>
      </c>
      <c r="F969" t="s">
        <v>20</v>
      </c>
      <c r="G969" t="s">
        <v>922</v>
      </c>
      <c r="H969" t="s">
        <v>923</v>
      </c>
      <c r="I969" t="s">
        <v>3496</v>
      </c>
      <c r="J969">
        <v>51139366712</v>
      </c>
      <c r="K969" t="s">
        <v>3351</v>
      </c>
      <c r="L969" t="s">
        <v>4031</v>
      </c>
      <c r="M969">
        <v>2500</v>
      </c>
      <c r="N969" s="10">
        <v>0.88400000000000001</v>
      </c>
      <c r="O969" s="10">
        <f t="shared" si="110"/>
        <v>2210</v>
      </c>
      <c r="P969" s="10">
        <v>0</v>
      </c>
      <c r="Q969" s="10">
        <v>0</v>
      </c>
      <c r="R969" s="10">
        <f>IF(COUNTIF($J$2:J969,J969)=1,SUMIFS($O:$O,$J:$J,J969)+SUMIFS($P:$P,$J:$J,J969)+SUMIFS($Q:$Q,$J:$J,J969),"")</f>
        <v>2841.41</v>
      </c>
      <c r="S969" s="10">
        <v>2841.41</v>
      </c>
      <c r="T969" s="11" t="str">
        <f t="shared" si="113"/>
        <v>Ok</v>
      </c>
      <c r="U969" s="12">
        <v>46080</v>
      </c>
      <c r="V969" s="10">
        <v>2210</v>
      </c>
      <c r="W969" s="10" t="str">
        <f t="shared" si="111"/>
        <v>Short Paid</v>
      </c>
      <c r="X969" t="s">
        <v>478</v>
      </c>
      <c r="Y969" t="s">
        <v>28</v>
      </c>
      <c r="Z969">
        <v>100242</v>
      </c>
      <c r="AA969" t="s">
        <v>3096</v>
      </c>
      <c r="AB969" t="s">
        <v>521</v>
      </c>
      <c r="AC969" s="9">
        <v>2</v>
      </c>
      <c r="AD969" s="9" t="str">
        <f t="shared" si="112"/>
        <v>Ok</v>
      </c>
      <c r="AE969" s="11">
        <f t="shared" si="114"/>
        <v>0</v>
      </c>
    </row>
    <row r="970" spans="1:31" x14ac:dyDescent="0.3">
      <c r="A970">
        <v>73</v>
      </c>
      <c r="B970">
        <v>4626828</v>
      </c>
      <c r="C970" t="s">
        <v>240</v>
      </c>
      <c r="D970">
        <v>1269432</v>
      </c>
      <c r="E970" t="s">
        <v>684</v>
      </c>
      <c r="F970" t="s">
        <v>20</v>
      </c>
      <c r="G970" t="s">
        <v>922</v>
      </c>
      <c r="H970" t="s">
        <v>923</v>
      </c>
      <c r="I970" t="s">
        <v>3285</v>
      </c>
      <c r="J970">
        <v>51139366712</v>
      </c>
      <c r="K970" t="s">
        <v>3374</v>
      </c>
      <c r="L970" t="s">
        <v>3438</v>
      </c>
      <c r="M970">
        <v>39000</v>
      </c>
      <c r="N970" s="10">
        <v>1.619E-2</v>
      </c>
      <c r="O970" s="10">
        <f t="shared" si="110"/>
        <v>631.41</v>
      </c>
      <c r="P970" s="10" t="s">
        <v>5006</v>
      </c>
      <c r="Q970" s="10" t="s">
        <v>5006</v>
      </c>
      <c r="R970" s="10" t="str">
        <f>IF(COUNTIF($J$2:J970,J970)=1,SUMIFS($O:$O,$J:$J,J970)+SUMIFS($P:$P,$J:$J,J970)+SUMIFS($Q:$Q,$J:$J,J970),"")</f>
        <v/>
      </c>
      <c r="S970" s="10" t="s">
        <v>5006</v>
      </c>
      <c r="T970" s="11" t="str">
        <f t="shared" si="113"/>
        <v>Ok</v>
      </c>
      <c r="U970" s="12">
        <v>46080</v>
      </c>
      <c r="V970" s="10">
        <v>2210</v>
      </c>
      <c r="W970" s="10" t="str">
        <f t="shared" si="111"/>
        <v>N/A</v>
      </c>
      <c r="X970" t="s">
        <v>478</v>
      </c>
      <c r="Y970" t="s">
        <v>28</v>
      </c>
      <c r="Z970">
        <v>100242</v>
      </c>
      <c r="AA970" t="s">
        <v>3096</v>
      </c>
      <c r="AB970" t="s">
        <v>521</v>
      </c>
      <c r="AC970" s="9">
        <v>2</v>
      </c>
      <c r="AD970" s="9" t="str">
        <f t="shared" si="112"/>
        <v>N/A</v>
      </c>
      <c r="AE970" s="11" t="e">
        <f t="shared" si="114"/>
        <v>#VALUE!</v>
      </c>
    </row>
    <row r="971" spans="1:31" x14ac:dyDescent="0.3">
      <c r="A971">
        <v>73</v>
      </c>
      <c r="B971">
        <v>4627384</v>
      </c>
      <c r="C971" t="s">
        <v>60</v>
      </c>
      <c r="D971">
        <v>1588891</v>
      </c>
      <c r="E971" t="s">
        <v>61</v>
      </c>
      <c r="F971" t="s">
        <v>18</v>
      </c>
      <c r="G971" t="s">
        <v>926</v>
      </c>
      <c r="H971" t="s">
        <v>927</v>
      </c>
      <c r="I971" t="s">
        <v>3395</v>
      </c>
      <c r="J971">
        <v>51139366740</v>
      </c>
      <c r="K971" t="s">
        <v>3351</v>
      </c>
      <c r="L971" t="s">
        <v>4032</v>
      </c>
      <c r="M971">
        <v>1500</v>
      </c>
      <c r="N971" s="10">
        <v>7.9629000000000003</v>
      </c>
      <c r="O971" s="10">
        <f t="shared" si="110"/>
        <v>11944.35</v>
      </c>
      <c r="P971" s="10">
        <v>0</v>
      </c>
      <c r="Q971" s="10">
        <v>0</v>
      </c>
      <c r="R971" s="10">
        <f>IF(COUNTIF($J$2:J971,J971)=1,SUMIFS($O:$O,$J:$J,J971)+SUMIFS($P:$P,$J:$J,J971)+SUMIFS($Q:$Q,$J:$J,J971),"")</f>
        <v>14368.75</v>
      </c>
      <c r="S971" s="10">
        <v>14368.75</v>
      </c>
      <c r="T971" s="11" t="str">
        <f t="shared" si="113"/>
        <v>Ok</v>
      </c>
      <c r="U971" s="12">
        <v>45957</v>
      </c>
      <c r="V971" s="10">
        <v>409.35</v>
      </c>
      <c r="W971" s="10" t="str">
        <f t="shared" si="111"/>
        <v>Short Paid</v>
      </c>
      <c r="X971" t="s">
        <v>438</v>
      </c>
      <c r="Y971" t="s">
        <v>28</v>
      </c>
      <c r="Z971">
        <v>100283</v>
      </c>
      <c r="AA971" t="s">
        <v>439</v>
      </c>
      <c r="AB971" t="s">
        <v>523</v>
      </c>
      <c r="AC971" s="9">
        <v>2</v>
      </c>
      <c r="AD971" s="9" t="str">
        <f t="shared" si="112"/>
        <v>Ok</v>
      </c>
      <c r="AE971" s="11">
        <f t="shared" si="114"/>
        <v>0</v>
      </c>
    </row>
    <row r="972" spans="1:31" x14ac:dyDescent="0.3">
      <c r="A972">
        <v>73</v>
      </c>
      <c r="B972">
        <v>4627384</v>
      </c>
      <c r="C972" t="s">
        <v>60</v>
      </c>
      <c r="D972">
        <v>1588891</v>
      </c>
      <c r="E972" t="s">
        <v>61</v>
      </c>
      <c r="F972" t="s">
        <v>18</v>
      </c>
      <c r="G972" t="s">
        <v>926</v>
      </c>
      <c r="H972" t="s">
        <v>927</v>
      </c>
      <c r="I972" t="s">
        <v>3202</v>
      </c>
      <c r="J972">
        <v>51139366740</v>
      </c>
      <c r="K972" t="s">
        <v>3266</v>
      </c>
      <c r="L972" t="s">
        <v>4030</v>
      </c>
      <c r="M972">
        <v>4000</v>
      </c>
      <c r="N972" s="10">
        <v>0.60609999999999997</v>
      </c>
      <c r="O972" s="10">
        <f t="shared" si="110"/>
        <v>2424.4</v>
      </c>
      <c r="P972" s="10" t="s">
        <v>5006</v>
      </c>
      <c r="Q972" s="10" t="s">
        <v>5006</v>
      </c>
      <c r="R972" s="10" t="str">
        <f>IF(COUNTIF($J$2:J972,J972)=1,SUMIFS($O:$O,$J:$J,J972)+SUMIFS($P:$P,$J:$J,J972)+SUMIFS($Q:$Q,$J:$J,J972),"")</f>
        <v/>
      </c>
      <c r="S972" s="10" t="s">
        <v>5006</v>
      </c>
      <c r="T972" s="11" t="str">
        <f t="shared" si="113"/>
        <v>Ok</v>
      </c>
      <c r="U972" s="12">
        <v>45957</v>
      </c>
      <c r="V972" s="10">
        <v>409.35</v>
      </c>
      <c r="W972" s="10" t="str">
        <f t="shared" si="111"/>
        <v>N/A</v>
      </c>
      <c r="X972" t="s">
        <v>438</v>
      </c>
      <c r="Y972" t="s">
        <v>28</v>
      </c>
      <c r="Z972">
        <v>100283</v>
      </c>
      <c r="AA972" t="s">
        <v>439</v>
      </c>
      <c r="AB972" t="s">
        <v>523</v>
      </c>
      <c r="AC972" s="9">
        <v>2</v>
      </c>
      <c r="AD972" s="9" t="str">
        <f t="shared" si="112"/>
        <v>N/A</v>
      </c>
      <c r="AE972" s="11" t="e">
        <f t="shared" si="114"/>
        <v>#VALUE!</v>
      </c>
    </row>
    <row r="973" spans="1:31" x14ac:dyDescent="0.3">
      <c r="A973">
        <v>73</v>
      </c>
      <c r="B973">
        <v>4628497</v>
      </c>
      <c r="C973" t="s">
        <v>94</v>
      </c>
      <c r="D973">
        <v>1206689</v>
      </c>
      <c r="E973" t="s">
        <v>533</v>
      </c>
      <c r="F973" t="s">
        <v>18</v>
      </c>
      <c r="G973" t="s">
        <v>933</v>
      </c>
      <c r="H973" t="s">
        <v>934</v>
      </c>
      <c r="I973" t="s">
        <v>3342</v>
      </c>
      <c r="J973">
        <v>51139384556</v>
      </c>
      <c r="K973" t="s">
        <v>3379</v>
      </c>
      <c r="L973" t="s">
        <v>4033</v>
      </c>
      <c r="M973">
        <v>4000</v>
      </c>
      <c r="N973" s="10">
        <v>6.2799999999999995E-2</v>
      </c>
      <c r="O973" s="10">
        <f t="shared" si="110"/>
        <v>251.2</v>
      </c>
      <c r="P973" s="10">
        <v>0</v>
      </c>
      <c r="Q973" s="10">
        <v>35.92</v>
      </c>
      <c r="R973" s="10">
        <f>IF(COUNTIF($J$2:J973,J973)=1,SUMIFS($O:$O,$J:$J,J973)+SUMIFS($P:$P,$J:$J,J973)+SUMIFS($Q:$Q,$J:$J,J973),"")</f>
        <v>18287.12</v>
      </c>
      <c r="S973" s="10">
        <v>18287.12</v>
      </c>
      <c r="T973" s="11" t="str">
        <f t="shared" si="113"/>
        <v>Ok</v>
      </c>
      <c r="U973" s="12">
        <v>46095</v>
      </c>
      <c r="V973" s="10">
        <v>287.12</v>
      </c>
      <c r="W973" s="10" t="str">
        <f t="shared" si="111"/>
        <v>Short Paid</v>
      </c>
      <c r="X973" t="s">
        <v>450</v>
      </c>
      <c r="Y973" t="s">
        <v>28</v>
      </c>
      <c r="Z973">
        <v>100167</v>
      </c>
      <c r="AA973" t="s">
        <v>499</v>
      </c>
      <c r="AB973" t="s">
        <v>523</v>
      </c>
      <c r="AC973" s="9">
        <v>2</v>
      </c>
      <c r="AD973" s="9" t="str">
        <f t="shared" si="112"/>
        <v>Ok</v>
      </c>
      <c r="AE973" s="11">
        <f t="shared" si="114"/>
        <v>0</v>
      </c>
    </row>
    <row r="974" spans="1:31" x14ac:dyDescent="0.3">
      <c r="A974">
        <v>73</v>
      </c>
      <c r="B974">
        <v>4628497</v>
      </c>
      <c r="C974" t="s">
        <v>94</v>
      </c>
      <c r="D974">
        <v>1206689</v>
      </c>
      <c r="E974" t="s">
        <v>533</v>
      </c>
      <c r="F974" t="s">
        <v>18</v>
      </c>
      <c r="G974" t="s">
        <v>933</v>
      </c>
      <c r="H974" t="s">
        <v>934</v>
      </c>
      <c r="I974" t="s">
        <v>3365</v>
      </c>
      <c r="J974">
        <v>51139384556</v>
      </c>
      <c r="K974" t="s">
        <v>3226</v>
      </c>
      <c r="L974" t="s">
        <v>4024</v>
      </c>
      <c r="M974">
        <v>3000</v>
      </c>
      <c r="N974" s="10">
        <v>6</v>
      </c>
      <c r="O974" s="10">
        <f t="shared" si="110"/>
        <v>18000</v>
      </c>
      <c r="P974" s="10" t="s">
        <v>5006</v>
      </c>
      <c r="Q974" s="10" t="s">
        <v>5006</v>
      </c>
      <c r="R974" s="10" t="str">
        <f>IF(COUNTIF($J$2:J974,J974)=1,SUMIFS($O:$O,$J:$J,J974)+SUMIFS($P:$P,$J:$J,J974)+SUMIFS($Q:$Q,$J:$J,J974),"")</f>
        <v/>
      </c>
      <c r="S974" s="10" t="s">
        <v>5006</v>
      </c>
      <c r="T974" s="11" t="str">
        <f t="shared" si="113"/>
        <v>Ok</v>
      </c>
      <c r="U974" s="12">
        <v>46095</v>
      </c>
      <c r="V974" s="10">
        <v>287.12</v>
      </c>
      <c r="W974" s="10" t="str">
        <f t="shared" si="111"/>
        <v>N/A</v>
      </c>
      <c r="X974" t="s">
        <v>450</v>
      </c>
      <c r="Y974" t="s">
        <v>28</v>
      </c>
      <c r="Z974">
        <v>100167</v>
      </c>
      <c r="AA974" t="s">
        <v>499</v>
      </c>
      <c r="AB974" t="s">
        <v>523</v>
      </c>
      <c r="AC974" s="9">
        <v>2</v>
      </c>
      <c r="AD974" s="9" t="str">
        <f t="shared" si="112"/>
        <v>N/A</v>
      </c>
      <c r="AE974" s="11" t="e">
        <f t="shared" si="114"/>
        <v>#VALUE!</v>
      </c>
    </row>
    <row r="975" spans="1:31" x14ac:dyDescent="0.3">
      <c r="A975">
        <v>73</v>
      </c>
      <c r="B975">
        <v>4628219</v>
      </c>
      <c r="C975" t="s">
        <v>94</v>
      </c>
      <c r="D975">
        <v>1206689</v>
      </c>
      <c r="E975" t="s">
        <v>533</v>
      </c>
      <c r="F975" t="s">
        <v>18</v>
      </c>
      <c r="G975" t="s">
        <v>931</v>
      </c>
      <c r="H975" t="s">
        <v>932</v>
      </c>
      <c r="I975" t="s">
        <v>3349</v>
      </c>
      <c r="J975">
        <v>51139655977</v>
      </c>
      <c r="K975" t="s">
        <v>3238</v>
      </c>
      <c r="L975" t="s">
        <v>3237</v>
      </c>
      <c r="M975">
        <v>2000</v>
      </c>
      <c r="N975" s="10">
        <v>1.93</v>
      </c>
      <c r="O975" s="10">
        <f t="shared" si="110"/>
        <v>3860</v>
      </c>
      <c r="P975" s="10">
        <v>0</v>
      </c>
      <c r="Q975" s="10">
        <v>1100.0999999999999</v>
      </c>
      <c r="R975" s="10">
        <f>IF(COUNTIF($J$2:J975,J975)=1,SUMIFS($O:$O,$J:$J,J975)+SUMIFS($P:$P,$J:$J,J975)+SUMIFS($Q:$Q,$J:$J,J975),"")</f>
        <v>5778.2000000000007</v>
      </c>
      <c r="S975" s="10">
        <v>13498.2</v>
      </c>
      <c r="T975" s="11" t="str">
        <f t="shared" si="113"/>
        <v>Check</v>
      </c>
      <c r="U975" s="12">
        <v>46095</v>
      </c>
      <c r="V975" s="10">
        <v>12680.1</v>
      </c>
      <c r="W975" s="10" t="str">
        <f t="shared" si="111"/>
        <v>Short Paid</v>
      </c>
      <c r="X975" t="s">
        <v>450</v>
      </c>
      <c r="Y975" t="s">
        <v>28</v>
      </c>
      <c r="Z975">
        <v>100157</v>
      </c>
      <c r="AA975" t="s">
        <v>3124</v>
      </c>
      <c r="AB975" t="s">
        <v>523</v>
      </c>
      <c r="AC975" s="9">
        <v>2</v>
      </c>
      <c r="AD975" s="9" t="str">
        <f t="shared" si="112"/>
        <v>Check</v>
      </c>
      <c r="AE975" s="11">
        <f t="shared" si="114"/>
        <v>-7720</v>
      </c>
    </row>
    <row r="976" spans="1:31" x14ac:dyDescent="0.3">
      <c r="A976">
        <v>73</v>
      </c>
      <c r="B976">
        <v>4628219</v>
      </c>
      <c r="C976" t="s">
        <v>94</v>
      </c>
      <c r="D976">
        <v>1206689</v>
      </c>
      <c r="E976" t="s">
        <v>533</v>
      </c>
      <c r="F976" t="s">
        <v>18</v>
      </c>
      <c r="G976" t="s">
        <v>931</v>
      </c>
      <c r="H976" t="s">
        <v>932</v>
      </c>
      <c r="I976" t="s">
        <v>3172</v>
      </c>
      <c r="J976">
        <v>51139655977</v>
      </c>
      <c r="K976" t="s">
        <v>3246</v>
      </c>
      <c r="L976" t="s">
        <v>3404</v>
      </c>
      <c r="M976">
        <v>3000</v>
      </c>
      <c r="N976" s="10">
        <v>0.2727</v>
      </c>
      <c r="O976" s="10">
        <f t="shared" si="110"/>
        <v>818.1</v>
      </c>
      <c r="P976" s="10" t="s">
        <v>5006</v>
      </c>
      <c r="Q976" s="10" t="s">
        <v>5006</v>
      </c>
      <c r="R976" s="10" t="str">
        <f>IF(COUNTIF($J$2:J976,J976)=1,SUMIFS($O:$O,$J:$J,J976)+SUMIFS($P:$P,$J:$J,J976)+SUMIFS($Q:$Q,$J:$J,J976),"")</f>
        <v/>
      </c>
      <c r="S976" s="10" t="s">
        <v>5006</v>
      </c>
      <c r="T976" s="11" t="str">
        <f t="shared" si="113"/>
        <v>Check</v>
      </c>
      <c r="U976" s="12">
        <v>46095</v>
      </c>
      <c r="V976" s="10">
        <v>12680.1</v>
      </c>
      <c r="W976" s="10" t="str">
        <f t="shared" si="111"/>
        <v>N/A</v>
      </c>
      <c r="X976" t="s">
        <v>450</v>
      </c>
      <c r="Y976" t="s">
        <v>28</v>
      </c>
      <c r="Z976">
        <v>100157</v>
      </c>
      <c r="AA976" t="s">
        <v>3124</v>
      </c>
      <c r="AB976" t="s">
        <v>523</v>
      </c>
      <c r="AC976" s="9">
        <v>2</v>
      </c>
      <c r="AD976" s="9" t="str">
        <f t="shared" si="112"/>
        <v>N/A</v>
      </c>
      <c r="AE976" s="11" t="e">
        <f t="shared" si="114"/>
        <v>#VALUE!</v>
      </c>
    </row>
    <row r="977" spans="1:31" x14ac:dyDescent="0.3">
      <c r="A977">
        <v>13</v>
      </c>
      <c r="B977">
        <v>4895650</v>
      </c>
      <c r="C977" t="s">
        <v>38</v>
      </c>
      <c r="D977">
        <v>1901684</v>
      </c>
      <c r="E977" t="s">
        <v>737</v>
      </c>
      <c r="F977" t="s">
        <v>24</v>
      </c>
      <c r="G977" t="s">
        <v>1711</v>
      </c>
      <c r="H977" t="s">
        <v>1712</v>
      </c>
      <c r="I977" t="s">
        <v>3365</v>
      </c>
      <c r="J977">
        <v>51139874236</v>
      </c>
      <c r="K977" t="s">
        <v>3379</v>
      </c>
      <c r="L977" t="s">
        <v>4034</v>
      </c>
      <c r="M977">
        <v>4000</v>
      </c>
      <c r="N977" s="10">
        <v>1.7100000000000001E-2</v>
      </c>
      <c r="O977" s="10">
        <f t="shared" si="110"/>
        <v>68.400000000000006</v>
      </c>
      <c r="P977" s="10">
        <v>0</v>
      </c>
      <c r="Q977" s="10">
        <v>12.38</v>
      </c>
      <c r="R977" s="10">
        <f>IF(COUNTIF($J$2:J977,J977)=1,SUMIFS($O:$O,$J:$J,J977)+SUMIFS($P:$P,$J:$J,J977)+SUMIFS($Q:$Q,$J:$J,J977),"")</f>
        <v>21344.950500000003</v>
      </c>
      <c r="S977" s="10">
        <v>21344.949999999997</v>
      </c>
      <c r="T977" s="11" t="str">
        <f t="shared" si="113"/>
        <v>Check</v>
      </c>
      <c r="U977" s="12">
        <v>46076</v>
      </c>
      <c r="V977" s="10">
        <v>68.400000000000006</v>
      </c>
      <c r="W977" s="10" t="str">
        <f t="shared" si="111"/>
        <v>Short Paid</v>
      </c>
      <c r="X977" t="s">
        <v>474</v>
      </c>
      <c r="Y977" t="s">
        <v>40</v>
      </c>
      <c r="Z977">
        <v>100229</v>
      </c>
      <c r="AA977" t="s">
        <v>515</v>
      </c>
      <c r="AB977" t="s">
        <v>522</v>
      </c>
      <c r="AC977" s="9">
        <v>2</v>
      </c>
      <c r="AD977" s="9" t="str">
        <f t="shared" si="112"/>
        <v>Check</v>
      </c>
      <c r="AE977" s="11">
        <f t="shared" si="114"/>
        <v>5.0000000555883162E-4</v>
      </c>
    </row>
    <row r="978" spans="1:31" x14ac:dyDescent="0.3">
      <c r="A978">
        <v>13</v>
      </c>
      <c r="B978">
        <v>4895650</v>
      </c>
      <c r="C978" t="s">
        <v>38</v>
      </c>
      <c r="D978">
        <v>1901684</v>
      </c>
      <c r="E978" t="s">
        <v>737</v>
      </c>
      <c r="F978" t="s">
        <v>24</v>
      </c>
      <c r="G978" t="s">
        <v>1711</v>
      </c>
      <c r="H978" t="s">
        <v>1712</v>
      </c>
      <c r="I978" t="s">
        <v>3347</v>
      </c>
      <c r="J978">
        <v>51139874236</v>
      </c>
      <c r="K978" t="s">
        <v>3353</v>
      </c>
      <c r="L978" t="s">
        <v>3352</v>
      </c>
      <c r="M978">
        <v>1009</v>
      </c>
      <c r="N978" s="10">
        <v>21.0745</v>
      </c>
      <c r="O978" s="10">
        <f t="shared" si="110"/>
        <v>21264.1705</v>
      </c>
      <c r="P978" s="10" t="s">
        <v>5006</v>
      </c>
      <c r="Q978" s="10" t="s">
        <v>5006</v>
      </c>
      <c r="R978" s="10" t="str">
        <f>IF(COUNTIF($J$2:J978,J978)=1,SUMIFS($O:$O,$J:$J,J978)+SUMIFS($P:$P,$J:$J,J978)+SUMIFS($Q:$Q,$J:$J,J978),"")</f>
        <v/>
      </c>
      <c r="S978" s="10" t="s">
        <v>5006</v>
      </c>
      <c r="T978" s="11" t="str">
        <f t="shared" si="113"/>
        <v>Check</v>
      </c>
      <c r="U978" s="12">
        <v>46076</v>
      </c>
      <c r="V978" s="10">
        <v>68.400000000000006</v>
      </c>
      <c r="W978" s="10" t="str">
        <f t="shared" si="111"/>
        <v>N/A</v>
      </c>
      <c r="X978" t="s">
        <v>474</v>
      </c>
      <c r="Y978" t="s">
        <v>40</v>
      </c>
      <c r="Z978">
        <v>100229</v>
      </c>
      <c r="AA978" t="s">
        <v>515</v>
      </c>
      <c r="AB978" t="s">
        <v>522</v>
      </c>
      <c r="AC978" s="9">
        <v>2</v>
      </c>
      <c r="AD978" s="9" t="str">
        <f t="shared" si="112"/>
        <v>N/A</v>
      </c>
      <c r="AE978" s="11" t="e">
        <f t="shared" si="114"/>
        <v>#VALUE!</v>
      </c>
    </row>
    <row r="979" spans="1:31" x14ac:dyDescent="0.3">
      <c r="A979">
        <v>67</v>
      </c>
      <c r="B979">
        <v>4640185</v>
      </c>
      <c r="C979" t="s">
        <v>167</v>
      </c>
      <c r="D979">
        <v>1671441</v>
      </c>
      <c r="E979" t="s">
        <v>688</v>
      </c>
      <c r="F979" t="s">
        <v>17</v>
      </c>
      <c r="G979" t="s">
        <v>969</v>
      </c>
      <c r="H979" t="s">
        <v>970</v>
      </c>
      <c r="I979" t="s">
        <v>3163</v>
      </c>
      <c r="J979">
        <v>51139880744</v>
      </c>
      <c r="K979" t="s">
        <v>3194</v>
      </c>
      <c r="L979" t="s">
        <v>4035</v>
      </c>
      <c r="M979">
        <v>5</v>
      </c>
      <c r="N979" s="10">
        <v>544.25</v>
      </c>
      <c r="O979" s="10">
        <f t="shared" si="110"/>
        <v>2721.25</v>
      </c>
      <c r="P979" s="10">
        <v>0</v>
      </c>
      <c r="Q979" s="10">
        <v>0</v>
      </c>
      <c r="R979" s="10">
        <f>IF(COUNTIF($J$2:J979,J979)=1,SUMIFS($O:$O,$J:$J,J979)+SUMIFS($P:$P,$J:$J,J979)+SUMIFS($Q:$Q,$J:$J,J979),"")</f>
        <v>9304.75</v>
      </c>
      <c r="S979" s="10">
        <v>9304.75</v>
      </c>
      <c r="T979" s="11" t="str">
        <f t="shared" si="113"/>
        <v>Ok</v>
      </c>
      <c r="U979" s="12">
        <v>45468</v>
      </c>
      <c r="V979" s="10">
        <v>2721.25</v>
      </c>
      <c r="W979" s="10" t="str">
        <f t="shared" si="111"/>
        <v>Short Paid</v>
      </c>
      <c r="X979" t="s">
        <v>455</v>
      </c>
      <c r="Y979" t="s">
        <v>436</v>
      </c>
      <c r="Z979">
        <v>100130</v>
      </c>
      <c r="AA979" t="s">
        <v>3044</v>
      </c>
      <c r="AB979" t="s">
        <v>528</v>
      </c>
      <c r="AC979" s="9">
        <v>2</v>
      </c>
      <c r="AD979" s="9" t="str">
        <f t="shared" si="112"/>
        <v>Ok</v>
      </c>
      <c r="AE979" s="11">
        <f t="shared" si="114"/>
        <v>0</v>
      </c>
    </row>
    <row r="980" spans="1:31" x14ac:dyDescent="0.3">
      <c r="A980">
        <v>67</v>
      </c>
      <c r="B980">
        <v>4640185</v>
      </c>
      <c r="C980" t="s">
        <v>167</v>
      </c>
      <c r="D980">
        <v>1671441</v>
      </c>
      <c r="E980" t="s">
        <v>688</v>
      </c>
      <c r="F980" t="s">
        <v>17</v>
      </c>
      <c r="G980" t="s">
        <v>969</v>
      </c>
      <c r="H980" t="s">
        <v>970</v>
      </c>
      <c r="I980" t="s">
        <v>3188</v>
      </c>
      <c r="J980">
        <v>51139880744</v>
      </c>
      <c r="K980" t="s">
        <v>3194</v>
      </c>
      <c r="L980" t="s">
        <v>3193</v>
      </c>
      <c r="M980">
        <v>15000</v>
      </c>
      <c r="N980" s="10">
        <v>0.43890000000000001</v>
      </c>
      <c r="O980" s="10">
        <f t="shared" si="110"/>
        <v>6583.5</v>
      </c>
      <c r="P980" s="10" t="s">
        <v>5006</v>
      </c>
      <c r="Q980" s="10" t="s">
        <v>5006</v>
      </c>
      <c r="R980" s="10" t="str">
        <f>IF(COUNTIF($J$2:J980,J980)=1,SUMIFS($O:$O,$J:$J,J980)+SUMIFS($P:$P,$J:$J,J980)+SUMIFS($Q:$Q,$J:$J,J980),"")</f>
        <v/>
      </c>
      <c r="S980" s="10" t="s">
        <v>5006</v>
      </c>
      <c r="T980" s="11" t="str">
        <f t="shared" si="113"/>
        <v>Ok</v>
      </c>
      <c r="U980" s="12">
        <v>45468</v>
      </c>
      <c r="V980" s="10">
        <v>2721.25</v>
      </c>
      <c r="W980" s="10" t="str">
        <f t="shared" si="111"/>
        <v>N/A</v>
      </c>
      <c r="X980" t="s">
        <v>455</v>
      </c>
      <c r="Y980" t="s">
        <v>436</v>
      </c>
      <c r="Z980">
        <v>100130</v>
      </c>
      <c r="AA980" t="s">
        <v>3044</v>
      </c>
      <c r="AB980" t="s">
        <v>528</v>
      </c>
      <c r="AC980" s="9">
        <v>2</v>
      </c>
      <c r="AD980" s="9" t="str">
        <f t="shared" si="112"/>
        <v>N/A</v>
      </c>
      <c r="AE980" s="11" t="e">
        <f t="shared" si="114"/>
        <v>#VALUE!</v>
      </c>
    </row>
    <row r="981" spans="1:31" x14ac:dyDescent="0.3">
      <c r="A981">
        <v>72</v>
      </c>
      <c r="B981">
        <v>4631558</v>
      </c>
      <c r="C981" t="s">
        <v>239</v>
      </c>
      <c r="D981">
        <v>1037347</v>
      </c>
      <c r="E981" t="s">
        <v>291</v>
      </c>
      <c r="F981" t="s">
        <v>18</v>
      </c>
      <c r="G981" t="s">
        <v>937</v>
      </c>
      <c r="H981" t="s">
        <v>938</v>
      </c>
      <c r="I981" t="s">
        <v>3218</v>
      </c>
      <c r="J981">
        <v>51139917325</v>
      </c>
      <c r="K981" t="s">
        <v>3370</v>
      </c>
      <c r="L981" t="s">
        <v>4036</v>
      </c>
      <c r="M981">
        <v>66000</v>
      </c>
      <c r="N981" s="10">
        <v>0.31633</v>
      </c>
      <c r="O981" s="10">
        <f t="shared" si="110"/>
        <v>20877.78</v>
      </c>
      <c r="P981" s="10">
        <v>0</v>
      </c>
      <c r="Q981" s="10">
        <v>109.44</v>
      </c>
      <c r="R981" s="10">
        <f>IF(COUNTIF($J$2:J981,J981)=1,SUMIFS($O:$O,$J:$J,J981)+SUMIFS($P:$P,$J:$J,J981)+SUMIFS($Q:$Q,$J:$J,J981),"")</f>
        <v>21083.219999999998</v>
      </c>
      <c r="S981" s="10">
        <v>21179.219999999998</v>
      </c>
      <c r="T981" s="11" t="str">
        <f t="shared" si="113"/>
        <v>Check</v>
      </c>
      <c r="U981" s="12">
        <v>46045</v>
      </c>
      <c r="V981" s="10">
        <v>301.44</v>
      </c>
      <c r="W981" s="10" t="str">
        <f t="shared" si="111"/>
        <v>Short Paid</v>
      </c>
      <c r="X981" t="s">
        <v>476</v>
      </c>
      <c r="Y981" t="s">
        <v>28</v>
      </c>
      <c r="Z981">
        <v>100195</v>
      </c>
      <c r="AA981" t="s">
        <v>3070</v>
      </c>
      <c r="AB981" t="s">
        <v>523</v>
      </c>
      <c r="AC981" s="9">
        <v>2</v>
      </c>
      <c r="AD981" s="9" t="str">
        <f t="shared" si="112"/>
        <v>Check</v>
      </c>
      <c r="AE981" s="11">
        <f t="shared" si="114"/>
        <v>-96</v>
      </c>
    </row>
    <row r="982" spans="1:31" x14ac:dyDescent="0.3">
      <c r="A982">
        <v>72</v>
      </c>
      <c r="B982">
        <v>4631558</v>
      </c>
      <c r="C982" t="s">
        <v>239</v>
      </c>
      <c r="D982">
        <v>1037347</v>
      </c>
      <c r="E982" t="s">
        <v>291</v>
      </c>
      <c r="F982" t="s">
        <v>18</v>
      </c>
      <c r="G982" t="s">
        <v>937</v>
      </c>
      <c r="H982" t="s">
        <v>938</v>
      </c>
      <c r="I982" t="s">
        <v>3543</v>
      </c>
      <c r="J982">
        <v>51139917325</v>
      </c>
      <c r="K982" t="s">
        <v>3370</v>
      </c>
      <c r="L982" t="s">
        <v>4003</v>
      </c>
      <c r="M982">
        <v>3000</v>
      </c>
      <c r="N982" s="10">
        <v>3.2000000000000001E-2</v>
      </c>
      <c r="O982" s="10">
        <f t="shared" si="110"/>
        <v>96</v>
      </c>
      <c r="P982" s="10" t="s">
        <v>5006</v>
      </c>
      <c r="Q982" s="10" t="s">
        <v>5006</v>
      </c>
      <c r="R982" s="10" t="str">
        <f>IF(COUNTIF($J$2:J982,J982)=1,SUMIFS($O:$O,$J:$J,J982)+SUMIFS($P:$P,$J:$J,J982)+SUMIFS($Q:$Q,$J:$J,J982),"")</f>
        <v/>
      </c>
      <c r="S982" s="10" t="s">
        <v>5006</v>
      </c>
      <c r="T982" s="11" t="str">
        <f t="shared" si="113"/>
        <v>Check</v>
      </c>
      <c r="U982" s="12">
        <v>46045</v>
      </c>
      <c r="V982" s="10">
        <v>301.44</v>
      </c>
      <c r="W982" s="10" t="str">
        <f t="shared" si="111"/>
        <v>N/A</v>
      </c>
      <c r="X982" t="s">
        <v>476</v>
      </c>
      <c r="Y982" t="s">
        <v>28</v>
      </c>
      <c r="Z982">
        <v>100195</v>
      </c>
      <c r="AA982" t="s">
        <v>3070</v>
      </c>
      <c r="AB982" t="s">
        <v>523</v>
      </c>
      <c r="AC982" s="9">
        <v>2</v>
      </c>
      <c r="AD982" s="9" t="str">
        <f t="shared" si="112"/>
        <v>N/A</v>
      </c>
      <c r="AE982" s="11" t="e">
        <f t="shared" si="114"/>
        <v>#VALUE!</v>
      </c>
    </row>
    <row r="983" spans="1:31" x14ac:dyDescent="0.3">
      <c r="A983">
        <v>88</v>
      </c>
      <c r="B983">
        <v>4594268</v>
      </c>
      <c r="C983" t="s">
        <v>94</v>
      </c>
      <c r="D983">
        <v>1470631</v>
      </c>
      <c r="E983" t="s">
        <v>214</v>
      </c>
      <c r="F983" t="s">
        <v>20</v>
      </c>
      <c r="G983" t="s">
        <v>843</v>
      </c>
      <c r="H983" t="s">
        <v>844</v>
      </c>
      <c r="I983" t="s">
        <v>3581</v>
      </c>
      <c r="J983">
        <v>51139979509</v>
      </c>
      <c r="K983" t="s">
        <v>3526</v>
      </c>
      <c r="L983" t="s">
        <v>4037</v>
      </c>
      <c r="M983">
        <v>1400</v>
      </c>
      <c r="N983" s="10">
        <v>3.4119999999999999</v>
      </c>
      <c r="O983" s="10">
        <f t="shared" si="110"/>
        <v>4776.8</v>
      </c>
      <c r="P983" s="10">
        <v>0</v>
      </c>
      <c r="Q983" s="10">
        <v>0</v>
      </c>
      <c r="R983" s="10">
        <f>IF(COUNTIF($J$2:J983,J983)=1,SUMIFS($O:$O,$J:$J,J983)+SUMIFS($P:$P,$J:$J,J983)+SUMIFS($Q:$Q,$J:$J,J983),"")</f>
        <v>17026.8</v>
      </c>
      <c r="S983" s="10">
        <v>17026.8</v>
      </c>
      <c r="T983" s="11" t="str">
        <f t="shared" si="113"/>
        <v>Ok</v>
      </c>
      <c r="U983" s="12">
        <v>45274</v>
      </c>
      <c r="V983" s="10">
        <v>12250</v>
      </c>
      <c r="W983" s="10" t="str">
        <f t="shared" si="111"/>
        <v>Short Paid</v>
      </c>
      <c r="X983" t="s">
        <v>450</v>
      </c>
      <c r="Y983" t="s">
        <v>28</v>
      </c>
      <c r="Z983">
        <v>100117</v>
      </c>
      <c r="AA983" t="s">
        <v>451</v>
      </c>
      <c r="AB983" t="s">
        <v>521</v>
      </c>
      <c r="AC983" s="9">
        <v>2</v>
      </c>
      <c r="AD983" s="9" t="str">
        <f t="shared" si="112"/>
        <v>Ok</v>
      </c>
      <c r="AE983" s="11">
        <f t="shared" si="114"/>
        <v>0</v>
      </c>
    </row>
    <row r="984" spans="1:31" x14ac:dyDescent="0.3">
      <c r="A984">
        <v>88</v>
      </c>
      <c r="B984">
        <v>4594268</v>
      </c>
      <c r="C984" t="s">
        <v>94</v>
      </c>
      <c r="D984">
        <v>1470631</v>
      </c>
      <c r="E984" t="s">
        <v>214</v>
      </c>
      <c r="F984" t="s">
        <v>20</v>
      </c>
      <c r="G984" t="s">
        <v>843</v>
      </c>
      <c r="H984" t="s">
        <v>844</v>
      </c>
      <c r="I984" t="s">
        <v>3247</v>
      </c>
      <c r="J984">
        <v>51139979509</v>
      </c>
      <c r="K984" t="s">
        <v>3351</v>
      </c>
      <c r="L984" t="s">
        <v>4038</v>
      </c>
      <c r="M984">
        <v>1</v>
      </c>
      <c r="N984" s="10">
        <v>12250</v>
      </c>
      <c r="O984" s="10">
        <f t="shared" si="110"/>
        <v>12250</v>
      </c>
      <c r="P984" s="10" t="s">
        <v>5006</v>
      </c>
      <c r="Q984" s="10" t="s">
        <v>5006</v>
      </c>
      <c r="R984" s="10" t="str">
        <f>IF(COUNTIF($J$2:J984,J984)=1,SUMIFS($O:$O,$J:$J,J984)+SUMIFS($P:$P,$J:$J,J984)+SUMIFS($Q:$Q,$J:$J,J984),"")</f>
        <v/>
      </c>
      <c r="S984" s="10" t="s">
        <v>5006</v>
      </c>
      <c r="T984" s="11" t="str">
        <f t="shared" si="113"/>
        <v>Ok</v>
      </c>
      <c r="U984" s="12">
        <v>45274</v>
      </c>
      <c r="V984" s="10">
        <v>12250</v>
      </c>
      <c r="W984" s="10" t="str">
        <f t="shared" si="111"/>
        <v>N/A</v>
      </c>
      <c r="X984" t="s">
        <v>450</v>
      </c>
      <c r="Y984" t="s">
        <v>28</v>
      </c>
      <c r="Z984">
        <v>100117</v>
      </c>
      <c r="AA984" t="s">
        <v>451</v>
      </c>
      <c r="AB984" t="s">
        <v>521</v>
      </c>
      <c r="AC984" s="9">
        <v>2</v>
      </c>
      <c r="AD984" s="9" t="str">
        <f t="shared" si="112"/>
        <v>N/A</v>
      </c>
      <c r="AE984" s="11" t="e">
        <f t="shared" si="114"/>
        <v>#VALUE!</v>
      </c>
    </row>
    <row r="985" spans="1:31" x14ac:dyDescent="0.3">
      <c r="A985">
        <v>72</v>
      </c>
      <c r="B985">
        <v>4631002</v>
      </c>
      <c r="C985" t="s">
        <v>38</v>
      </c>
      <c r="D985">
        <v>1963277</v>
      </c>
      <c r="E985" t="s">
        <v>250</v>
      </c>
      <c r="F985" t="s">
        <v>18</v>
      </c>
      <c r="G985" t="s">
        <v>935</v>
      </c>
      <c r="H985" t="s">
        <v>936</v>
      </c>
      <c r="I985" t="s">
        <v>3312</v>
      </c>
      <c r="J985">
        <v>51140083207</v>
      </c>
      <c r="K985" t="s">
        <v>3351</v>
      </c>
      <c r="L985" t="s">
        <v>3407</v>
      </c>
      <c r="M985">
        <v>992</v>
      </c>
      <c r="N985" s="10">
        <v>53.46</v>
      </c>
      <c r="O985" s="10">
        <f t="shared" si="110"/>
        <v>53032.32</v>
      </c>
      <c r="P985" s="10">
        <v>0</v>
      </c>
      <c r="Q985" s="10">
        <v>0</v>
      </c>
      <c r="R985" s="10">
        <f>IF(COUNTIF($J$2:J985,J985)=1,SUMIFS($O:$O,$J:$J,J985)+SUMIFS($P:$P,$J:$J,J985)+SUMIFS($Q:$Q,$J:$J,J985),"")</f>
        <v>59657.62</v>
      </c>
      <c r="S985" s="10">
        <v>59657.62</v>
      </c>
      <c r="T985" s="11" t="str">
        <f t="shared" si="113"/>
        <v>Ok</v>
      </c>
      <c r="U985" s="12">
        <v>46020</v>
      </c>
      <c r="V985" s="10">
        <v>4417.08</v>
      </c>
      <c r="W985" s="10" t="str">
        <f t="shared" si="111"/>
        <v>Short Paid</v>
      </c>
      <c r="X985" t="s">
        <v>474</v>
      </c>
      <c r="Y985" t="s">
        <v>28</v>
      </c>
      <c r="Z985">
        <v>100159</v>
      </c>
      <c r="AA985" t="s">
        <v>488</v>
      </c>
      <c r="AB985" t="s">
        <v>523</v>
      </c>
      <c r="AC985" s="9">
        <v>2</v>
      </c>
      <c r="AD985" s="9" t="str">
        <f t="shared" si="112"/>
        <v>Ok</v>
      </c>
      <c r="AE985" s="11">
        <f t="shared" si="114"/>
        <v>0</v>
      </c>
    </row>
    <row r="986" spans="1:31" x14ac:dyDescent="0.3">
      <c r="A986">
        <v>72</v>
      </c>
      <c r="B986">
        <v>4631002</v>
      </c>
      <c r="C986" t="s">
        <v>38</v>
      </c>
      <c r="D986">
        <v>1963277</v>
      </c>
      <c r="E986" t="s">
        <v>250</v>
      </c>
      <c r="F986" t="s">
        <v>18</v>
      </c>
      <c r="G986" t="s">
        <v>935</v>
      </c>
      <c r="H986" t="s">
        <v>936</v>
      </c>
      <c r="I986" t="s">
        <v>3484</v>
      </c>
      <c r="J986">
        <v>51140083207</v>
      </c>
      <c r="K986" t="s">
        <v>3475</v>
      </c>
      <c r="L986" t="s">
        <v>3564</v>
      </c>
      <c r="M986">
        <v>1000</v>
      </c>
      <c r="N986" s="10">
        <v>6.6253000000000002</v>
      </c>
      <c r="O986" s="10">
        <f t="shared" si="110"/>
        <v>6625.3</v>
      </c>
      <c r="P986" s="10" t="s">
        <v>5006</v>
      </c>
      <c r="Q986" s="10" t="s">
        <v>5006</v>
      </c>
      <c r="R986" s="10" t="str">
        <f>IF(COUNTIF($J$2:J986,J986)=1,SUMIFS($O:$O,$J:$J,J986)+SUMIFS($P:$P,$J:$J,J986)+SUMIFS($Q:$Q,$J:$J,J986),"")</f>
        <v/>
      </c>
      <c r="S986" s="10" t="s">
        <v>5006</v>
      </c>
      <c r="T986" s="11" t="str">
        <f t="shared" si="113"/>
        <v>Ok</v>
      </c>
      <c r="U986" s="12">
        <v>46020</v>
      </c>
      <c r="V986" s="10">
        <v>4417.08</v>
      </c>
      <c r="W986" s="10" t="str">
        <f t="shared" si="111"/>
        <v>N/A</v>
      </c>
      <c r="X986" t="s">
        <v>474</v>
      </c>
      <c r="Y986" t="s">
        <v>28</v>
      </c>
      <c r="Z986">
        <v>100159</v>
      </c>
      <c r="AA986" t="s">
        <v>488</v>
      </c>
      <c r="AB986" t="s">
        <v>523</v>
      </c>
      <c r="AC986" s="9">
        <v>2</v>
      </c>
      <c r="AD986" s="9" t="str">
        <f t="shared" si="112"/>
        <v>N/A</v>
      </c>
      <c r="AE986" s="11" t="e">
        <f t="shared" si="114"/>
        <v>#VALUE!</v>
      </c>
    </row>
    <row r="987" spans="1:31" x14ac:dyDescent="0.3">
      <c r="A987">
        <v>71</v>
      </c>
      <c r="B987">
        <v>4636011</v>
      </c>
      <c r="C987" t="s">
        <v>167</v>
      </c>
      <c r="D987">
        <v>1462348</v>
      </c>
      <c r="E987" t="s">
        <v>394</v>
      </c>
      <c r="F987" t="s">
        <v>20</v>
      </c>
      <c r="G987" t="s">
        <v>959</v>
      </c>
      <c r="H987" t="s">
        <v>960</v>
      </c>
      <c r="I987" t="s">
        <v>3410</v>
      </c>
      <c r="J987">
        <v>51140239799</v>
      </c>
      <c r="K987" t="s">
        <v>4040</v>
      </c>
      <c r="L987" t="s">
        <v>4039</v>
      </c>
      <c r="M987">
        <v>8</v>
      </c>
      <c r="N987" s="10">
        <v>5928.75</v>
      </c>
      <c r="O987" s="10">
        <f t="shared" si="110"/>
        <v>47430</v>
      </c>
      <c r="P987" s="10">
        <v>0</v>
      </c>
      <c r="Q987" s="10">
        <v>0</v>
      </c>
      <c r="R987" s="10">
        <f>IF(COUNTIF($J$2:J987,J987)=1,SUMIFS($O:$O,$J:$J,J987)+SUMIFS($P:$P,$J:$J,J987)+SUMIFS($Q:$Q,$J:$J,J987),"")</f>
        <v>91494.720000000001</v>
      </c>
      <c r="S987" s="10">
        <v>91494.720000000001</v>
      </c>
      <c r="T987" s="11" t="str">
        <f t="shared" si="113"/>
        <v>Ok</v>
      </c>
      <c r="U987" s="12">
        <v>46043</v>
      </c>
      <c r="V987" s="10">
        <v>4743</v>
      </c>
      <c r="W987" s="10" t="str">
        <f t="shared" si="111"/>
        <v>Short Paid</v>
      </c>
      <c r="X987" t="s">
        <v>455</v>
      </c>
      <c r="Y987" t="s">
        <v>28</v>
      </c>
      <c r="Z987">
        <v>100110</v>
      </c>
      <c r="AA987" t="s">
        <v>512</v>
      </c>
      <c r="AB987" t="s">
        <v>521</v>
      </c>
      <c r="AC987" s="9">
        <v>2</v>
      </c>
      <c r="AD987" s="9" t="str">
        <f t="shared" si="112"/>
        <v>Ok</v>
      </c>
      <c r="AE987" s="11">
        <f t="shared" si="114"/>
        <v>0</v>
      </c>
    </row>
    <row r="988" spans="1:31" x14ac:dyDescent="0.3">
      <c r="A988">
        <v>71</v>
      </c>
      <c r="B988">
        <v>4636011</v>
      </c>
      <c r="C988" t="s">
        <v>167</v>
      </c>
      <c r="D988">
        <v>1462348</v>
      </c>
      <c r="E988" t="s">
        <v>394</v>
      </c>
      <c r="F988" t="s">
        <v>20</v>
      </c>
      <c r="G988" t="s">
        <v>959</v>
      </c>
      <c r="H988" t="s">
        <v>960</v>
      </c>
      <c r="I988" t="s">
        <v>3469</v>
      </c>
      <c r="J988">
        <v>51140239799</v>
      </c>
      <c r="K988" t="s">
        <v>3194</v>
      </c>
      <c r="L988" t="s">
        <v>3448</v>
      </c>
      <c r="M988">
        <v>16800</v>
      </c>
      <c r="N988" s="10">
        <v>2.6229000000000005</v>
      </c>
      <c r="O988" s="10">
        <f t="shared" si="110"/>
        <v>44064.720000000008</v>
      </c>
      <c r="P988" s="10" t="s">
        <v>5006</v>
      </c>
      <c r="Q988" s="10" t="s">
        <v>5006</v>
      </c>
      <c r="R988" s="10" t="str">
        <f>IF(COUNTIF($J$2:J988,J988)=1,SUMIFS($O:$O,$J:$J,J988)+SUMIFS($P:$P,$J:$J,J988)+SUMIFS($Q:$Q,$J:$J,J988),"")</f>
        <v/>
      </c>
      <c r="S988" s="10" t="s">
        <v>5006</v>
      </c>
      <c r="T988" s="11" t="str">
        <f t="shared" si="113"/>
        <v>Ok</v>
      </c>
      <c r="U988" s="12">
        <v>46043</v>
      </c>
      <c r="V988" s="10">
        <v>4743</v>
      </c>
      <c r="W988" s="10" t="str">
        <f t="shared" si="111"/>
        <v>N/A</v>
      </c>
      <c r="X988" t="s">
        <v>455</v>
      </c>
      <c r="Y988" t="s">
        <v>28</v>
      </c>
      <c r="Z988">
        <v>100110</v>
      </c>
      <c r="AA988" t="s">
        <v>512</v>
      </c>
      <c r="AB988" t="s">
        <v>521</v>
      </c>
      <c r="AC988" s="9">
        <v>2</v>
      </c>
      <c r="AD988" s="9" t="str">
        <f t="shared" si="112"/>
        <v>N/A</v>
      </c>
      <c r="AE988" s="11" t="e">
        <f t="shared" si="114"/>
        <v>#VALUE!</v>
      </c>
    </row>
    <row r="989" spans="1:31" x14ac:dyDescent="0.3">
      <c r="A989">
        <v>69</v>
      </c>
      <c r="B989">
        <v>4639350</v>
      </c>
      <c r="C989" t="s">
        <v>220</v>
      </c>
      <c r="D989">
        <v>1469829</v>
      </c>
      <c r="E989" t="s">
        <v>224</v>
      </c>
      <c r="F989" t="s">
        <v>20</v>
      </c>
      <c r="G989" t="s">
        <v>963</v>
      </c>
      <c r="H989" t="s">
        <v>964</v>
      </c>
      <c r="I989" t="s">
        <v>3291</v>
      </c>
      <c r="J989">
        <v>51140286927</v>
      </c>
      <c r="K989" t="s">
        <v>3177</v>
      </c>
      <c r="L989" t="s">
        <v>4041</v>
      </c>
      <c r="M989">
        <v>1</v>
      </c>
      <c r="N989" s="10">
        <v>58.62</v>
      </c>
      <c r="O989" s="10">
        <f t="shared" si="110"/>
        <v>58.62</v>
      </c>
      <c r="P989" s="10">
        <v>0</v>
      </c>
      <c r="Q989" s="10">
        <v>0</v>
      </c>
      <c r="R989" s="10">
        <f>IF(COUNTIF($J$2:J989,J989)=1,SUMIFS($O:$O,$J:$J,J989)+SUMIFS($P:$P,$J:$J,J989)+SUMIFS($Q:$Q,$J:$J,J989),"")</f>
        <v>3025.68</v>
      </c>
      <c r="S989" s="10">
        <v>3525.6800000000003</v>
      </c>
      <c r="T989" s="11" t="str">
        <f t="shared" si="113"/>
        <v>Check</v>
      </c>
      <c r="U989" s="12">
        <v>46052</v>
      </c>
      <c r="V989" s="10">
        <v>762.06</v>
      </c>
      <c r="W989" s="10" t="str">
        <f t="shared" si="111"/>
        <v>Short Paid</v>
      </c>
      <c r="X989" t="s">
        <v>470</v>
      </c>
      <c r="Y989" t="s">
        <v>28</v>
      </c>
      <c r="Z989">
        <v>100158</v>
      </c>
      <c r="AA989" t="s">
        <v>510</v>
      </c>
      <c r="AB989" t="s">
        <v>521</v>
      </c>
      <c r="AC989" s="9">
        <v>3</v>
      </c>
      <c r="AD989" s="9" t="str">
        <f t="shared" si="112"/>
        <v>Check</v>
      </c>
      <c r="AE989" s="11">
        <f t="shared" si="114"/>
        <v>-500.00000000000045</v>
      </c>
    </row>
    <row r="990" spans="1:31" x14ac:dyDescent="0.3">
      <c r="A990">
        <v>69</v>
      </c>
      <c r="B990">
        <v>4639350</v>
      </c>
      <c r="C990" t="s">
        <v>220</v>
      </c>
      <c r="D990">
        <v>1469829</v>
      </c>
      <c r="E990" t="s">
        <v>224</v>
      </c>
      <c r="F990" t="s">
        <v>20</v>
      </c>
      <c r="G990" t="s">
        <v>963</v>
      </c>
      <c r="H990" t="s">
        <v>964</v>
      </c>
      <c r="I990" t="s">
        <v>3291</v>
      </c>
      <c r="J990">
        <v>51140286927</v>
      </c>
      <c r="K990" t="s">
        <v>3177</v>
      </c>
      <c r="L990" t="s">
        <v>4042</v>
      </c>
      <c r="M990">
        <v>13</v>
      </c>
      <c r="N990" s="10">
        <v>58.62</v>
      </c>
      <c r="O990" s="10">
        <f t="shared" si="110"/>
        <v>762.06</v>
      </c>
      <c r="P990" s="10" t="s">
        <v>5006</v>
      </c>
      <c r="Q990" s="10" t="s">
        <v>5006</v>
      </c>
      <c r="R990" s="10" t="str">
        <f>IF(COUNTIF($J$2:J990,J990)=1,SUMIFS($O:$O,$J:$J,J990)+SUMIFS($P:$P,$J:$J,J990)+SUMIFS($Q:$Q,$J:$J,J990),"")</f>
        <v/>
      </c>
      <c r="S990" s="10" t="s">
        <v>5006</v>
      </c>
      <c r="T990" s="11" t="str">
        <f t="shared" si="113"/>
        <v>Check</v>
      </c>
      <c r="U990" s="12">
        <v>46052</v>
      </c>
      <c r="V990" s="10">
        <v>762.06</v>
      </c>
      <c r="W990" s="10" t="str">
        <f t="shared" si="111"/>
        <v>N/A</v>
      </c>
      <c r="X990" t="s">
        <v>470</v>
      </c>
      <c r="Y990" t="s">
        <v>28</v>
      </c>
      <c r="Z990">
        <v>100158</v>
      </c>
      <c r="AA990" t="s">
        <v>510</v>
      </c>
      <c r="AB990" t="s">
        <v>521</v>
      </c>
      <c r="AC990" s="9">
        <v>3</v>
      </c>
      <c r="AD990" s="9" t="str">
        <f t="shared" si="112"/>
        <v>N/A</v>
      </c>
      <c r="AE990" s="11" t="e">
        <f t="shared" si="114"/>
        <v>#VALUE!</v>
      </c>
    </row>
    <row r="991" spans="1:31" x14ac:dyDescent="0.3">
      <c r="A991">
        <v>69</v>
      </c>
      <c r="B991">
        <v>4639350</v>
      </c>
      <c r="C991" t="s">
        <v>220</v>
      </c>
      <c r="D991">
        <v>1469829</v>
      </c>
      <c r="E991" t="s">
        <v>224</v>
      </c>
      <c r="F991" t="s">
        <v>20</v>
      </c>
      <c r="G991" t="s">
        <v>963</v>
      </c>
      <c r="H991" t="s">
        <v>964</v>
      </c>
      <c r="I991" t="s">
        <v>3453</v>
      </c>
      <c r="J991">
        <v>51140286927</v>
      </c>
      <c r="K991" t="s">
        <v>3207</v>
      </c>
      <c r="L991" t="s">
        <v>3346</v>
      </c>
      <c r="M991">
        <v>31500</v>
      </c>
      <c r="N991" s="10">
        <v>7.0000000000000007E-2</v>
      </c>
      <c r="O991" s="10">
        <f t="shared" si="110"/>
        <v>2205</v>
      </c>
      <c r="P991" s="10" t="s">
        <v>5006</v>
      </c>
      <c r="Q991" s="10" t="s">
        <v>5006</v>
      </c>
      <c r="R991" s="10" t="str">
        <f>IF(COUNTIF($J$2:J991,J991)=1,SUMIFS($O:$O,$J:$J,J991)+SUMIFS($P:$P,$J:$J,J991)+SUMIFS($Q:$Q,$J:$J,J991),"")</f>
        <v/>
      </c>
      <c r="S991" s="10" t="s">
        <v>5006</v>
      </c>
      <c r="T991" s="11" t="str">
        <f t="shared" si="113"/>
        <v>Check</v>
      </c>
      <c r="U991" s="12">
        <v>46052</v>
      </c>
      <c r="V991" s="10">
        <v>762.06</v>
      </c>
      <c r="W991" s="10" t="str">
        <f t="shared" si="111"/>
        <v>N/A</v>
      </c>
      <c r="X991" t="s">
        <v>470</v>
      </c>
      <c r="Y991" t="s">
        <v>28</v>
      </c>
      <c r="Z991">
        <v>100158</v>
      </c>
      <c r="AA991" t="s">
        <v>510</v>
      </c>
      <c r="AB991" t="s">
        <v>521</v>
      </c>
      <c r="AC991" s="9">
        <v>3</v>
      </c>
      <c r="AD991" s="9" t="str">
        <f t="shared" si="112"/>
        <v>N/A</v>
      </c>
      <c r="AE991" s="11" t="e">
        <f t="shared" si="114"/>
        <v>#VALUE!</v>
      </c>
    </row>
    <row r="992" spans="1:31" x14ac:dyDescent="0.3">
      <c r="A992">
        <v>73</v>
      </c>
      <c r="B992">
        <v>4627106</v>
      </c>
      <c r="C992" t="s">
        <v>239</v>
      </c>
      <c r="D992">
        <v>1571373</v>
      </c>
      <c r="E992" t="s">
        <v>604</v>
      </c>
      <c r="F992" t="s">
        <v>20</v>
      </c>
      <c r="G992" t="s">
        <v>924</v>
      </c>
      <c r="H992" t="s">
        <v>925</v>
      </c>
      <c r="I992" t="s">
        <v>3435</v>
      </c>
      <c r="J992">
        <v>51140310121</v>
      </c>
      <c r="K992" t="s">
        <v>3266</v>
      </c>
      <c r="L992" t="s">
        <v>4030</v>
      </c>
      <c r="M992">
        <v>5000</v>
      </c>
      <c r="N992" s="10">
        <v>0.60609999999999997</v>
      </c>
      <c r="O992" s="10">
        <f t="shared" si="110"/>
        <v>3030.5</v>
      </c>
      <c r="P992" s="10">
        <v>0</v>
      </c>
      <c r="Q992" s="10">
        <v>20.77</v>
      </c>
      <c r="R992" s="10">
        <f>IF(COUNTIF($J$2:J992,J992)=1,SUMIFS($O:$O,$J:$J,J992)+SUMIFS($P:$P,$J:$J,J992)+SUMIFS($Q:$Q,$J:$J,J992),"")</f>
        <v>3269.87</v>
      </c>
      <c r="S992" s="10">
        <v>3269.87</v>
      </c>
      <c r="T992" s="11" t="str">
        <f t="shared" si="113"/>
        <v>Ok</v>
      </c>
      <c r="U992" s="12">
        <v>45980</v>
      </c>
      <c r="V992" s="10">
        <v>239.37</v>
      </c>
      <c r="W992" s="10" t="str">
        <f t="shared" si="111"/>
        <v>Short Paid</v>
      </c>
      <c r="X992" t="s">
        <v>476</v>
      </c>
      <c r="Y992" t="s">
        <v>28</v>
      </c>
      <c r="Z992">
        <v>100275</v>
      </c>
      <c r="AA992" t="s">
        <v>492</v>
      </c>
      <c r="AB992" t="s">
        <v>521</v>
      </c>
      <c r="AC992" s="9">
        <v>2</v>
      </c>
      <c r="AD992" s="9" t="str">
        <f t="shared" si="112"/>
        <v>Ok</v>
      </c>
      <c r="AE992" s="11">
        <f t="shared" si="114"/>
        <v>0</v>
      </c>
    </row>
    <row r="993" spans="1:31" x14ac:dyDescent="0.3">
      <c r="A993">
        <v>73</v>
      </c>
      <c r="B993">
        <v>4627106</v>
      </c>
      <c r="C993" t="s">
        <v>239</v>
      </c>
      <c r="D993">
        <v>1571373</v>
      </c>
      <c r="E993" t="s">
        <v>604</v>
      </c>
      <c r="F993" t="s">
        <v>20</v>
      </c>
      <c r="G993" t="s">
        <v>924</v>
      </c>
      <c r="H993" t="s">
        <v>925</v>
      </c>
      <c r="I993" t="s">
        <v>3367</v>
      </c>
      <c r="J993">
        <v>51140310121</v>
      </c>
      <c r="K993" t="s">
        <v>3177</v>
      </c>
      <c r="L993" t="s">
        <v>4043</v>
      </c>
      <c r="M993">
        <v>20000</v>
      </c>
      <c r="N993" s="10">
        <v>1.093E-2</v>
      </c>
      <c r="O993" s="10">
        <f t="shared" si="110"/>
        <v>218.60000000000002</v>
      </c>
      <c r="P993" s="10" t="s">
        <v>5006</v>
      </c>
      <c r="Q993" s="10" t="s">
        <v>5006</v>
      </c>
      <c r="R993" s="10" t="str">
        <f>IF(COUNTIF($J$2:J993,J993)=1,SUMIFS($O:$O,$J:$J,J993)+SUMIFS($P:$P,$J:$J,J993)+SUMIFS($Q:$Q,$J:$J,J993),"")</f>
        <v/>
      </c>
      <c r="S993" s="10" t="s">
        <v>5006</v>
      </c>
      <c r="T993" s="11" t="str">
        <f t="shared" si="113"/>
        <v>Ok</v>
      </c>
      <c r="U993" s="12">
        <v>45980</v>
      </c>
      <c r="V993" s="10">
        <v>239.37</v>
      </c>
      <c r="W993" s="10" t="str">
        <f t="shared" si="111"/>
        <v>N/A</v>
      </c>
      <c r="X993" t="s">
        <v>476</v>
      </c>
      <c r="Y993" t="s">
        <v>28</v>
      </c>
      <c r="Z993">
        <v>100275</v>
      </c>
      <c r="AA993" t="s">
        <v>492</v>
      </c>
      <c r="AB993" t="s">
        <v>521</v>
      </c>
      <c r="AC993" s="9">
        <v>2</v>
      </c>
      <c r="AD993" s="9" t="str">
        <f t="shared" si="112"/>
        <v>N/A</v>
      </c>
      <c r="AE993" s="11" t="e">
        <f t="shared" si="114"/>
        <v>#VALUE!</v>
      </c>
    </row>
    <row r="994" spans="1:31" x14ac:dyDescent="0.3">
      <c r="A994">
        <v>74</v>
      </c>
      <c r="B994">
        <v>4625158</v>
      </c>
      <c r="C994" t="s">
        <v>239</v>
      </c>
      <c r="D994">
        <v>1043711</v>
      </c>
      <c r="E994" t="s">
        <v>539</v>
      </c>
      <c r="F994" t="s">
        <v>19</v>
      </c>
      <c r="G994" t="s">
        <v>904</v>
      </c>
      <c r="H994" t="s">
        <v>905</v>
      </c>
      <c r="I994" t="s">
        <v>3333</v>
      </c>
      <c r="J994">
        <v>51140310188</v>
      </c>
      <c r="K994" t="s">
        <v>3226</v>
      </c>
      <c r="L994" t="s">
        <v>4044</v>
      </c>
      <c r="M994">
        <v>9000</v>
      </c>
      <c r="N994" s="10">
        <v>0.20499999999999999</v>
      </c>
      <c r="O994" s="10">
        <f t="shared" si="110"/>
        <v>1845</v>
      </c>
      <c r="P994" s="10">
        <v>92.25</v>
      </c>
      <c r="Q994" s="10">
        <v>0</v>
      </c>
      <c r="R994" s="10">
        <f>IF(COUNTIF($J$2:J994,J994)=1,SUMIFS($O:$O,$J:$J,J994)+SUMIFS($P:$P,$J:$J,J994)+SUMIFS($Q:$Q,$J:$J,J994),"")</f>
        <v>57641.97</v>
      </c>
      <c r="S994" s="10">
        <v>57700.93</v>
      </c>
      <c r="T994" s="11" t="str">
        <f t="shared" si="113"/>
        <v>Check</v>
      </c>
      <c r="U994" s="12">
        <v>45957</v>
      </c>
      <c r="V994" s="10">
        <v>1937.25</v>
      </c>
      <c r="W994" s="10" t="str">
        <f t="shared" si="111"/>
        <v>Short Paid</v>
      </c>
      <c r="X994" t="s">
        <v>476</v>
      </c>
      <c r="Y994" t="s">
        <v>28</v>
      </c>
      <c r="Z994">
        <v>100125</v>
      </c>
      <c r="AA994" t="s">
        <v>477</v>
      </c>
      <c r="AB994" t="s">
        <v>524</v>
      </c>
      <c r="AC994" s="9">
        <v>3</v>
      </c>
      <c r="AD994" s="9" t="str">
        <f t="shared" si="112"/>
        <v>Check</v>
      </c>
      <c r="AE994" s="11">
        <f t="shared" si="114"/>
        <v>-58.959999999999127</v>
      </c>
    </row>
    <row r="995" spans="1:31" x14ac:dyDescent="0.3">
      <c r="A995">
        <v>74</v>
      </c>
      <c r="B995">
        <v>4625158</v>
      </c>
      <c r="C995" t="s">
        <v>239</v>
      </c>
      <c r="D995">
        <v>1043711</v>
      </c>
      <c r="E995" t="s">
        <v>539</v>
      </c>
      <c r="F995" t="s">
        <v>19</v>
      </c>
      <c r="G995" t="s">
        <v>904</v>
      </c>
      <c r="H995" t="s">
        <v>905</v>
      </c>
      <c r="I995" t="s">
        <v>3263</v>
      </c>
      <c r="J995">
        <v>51140310188</v>
      </c>
      <c r="K995" t="s">
        <v>3362</v>
      </c>
      <c r="L995" t="s">
        <v>4045</v>
      </c>
      <c r="M995">
        <v>4</v>
      </c>
      <c r="N995" s="10">
        <v>13925.68</v>
      </c>
      <c r="O995" s="10">
        <f t="shared" si="110"/>
        <v>55702.720000000001</v>
      </c>
      <c r="P995" s="10" t="s">
        <v>5006</v>
      </c>
      <c r="Q995" s="10" t="s">
        <v>5006</v>
      </c>
      <c r="R995" s="10" t="str">
        <f>IF(COUNTIF($J$2:J995,J995)=1,SUMIFS($O:$O,$J:$J,J995)+SUMIFS($P:$P,$J:$J,J995)+SUMIFS($Q:$Q,$J:$J,J995),"")</f>
        <v/>
      </c>
      <c r="S995" s="10" t="s">
        <v>5006</v>
      </c>
      <c r="T995" s="11" t="str">
        <f t="shared" si="113"/>
        <v>Check</v>
      </c>
      <c r="U995" s="12">
        <v>45957</v>
      </c>
      <c r="V995" s="10">
        <v>1937.25</v>
      </c>
      <c r="W995" s="10" t="str">
        <f t="shared" si="111"/>
        <v>N/A</v>
      </c>
      <c r="X995" t="s">
        <v>476</v>
      </c>
      <c r="Y995" t="s">
        <v>28</v>
      </c>
      <c r="Z995">
        <v>100125</v>
      </c>
      <c r="AA995" t="s">
        <v>477</v>
      </c>
      <c r="AB995" t="s">
        <v>524</v>
      </c>
      <c r="AC995" s="9">
        <v>3</v>
      </c>
      <c r="AD995" s="9" t="str">
        <f t="shared" si="112"/>
        <v>N/A</v>
      </c>
      <c r="AE995" s="11" t="e">
        <f t="shared" si="114"/>
        <v>#VALUE!</v>
      </c>
    </row>
    <row r="996" spans="1:31" x14ac:dyDescent="0.3">
      <c r="A996">
        <v>74</v>
      </c>
      <c r="B996">
        <v>4625158</v>
      </c>
      <c r="C996" t="s">
        <v>239</v>
      </c>
      <c r="D996">
        <v>1043711</v>
      </c>
      <c r="E996" t="s">
        <v>539</v>
      </c>
      <c r="F996" t="s">
        <v>19</v>
      </c>
      <c r="G996" t="s">
        <v>904</v>
      </c>
      <c r="H996" t="s">
        <v>905</v>
      </c>
      <c r="I996" t="s">
        <v>3263</v>
      </c>
      <c r="J996">
        <v>51140310188</v>
      </c>
      <c r="K996" t="s">
        <v>3183</v>
      </c>
      <c r="L996" t="s">
        <v>3816</v>
      </c>
      <c r="M996">
        <v>8</v>
      </c>
      <c r="N996" s="10">
        <v>0.25</v>
      </c>
      <c r="O996" s="10">
        <f t="shared" si="110"/>
        <v>2</v>
      </c>
      <c r="P996" s="10" t="s">
        <v>5006</v>
      </c>
      <c r="Q996" s="10" t="s">
        <v>5006</v>
      </c>
      <c r="R996" s="10" t="str">
        <f>IF(COUNTIF($J$2:J996,J996)=1,SUMIFS($O:$O,$J:$J,J996)+SUMIFS($P:$P,$J:$J,J996)+SUMIFS($Q:$Q,$J:$J,J996),"")</f>
        <v/>
      </c>
      <c r="S996" s="10" t="s">
        <v>5006</v>
      </c>
      <c r="T996" s="11" t="str">
        <f t="shared" si="113"/>
        <v>Check</v>
      </c>
      <c r="U996" s="12">
        <v>45957</v>
      </c>
      <c r="V996" s="10">
        <v>1937.25</v>
      </c>
      <c r="W996" s="10" t="str">
        <f t="shared" si="111"/>
        <v>N/A</v>
      </c>
      <c r="X996" t="s">
        <v>476</v>
      </c>
      <c r="Y996" t="s">
        <v>28</v>
      </c>
      <c r="Z996">
        <v>100125</v>
      </c>
      <c r="AA996" t="s">
        <v>477</v>
      </c>
      <c r="AB996" t="s">
        <v>524</v>
      </c>
      <c r="AC996" s="9">
        <v>3</v>
      </c>
      <c r="AD996" s="9" t="str">
        <f t="shared" si="112"/>
        <v>N/A</v>
      </c>
      <c r="AE996" s="11" t="e">
        <f t="shared" si="114"/>
        <v>#VALUE!</v>
      </c>
    </row>
    <row r="997" spans="1:31" x14ac:dyDescent="0.3">
      <c r="A997">
        <v>39</v>
      </c>
      <c r="B997">
        <v>4717270</v>
      </c>
      <c r="C997" t="s">
        <v>56</v>
      </c>
      <c r="D997">
        <v>1199834</v>
      </c>
      <c r="E997" t="s">
        <v>709</v>
      </c>
      <c r="F997" t="s">
        <v>20</v>
      </c>
      <c r="G997" t="s">
        <v>2768</v>
      </c>
      <c r="H997" t="s">
        <v>2769</v>
      </c>
      <c r="I997" t="s">
        <v>3451</v>
      </c>
      <c r="J997">
        <v>51140516797</v>
      </c>
      <c r="K997" t="s">
        <v>3351</v>
      </c>
      <c r="L997" t="s">
        <v>3450</v>
      </c>
      <c r="M997">
        <v>48000</v>
      </c>
      <c r="N997" s="10">
        <v>3.8679999999999999</v>
      </c>
      <c r="O997" s="10">
        <f t="shared" si="110"/>
        <v>185664</v>
      </c>
      <c r="P997" s="10">
        <v>17217.060000000001</v>
      </c>
      <c r="Q997" s="10">
        <v>0</v>
      </c>
      <c r="R997" s="10">
        <f>IF(COUNTIF($J$2:J997,J997)=1,SUMIFS($O:$O,$J:$J,J997)+SUMIFS($P:$P,$J:$J,J997)+SUMIFS($Q:$Q,$J:$J,J997),"")</f>
        <v>317853.06</v>
      </c>
      <c r="S997" s="10">
        <v>395213.06</v>
      </c>
      <c r="T997" s="11" t="str">
        <f t="shared" si="113"/>
        <v>Check</v>
      </c>
      <c r="U997" s="12">
        <v>46118</v>
      </c>
      <c r="V997" s="10">
        <v>132189.06</v>
      </c>
      <c r="W997" s="10" t="str">
        <f t="shared" si="111"/>
        <v>Short Paid</v>
      </c>
      <c r="X997" t="s">
        <v>435</v>
      </c>
      <c r="Y997" t="s">
        <v>28</v>
      </c>
      <c r="Z997">
        <v>100201</v>
      </c>
      <c r="AA997" t="s">
        <v>3064</v>
      </c>
      <c r="AB997" t="s">
        <v>521</v>
      </c>
      <c r="AC997" s="9">
        <v>2</v>
      </c>
      <c r="AD997" s="9" t="str">
        <f t="shared" si="112"/>
        <v>Check</v>
      </c>
      <c r="AE997" s="11">
        <f t="shared" si="114"/>
        <v>-77360</v>
      </c>
    </row>
    <row r="998" spans="1:31" x14ac:dyDescent="0.3">
      <c r="A998">
        <v>39</v>
      </c>
      <c r="B998">
        <v>4717270</v>
      </c>
      <c r="C998" t="s">
        <v>56</v>
      </c>
      <c r="D998">
        <v>1199834</v>
      </c>
      <c r="E998" t="s">
        <v>709</v>
      </c>
      <c r="F998" t="s">
        <v>20</v>
      </c>
      <c r="G998" t="s">
        <v>2768</v>
      </c>
      <c r="H998" t="s">
        <v>2769</v>
      </c>
      <c r="I998" t="s">
        <v>3239</v>
      </c>
      <c r="J998">
        <v>51140516797</v>
      </c>
      <c r="K998" t="s">
        <v>3488</v>
      </c>
      <c r="L998" t="s">
        <v>4046</v>
      </c>
      <c r="M998">
        <v>402000</v>
      </c>
      <c r="N998" s="10">
        <v>0.28599999999999998</v>
      </c>
      <c r="O998" s="10">
        <f t="shared" si="110"/>
        <v>114971.99999999999</v>
      </c>
      <c r="P998" s="10" t="s">
        <v>5006</v>
      </c>
      <c r="Q998" s="10" t="s">
        <v>5006</v>
      </c>
      <c r="R998" s="10" t="str">
        <f>IF(COUNTIF($J$2:J998,J998)=1,SUMIFS($O:$O,$J:$J,J998)+SUMIFS($P:$P,$J:$J,J998)+SUMIFS($Q:$Q,$J:$J,J998),"")</f>
        <v/>
      </c>
      <c r="S998" s="10" t="s">
        <v>5006</v>
      </c>
      <c r="T998" s="11" t="str">
        <f t="shared" si="113"/>
        <v>Check</v>
      </c>
      <c r="U998" s="12">
        <v>46118</v>
      </c>
      <c r="V998" s="10">
        <v>132189.06</v>
      </c>
      <c r="W998" s="10" t="str">
        <f t="shared" si="111"/>
        <v>N/A</v>
      </c>
      <c r="X998" t="s">
        <v>435</v>
      </c>
      <c r="Y998" t="s">
        <v>28</v>
      </c>
      <c r="Z998">
        <v>100201</v>
      </c>
      <c r="AA998" t="s">
        <v>3064</v>
      </c>
      <c r="AB998" t="s">
        <v>521</v>
      </c>
      <c r="AC998" s="9">
        <v>2</v>
      </c>
      <c r="AD998" s="9" t="str">
        <f t="shared" si="112"/>
        <v>N/A</v>
      </c>
      <c r="AE998" s="11" t="e">
        <f t="shared" si="114"/>
        <v>#VALUE!</v>
      </c>
    </row>
    <row r="999" spans="1:31" x14ac:dyDescent="0.3">
      <c r="A999">
        <v>70</v>
      </c>
      <c r="B999">
        <v>4637124</v>
      </c>
      <c r="C999" t="s">
        <v>167</v>
      </c>
      <c r="D999">
        <v>1236114</v>
      </c>
      <c r="E999" t="s">
        <v>170</v>
      </c>
      <c r="F999" t="s">
        <v>49</v>
      </c>
      <c r="G999" t="s">
        <v>961</v>
      </c>
      <c r="H999" t="s">
        <v>962</v>
      </c>
      <c r="I999" t="s">
        <v>3513</v>
      </c>
      <c r="J999">
        <v>51140695485</v>
      </c>
      <c r="K999" t="s">
        <v>3244</v>
      </c>
      <c r="L999" t="s">
        <v>4047</v>
      </c>
      <c r="M999">
        <v>2687</v>
      </c>
      <c r="N999" s="10">
        <v>190.43</v>
      </c>
      <c r="O999" s="10">
        <f t="shared" si="110"/>
        <v>511685.41000000003</v>
      </c>
      <c r="P999" s="10">
        <v>44004.95</v>
      </c>
      <c r="Q999" s="10">
        <v>0</v>
      </c>
      <c r="R999" s="10">
        <f>IF(COUNTIF($J$2:J999,J999)=1,SUMIFS($O:$O,$J:$J,J999)+SUMIFS($P:$P,$J:$J,J999)+SUMIFS($Q:$Q,$J:$J,J999),"")</f>
        <v>556474.14</v>
      </c>
      <c r="S999" s="10">
        <v>556474.14</v>
      </c>
      <c r="T999" s="11" t="str">
        <f t="shared" si="113"/>
        <v>Ok</v>
      </c>
      <c r="U999" s="12">
        <v>45653</v>
      </c>
      <c r="V999" s="10">
        <v>44004.95</v>
      </c>
      <c r="W999" s="10" t="str">
        <f t="shared" si="111"/>
        <v>Short Paid</v>
      </c>
      <c r="X999" t="s">
        <v>455</v>
      </c>
      <c r="Y999" t="s">
        <v>29</v>
      </c>
      <c r="Z999">
        <v>100290</v>
      </c>
      <c r="AA999" t="s">
        <v>3136</v>
      </c>
      <c r="AB999" t="s">
        <v>3041</v>
      </c>
      <c r="AC999" s="9">
        <v>2</v>
      </c>
      <c r="AD999" s="9" t="str">
        <f t="shared" si="112"/>
        <v>Ok</v>
      </c>
      <c r="AE999" s="11">
        <f t="shared" si="114"/>
        <v>0</v>
      </c>
    </row>
    <row r="1000" spans="1:31" x14ac:dyDescent="0.3">
      <c r="A1000">
        <v>70</v>
      </c>
      <c r="B1000">
        <v>4637124</v>
      </c>
      <c r="C1000" t="s">
        <v>167</v>
      </c>
      <c r="D1000">
        <v>1236114</v>
      </c>
      <c r="E1000" t="s">
        <v>170</v>
      </c>
      <c r="F1000" t="s">
        <v>49</v>
      </c>
      <c r="G1000" t="s">
        <v>961</v>
      </c>
      <c r="H1000" t="s">
        <v>962</v>
      </c>
      <c r="I1000" t="s">
        <v>3249</v>
      </c>
      <c r="J1000">
        <v>51140695485</v>
      </c>
      <c r="K1000" t="s">
        <v>3226</v>
      </c>
      <c r="L1000" t="s">
        <v>4048</v>
      </c>
      <c r="M1000">
        <v>3000</v>
      </c>
      <c r="N1000" s="10">
        <v>0.26125999999999999</v>
      </c>
      <c r="O1000" s="10">
        <f t="shared" si="110"/>
        <v>783.78</v>
      </c>
      <c r="P1000" s="10" t="s">
        <v>5006</v>
      </c>
      <c r="Q1000" s="10" t="s">
        <v>5006</v>
      </c>
      <c r="R1000" s="10" t="str">
        <f>IF(COUNTIF($J$2:J1000,J1000)=1,SUMIFS($O:$O,$J:$J,J1000)+SUMIFS($P:$P,$J:$J,J1000)+SUMIFS($Q:$Q,$J:$J,J1000),"")</f>
        <v/>
      </c>
      <c r="S1000" s="10" t="s">
        <v>5006</v>
      </c>
      <c r="T1000" s="11" t="str">
        <f t="shared" si="113"/>
        <v>Ok</v>
      </c>
      <c r="U1000" s="12">
        <v>45653</v>
      </c>
      <c r="V1000" s="10">
        <v>44004.95</v>
      </c>
      <c r="W1000" s="10" t="str">
        <f t="shared" si="111"/>
        <v>N/A</v>
      </c>
      <c r="X1000" t="s">
        <v>455</v>
      </c>
      <c r="Y1000" t="s">
        <v>29</v>
      </c>
      <c r="Z1000">
        <v>100290</v>
      </c>
      <c r="AA1000" t="s">
        <v>3136</v>
      </c>
      <c r="AB1000" t="s">
        <v>3041</v>
      </c>
      <c r="AC1000" s="9">
        <v>2</v>
      </c>
      <c r="AD1000" s="9" t="str">
        <f t="shared" si="112"/>
        <v>N/A</v>
      </c>
      <c r="AE1000" s="11" t="e">
        <f t="shared" si="114"/>
        <v>#VALUE!</v>
      </c>
    </row>
    <row r="1001" spans="1:31" x14ac:dyDescent="0.3">
      <c r="A1001">
        <v>71</v>
      </c>
      <c r="B1001">
        <v>4634898</v>
      </c>
      <c r="C1001" t="s">
        <v>167</v>
      </c>
      <c r="D1001">
        <v>1241713</v>
      </c>
      <c r="E1001" t="s">
        <v>614</v>
      </c>
      <c r="F1001" t="s">
        <v>19</v>
      </c>
      <c r="G1001" t="s">
        <v>955</v>
      </c>
      <c r="H1001" t="s">
        <v>956</v>
      </c>
      <c r="I1001" t="s">
        <v>3300</v>
      </c>
      <c r="J1001">
        <v>51140757393</v>
      </c>
      <c r="K1001" t="s">
        <v>3375</v>
      </c>
      <c r="L1001" t="s">
        <v>3428</v>
      </c>
      <c r="M1001">
        <v>7500</v>
      </c>
      <c r="N1001" s="10">
        <v>0.13750000000000001</v>
      </c>
      <c r="O1001" s="10">
        <f t="shared" si="110"/>
        <v>1031.25</v>
      </c>
      <c r="P1001" s="10">
        <v>0</v>
      </c>
      <c r="Q1001" s="10">
        <v>0</v>
      </c>
      <c r="R1001" s="10">
        <f>IF(COUNTIF($J$2:J1001,J1001)=1,SUMIFS($O:$O,$J:$J,J1001)+SUMIFS($P:$P,$J:$J,J1001)+SUMIFS($Q:$Q,$J:$J,J1001),"")</f>
        <v>46151.25</v>
      </c>
      <c r="S1001" s="10">
        <v>48557.5</v>
      </c>
      <c r="T1001" s="11" t="str">
        <f t="shared" si="113"/>
        <v>Check</v>
      </c>
      <c r="U1001" s="12">
        <v>46105</v>
      </c>
      <c r="V1001" s="10">
        <v>45120</v>
      </c>
      <c r="W1001" s="10" t="str">
        <f t="shared" si="111"/>
        <v>Short Paid</v>
      </c>
      <c r="X1001" t="s">
        <v>455</v>
      </c>
      <c r="Y1001" t="s">
        <v>28</v>
      </c>
      <c r="Z1001">
        <v>100230</v>
      </c>
      <c r="AA1001" t="s">
        <v>462</v>
      </c>
      <c r="AB1001" t="s">
        <v>524</v>
      </c>
      <c r="AC1001" s="9">
        <v>2</v>
      </c>
      <c r="AD1001" s="9" t="str">
        <f t="shared" si="112"/>
        <v>Check</v>
      </c>
      <c r="AE1001" s="11">
        <f t="shared" si="114"/>
        <v>-2406.25</v>
      </c>
    </row>
    <row r="1002" spans="1:31" x14ac:dyDescent="0.3">
      <c r="A1002">
        <v>71</v>
      </c>
      <c r="B1002">
        <v>4634898</v>
      </c>
      <c r="C1002" t="s">
        <v>167</v>
      </c>
      <c r="D1002">
        <v>1241713</v>
      </c>
      <c r="E1002" t="s">
        <v>614</v>
      </c>
      <c r="F1002" t="s">
        <v>19</v>
      </c>
      <c r="G1002" t="s">
        <v>955</v>
      </c>
      <c r="H1002" t="s">
        <v>956</v>
      </c>
      <c r="I1002" t="s">
        <v>3421</v>
      </c>
      <c r="J1002">
        <v>51140757393</v>
      </c>
      <c r="K1002" t="s">
        <v>3517</v>
      </c>
      <c r="L1002" t="s">
        <v>4049</v>
      </c>
      <c r="M1002">
        <v>48000</v>
      </c>
      <c r="N1002" s="10">
        <v>0.94</v>
      </c>
      <c r="O1002" s="10">
        <f t="shared" si="110"/>
        <v>45120</v>
      </c>
      <c r="P1002" s="10" t="s">
        <v>5006</v>
      </c>
      <c r="Q1002" s="10" t="s">
        <v>5006</v>
      </c>
      <c r="R1002" s="10" t="str">
        <f>IF(COUNTIF($J$2:J1002,J1002)=1,SUMIFS($O:$O,$J:$J,J1002)+SUMIFS($P:$P,$J:$J,J1002)+SUMIFS($Q:$Q,$J:$J,J1002),"")</f>
        <v/>
      </c>
      <c r="S1002" s="10" t="s">
        <v>5006</v>
      </c>
      <c r="T1002" s="11" t="str">
        <f t="shared" si="113"/>
        <v>Check</v>
      </c>
      <c r="U1002" s="12">
        <v>46105</v>
      </c>
      <c r="V1002" s="10">
        <v>45120</v>
      </c>
      <c r="W1002" s="10" t="str">
        <f t="shared" si="111"/>
        <v>N/A</v>
      </c>
      <c r="X1002" t="s">
        <v>455</v>
      </c>
      <c r="Y1002" t="s">
        <v>28</v>
      </c>
      <c r="Z1002">
        <v>100230</v>
      </c>
      <c r="AA1002" t="s">
        <v>462</v>
      </c>
      <c r="AB1002" t="s">
        <v>524</v>
      </c>
      <c r="AC1002" s="9">
        <v>2</v>
      </c>
      <c r="AD1002" s="9" t="str">
        <f t="shared" si="112"/>
        <v>N/A</v>
      </c>
      <c r="AE1002" s="11" t="e">
        <f t="shared" si="114"/>
        <v>#VALUE!</v>
      </c>
    </row>
    <row r="1003" spans="1:31" x14ac:dyDescent="0.3">
      <c r="A1003">
        <v>73</v>
      </c>
      <c r="B1003">
        <v>4628776</v>
      </c>
      <c r="C1003" t="s">
        <v>220</v>
      </c>
      <c r="D1003">
        <v>1132830</v>
      </c>
      <c r="E1003" t="s">
        <v>229</v>
      </c>
      <c r="F1003" t="s">
        <v>20</v>
      </c>
      <c r="G1003" t="s">
        <v>912</v>
      </c>
      <c r="H1003" t="s">
        <v>913</v>
      </c>
      <c r="I1003" t="s">
        <v>3305</v>
      </c>
      <c r="J1003">
        <v>51140866355</v>
      </c>
      <c r="K1003" t="s">
        <v>3362</v>
      </c>
      <c r="L1003" t="s">
        <v>4050</v>
      </c>
      <c r="M1003">
        <v>3</v>
      </c>
      <c r="N1003" s="10">
        <v>387.77</v>
      </c>
      <c r="O1003" s="10">
        <f t="shared" si="110"/>
        <v>1163.31</v>
      </c>
      <c r="P1003" s="10">
        <v>0</v>
      </c>
      <c r="Q1003" s="10">
        <v>0</v>
      </c>
      <c r="R1003" s="10">
        <f>IF(COUNTIF($J$2:J1003,J1003)=1,SUMIFS($O:$O,$J:$J,J1003)+SUMIFS($P:$P,$J:$J,J1003)+SUMIFS($Q:$Q,$J:$J,J1003),"")</f>
        <v>2113.81</v>
      </c>
      <c r="S1003" s="10">
        <v>2113.81</v>
      </c>
      <c r="T1003" s="11" t="str">
        <f t="shared" si="113"/>
        <v>Ok</v>
      </c>
      <c r="U1003" s="12">
        <v>45960</v>
      </c>
      <c r="V1003" s="10">
        <v>949</v>
      </c>
      <c r="W1003" s="10" t="str">
        <f t="shared" si="111"/>
        <v>Short Paid</v>
      </c>
      <c r="X1003" t="s">
        <v>470</v>
      </c>
      <c r="Y1003" t="s">
        <v>28</v>
      </c>
      <c r="Z1003">
        <v>100198</v>
      </c>
      <c r="AA1003" t="s">
        <v>473</v>
      </c>
      <c r="AB1003" t="s">
        <v>521</v>
      </c>
      <c r="AC1003" s="9">
        <v>3</v>
      </c>
      <c r="AD1003" s="9" t="str">
        <f t="shared" si="112"/>
        <v>Ok</v>
      </c>
      <c r="AE1003" s="11">
        <f t="shared" si="114"/>
        <v>0</v>
      </c>
    </row>
    <row r="1004" spans="1:31" x14ac:dyDescent="0.3">
      <c r="A1004">
        <v>73</v>
      </c>
      <c r="B1004">
        <v>4628776</v>
      </c>
      <c r="C1004" t="s">
        <v>220</v>
      </c>
      <c r="D1004">
        <v>1132830</v>
      </c>
      <c r="E1004" t="s">
        <v>229</v>
      </c>
      <c r="F1004" t="s">
        <v>20</v>
      </c>
      <c r="G1004" t="s">
        <v>912</v>
      </c>
      <c r="H1004" t="s">
        <v>913</v>
      </c>
      <c r="I1004" t="s">
        <v>3305</v>
      </c>
      <c r="J1004">
        <v>51140866355</v>
      </c>
      <c r="K1004" t="s">
        <v>3183</v>
      </c>
      <c r="L1004" t="s">
        <v>3816</v>
      </c>
      <c r="M1004">
        <v>6</v>
      </c>
      <c r="N1004" s="10">
        <v>0.25</v>
      </c>
      <c r="O1004" s="10">
        <f t="shared" si="110"/>
        <v>1.5</v>
      </c>
      <c r="P1004" s="10" t="s">
        <v>5006</v>
      </c>
      <c r="Q1004" s="10" t="s">
        <v>5006</v>
      </c>
      <c r="R1004" s="10" t="str">
        <f>IF(COUNTIF($J$2:J1004,J1004)=1,SUMIFS($O:$O,$J:$J,J1004)+SUMIFS($P:$P,$J:$J,J1004)+SUMIFS($Q:$Q,$J:$J,J1004),"")</f>
        <v/>
      </c>
      <c r="S1004" s="10" t="s">
        <v>5006</v>
      </c>
      <c r="T1004" s="11" t="str">
        <f t="shared" si="113"/>
        <v>Ok</v>
      </c>
      <c r="U1004" s="12">
        <v>45960</v>
      </c>
      <c r="V1004" s="10">
        <v>949</v>
      </c>
      <c r="W1004" s="10" t="str">
        <f t="shared" si="111"/>
        <v>N/A</v>
      </c>
      <c r="X1004" t="s">
        <v>470</v>
      </c>
      <c r="Y1004" t="s">
        <v>28</v>
      </c>
      <c r="Z1004">
        <v>100198</v>
      </c>
      <c r="AA1004" t="s">
        <v>473</v>
      </c>
      <c r="AB1004" t="s">
        <v>521</v>
      </c>
      <c r="AC1004" s="9">
        <v>3</v>
      </c>
      <c r="AD1004" s="9" t="str">
        <f t="shared" si="112"/>
        <v>N/A</v>
      </c>
      <c r="AE1004" s="11" t="e">
        <f t="shared" si="114"/>
        <v>#VALUE!</v>
      </c>
    </row>
    <row r="1005" spans="1:31" x14ac:dyDescent="0.3">
      <c r="A1005">
        <v>73</v>
      </c>
      <c r="B1005">
        <v>4628776</v>
      </c>
      <c r="C1005" t="s">
        <v>220</v>
      </c>
      <c r="D1005">
        <v>1132830</v>
      </c>
      <c r="E1005" t="s">
        <v>229</v>
      </c>
      <c r="F1005" t="s">
        <v>20</v>
      </c>
      <c r="G1005" t="s">
        <v>912</v>
      </c>
      <c r="H1005" t="s">
        <v>913</v>
      </c>
      <c r="I1005" t="s">
        <v>3298</v>
      </c>
      <c r="J1005">
        <v>51140866355</v>
      </c>
      <c r="K1005" t="s">
        <v>3375</v>
      </c>
      <c r="L1005" t="s">
        <v>4051</v>
      </c>
      <c r="M1005">
        <v>2500</v>
      </c>
      <c r="N1005" s="10">
        <v>0.37959999999999999</v>
      </c>
      <c r="O1005" s="10">
        <f t="shared" si="110"/>
        <v>949</v>
      </c>
      <c r="P1005" s="10" t="s">
        <v>5006</v>
      </c>
      <c r="Q1005" s="10" t="s">
        <v>5006</v>
      </c>
      <c r="R1005" s="10" t="str">
        <f>IF(COUNTIF($J$2:J1005,J1005)=1,SUMIFS($O:$O,$J:$J,J1005)+SUMIFS($P:$P,$J:$J,J1005)+SUMIFS($Q:$Q,$J:$J,J1005),"")</f>
        <v/>
      </c>
      <c r="S1005" s="10" t="s">
        <v>5006</v>
      </c>
      <c r="T1005" s="11" t="str">
        <f t="shared" si="113"/>
        <v>Ok</v>
      </c>
      <c r="U1005" s="12">
        <v>45960</v>
      </c>
      <c r="V1005" s="10">
        <v>949</v>
      </c>
      <c r="W1005" s="10" t="str">
        <f t="shared" si="111"/>
        <v>N/A</v>
      </c>
      <c r="X1005" t="s">
        <v>470</v>
      </c>
      <c r="Y1005" t="s">
        <v>28</v>
      </c>
      <c r="Z1005">
        <v>100198</v>
      </c>
      <c r="AA1005" t="s">
        <v>473</v>
      </c>
      <c r="AB1005" t="s">
        <v>521</v>
      </c>
      <c r="AC1005" s="9">
        <v>3</v>
      </c>
      <c r="AD1005" s="9" t="str">
        <f t="shared" si="112"/>
        <v>N/A</v>
      </c>
      <c r="AE1005" s="11" t="e">
        <f t="shared" si="114"/>
        <v>#VALUE!</v>
      </c>
    </row>
    <row r="1006" spans="1:31" x14ac:dyDescent="0.3">
      <c r="A1006">
        <v>72</v>
      </c>
      <c r="B1006">
        <v>4634063</v>
      </c>
      <c r="C1006" t="s">
        <v>217</v>
      </c>
      <c r="D1006">
        <v>1161112</v>
      </c>
      <c r="E1006" t="s">
        <v>566</v>
      </c>
      <c r="F1006" t="s">
        <v>20</v>
      </c>
      <c r="G1006" t="s">
        <v>952</v>
      </c>
      <c r="H1006" t="s">
        <v>953</v>
      </c>
      <c r="I1006" t="s">
        <v>3236</v>
      </c>
      <c r="J1006">
        <v>51140929896</v>
      </c>
      <c r="K1006" t="s">
        <v>3475</v>
      </c>
      <c r="L1006" t="s">
        <v>3564</v>
      </c>
      <c r="M1006">
        <v>1000</v>
      </c>
      <c r="N1006" s="10">
        <v>6.6253000000000002</v>
      </c>
      <c r="O1006" s="10">
        <f t="shared" si="110"/>
        <v>6625.3</v>
      </c>
      <c r="P1006" s="10">
        <v>0</v>
      </c>
      <c r="Q1006" s="10">
        <v>0</v>
      </c>
      <c r="R1006" s="10">
        <f>IF(COUNTIF($J$2:J1006,J1006)=1,SUMIFS($O:$O,$J:$J,J1006)+SUMIFS($P:$P,$J:$J,J1006)+SUMIFS($Q:$Q,$J:$J,J1006),"")</f>
        <v>7911.55</v>
      </c>
      <c r="S1006" s="10">
        <v>7911.55</v>
      </c>
      <c r="T1006" s="11" t="str">
        <f t="shared" si="113"/>
        <v>Ok</v>
      </c>
      <c r="U1006" s="12">
        <v>46064</v>
      </c>
      <c r="V1006" s="10">
        <v>1286.25</v>
      </c>
      <c r="W1006" s="10" t="str">
        <f t="shared" si="111"/>
        <v>Short Paid</v>
      </c>
      <c r="X1006" t="s">
        <v>468</v>
      </c>
      <c r="Y1006" t="s">
        <v>28</v>
      </c>
      <c r="Z1006">
        <v>100166</v>
      </c>
      <c r="AA1006" t="s">
        <v>3069</v>
      </c>
      <c r="AB1006" t="s">
        <v>521</v>
      </c>
      <c r="AC1006" s="9">
        <v>2</v>
      </c>
      <c r="AD1006" s="9" t="str">
        <f t="shared" si="112"/>
        <v>Ok</v>
      </c>
      <c r="AE1006" s="11">
        <f t="shared" si="114"/>
        <v>0</v>
      </c>
    </row>
    <row r="1007" spans="1:31" x14ac:dyDescent="0.3">
      <c r="A1007">
        <v>72</v>
      </c>
      <c r="B1007">
        <v>4634063</v>
      </c>
      <c r="C1007" t="s">
        <v>217</v>
      </c>
      <c r="D1007">
        <v>1161112</v>
      </c>
      <c r="E1007" t="s">
        <v>566</v>
      </c>
      <c r="F1007" t="s">
        <v>20</v>
      </c>
      <c r="G1007" t="s">
        <v>952</v>
      </c>
      <c r="H1007" t="s">
        <v>953</v>
      </c>
      <c r="I1007" t="s">
        <v>3347</v>
      </c>
      <c r="J1007">
        <v>51140929896</v>
      </c>
      <c r="K1007" t="s">
        <v>3401</v>
      </c>
      <c r="L1007" t="s">
        <v>4052</v>
      </c>
      <c r="M1007">
        <v>2500</v>
      </c>
      <c r="N1007" s="10">
        <v>0.51449999999999996</v>
      </c>
      <c r="O1007" s="10">
        <f t="shared" si="110"/>
        <v>1286.25</v>
      </c>
      <c r="P1007" s="10" t="s">
        <v>5006</v>
      </c>
      <c r="Q1007" s="10" t="s">
        <v>5006</v>
      </c>
      <c r="R1007" s="10" t="str">
        <f>IF(COUNTIF($J$2:J1007,J1007)=1,SUMIFS($O:$O,$J:$J,J1007)+SUMIFS($P:$P,$J:$J,J1007)+SUMIFS($Q:$Q,$J:$J,J1007),"")</f>
        <v/>
      </c>
      <c r="S1007" s="10" t="s">
        <v>5006</v>
      </c>
      <c r="T1007" s="11" t="str">
        <f t="shared" si="113"/>
        <v>Ok</v>
      </c>
      <c r="U1007" s="12">
        <v>46064</v>
      </c>
      <c r="V1007" s="10">
        <v>1286.25</v>
      </c>
      <c r="W1007" s="10" t="str">
        <f t="shared" si="111"/>
        <v>N/A</v>
      </c>
      <c r="X1007" t="s">
        <v>468</v>
      </c>
      <c r="Y1007" t="s">
        <v>28</v>
      </c>
      <c r="Z1007">
        <v>100166</v>
      </c>
      <c r="AA1007" t="s">
        <v>3069</v>
      </c>
      <c r="AB1007" t="s">
        <v>521</v>
      </c>
      <c r="AC1007" s="9">
        <v>2</v>
      </c>
      <c r="AD1007" s="9" t="str">
        <f t="shared" si="112"/>
        <v>N/A</v>
      </c>
      <c r="AE1007" s="11" t="e">
        <f t="shared" si="114"/>
        <v>#VALUE!</v>
      </c>
    </row>
    <row r="1008" spans="1:31" x14ac:dyDescent="0.3">
      <c r="A1008">
        <v>67</v>
      </c>
      <c r="B1008">
        <v>4644916</v>
      </c>
      <c r="C1008" t="s">
        <v>56</v>
      </c>
      <c r="D1008">
        <v>1443616</v>
      </c>
      <c r="E1008" t="s">
        <v>285</v>
      </c>
      <c r="F1008" t="s">
        <v>19</v>
      </c>
      <c r="G1008" t="s">
        <v>977</v>
      </c>
      <c r="H1008" t="s">
        <v>978</v>
      </c>
      <c r="I1008" t="s">
        <v>3390</v>
      </c>
      <c r="J1008">
        <v>51140933487</v>
      </c>
      <c r="K1008" t="s">
        <v>3168</v>
      </c>
      <c r="L1008" t="s">
        <v>3199</v>
      </c>
      <c r="M1008">
        <v>3000</v>
      </c>
      <c r="N1008" s="10">
        <v>1.24</v>
      </c>
      <c r="O1008" s="10">
        <f t="shared" si="110"/>
        <v>3720</v>
      </c>
      <c r="P1008" s="10">
        <v>0</v>
      </c>
      <c r="Q1008" s="10">
        <v>0</v>
      </c>
      <c r="R1008" s="10">
        <f>IF(COUNTIF($J$2:J1008,J1008)=1,SUMIFS($O:$O,$J:$J,J1008)+SUMIFS($P:$P,$J:$J,J1008)+SUMIFS($Q:$Q,$J:$J,J1008),"")</f>
        <v>92256</v>
      </c>
      <c r="S1008" s="10">
        <v>92106</v>
      </c>
      <c r="T1008" s="11" t="str">
        <f t="shared" si="113"/>
        <v>Check</v>
      </c>
      <c r="U1008" s="12">
        <v>46085</v>
      </c>
      <c r="V1008" s="10">
        <v>3570</v>
      </c>
      <c r="W1008" s="10" t="str">
        <f t="shared" si="111"/>
        <v>Short Paid</v>
      </c>
      <c r="X1008" t="s">
        <v>435</v>
      </c>
      <c r="Y1008" t="s">
        <v>28</v>
      </c>
      <c r="Z1008">
        <v>100201</v>
      </c>
      <c r="AA1008" t="s">
        <v>3064</v>
      </c>
      <c r="AB1008" t="s">
        <v>524</v>
      </c>
      <c r="AC1008" s="9">
        <v>2</v>
      </c>
      <c r="AD1008" s="9" t="str">
        <f t="shared" si="112"/>
        <v>Check</v>
      </c>
      <c r="AE1008" s="11">
        <f t="shared" si="114"/>
        <v>150</v>
      </c>
    </row>
    <row r="1009" spans="1:31" x14ac:dyDescent="0.3">
      <c r="A1009">
        <v>67</v>
      </c>
      <c r="B1009">
        <v>4644916</v>
      </c>
      <c r="C1009" t="s">
        <v>56</v>
      </c>
      <c r="D1009">
        <v>1443616</v>
      </c>
      <c r="E1009" t="s">
        <v>285</v>
      </c>
      <c r="F1009" t="s">
        <v>19</v>
      </c>
      <c r="G1009" t="s">
        <v>977</v>
      </c>
      <c r="H1009" t="s">
        <v>978</v>
      </c>
      <c r="I1009" t="s">
        <v>3524</v>
      </c>
      <c r="J1009">
        <v>51140933487</v>
      </c>
      <c r="K1009" t="s">
        <v>3908</v>
      </c>
      <c r="L1009" t="s">
        <v>4053</v>
      </c>
      <c r="M1009">
        <v>248</v>
      </c>
      <c r="N1009" s="10">
        <v>357</v>
      </c>
      <c r="O1009" s="10">
        <f t="shared" si="110"/>
        <v>88536</v>
      </c>
      <c r="P1009" s="10" t="s">
        <v>5006</v>
      </c>
      <c r="Q1009" s="10" t="s">
        <v>5006</v>
      </c>
      <c r="R1009" s="10" t="str">
        <f>IF(COUNTIF($J$2:J1009,J1009)=1,SUMIFS($O:$O,$J:$J,J1009)+SUMIFS($P:$P,$J:$J,J1009)+SUMIFS($Q:$Q,$J:$J,J1009),"")</f>
        <v/>
      </c>
      <c r="S1009" s="10" t="s">
        <v>5006</v>
      </c>
      <c r="T1009" s="11" t="str">
        <f t="shared" si="113"/>
        <v>Check</v>
      </c>
      <c r="U1009" s="12">
        <v>46085</v>
      </c>
      <c r="V1009" s="10">
        <v>3570</v>
      </c>
      <c r="W1009" s="10" t="str">
        <f t="shared" si="111"/>
        <v>N/A</v>
      </c>
      <c r="X1009" t="s">
        <v>435</v>
      </c>
      <c r="Y1009" t="s">
        <v>28</v>
      </c>
      <c r="Z1009">
        <v>100201</v>
      </c>
      <c r="AA1009" t="s">
        <v>3064</v>
      </c>
      <c r="AB1009" t="s">
        <v>524</v>
      </c>
      <c r="AC1009" s="9">
        <v>2</v>
      </c>
      <c r="AD1009" s="9" t="str">
        <f t="shared" si="112"/>
        <v>N/A</v>
      </c>
      <c r="AE1009" s="11" t="e">
        <f t="shared" si="114"/>
        <v>#VALUE!</v>
      </c>
    </row>
    <row r="1010" spans="1:31" x14ac:dyDescent="0.3">
      <c r="A1010">
        <v>72</v>
      </c>
      <c r="B1010">
        <v>4633785</v>
      </c>
      <c r="C1010" t="s">
        <v>217</v>
      </c>
      <c r="D1010">
        <v>1161112</v>
      </c>
      <c r="E1010" t="s">
        <v>566</v>
      </c>
      <c r="F1010" t="s">
        <v>20</v>
      </c>
      <c r="G1010" t="s">
        <v>950</v>
      </c>
      <c r="H1010" t="s">
        <v>951</v>
      </c>
      <c r="I1010" t="s">
        <v>3198</v>
      </c>
      <c r="J1010">
        <v>51140963487</v>
      </c>
      <c r="K1010" t="s">
        <v>3351</v>
      </c>
      <c r="L1010" t="s">
        <v>3384</v>
      </c>
      <c r="M1010">
        <v>2500</v>
      </c>
      <c r="N1010" s="10">
        <v>1.0817000000000001</v>
      </c>
      <c r="O1010" s="10">
        <f t="shared" si="110"/>
        <v>2704.2500000000005</v>
      </c>
      <c r="P1010" s="10">
        <v>0</v>
      </c>
      <c r="Q1010" s="10">
        <v>0</v>
      </c>
      <c r="R1010" s="10">
        <f>IF(COUNTIF($J$2:J1010,J1010)=1,SUMIFS($O:$O,$J:$J,J1010)+SUMIFS($P:$P,$J:$J,J1010)+SUMIFS($Q:$Q,$J:$J,J1010),"")</f>
        <v>2834.9300000000003</v>
      </c>
      <c r="S1010" s="10">
        <v>2834.93</v>
      </c>
      <c r="T1010" s="11" t="str">
        <f t="shared" si="113"/>
        <v>Ok</v>
      </c>
      <c r="U1010" s="12">
        <v>46062</v>
      </c>
      <c r="V1010" s="10">
        <v>130.68</v>
      </c>
      <c r="W1010" s="10" t="str">
        <f t="shared" si="111"/>
        <v>Short Paid</v>
      </c>
      <c r="X1010" t="s">
        <v>468</v>
      </c>
      <c r="Y1010" t="s">
        <v>28</v>
      </c>
      <c r="Z1010">
        <v>100156</v>
      </c>
      <c r="AA1010" t="s">
        <v>3112</v>
      </c>
      <c r="AB1010" t="s">
        <v>521</v>
      </c>
      <c r="AC1010" s="9">
        <v>2</v>
      </c>
      <c r="AD1010" s="9" t="str">
        <f t="shared" si="112"/>
        <v>Ok</v>
      </c>
      <c r="AE1010" s="11">
        <f t="shared" si="114"/>
        <v>0</v>
      </c>
    </row>
    <row r="1011" spans="1:31" x14ac:dyDescent="0.3">
      <c r="A1011">
        <v>72</v>
      </c>
      <c r="B1011">
        <v>4633785</v>
      </c>
      <c r="C1011" t="s">
        <v>217</v>
      </c>
      <c r="D1011">
        <v>1161112</v>
      </c>
      <c r="E1011" t="s">
        <v>566</v>
      </c>
      <c r="F1011" t="s">
        <v>20</v>
      </c>
      <c r="G1011" t="s">
        <v>950</v>
      </c>
      <c r="H1011" t="s">
        <v>951</v>
      </c>
      <c r="I1011" t="s">
        <v>3249</v>
      </c>
      <c r="J1011">
        <v>51140963487</v>
      </c>
      <c r="K1011" t="s">
        <v>3370</v>
      </c>
      <c r="L1011" t="s">
        <v>4054</v>
      </c>
      <c r="M1011">
        <v>3000</v>
      </c>
      <c r="N1011" s="10">
        <v>4.3560000000000001E-2</v>
      </c>
      <c r="O1011" s="10">
        <f t="shared" si="110"/>
        <v>130.68</v>
      </c>
      <c r="P1011" s="10" t="s">
        <v>5006</v>
      </c>
      <c r="Q1011" s="10" t="s">
        <v>5006</v>
      </c>
      <c r="R1011" s="10" t="str">
        <f>IF(COUNTIF($J$2:J1011,J1011)=1,SUMIFS($O:$O,$J:$J,J1011)+SUMIFS($P:$P,$J:$J,J1011)+SUMIFS($Q:$Q,$J:$J,J1011),"")</f>
        <v/>
      </c>
      <c r="S1011" s="10" t="s">
        <v>5006</v>
      </c>
      <c r="T1011" s="11" t="str">
        <f t="shared" si="113"/>
        <v>Ok</v>
      </c>
      <c r="U1011" s="12">
        <v>46062</v>
      </c>
      <c r="V1011" s="10">
        <v>130.68</v>
      </c>
      <c r="W1011" s="10" t="str">
        <f t="shared" si="111"/>
        <v>N/A</v>
      </c>
      <c r="X1011" t="s">
        <v>468</v>
      </c>
      <c r="Y1011" t="s">
        <v>28</v>
      </c>
      <c r="Z1011">
        <v>100156</v>
      </c>
      <c r="AA1011" t="s">
        <v>3112</v>
      </c>
      <c r="AB1011" t="s">
        <v>521</v>
      </c>
      <c r="AC1011" s="9">
        <v>2</v>
      </c>
      <c r="AD1011" s="9" t="str">
        <f t="shared" si="112"/>
        <v>N/A</v>
      </c>
      <c r="AE1011" s="11" t="e">
        <f t="shared" si="114"/>
        <v>#VALUE!</v>
      </c>
    </row>
    <row r="1012" spans="1:31" x14ac:dyDescent="0.3">
      <c r="A1012">
        <v>67</v>
      </c>
      <c r="B1012">
        <v>4639907</v>
      </c>
      <c r="C1012" t="s">
        <v>239</v>
      </c>
      <c r="D1012">
        <v>1017836</v>
      </c>
      <c r="E1012" t="s">
        <v>282</v>
      </c>
      <c r="F1012" t="s">
        <v>20</v>
      </c>
      <c r="G1012" t="s">
        <v>967</v>
      </c>
      <c r="H1012" t="s">
        <v>968</v>
      </c>
      <c r="I1012" t="s">
        <v>3309</v>
      </c>
      <c r="J1012">
        <v>51140976435</v>
      </c>
      <c r="K1012" t="s">
        <v>3246</v>
      </c>
      <c r="L1012" t="s">
        <v>3445</v>
      </c>
      <c r="M1012">
        <v>8000</v>
      </c>
      <c r="N1012" s="10">
        <v>0.21</v>
      </c>
      <c r="O1012" s="10">
        <f t="shared" si="110"/>
        <v>1680</v>
      </c>
      <c r="P1012" s="10">
        <v>0</v>
      </c>
      <c r="Q1012" s="10">
        <v>0</v>
      </c>
      <c r="R1012" s="10">
        <f>IF(COUNTIF($J$2:J1012,J1012)=1,SUMIFS($O:$O,$J:$J,J1012)+SUMIFS($P:$P,$J:$J,J1012)+SUMIFS($Q:$Q,$J:$J,J1012),"")</f>
        <v>1840</v>
      </c>
      <c r="S1012" s="10">
        <v>1840</v>
      </c>
      <c r="T1012" s="11" t="str">
        <f t="shared" si="113"/>
        <v>Ok</v>
      </c>
      <c r="U1012" s="12">
        <v>46057</v>
      </c>
      <c r="V1012" s="10">
        <v>160</v>
      </c>
      <c r="W1012" s="10" t="str">
        <f t="shared" si="111"/>
        <v>Short Paid</v>
      </c>
      <c r="X1012" t="s">
        <v>476</v>
      </c>
      <c r="Y1012" t="s">
        <v>28</v>
      </c>
      <c r="Z1012">
        <v>100195</v>
      </c>
      <c r="AA1012" t="s">
        <v>3070</v>
      </c>
      <c r="AB1012" t="s">
        <v>521</v>
      </c>
      <c r="AC1012" s="9">
        <v>2</v>
      </c>
      <c r="AD1012" s="9" t="str">
        <f t="shared" si="112"/>
        <v>Ok</v>
      </c>
      <c r="AE1012" s="11">
        <f t="shared" si="114"/>
        <v>0</v>
      </c>
    </row>
    <row r="1013" spans="1:31" x14ac:dyDescent="0.3">
      <c r="A1013">
        <v>67</v>
      </c>
      <c r="B1013">
        <v>4639907</v>
      </c>
      <c r="C1013" t="s">
        <v>239</v>
      </c>
      <c r="D1013">
        <v>1017836</v>
      </c>
      <c r="E1013" t="s">
        <v>282</v>
      </c>
      <c r="F1013" t="s">
        <v>20</v>
      </c>
      <c r="G1013" t="s">
        <v>967</v>
      </c>
      <c r="H1013" t="s">
        <v>968</v>
      </c>
      <c r="I1013" t="s">
        <v>3283</v>
      </c>
      <c r="J1013">
        <v>51140976435</v>
      </c>
      <c r="K1013" t="s">
        <v>3190</v>
      </c>
      <c r="L1013" t="s">
        <v>3539</v>
      </c>
      <c r="M1013">
        <v>500</v>
      </c>
      <c r="N1013" s="10">
        <v>0.32</v>
      </c>
      <c r="O1013" s="10">
        <f t="shared" si="110"/>
        <v>160</v>
      </c>
      <c r="P1013" s="10" t="s">
        <v>5006</v>
      </c>
      <c r="Q1013" s="10" t="s">
        <v>5006</v>
      </c>
      <c r="R1013" s="10" t="str">
        <f>IF(COUNTIF($J$2:J1013,J1013)=1,SUMIFS($O:$O,$J:$J,J1013)+SUMIFS($P:$P,$J:$J,J1013)+SUMIFS($Q:$Q,$J:$J,J1013),"")</f>
        <v/>
      </c>
      <c r="S1013" s="10" t="s">
        <v>5006</v>
      </c>
      <c r="T1013" s="11" t="str">
        <f t="shared" si="113"/>
        <v>Ok</v>
      </c>
      <c r="U1013" s="12">
        <v>46057</v>
      </c>
      <c r="V1013" s="10">
        <v>160</v>
      </c>
      <c r="W1013" s="10" t="str">
        <f t="shared" si="111"/>
        <v>N/A</v>
      </c>
      <c r="X1013" t="s">
        <v>476</v>
      </c>
      <c r="Y1013" t="s">
        <v>28</v>
      </c>
      <c r="Z1013">
        <v>100195</v>
      </c>
      <c r="AA1013" t="s">
        <v>3070</v>
      </c>
      <c r="AB1013" t="s">
        <v>521</v>
      </c>
      <c r="AC1013" s="9">
        <v>2</v>
      </c>
      <c r="AD1013" s="9" t="str">
        <f t="shared" si="112"/>
        <v>N/A</v>
      </c>
      <c r="AE1013" s="11" t="e">
        <f t="shared" si="114"/>
        <v>#VALUE!</v>
      </c>
    </row>
    <row r="1014" spans="1:31" x14ac:dyDescent="0.3">
      <c r="A1014">
        <v>53</v>
      </c>
      <c r="B1014">
        <v>4679423</v>
      </c>
      <c r="C1014" t="s">
        <v>60</v>
      </c>
      <c r="D1014">
        <v>1507694</v>
      </c>
      <c r="E1014" t="s">
        <v>351</v>
      </c>
      <c r="F1014" t="s">
        <v>20</v>
      </c>
      <c r="G1014" t="s">
        <v>2740</v>
      </c>
      <c r="H1014" t="s">
        <v>2741</v>
      </c>
      <c r="I1014" t="s">
        <v>3257</v>
      </c>
      <c r="J1014">
        <v>51140989743</v>
      </c>
      <c r="K1014" t="s">
        <v>3532</v>
      </c>
      <c r="L1014" t="s">
        <v>3531</v>
      </c>
      <c r="M1014">
        <v>28000</v>
      </c>
      <c r="N1014" s="10">
        <v>0.58906599999999987</v>
      </c>
      <c r="O1014" s="10">
        <f t="shared" si="110"/>
        <v>16493.847999999994</v>
      </c>
      <c r="P1014" s="10">
        <v>0</v>
      </c>
      <c r="Q1014" s="10">
        <v>4895.9399999999996</v>
      </c>
      <c r="R1014" s="10">
        <f>IF(COUNTIF($J$2:J1014,J1014)=1,SUMIFS($O:$O,$J:$J,J1014)+SUMIFS($P:$P,$J:$J,J1014)+SUMIFS($Q:$Q,$J:$J,J1014),"")</f>
        <v>23313.787999999993</v>
      </c>
      <c r="S1014" s="10">
        <v>28106.6</v>
      </c>
      <c r="T1014" s="11" t="str">
        <f t="shared" si="113"/>
        <v>Check</v>
      </c>
      <c r="U1014" s="12">
        <v>45489</v>
      </c>
      <c r="V1014" s="10">
        <v>1924</v>
      </c>
      <c r="W1014" s="10" t="str">
        <f t="shared" si="111"/>
        <v>Short Paid</v>
      </c>
      <c r="X1014" t="s">
        <v>438</v>
      </c>
      <c r="Y1014" t="s">
        <v>28</v>
      </c>
      <c r="Z1014">
        <v>100233</v>
      </c>
      <c r="AA1014" t="s">
        <v>448</v>
      </c>
      <c r="AB1014" t="s">
        <v>521</v>
      </c>
      <c r="AC1014" s="9">
        <v>2</v>
      </c>
      <c r="AD1014" s="9" t="str">
        <f t="shared" si="112"/>
        <v>Check</v>
      </c>
      <c r="AE1014" s="11">
        <f t="shared" si="114"/>
        <v>-4792.8120000000054</v>
      </c>
    </row>
    <row r="1015" spans="1:31" x14ac:dyDescent="0.3">
      <c r="A1015">
        <v>53</v>
      </c>
      <c r="B1015">
        <v>4679423</v>
      </c>
      <c r="C1015" t="s">
        <v>60</v>
      </c>
      <c r="D1015">
        <v>1507694</v>
      </c>
      <c r="E1015" t="s">
        <v>351</v>
      </c>
      <c r="F1015" t="s">
        <v>20</v>
      </c>
      <c r="G1015" t="s">
        <v>2740</v>
      </c>
      <c r="H1015" t="s">
        <v>2741</v>
      </c>
      <c r="I1015" t="s">
        <v>3227</v>
      </c>
      <c r="J1015">
        <v>51140989743</v>
      </c>
      <c r="K1015" t="s">
        <v>3638</v>
      </c>
      <c r="L1015" t="s">
        <v>4055</v>
      </c>
      <c r="M1015">
        <v>2</v>
      </c>
      <c r="N1015" s="10">
        <v>962</v>
      </c>
      <c r="O1015" s="10">
        <f t="shared" si="110"/>
        <v>1924</v>
      </c>
      <c r="P1015" s="10" t="s">
        <v>5006</v>
      </c>
      <c r="Q1015" s="10" t="s">
        <v>5006</v>
      </c>
      <c r="R1015" s="10" t="str">
        <f>IF(COUNTIF($J$2:J1015,J1015)=1,SUMIFS($O:$O,$J:$J,J1015)+SUMIFS($P:$P,$J:$J,J1015)+SUMIFS($Q:$Q,$J:$J,J1015),"")</f>
        <v/>
      </c>
      <c r="S1015" s="10" t="s">
        <v>5006</v>
      </c>
      <c r="T1015" s="11" t="str">
        <f t="shared" si="113"/>
        <v>Check</v>
      </c>
      <c r="U1015" s="12">
        <v>45489</v>
      </c>
      <c r="V1015" s="10">
        <v>1924</v>
      </c>
      <c r="W1015" s="10" t="str">
        <f t="shared" si="111"/>
        <v>N/A</v>
      </c>
      <c r="X1015" t="s">
        <v>438</v>
      </c>
      <c r="Y1015" t="s">
        <v>28</v>
      </c>
      <c r="Z1015">
        <v>100233</v>
      </c>
      <c r="AA1015" t="s">
        <v>448</v>
      </c>
      <c r="AB1015" t="s">
        <v>521</v>
      </c>
      <c r="AC1015" s="9">
        <v>2</v>
      </c>
      <c r="AD1015" s="9" t="str">
        <f t="shared" si="112"/>
        <v>N/A</v>
      </c>
      <c r="AE1015" s="11" t="e">
        <f t="shared" si="114"/>
        <v>#VALUE!</v>
      </c>
    </row>
    <row r="1016" spans="1:31" x14ac:dyDescent="0.3">
      <c r="A1016">
        <v>65</v>
      </c>
      <c r="B1016">
        <v>4652708</v>
      </c>
      <c r="C1016" t="s">
        <v>56</v>
      </c>
      <c r="D1016">
        <v>1443616</v>
      </c>
      <c r="E1016" t="s">
        <v>285</v>
      </c>
      <c r="F1016" t="s">
        <v>20</v>
      </c>
      <c r="G1016" t="s">
        <v>2721</v>
      </c>
      <c r="H1016" t="s">
        <v>2722</v>
      </c>
      <c r="I1016" t="s">
        <v>3181</v>
      </c>
      <c r="J1016">
        <v>51141037279</v>
      </c>
      <c r="K1016" t="s">
        <v>3375</v>
      </c>
      <c r="L1016" t="s">
        <v>4056</v>
      </c>
      <c r="M1016">
        <v>70000</v>
      </c>
      <c r="N1016" s="10">
        <v>6.5000000000000002E-2</v>
      </c>
      <c r="O1016" s="10">
        <f t="shared" si="110"/>
        <v>4550</v>
      </c>
      <c r="P1016" s="10">
        <v>0</v>
      </c>
      <c r="Q1016" s="10">
        <v>0</v>
      </c>
      <c r="R1016" s="10">
        <f>IF(COUNTIF($J$2:J1016,J1016)=1,SUMIFS($O:$O,$J:$J,J1016)+SUMIFS($P:$P,$J:$J,J1016)+SUMIFS($Q:$Q,$J:$J,J1016),"")</f>
        <v>12344</v>
      </c>
      <c r="S1016" s="10">
        <v>14294</v>
      </c>
      <c r="T1016" s="11" t="str">
        <f t="shared" si="113"/>
        <v>Check</v>
      </c>
      <c r="U1016" s="12">
        <v>46106</v>
      </c>
      <c r="V1016" s="10">
        <v>7794</v>
      </c>
      <c r="W1016" s="10" t="str">
        <f t="shared" si="111"/>
        <v>Short Paid</v>
      </c>
      <c r="X1016" t="s">
        <v>435</v>
      </c>
      <c r="Y1016" t="s">
        <v>28</v>
      </c>
      <c r="Z1016">
        <v>100151</v>
      </c>
      <c r="AA1016" t="s">
        <v>3057</v>
      </c>
      <c r="AB1016" t="s">
        <v>521</v>
      </c>
      <c r="AC1016" s="9">
        <v>2</v>
      </c>
      <c r="AD1016" s="9" t="str">
        <f t="shared" si="112"/>
        <v>Check</v>
      </c>
      <c r="AE1016" s="11">
        <f t="shared" si="114"/>
        <v>-1950</v>
      </c>
    </row>
    <row r="1017" spans="1:31" x14ac:dyDescent="0.3">
      <c r="A1017">
        <v>65</v>
      </c>
      <c r="B1017">
        <v>4652708</v>
      </c>
      <c r="C1017" t="s">
        <v>56</v>
      </c>
      <c r="D1017">
        <v>1443616</v>
      </c>
      <c r="E1017" t="s">
        <v>285</v>
      </c>
      <c r="F1017" t="s">
        <v>20</v>
      </c>
      <c r="G1017" t="s">
        <v>2721</v>
      </c>
      <c r="H1017" t="s">
        <v>2722</v>
      </c>
      <c r="I1017" t="s">
        <v>3469</v>
      </c>
      <c r="J1017">
        <v>51141037279</v>
      </c>
      <c r="K1017" t="s">
        <v>3168</v>
      </c>
      <c r="L1017" t="s">
        <v>3608</v>
      </c>
      <c r="M1017">
        <v>12000</v>
      </c>
      <c r="N1017" s="10">
        <v>0.64949999999999997</v>
      </c>
      <c r="O1017" s="10">
        <f t="shared" si="110"/>
        <v>7794</v>
      </c>
      <c r="P1017" s="10" t="s">
        <v>5006</v>
      </c>
      <c r="Q1017" s="10" t="s">
        <v>5006</v>
      </c>
      <c r="R1017" s="10" t="str">
        <f>IF(COUNTIF($J$2:J1017,J1017)=1,SUMIFS($O:$O,$J:$J,J1017)+SUMIFS($P:$P,$J:$J,J1017)+SUMIFS($Q:$Q,$J:$J,J1017),"")</f>
        <v/>
      </c>
      <c r="S1017" s="10" t="s">
        <v>5006</v>
      </c>
      <c r="T1017" s="11" t="str">
        <f t="shared" si="113"/>
        <v>Check</v>
      </c>
      <c r="U1017" s="12">
        <v>46106</v>
      </c>
      <c r="V1017" s="10">
        <v>7794</v>
      </c>
      <c r="W1017" s="10" t="str">
        <f t="shared" si="111"/>
        <v>N/A</v>
      </c>
      <c r="X1017" t="s">
        <v>435</v>
      </c>
      <c r="Y1017" t="s">
        <v>28</v>
      </c>
      <c r="Z1017">
        <v>100151</v>
      </c>
      <c r="AA1017" t="s">
        <v>3057</v>
      </c>
      <c r="AB1017" t="s">
        <v>521</v>
      </c>
      <c r="AC1017" s="9">
        <v>2</v>
      </c>
      <c r="AD1017" s="9" t="str">
        <f t="shared" si="112"/>
        <v>N/A</v>
      </c>
      <c r="AE1017" s="11" t="e">
        <f t="shared" si="114"/>
        <v>#VALUE!</v>
      </c>
    </row>
    <row r="1018" spans="1:31" x14ac:dyDescent="0.3">
      <c r="A1018">
        <v>69</v>
      </c>
      <c r="B1018">
        <v>4639629</v>
      </c>
      <c r="C1018" t="s">
        <v>56</v>
      </c>
      <c r="D1018">
        <v>1355937</v>
      </c>
      <c r="E1018" t="s">
        <v>57</v>
      </c>
      <c r="F1018" t="s">
        <v>24</v>
      </c>
      <c r="G1018" t="s">
        <v>965</v>
      </c>
      <c r="H1018" t="s">
        <v>966</v>
      </c>
      <c r="I1018" t="s">
        <v>3178</v>
      </c>
      <c r="J1018">
        <v>51141065656</v>
      </c>
      <c r="K1018" t="s">
        <v>3165</v>
      </c>
      <c r="L1018" t="s">
        <v>4057</v>
      </c>
      <c r="M1018">
        <v>15</v>
      </c>
      <c r="N1018" s="10">
        <v>150.66999999999999</v>
      </c>
      <c r="O1018" s="10">
        <f t="shared" si="110"/>
        <v>2260.0499999999997</v>
      </c>
      <c r="P1018" s="10">
        <v>0</v>
      </c>
      <c r="Q1018" s="10">
        <v>0</v>
      </c>
      <c r="R1018" s="10">
        <f>IF(COUNTIF($J$2:J1018,J1018)=1,SUMIFS($O:$O,$J:$J,J1018)+SUMIFS($P:$P,$J:$J,J1018)+SUMIFS($Q:$Q,$J:$J,J1018),"")</f>
        <v>3478.0499999999997</v>
      </c>
      <c r="S1018" s="10">
        <v>6491.45</v>
      </c>
      <c r="T1018" s="11" t="str">
        <f t="shared" si="113"/>
        <v>Check</v>
      </c>
      <c r="U1018" s="12">
        <v>46090</v>
      </c>
      <c r="V1018" s="10">
        <v>25.05</v>
      </c>
      <c r="W1018" s="10" t="str">
        <f t="shared" si="111"/>
        <v>Short Paid</v>
      </c>
      <c r="X1018" t="s">
        <v>435</v>
      </c>
      <c r="Y1018" t="s">
        <v>40</v>
      </c>
      <c r="Z1018">
        <v>100101</v>
      </c>
      <c r="AA1018" t="s">
        <v>3048</v>
      </c>
      <c r="AB1018" t="s">
        <v>522</v>
      </c>
      <c r="AC1018" s="9">
        <v>2</v>
      </c>
      <c r="AD1018" s="9" t="str">
        <f t="shared" si="112"/>
        <v>Check</v>
      </c>
      <c r="AE1018" s="11">
        <f t="shared" si="114"/>
        <v>-3013.4</v>
      </c>
    </row>
    <row r="1019" spans="1:31" x14ac:dyDescent="0.3">
      <c r="A1019">
        <v>69</v>
      </c>
      <c r="B1019">
        <v>4639629</v>
      </c>
      <c r="C1019" t="s">
        <v>56</v>
      </c>
      <c r="D1019">
        <v>1355937</v>
      </c>
      <c r="E1019" t="s">
        <v>57</v>
      </c>
      <c r="F1019" t="s">
        <v>24</v>
      </c>
      <c r="G1019" t="s">
        <v>965</v>
      </c>
      <c r="H1019" t="s">
        <v>966</v>
      </c>
      <c r="I1019" t="s">
        <v>3309</v>
      </c>
      <c r="J1019">
        <v>51141065656</v>
      </c>
      <c r="K1019" t="s">
        <v>3386</v>
      </c>
      <c r="L1019" t="s">
        <v>3385</v>
      </c>
      <c r="M1019">
        <v>30000</v>
      </c>
      <c r="N1019" s="10">
        <v>4.0599999999999997E-2</v>
      </c>
      <c r="O1019" s="10">
        <f t="shared" si="110"/>
        <v>1218</v>
      </c>
      <c r="P1019" s="10" t="s">
        <v>5006</v>
      </c>
      <c r="Q1019" s="10" t="s">
        <v>5006</v>
      </c>
      <c r="R1019" s="10" t="str">
        <f>IF(COUNTIF($J$2:J1019,J1019)=1,SUMIFS($O:$O,$J:$J,J1019)+SUMIFS($P:$P,$J:$J,J1019)+SUMIFS($Q:$Q,$J:$J,J1019),"")</f>
        <v/>
      </c>
      <c r="S1019" s="10" t="s">
        <v>5006</v>
      </c>
      <c r="T1019" s="11" t="str">
        <f t="shared" si="113"/>
        <v>Check</v>
      </c>
      <c r="U1019" s="12">
        <v>46090</v>
      </c>
      <c r="V1019" s="10">
        <v>25.05</v>
      </c>
      <c r="W1019" s="10" t="str">
        <f t="shared" si="111"/>
        <v>N/A</v>
      </c>
      <c r="X1019" t="s">
        <v>435</v>
      </c>
      <c r="Y1019" t="s">
        <v>40</v>
      </c>
      <c r="Z1019">
        <v>100101</v>
      </c>
      <c r="AA1019" t="s">
        <v>3048</v>
      </c>
      <c r="AB1019" t="s">
        <v>522</v>
      </c>
      <c r="AC1019" s="9">
        <v>2</v>
      </c>
      <c r="AD1019" s="9" t="str">
        <f t="shared" si="112"/>
        <v>N/A</v>
      </c>
      <c r="AE1019" s="11" t="e">
        <f t="shared" si="114"/>
        <v>#VALUE!</v>
      </c>
    </row>
    <row r="1020" spans="1:31" x14ac:dyDescent="0.3">
      <c r="A1020">
        <v>72</v>
      </c>
      <c r="B1020">
        <v>4632672</v>
      </c>
      <c r="C1020" t="s">
        <v>217</v>
      </c>
      <c r="D1020">
        <v>1161112</v>
      </c>
      <c r="E1020" t="s">
        <v>566</v>
      </c>
      <c r="F1020" t="s">
        <v>20</v>
      </c>
      <c r="G1020" t="s">
        <v>941</v>
      </c>
      <c r="H1020" t="s">
        <v>942</v>
      </c>
      <c r="I1020" t="s">
        <v>3524</v>
      </c>
      <c r="J1020">
        <v>51141079771</v>
      </c>
      <c r="K1020" t="s">
        <v>3362</v>
      </c>
      <c r="L1020" t="s">
        <v>3832</v>
      </c>
      <c r="M1020">
        <v>3</v>
      </c>
      <c r="N1020" s="10">
        <v>28700.68</v>
      </c>
      <c r="O1020" s="10">
        <f t="shared" si="110"/>
        <v>86102.040000000008</v>
      </c>
      <c r="P1020" s="10">
        <v>0</v>
      </c>
      <c r="Q1020" s="10">
        <v>0</v>
      </c>
      <c r="R1020" s="10">
        <f>IF(COUNTIF($J$2:J1020,J1020)=1,SUMIFS($O:$O,$J:$J,J1020)+SUMIFS($P:$P,$J:$J,J1020)+SUMIFS($Q:$Q,$J:$J,J1020),"")</f>
        <v>86292.540000000008</v>
      </c>
      <c r="S1020" s="10">
        <v>86336.76</v>
      </c>
      <c r="T1020" s="11" t="str">
        <f t="shared" si="113"/>
        <v>Check</v>
      </c>
      <c r="U1020" s="12">
        <v>46034</v>
      </c>
      <c r="V1020" s="10">
        <v>189</v>
      </c>
      <c r="W1020" s="10" t="str">
        <f t="shared" si="111"/>
        <v>Short Paid</v>
      </c>
      <c r="X1020" t="s">
        <v>468</v>
      </c>
      <c r="Y1020" t="s">
        <v>28</v>
      </c>
      <c r="Z1020">
        <v>100276</v>
      </c>
      <c r="AA1020" t="s">
        <v>469</v>
      </c>
      <c r="AB1020" t="s">
        <v>521</v>
      </c>
      <c r="AC1020" s="9">
        <v>3</v>
      </c>
      <c r="AD1020" s="9" t="str">
        <f t="shared" si="112"/>
        <v>Check</v>
      </c>
      <c r="AE1020" s="11">
        <f t="shared" si="114"/>
        <v>-44.219999999986612</v>
      </c>
    </row>
    <row r="1021" spans="1:31" x14ac:dyDescent="0.3">
      <c r="A1021">
        <v>72</v>
      </c>
      <c r="B1021">
        <v>4632672</v>
      </c>
      <c r="C1021" t="s">
        <v>217</v>
      </c>
      <c r="D1021">
        <v>1161112</v>
      </c>
      <c r="E1021" t="s">
        <v>566</v>
      </c>
      <c r="F1021" t="s">
        <v>20</v>
      </c>
      <c r="G1021" t="s">
        <v>941</v>
      </c>
      <c r="H1021" t="s">
        <v>942</v>
      </c>
      <c r="I1021" t="s">
        <v>3524</v>
      </c>
      <c r="J1021">
        <v>51141079771</v>
      </c>
      <c r="K1021" t="s">
        <v>3183</v>
      </c>
      <c r="L1021" t="s">
        <v>3816</v>
      </c>
      <c r="M1021">
        <v>6</v>
      </c>
      <c r="N1021" s="10">
        <v>0.25</v>
      </c>
      <c r="O1021" s="10">
        <f t="shared" si="110"/>
        <v>1.5</v>
      </c>
      <c r="P1021" s="10" t="s">
        <v>5006</v>
      </c>
      <c r="Q1021" s="10" t="s">
        <v>5006</v>
      </c>
      <c r="R1021" s="10" t="str">
        <f>IF(COUNTIF($J$2:J1021,J1021)=1,SUMIFS($O:$O,$J:$J,J1021)+SUMIFS($P:$P,$J:$J,J1021)+SUMIFS($Q:$Q,$J:$J,J1021),"")</f>
        <v/>
      </c>
      <c r="S1021" s="10" t="s">
        <v>5006</v>
      </c>
      <c r="T1021" s="11" t="str">
        <f t="shared" si="113"/>
        <v>Check</v>
      </c>
      <c r="U1021" s="12">
        <v>46034</v>
      </c>
      <c r="V1021" s="10">
        <v>189</v>
      </c>
      <c r="W1021" s="10" t="str">
        <f t="shared" si="111"/>
        <v>N/A</v>
      </c>
      <c r="X1021" t="s">
        <v>468</v>
      </c>
      <c r="Y1021" t="s">
        <v>28</v>
      </c>
      <c r="Z1021">
        <v>100276</v>
      </c>
      <c r="AA1021" t="s">
        <v>469</v>
      </c>
      <c r="AB1021" t="s">
        <v>521</v>
      </c>
      <c r="AC1021" s="9">
        <v>3</v>
      </c>
      <c r="AD1021" s="9" t="str">
        <f t="shared" si="112"/>
        <v>N/A</v>
      </c>
      <c r="AE1021" s="11" t="e">
        <f t="shared" si="114"/>
        <v>#VALUE!</v>
      </c>
    </row>
    <row r="1022" spans="1:31" x14ac:dyDescent="0.3">
      <c r="A1022">
        <v>72</v>
      </c>
      <c r="B1022">
        <v>4632672</v>
      </c>
      <c r="C1022" t="s">
        <v>217</v>
      </c>
      <c r="D1022">
        <v>1161112</v>
      </c>
      <c r="E1022" t="s">
        <v>566</v>
      </c>
      <c r="F1022" t="s">
        <v>20</v>
      </c>
      <c r="G1022" t="s">
        <v>941</v>
      </c>
      <c r="H1022" t="s">
        <v>942</v>
      </c>
      <c r="I1022" t="s">
        <v>3484</v>
      </c>
      <c r="J1022">
        <v>51141079771</v>
      </c>
      <c r="K1022" t="s">
        <v>3370</v>
      </c>
      <c r="L1022" t="s">
        <v>4058</v>
      </c>
      <c r="M1022">
        <v>3000</v>
      </c>
      <c r="N1022" s="10">
        <v>6.3E-2</v>
      </c>
      <c r="O1022" s="10">
        <f t="shared" si="110"/>
        <v>189</v>
      </c>
      <c r="P1022" s="10" t="s">
        <v>5006</v>
      </c>
      <c r="Q1022" s="10" t="s">
        <v>5006</v>
      </c>
      <c r="R1022" s="10" t="str">
        <f>IF(COUNTIF($J$2:J1022,J1022)=1,SUMIFS($O:$O,$J:$J,J1022)+SUMIFS($P:$P,$J:$J,J1022)+SUMIFS($Q:$Q,$J:$J,J1022),"")</f>
        <v/>
      </c>
      <c r="S1022" s="10" t="s">
        <v>5006</v>
      </c>
      <c r="T1022" s="11" t="str">
        <f t="shared" si="113"/>
        <v>Check</v>
      </c>
      <c r="U1022" s="12">
        <v>46034</v>
      </c>
      <c r="V1022" s="10">
        <v>189</v>
      </c>
      <c r="W1022" s="10" t="str">
        <f t="shared" si="111"/>
        <v>N/A</v>
      </c>
      <c r="X1022" t="s">
        <v>468</v>
      </c>
      <c r="Y1022" t="s">
        <v>28</v>
      </c>
      <c r="Z1022">
        <v>100276</v>
      </c>
      <c r="AA1022" t="s">
        <v>469</v>
      </c>
      <c r="AB1022" t="s">
        <v>521</v>
      </c>
      <c r="AC1022" s="9">
        <v>3</v>
      </c>
      <c r="AD1022" s="9" t="str">
        <f t="shared" si="112"/>
        <v>N/A</v>
      </c>
      <c r="AE1022" s="11" t="e">
        <f t="shared" si="114"/>
        <v>#VALUE!</v>
      </c>
    </row>
    <row r="1023" spans="1:31" x14ac:dyDescent="0.3">
      <c r="A1023">
        <v>60</v>
      </c>
      <c r="B1023">
        <v>4663005</v>
      </c>
      <c r="C1023" t="s">
        <v>220</v>
      </c>
      <c r="D1023">
        <v>1379208</v>
      </c>
      <c r="E1023" t="s">
        <v>603</v>
      </c>
      <c r="F1023" t="s">
        <v>20</v>
      </c>
      <c r="G1023" t="s">
        <v>1019</v>
      </c>
      <c r="H1023" t="s">
        <v>1020</v>
      </c>
      <c r="I1023" t="s">
        <v>3263</v>
      </c>
      <c r="J1023">
        <v>51141097522</v>
      </c>
      <c r="K1023" t="s">
        <v>3259</v>
      </c>
      <c r="L1023" t="s">
        <v>4059</v>
      </c>
      <c r="M1023">
        <v>200</v>
      </c>
      <c r="N1023" s="10">
        <v>61.6</v>
      </c>
      <c r="O1023" s="10">
        <f t="shared" si="110"/>
        <v>12320</v>
      </c>
      <c r="P1023" s="10">
        <v>0</v>
      </c>
      <c r="Q1023" s="10">
        <v>0</v>
      </c>
      <c r="R1023" s="10">
        <f>IF(COUNTIF($J$2:J1023,J1023)=1,SUMIFS($O:$O,$J:$J,J1023)+SUMIFS($P:$P,$J:$J,J1023)+SUMIFS($Q:$Q,$J:$J,J1023),"")</f>
        <v>37808</v>
      </c>
      <c r="S1023" s="10">
        <v>43968</v>
      </c>
      <c r="T1023" s="11" t="str">
        <f t="shared" si="113"/>
        <v>Check</v>
      </c>
      <c r="U1023" s="12">
        <v>46044</v>
      </c>
      <c r="V1023" s="10">
        <v>25488</v>
      </c>
      <c r="W1023" s="10" t="str">
        <f t="shared" si="111"/>
        <v>Short Paid</v>
      </c>
      <c r="X1023" t="s">
        <v>470</v>
      </c>
      <c r="Y1023" t="s">
        <v>28</v>
      </c>
      <c r="Z1023">
        <v>100248</v>
      </c>
      <c r="AA1023" t="s">
        <v>3117</v>
      </c>
      <c r="AB1023" t="s">
        <v>521</v>
      </c>
      <c r="AC1023" s="9">
        <v>2</v>
      </c>
      <c r="AD1023" s="9" t="str">
        <f t="shared" si="112"/>
        <v>Check</v>
      </c>
      <c r="AE1023" s="11">
        <f t="shared" si="114"/>
        <v>-6160</v>
      </c>
    </row>
    <row r="1024" spans="1:31" x14ac:dyDescent="0.3">
      <c r="A1024">
        <v>60</v>
      </c>
      <c r="B1024">
        <v>4663005</v>
      </c>
      <c r="C1024" t="s">
        <v>220</v>
      </c>
      <c r="D1024">
        <v>1379208</v>
      </c>
      <c r="E1024" t="s">
        <v>603</v>
      </c>
      <c r="F1024" t="s">
        <v>20</v>
      </c>
      <c r="G1024" t="s">
        <v>1019</v>
      </c>
      <c r="H1024" t="s">
        <v>1020</v>
      </c>
      <c r="I1024" t="s">
        <v>3419</v>
      </c>
      <c r="J1024">
        <v>51141097522</v>
      </c>
      <c r="K1024" s="12">
        <v>46082</v>
      </c>
      <c r="L1024" t="s">
        <v>3652</v>
      </c>
      <c r="M1024">
        <v>600</v>
      </c>
      <c r="N1024" s="10">
        <v>42.48</v>
      </c>
      <c r="O1024" s="10">
        <f t="shared" si="110"/>
        <v>25487.999999999996</v>
      </c>
      <c r="P1024" s="10" t="s">
        <v>5006</v>
      </c>
      <c r="Q1024" s="10" t="s">
        <v>5006</v>
      </c>
      <c r="R1024" s="10" t="str">
        <f>IF(COUNTIF($J$2:J1024,J1024)=1,SUMIFS($O:$O,$J:$J,J1024)+SUMIFS($P:$P,$J:$J,J1024)+SUMIFS($Q:$Q,$J:$J,J1024),"")</f>
        <v/>
      </c>
      <c r="S1024" s="10" t="s">
        <v>5006</v>
      </c>
      <c r="T1024" s="11" t="str">
        <f t="shared" si="113"/>
        <v>Check</v>
      </c>
      <c r="U1024" s="12">
        <v>46044</v>
      </c>
      <c r="V1024" s="10">
        <v>25488</v>
      </c>
      <c r="W1024" s="10" t="str">
        <f t="shared" si="111"/>
        <v>N/A</v>
      </c>
      <c r="X1024" t="s">
        <v>470</v>
      </c>
      <c r="Y1024" t="s">
        <v>28</v>
      </c>
      <c r="Z1024">
        <v>100248</v>
      </c>
      <c r="AA1024" t="s">
        <v>3117</v>
      </c>
      <c r="AB1024" t="s">
        <v>521</v>
      </c>
      <c r="AC1024" s="9">
        <v>2</v>
      </c>
      <c r="AD1024" s="9" t="str">
        <f t="shared" si="112"/>
        <v>N/A</v>
      </c>
      <c r="AE1024" s="11" t="e">
        <f t="shared" si="114"/>
        <v>#VALUE!</v>
      </c>
    </row>
    <row r="1025" spans="1:31" x14ac:dyDescent="0.3">
      <c r="A1025">
        <v>67</v>
      </c>
      <c r="B1025">
        <v>4644359</v>
      </c>
      <c r="C1025" t="s">
        <v>56</v>
      </c>
      <c r="D1025">
        <v>1443616</v>
      </c>
      <c r="E1025" t="s">
        <v>285</v>
      </c>
      <c r="F1025" t="s">
        <v>19</v>
      </c>
      <c r="G1025" t="s">
        <v>944</v>
      </c>
      <c r="H1025" t="s">
        <v>945</v>
      </c>
      <c r="I1025" t="s">
        <v>3388</v>
      </c>
      <c r="J1025">
        <v>51141103759</v>
      </c>
      <c r="K1025" t="s">
        <v>3362</v>
      </c>
      <c r="L1025" t="s">
        <v>3931</v>
      </c>
      <c r="M1025">
        <v>6</v>
      </c>
      <c r="N1025" s="10">
        <v>14.74</v>
      </c>
      <c r="O1025" s="10">
        <f t="shared" si="110"/>
        <v>88.44</v>
      </c>
      <c r="P1025" s="10">
        <v>0</v>
      </c>
      <c r="Q1025" s="10">
        <v>0</v>
      </c>
      <c r="R1025" s="10">
        <f>IF(COUNTIF($J$2:J1025,J1025)=1,SUMIFS($O:$O,$J:$J,J1025)+SUMIFS($P:$P,$J:$J,J1025)+SUMIFS($Q:$Q,$J:$J,J1025),"")</f>
        <v>84600.34</v>
      </c>
      <c r="S1025" s="10">
        <v>111866.44</v>
      </c>
      <c r="T1025" s="11" t="str">
        <f t="shared" si="113"/>
        <v>Check</v>
      </c>
      <c r="U1025" s="12">
        <v>46084</v>
      </c>
      <c r="V1025" s="10">
        <v>14280</v>
      </c>
      <c r="W1025" s="10" t="str">
        <f t="shared" si="111"/>
        <v>Short Paid</v>
      </c>
      <c r="X1025" t="s">
        <v>435</v>
      </c>
      <c r="Y1025" t="s">
        <v>28</v>
      </c>
      <c r="Z1025">
        <v>100161</v>
      </c>
      <c r="AA1025" t="s">
        <v>3066</v>
      </c>
      <c r="AB1025" t="s">
        <v>524</v>
      </c>
      <c r="AC1025" s="9">
        <v>4</v>
      </c>
      <c r="AD1025" s="9" t="str">
        <f t="shared" si="112"/>
        <v>Check</v>
      </c>
      <c r="AE1025" s="11">
        <f t="shared" si="114"/>
        <v>-27266.100000000006</v>
      </c>
    </row>
    <row r="1026" spans="1:31" x14ac:dyDescent="0.3">
      <c r="A1026">
        <v>67</v>
      </c>
      <c r="B1026">
        <v>4644359</v>
      </c>
      <c r="C1026" t="s">
        <v>56</v>
      </c>
      <c r="D1026">
        <v>1443616</v>
      </c>
      <c r="E1026" t="s">
        <v>285</v>
      </c>
      <c r="F1026" t="s">
        <v>19</v>
      </c>
      <c r="G1026" t="s">
        <v>944</v>
      </c>
      <c r="H1026" t="s">
        <v>945</v>
      </c>
      <c r="I1026" t="s">
        <v>3388</v>
      </c>
      <c r="J1026">
        <v>51141103759</v>
      </c>
      <c r="K1026" t="s">
        <v>3362</v>
      </c>
      <c r="L1026" t="s">
        <v>4045</v>
      </c>
      <c r="M1026">
        <v>5</v>
      </c>
      <c r="N1026" s="10">
        <v>13925.68</v>
      </c>
      <c r="O1026" s="10">
        <f t="shared" ref="O1026:O1089" si="115">M1026*N1026</f>
        <v>69628.399999999994</v>
      </c>
      <c r="P1026" s="10" t="s">
        <v>5006</v>
      </c>
      <c r="Q1026" s="10" t="s">
        <v>5006</v>
      </c>
      <c r="R1026" s="10" t="str">
        <f>IF(COUNTIF($J$2:J1026,J1026)=1,SUMIFS($O:$O,$J:$J,J1026)+SUMIFS($P:$P,$J:$J,J1026)+SUMIFS($Q:$Q,$J:$J,J1026),"")</f>
        <v/>
      </c>
      <c r="S1026" s="10" t="s">
        <v>5006</v>
      </c>
      <c r="T1026" s="11" t="str">
        <f t="shared" si="113"/>
        <v>Check</v>
      </c>
      <c r="U1026" s="12">
        <v>46084</v>
      </c>
      <c r="V1026" s="10">
        <v>14280</v>
      </c>
      <c r="W1026" s="10" t="str">
        <f t="shared" ref="W1026:W1089" si="116">IF(OR(S1026="",V1026=""),"N/A",IF(S1026&lt;&gt;V1026,"Short Paid","Not Paid"))</f>
        <v>N/A</v>
      </c>
      <c r="X1026" t="s">
        <v>435</v>
      </c>
      <c r="Y1026" t="s">
        <v>28</v>
      </c>
      <c r="Z1026">
        <v>100161</v>
      </c>
      <c r="AA1026" t="s">
        <v>3066</v>
      </c>
      <c r="AB1026" t="s">
        <v>524</v>
      </c>
      <c r="AC1026" s="9">
        <v>4</v>
      </c>
      <c r="AD1026" s="9" t="str">
        <f t="shared" ref="AD1026:AD1089" si="117">IF(AND(R1026="",S1026=""),"N/A",IF(R1026=S1026,"Ok","Check"))</f>
        <v>N/A</v>
      </c>
      <c r="AE1026" s="11" t="e">
        <f t="shared" si="114"/>
        <v>#VALUE!</v>
      </c>
    </row>
    <row r="1027" spans="1:31" x14ac:dyDescent="0.3">
      <c r="A1027">
        <v>67</v>
      </c>
      <c r="B1027">
        <v>4644359</v>
      </c>
      <c r="C1027" t="s">
        <v>56</v>
      </c>
      <c r="D1027">
        <v>1443616</v>
      </c>
      <c r="E1027" t="s">
        <v>285</v>
      </c>
      <c r="F1027" t="s">
        <v>19</v>
      </c>
      <c r="G1027" t="s">
        <v>944</v>
      </c>
      <c r="H1027" t="s">
        <v>945</v>
      </c>
      <c r="I1027" t="s">
        <v>3388</v>
      </c>
      <c r="J1027">
        <v>51141103759</v>
      </c>
      <c r="K1027" t="s">
        <v>3183</v>
      </c>
      <c r="L1027" t="s">
        <v>3816</v>
      </c>
      <c r="M1027">
        <v>14</v>
      </c>
      <c r="N1027" s="10">
        <v>0.25</v>
      </c>
      <c r="O1027" s="10">
        <f t="shared" si="115"/>
        <v>3.5</v>
      </c>
      <c r="P1027" s="10" t="s">
        <v>5006</v>
      </c>
      <c r="Q1027" s="10" t="s">
        <v>5006</v>
      </c>
      <c r="R1027" s="10" t="str">
        <f>IF(COUNTIF($J$2:J1027,J1027)=1,SUMIFS($O:$O,$J:$J,J1027)+SUMIFS($P:$P,$J:$J,J1027)+SUMIFS($Q:$Q,$J:$J,J1027),"")</f>
        <v/>
      </c>
      <c r="S1027" s="10" t="s">
        <v>5006</v>
      </c>
      <c r="T1027" s="11" t="str">
        <f t="shared" ref="T1027:T1090" si="118">IFERROR(INDEX(AD:AD,MATCH(J1027,J:J,0)),"")</f>
        <v>Check</v>
      </c>
      <c r="U1027" s="12">
        <v>46084</v>
      </c>
      <c r="V1027" s="10">
        <v>14280</v>
      </c>
      <c r="W1027" s="10" t="str">
        <f t="shared" si="116"/>
        <v>N/A</v>
      </c>
      <c r="X1027" t="s">
        <v>435</v>
      </c>
      <c r="Y1027" t="s">
        <v>28</v>
      </c>
      <c r="Z1027">
        <v>100161</v>
      </c>
      <c r="AA1027" t="s">
        <v>3066</v>
      </c>
      <c r="AB1027" t="s">
        <v>524</v>
      </c>
      <c r="AC1027" s="9">
        <v>4</v>
      </c>
      <c r="AD1027" s="9" t="str">
        <f t="shared" si="117"/>
        <v>N/A</v>
      </c>
      <c r="AE1027" s="11" t="e">
        <f t="shared" si="114"/>
        <v>#VALUE!</v>
      </c>
    </row>
    <row r="1028" spans="1:31" x14ac:dyDescent="0.3">
      <c r="A1028">
        <v>67</v>
      </c>
      <c r="B1028">
        <v>4644359</v>
      </c>
      <c r="C1028" t="s">
        <v>56</v>
      </c>
      <c r="D1028">
        <v>1443616</v>
      </c>
      <c r="E1028" t="s">
        <v>285</v>
      </c>
      <c r="F1028" t="s">
        <v>19</v>
      </c>
      <c r="G1028" t="s">
        <v>944</v>
      </c>
      <c r="H1028" t="s">
        <v>945</v>
      </c>
      <c r="I1028" t="s">
        <v>3249</v>
      </c>
      <c r="J1028">
        <v>51141103759</v>
      </c>
      <c r="K1028" t="s">
        <v>3168</v>
      </c>
      <c r="L1028" t="s">
        <v>3199</v>
      </c>
      <c r="M1028">
        <v>12000</v>
      </c>
      <c r="N1028" s="10">
        <v>1.24</v>
      </c>
      <c r="O1028" s="10">
        <f t="shared" si="115"/>
        <v>14880</v>
      </c>
      <c r="P1028" s="10" t="s">
        <v>5006</v>
      </c>
      <c r="Q1028" s="10" t="s">
        <v>5006</v>
      </c>
      <c r="R1028" s="10" t="str">
        <f>IF(COUNTIF($J$2:J1028,J1028)=1,SUMIFS($O:$O,$J:$J,J1028)+SUMIFS($P:$P,$J:$J,J1028)+SUMIFS($Q:$Q,$J:$J,J1028),"")</f>
        <v/>
      </c>
      <c r="S1028" s="10" t="s">
        <v>5006</v>
      </c>
      <c r="T1028" s="11" t="str">
        <f t="shared" si="118"/>
        <v>Check</v>
      </c>
      <c r="U1028" s="12">
        <v>46084</v>
      </c>
      <c r="V1028" s="10">
        <v>14280</v>
      </c>
      <c r="W1028" s="10" t="str">
        <f t="shared" si="116"/>
        <v>N/A</v>
      </c>
      <c r="X1028" t="s">
        <v>435</v>
      </c>
      <c r="Y1028" t="s">
        <v>28</v>
      </c>
      <c r="Z1028">
        <v>100161</v>
      </c>
      <c r="AA1028" t="s">
        <v>3066</v>
      </c>
      <c r="AB1028" t="s">
        <v>524</v>
      </c>
      <c r="AC1028" s="9">
        <v>4</v>
      </c>
      <c r="AD1028" s="9" t="str">
        <f t="shared" si="117"/>
        <v>N/A</v>
      </c>
      <c r="AE1028" s="11" t="e">
        <f t="shared" si="114"/>
        <v>#VALUE!</v>
      </c>
    </row>
    <row r="1029" spans="1:31" x14ac:dyDescent="0.3">
      <c r="A1029">
        <v>71</v>
      </c>
      <c r="B1029">
        <v>4635176</v>
      </c>
      <c r="C1029" t="s">
        <v>60</v>
      </c>
      <c r="D1029">
        <v>1507694</v>
      </c>
      <c r="E1029" t="s">
        <v>351</v>
      </c>
      <c r="F1029" t="s">
        <v>24</v>
      </c>
      <c r="G1029" t="s">
        <v>957</v>
      </c>
      <c r="H1029" t="s">
        <v>958</v>
      </c>
      <c r="I1029" t="s">
        <v>3349</v>
      </c>
      <c r="J1029">
        <v>51141119412</v>
      </c>
      <c r="K1029" t="s">
        <v>3266</v>
      </c>
      <c r="L1029" t="s">
        <v>3403</v>
      </c>
      <c r="M1029">
        <v>2800</v>
      </c>
      <c r="N1029" s="10">
        <v>4.5999999999999996</v>
      </c>
      <c r="O1029" s="10">
        <f t="shared" si="115"/>
        <v>12879.999999999998</v>
      </c>
      <c r="P1029" s="10">
        <v>0</v>
      </c>
      <c r="Q1029" s="10">
        <v>1007.3</v>
      </c>
      <c r="R1029" s="10">
        <f>IF(COUNTIF($J$2:J1029,J1029)=1,SUMIFS($O:$O,$J:$J,J1029)+SUMIFS($P:$P,$J:$J,J1029)+SUMIFS($Q:$Q,$J:$J,J1029),"")</f>
        <v>19188.899999999998</v>
      </c>
      <c r="S1029" s="10">
        <v>19188.900000000001</v>
      </c>
      <c r="T1029" s="11" t="str">
        <f t="shared" si="118"/>
        <v>Ok</v>
      </c>
      <c r="U1029" s="12">
        <v>46099</v>
      </c>
      <c r="V1029" s="10">
        <v>3980.66</v>
      </c>
      <c r="W1029" s="10" t="str">
        <f t="shared" si="116"/>
        <v>Short Paid</v>
      </c>
      <c r="X1029" t="s">
        <v>438</v>
      </c>
      <c r="Y1029" t="s">
        <v>40</v>
      </c>
      <c r="Z1029">
        <v>100103</v>
      </c>
      <c r="AA1029" t="s">
        <v>3071</v>
      </c>
      <c r="AB1029" t="s">
        <v>522</v>
      </c>
      <c r="AC1029" s="9">
        <v>2</v>
      </c>
      <c r="AD1029" s="9" t="str">
        <f t="shared" si="117"/>
        <v>Ok</v>
      </c>
      <c r="AE1029" s="11">
        <f t="shared" si="114"/>
        <v>0</v>
      </c>
    </row>
    <row r="1030" spans="1:31" x14ac:dyDescent="0.3">
      <c r="A1030">
        <v>71</v>
      </c>
      <c r="B1030">
        <v>4635176</v>
      </c>
      <c r="C1030" t="s">
        <v>60</v>
      </c>
      <c r="D1030">
        <v>1507694</v>
      </c>
      <c r="E1030" t="s">
        <v>351</v>
      </c>
      <c r="F1030" t="s">
        <v>24</v>
      </c>
      <c r="G1030" t="s">
        <v>957</v>
      </c>
      <c r="H1030" t="s">
        <v>958</v>
      </c>
      <c r="I1030" t="s">
        <v>3254</v>
      </c>
      <c r="J1030">
        <v>51141119412</v>
      </c>
      <c r="K1030" t="s">
        <v>3229</v>
      </c>
      <c r="L1030" t="s">
        <v>3911</v>
      </c>
      <c r="M1030">
        <v>24000</v>
      </c>
      <c r="N1030" s="10">
        <v>0.22090000000000001</v>
      </c>
      <c r="O1030" s="10">
        <f t="shared" si="115"/>
        <v>5301.6</v>
      </c>
      <c r="P1030" s="10" t="s">
        <v>5006</v>
      </c>
      <c r="Q1030" s="10" t="s">
        <v>5006</v>
      </c>
      <c r="R1030" s="10" t="str">
        <f>IF(COUNTIF($J$2:J1030,J1030)=1,SUMIFS($O:$O,$J:$J,J1030)+SUMIFS($P:$P,$J:$J,J1030)+SUMIFS($Q:$Q,$J:$J,J1030),"")</f>
        <v/>
      </c>
      <c r="S1030" s="10" t="s">
        <v>5006</v>
      </c>
      <c r="T1030" s="11" t="str">
        <f t="shared" si="118"/>
        <v>Ok</v>
      </c>
      <c r="U1030" s="12">
        <v>46099</v>
      </c>
      <c r="V1030" s="10">
        <v>3980.66</v>
      </c>
      <c r="W1030" s="10" t="str">
        <f t="shared" si="116"/>
        <v>N/A</v>
      </c>
      <c r="X1030" t="s">
        <v>438</v>
      </c>
      <c r="Y1030" t="s">
        <v>40</v>
      </c>
      <c r="Z1030">
        <v>100103</v>
      </c>
      <c r="AA1030" t="s">
        <v>3071</v>
      </c>
      <c r="AB1030" t="s">
        <v>522</v>
      </c>
      <c r="AC1030" s="9">
        <v>2</v>
      </c>
      <c r="AD1030" s="9" t="str">
        <f t="shared" si="117"/>
        <v>N/A</v>
      </c>
      <c r="AE1030" s="11" t="e">
        <f t="shared" si="114"/>
        <v>#VALUE!</v>
      </c>
    </row>
    <row r="1031" spans="1:31" x14ac:dyDescent="0.3">
      <c r="A1031">
        <v>72</v>
      </c>
      <c r="B1031">
        <v>4633506</v>
      </c>
      <c r="C1031" t="s">
        <v>217</v>
      </c>
      <c r="D1031">
        <v>1161112</v>
      </c>
      <c r="E1031" t="s">
        <v>566</v>
      </c>
      <c r="F1031" t="s">
        <v>20</v>
      </c>
      <c r="G1031" t="s">
        <v>948</v>
      </c>
      <c r="H1031" t="s">
        <v>949</v>
      </c>
      <c r="I1031" t="s">
        <v>3484</v>
      </c>
      <c r="J1031">
        <v>51141188988</v>
      </c>
      <c r="K1031" t="s">
        <v>3266</v>
      </c>
      <c r="L1031" t="s">
        <v>3403</v>
      </c>
      <c r="M1031">
        <v>2090</v>
      </c>
      <c r="N1031" s="10">
        <v>4.5999999999999996</v>
      </c>
      <c r="O1031" s="10">
        <f t="shared" si="115"/>
        <v>9614</v>
      </c>
      <c r="P1031" s="10">
        <v>0</v>
      </c>
      <c r="Q1031" s="10">
        <v>0</v>
      </c>
      <c r="R1031" s="10">
        <f>IF(COUNTIF($J$2:J1031,J1031)=1,SUMIFS($O:$O,$J:$J,J1031)+SUMIFS($P:$P,$J:$J,J1031)+SUMIFS($Q:$Q,$J:$J,J1031),"")</f>
        <v>12908.720000000001</v>
      </c>
      <c r="S1031" s="10">
        <v>12908.72</v>
      </c>
      <c r="T1031" s="11" t="str">
        <f t="shared" si="118"/>
        <v>Ok</v>
      </c>
      <c r="U1031" s="12">
        <v>46059</v>
      </c>
      <c r="V1031" s="10">
        <v>3294.72</v>
      </c>
      <c r="W1031" s="10" t="str">
        <f t="shared" si="116"/>
        <v>Short Paid</v>
      </c>
      <c r="X1031" t="s">
        <v>468</v>
      </c>
      <c r="Y1031" t="s">
        <v>28</v>
      </c>
      <c r="Z1031">
        <v>100126</v>
      </c>
      <c r="AA1031" t="s">
        <v>3123</v>
      </c>
      <c r="AB1031" t="s">
        <v>521</v>
      </c>
      <c r="AC1031" s="9">
        <v>2</v>
      </c>
      <c r="AD1031" s="9" t="str">
        <f t="shared" si="117"/>
        <v>Ok</v>
      </c>
      <c r="AE1031" s="11">
        <f t="shared" ref="AE1031:AE1094" si="119">R1031-S1031</f>
        <v>0</v>
      </c>
    </row>
    <row r="1032" spans="1:31" x14ac:dyDescent="0.3">
      <c r="A1032">
        <v>72</v>
      </c>
      <c r="B1032">
        <v>4633506</v>
      </c>
      <c r="C1032" t="s">
        <v>217</v>
      </c>
      <c r="D1032">
        <v>1161112</v>
      </c>
      <c r="E1032" t="s">
        <v>566</v>
      </c>
      <c r="F1032" t="s">
        <v>20</v>
      </c>
      <c r="G1032" t="s">
        <v>948</v>
      </c>
      <c r="H1032" t="s">
        <v>949</v>
      </c>
      <c r="I1032" t="s">
        <v>3234</v>
      </c>
      <c r="J1032">
        <v>51141188988</v>
      </c>
      <c r="K1032" t="s">
        <v>3398</v>
      </c>
      <c r="L1032" t="s">
        <v>3849</v>
      </c>
      <c r="M1032">
        <v>6000</v>
      </c>
      <c r="N1032" s="10">
        <v>0.54912000000000005</v>
      </c>
      <c r="O1032" s="10">
        <f t="shared" si="115"/>
        <v>3294.7200000000003</v>
      </c>
      <c r="P1032" s="10" t="s">
        <v>5006</v>
      </c>
      <c r="Q1032" s="10" t="s">
        <v>5006</v>
      </c>
      <c r="R1032" s="10" t="str">
        <f>IF(COUNTIF($J$2:J1032,J1032)=1,SUMIFS($O:$O,$J:$J,J1032)+SUMIFS($P:$P,$J:$J,J1032)+SUMIFS($Q:$Q,$J:$J,J1032),"")</f>
        <v/>
      </c>
      <c r="S1032" s="10" t="s">
        <v>5006</v>
      </c>
      <c r="T1032" s="11" t="str">
        <f t="shared" si="118"/>
        <v>Ok</v>
      </c>
      <c r="U1032" s="12">
        <v>46059</v>
      </c>
      <c r="V1032" s="10">
        <v>3294.72</v>
      </c>
      <c r="W1032" s="10" t="str">
        <f t="shared" si="116"/>
        <v>N/A</v>
      </c>
      <c r="X1032" t="s">
        <v>468</v>
      </c>
      <c r="Y1032" t="s">
        <v>28</v>
      </c>
      <c r="Z1032">
        <v>100126</v>
      </c>
      <c r="AA1032" t="s">
        <v>3123</v>
      </c>
      <c r="AB1032" t="s">
        <v>521</v>
      </c>
      <c r="AC1032" s="9">
        <v>2</v>
      </c>
      <c r="AD1032" s="9" t="str">
        <f t="shared" si="117"/>
        <v>N/A</v>
      </c>
      <c r="AE1032" s="11" t="e">
        <f t="shared" si="119"/>
        <v>#VALUE!</v>
      </c>
    </row>
    <row r="1033" spans="1:31" x14ac:dyDescent="0.3">
      <c r="A1033">
        <v>59</v>
      </c>
      <c r="B1033">
        <v>4663839</v>
      </c>
      <c r="C1033" t="s">
        <v>38</v>
      </c>
      <c r="D1033">
        <v>1749221</v>
      </c>
      <c r="E1033" t="s">
        <v>4881</v>
      </c>
      <c r="F1033" t="s">
        <v>24</v>
      </c>
      <c r="G1033" t="s">
        <v>1015</v>
      </c>
      <c r="H1033" t="s">
        <v>1016</v>
      </c>
      <c r="I1033" t="s">
        <v>3257</v>
      </c>
      <c r="J1033">
        <v>51141237629</v>
      </c>
      <c r="K1033" t="s">
        <v>3262</v>
      </c>
      <c r="L1033" t="s">
        <v>4060</v>
      </c>
      <c r="M1033">
        <v>3900</v>
      </c>
      <c r="N1033" s="10">
        <v>1.0872200000000001</v>
      </c>
      <c r="O1033" s="10">
        <f t="shared" si="115"/>
        <v>4240.1580000000004</v>
      </c>
      <c r="P1033" s="10">
        <v>607.02</v>
      </c>
      <c r="Q1033" s="10">
        <v>402.82</v>
      </c>
      <c r="R1033" s="10">
        <f>IF(COUNTIF($J$2:J1033,J1033)=1,SUMIFS($O:$O,$J:$J,J1033)+SUMIFS($P:$P,$J:$J,J1033)+SUMIFS($Q:$Q,$J:$J,J1033),"")</f>
        <v>30849.989999999998</v>
      </c>
      <c r="S1033" s="10">
        <v>30876.410000000003</v>
      </c>
      <c r="T1033" s="11" t="str">
        <f t="shared" si="118"/>
        <v>Check</v>
      </c>
      <c r="U1033" s="12">
        <v>46059</v>
      </c>
      <c r="V1033" s="10">
        <v>3219.21</v>
      </c>
      <c r="W1033" s="10" t="str">
        <f t="shared" si="116"/>
        <v>Short Paid</v>
      </c>
      <c r="X1033" t="s">
        <v>474</v>
      </c>
      <c r="Y1033" t="s">
        <v>40</v>
      </c>
      <c r="Z1033">
        <v>100269</v>
      </c>
      <c r="AA1033" t="s">
        <v>3152</v>
      </c>
      <c r="AB1033" t="s">
        <v>522</v>
      </c>
      <c r="AC1033" s="9">
        <v>2</v>
      </c>
      <c r="AD1033" s="9" t="str">
        <f t="shared" si="117"/>
        <v>Check</v>
      </c>
      <c r="AE1033" s="11">
        <f t="shared" si="119"/>
        <v>-26.42000000000553</v>
      </c>
    </row>
    <row r="1034" spans="1:31" x14ac:dyDescent="0.3">
      <c r="A1034">
        <v>59</v>
      </c>
      <c r="B1034">
        <v>4663839</v>
      </c>
      <c r="C1034" t="s">
        <v>38</v>
      </c>
      <c r="D1034">
        <v>1749221</v>
      </c>
      <c r="E1034" t="s">
        <v>4881</v>
      </c>
      <c r="F1034" t="s">
        <v>24</v>
      </c>
      <c r="G1034" t="s">
        <v>1015</v>
      </c>
      <c r="H1034" t="s">
        <v>1016</v>
      </c>
      <c r="I1034" t="s">
        <v>3419</v>
      </c>
      <c r="J1034">
        <v>51141237629</v>
      </c>
      <c r="K1034" t="s">
        <v>3194</v>
      </c>
      <c r="L1034" t="s">
        <v>3448</v>
      </c>
      <c r="M1034">
        <v>9760</v>
      </c>
      <c r="N1034" s="10">
        <v>2.6229499999999999</v>
      </c>
      <c r="O1034" s="10">
        <f t="shared" si="115"/>
        <v>25599.991999999998</v>
      </c>
      <c r="P1034" s="10" t="s">
        <v>5006</v>
      </c>
      <c r="Q1034" s="10" t="s">
        <v>5006</v>
      </c>
      <c r="R1034" s="10" t="str">
        <f>IF(COUNTIF($J$2:J1034,J1034)=1,SUMIFS($O:$O,$J:$J,J1034)+SUMIFS($P:$P,$J:$J,J1034)+SUMIFS($Q:$Q,$J:$J,J1034),"")</f>
        <v/>
      </c>
      <c r="S1034" s="10" t="s">
        <v>5006</v>
      </c>
      <c r="T1034" s="11" t="str">
        <f t="shared" si="118"/>
        <v>Check</v>
      </c>
      <c r="U1034" s="12">
        <v>46059</v>
      </c>
      <c r="V1034" s="10">
        <v>3219.21</v>
      </c>
      <c r="W1034" s="10" t="str">
        <f t="shared" si="116"/>
        <v>N/A</v>
      </c>
      <c r="X1034" t="s">
        <v>474</v>
      </c>
      <c r="Y1034" t="s">
        <v>40</v>
      </c>
      <c r="Z1034">
        <v>100269</v>
      </c>
      <c r="AA1034" t="s">
        <v>3152</v>
      </c>
      <c r="AB1034" t="s">
        <v>522</v>
      </c>
      <c r="AC1034" s="9">
        <v>2</v>
      </c>
      <c r="AD1034" s="9" t="str">
        <f t="shared" si="117"/>
        <v>N/A</v>
      </c>
      <c r="AE1034" s="11" t="e">
        <f t="shared" si="119"/>
        <v>#VALUE!</v>
      </c>
    </row>
    <row r="1035" spans="1:31" x14ac:dyDescent="0.3">
      <c r="A1035">
        <v>72</v>
      </c>
      <c r="B1035">
        <v>4632393</v>
      </c>
      <c r="C1035" t="s">
        <v>217</v>
      </c>
      <c r="D1035">
        <v>1161112</v>
      </c>
      <c r="E1035" t="s">
        <v>566</v>
      </c>
      <c r="F1035" t="s">
        <v>20</v>
      </c>
      <c r="G1035" t="s">
        <v>2703</v>
      </c>
      <c r="H1035" t="s">
        <v>943</v>
      </c>
      <c r="I1035" t="s">
        <v>3420</v>
      </c>
      <c r="J1035">
        <v>51141310662</v>
      </c>
      <c r="K1035" t="s">
        <v>3171</v>
      </c>
      <c r="L1035" t="s">
        <v>4061</v>
      </c>
      <c r="M1035">
        <v>250</v>
      </c>
      <c r="N1035" s="10">
        <v>19.809999999999999</v>
      </c>
      <c r="O1035" s="10">
        <f t="shared" si="115"/>
        <v>4952.5</v>
      </c>
      <c r="P1035" s="10">
        <v>0</v>
      </c>
      <c r="Q1035" s="10">
        <v>0</v>
      </c>
      <c r="R1035" s="10">
        <f>IF(COUNTIF($J$2:J1035,J1035)=1,SUMIFS($O:$O,$J:$J,J1035)+SUMIFS($P:$P,$J:$J,J1035)+SUMIFS($Q:$Q,$J:$J,J1035),"")</f>
        <v>5511.61</v>
      </c>
      <c r="S1035" s="10">
        <v>10566.11</v>
      </c>
      <c r="T1035" s="11" t="str">
        <f t="shared" si="118"/>
        <v>Check</v>
      </c>
      <c r="U1035" s="12">
        <v>46034</v>
      </c>
      <c r="V1035" s="10">
        <v>661.11</v>
      </c>
      <c r="W1035" s="10" t="str">
        <f t="shared" si="116"/>
        <v>Short Paid</v>
      </c>
      <c r="X1035" t="s">
        <v>468</v>
      </c>
      <c r="Y1035" t="s">
        <v>28</v>
      </c>
      <c r="Z1035">
        <v>100246</v>
      </c>
      <c r="AA1035" t="s">
        <v>3060</v>
      </c>
      <c r="AB1035" t="s">
        <v>521</v>
      </c>
      <c r="AC1035" s="9">
        <v>3</v>
      </c>
      <c r="AD1035" s="9" t="str">
        <f t="shared" si="117"/>
        <v>Check</v>
      </c>
      <c r="AE1035" s="11">
        <f t="shared" si="119"/>
        <v>-5054.5000000000009</v>
      </c>
    </row>
    <row r="1036" spans="1:31" x14ac:dyDescent="0.3">
      <c r="A1036">
        <v>72</v>
      </c>
      <c r="B1036">
        <v>4632393</v>
      </c>
      <c r="C1036" t="s">
        <v>217</v>
      </c>
      <c r="D1036">
        <v>1161112</v>
      </c>
      <c r="E1036" t="s">
        <v>566</v>
      </c>
      <c r="F1036" t="s">
        <v>20</v>
      </c>
      <c r="G1036" t="s">
        <v>2703</v>
      </c>
      <c r="H1036" t="s">
        <v>943</v>
      </c>
      <c r="I1036" t="s">
        <v>3307</v>
      </c>
      <c r="J1036">
        <v>51141310662</v>
      </c>
      <c r="K1036" t="s">
        <v>3370</v>
      </c>
      <c r="L1036" t="s">
        <v>4062</v>
      </c>
      <c r="M1036">
        <v>9000</v>
      </c>
      <c r="N1036" s="10">
        <v>3.4000000000000002E-2</v>
      </c>
      <c r="O1036" s="10">
        <f t="shared" si="115"/>
        <v>306</v>
      </c>
      <c r="P1036" s="10" t="s">
        <v>5006</v>
      </c>
      <c r="Q1036" s="10" t="s">
        <v>5006</v>
      </c>
      <c r="R1036" s="10" t="str">
        <f>IF(COUNTIF($J$2:J1036,J1036)=1,SUMIFS($O:$O,$J:$J,J1036)+SUMIFS($P:$P,$J:$J,J1036)+SUMIFS($Q:$Q,$J:$J,J1036),"")</f>
        <v/>
      </c>
      <c r="S1036" s="10" t="s">
        <v>5006</v>
      </c>
      <c r="T1036" s="11" t="str">
        <f t="shared" si="118"/>
        <v>Check</v>
      </c>
      <c r="U1036" s="12">
        <v>46034</v>
      </c>
      <c r="V1036" s="10">
        <v>661.11</v>
      </c>
      <c r="W1036" s="10" t="str">
        <f t="shared" si="116"/>
        <v>N/A</v>
      </c>
      <c r="X1036" t="s">
        <v>468</v>
      </c>
      <c r="Y1036" t="s">
        <v>28</v>
      </c>
      <c r="Z1036">
        <v>100246</v>
      </c>
      <c r="AA1036" t="s">
        <v>3060</v>
      </c>
      <c r="AB1036" t="s">
        <v>521</v>
      </c>
      <c r="AC1036" s="9">
        <v>3</v>
      </c>
      <c r="AD1036" s="9" t="str">
        <f t="shared" si="117"/>
        <v>N/A</v>
      </c>
      <c r="AE1036" s="11" t="e">
        <f t="shared" si="119"/>
        <v>#VALUE!</v>
      </c>
    </row>
    <row r="1037" spans="1:31" x14ac:dyDescent="0.3">
      <c r="A1037">
        <v>72</v>
      </c>
      <c r="B1037">
        <v>4632393</v>
      </c>
      <c r="C1037" t="s">
        <v>217</v>
      </c>
      <c r="D1037">
        <v>1161112</v>
      </c>
      <c r="E1037" t="s">
        <v>566</v>
      </c>
      <c r="F1037" t="s">
        <v>20</v>
      </c>
      <c r="G1037" t="s">
        <v>2703</v>
      </c>
      <c r="H1037" t="s">
        <v>943</v>
      </c>
      <c r="I1037" t="s">
        <v>3307</v>
      </c>
      <c r="J1037">
        <v>51141310662</v>
      </c>
      <c r="K1037" t="s">
        <v>3289</v>
      </c>
      <c r="L1037" t="s">
        <v>4063</v>
      </c>
      <c r="M1037">
        <v>3000</v>
      </c>
      <c r="N1037" s="10">
        <v>8.4370000000000001E-2</v>
      </c>
      <c r="O1037" s="10">
        <f t="shared" si="115"/>
        <v>253.11</v>
      </c>
      <c r="P1037" s="10" t="s">
        <v>5006</v>
      </c>
      <c r="Q1037" s="10" t="s">
        <v>5006</v>
      </c>
      <c r="R1037" s="10" t="str">
        <f>IF(COUNTIF($J$2:J1037,J1037)=1,SUMIFS($O:$O,$J:$J,J1037)+SUMIFS($P:$P,$J:$J,J1037)+SUMIFS($Q:$Q,$J:$J,J1037),"")</f>
        <v/>
      </c>
      <c r="S1037" s="10" t="s">
        <v>5006</v>
      </c>
      <c r="T1037" s="11" t="str">
        <f t="shared" si="118"/>
        <v>Check</v>
      </c>
      <c r="U1037" s="12">
        <v>46034</v>
      </c>
      <c r="V1037" s="10">
        <v>661.11</v>
      </c>
      <c r="W1037" s="10" t="str">
        <f t="shared" si="116"/>
        <v>N/A</v>
      </c>
      <c r="X1037" t="s">
        <v>468</v>
      </c>
      <c r="Y1037" t="s">
        <v>28</v>
      </c>
      <c r="Z1037">
        <v>100246</v>
      </c>
      <c r="AA1037" t="s">
        <v>3060</v>
      </c>
      <c r="AB1037" t="s">
        <v>521</v>
      </c>
      <c r="AC1037" s="9">
        <v>3</v>
      </c>
      <c r="AD1037" s="9" t="str">
        <f t="shared" si="117"/>
        <v>N/A</v>
      </c>
      <c r="AE1037" s="11" t="e">
        <f t="shared" si="119"/>
        <v>#VALUE!</v>
      </c>
    </row>
    <row r="1038" spans="1:31" x14ac:dyDescent="0.3">
      <c r="A1038">
        <v>62</v>
      </c>
      <c r="B1038">
        <v>4661057</v>
      </c>
      <c r="C1038" t="s">
        <v>94</v>
      </c>
      <c r="D1038">
        <v>1209186</v>
      </c>
      <c r="E1038" t="s">
        <v>690</v>
      </c>
      <c r="F1038" t="s">
        <v>18</v>
      </c>
      <c r="G1038" t="s">
        <v>2727</v>
      </c>
      <c r="H1038" t="s">
        <v>2728</v>
      </c>
      <c r="I1038" t="s">
        <v>3425</v>
      </c>
      <c r="J1038">
        <v>51141335989</v>
      </c>
      <c r="K1038" t="s">
        <v>3168</v>
      </c>
      <c r="L1038" t="s">
        <v>3426</v>
      </c>
      <c r="M1038">
        <v>84000</v>
      </c>
      <c r="N1038" s="10">
        <v>1.6199999999999999E-2</v>
      </c>
      <c r="O1038" s="10">
        <f t="shared" si="115"/>
        <v>1360.8</v>
      </c>
      <c r="P1038" s="10">
        <v>0</v>
      </c>
      <c r="Q1038" s="10">
        <v>0</v>
      </c>
      <c r="R1038" s="10">
        <f>IF(COUNTIF($J$2:J1038,J1038)=1,SUMIFS($O:$O,$J:$J,J1038)+SUMIFS($P:$P,$J:$J,J1038)+SUMIFS($Q:$Q,$J:$J,J1038),"")</f>
        <v>12909.599999999999</v>
      </c>
      <c r="S1038" s="10">
        <v>13687.199999999999</v>
      </c>
      <c r="T1038" s="11" t="str">
        <f t="shared" si="118"/>
        <v>Check</v>
      </c>
      <c r="U1038" s="12">
        <v>45932</v>
      </c>
      <c r="V1038" s="10">
        <v>10312.799999999999</v>
      </c>
      <c r="W1038" s="10" t="str">
        <f t="shared" si="116"/>
        <v>Short Paid</v>
      </c>
      <c r="X1038" t="s">
        <v>450</v>
      </c>
      <c r="Y1038" t="s">
        <v>28</v>
      </c>
      <c r="Z1038">
        <v>100117</v>
      </c>
      <c r="AA1038" t="s">
        <v>451</v>
      </c>
      <c r="AB1038" t="s">
        <v>523</v>
      </c>
      <c r="AC1038" s="9">
        <v>2</v>
      </c>
      <c r="AD1038" s="9" t="str">
        <f t="shared" si="117"/>
        <v>Check</v>
      </c>
      <c r="AE1038" s="11">
        <f t="shared" si="119"/>
        <v>-777.60000000000036</v>
      </c>
    </row>
    <row r="1039" spans="1:31" x14ac:dyDescent="0.3">
      <c r="A1039">
        <v>62</v>
      </c>
      <c r="B1039">
        <v>4661057</v>
      </c>
      <c r="C1039" t="s">
        <v>94</v>
      </c>
      <c r="D1039">
        <v>1209186</v>
      </c>
      <c r="E1039" t="s">
        <v>690</v>
      </c>
      <c r="F1039" t="s">
        <v>18</v>
      </c>
      <c r="G1039" t="s">
        <v>2727</v>
      </c>
      <c r="H1039" t="s">
        <v>2728</v>
      </c>
      <c r="I1039" t="s">
        <v>3224</v>
      </c>
      <c r="J1039">
        <v>51141335989</v>
      </c>
      <c r="K1039" t="s">
        <v>3550</v>
      </c>
      <c r="L1039" t="s">
        <v>4064</v>
      </c>
      <c r="M1039">
        <v>480</v>
      </c>
      <c r="N1039" s="10">
        <v>24.06</v>
      </c>
      <c r="O1039" s="10">
        <f t="shared" si="115"/>
        <v>11548.8</v>
      </c>
      <c r="P1039" s="10" t="s">
        <v>5006</v>
      </c>
      <c r="Q1039" s="10" t="s">
        <v>5006</v>
      </c>
      <c r="R1039" s="10" t="str">
        <f>IF(COUNTIF($J$2:J1039,J1039)=1,SUMIFS($O:$O,$J:$J,J1039)+SUMIFS($P:$P,$J:$J,J1039)+SUMIFS($Q:$Q,$J:$J,J1039),"")</f>
        <v/>
      </c>
      <c r="S1039" s="10" t="s">
        <v>5006</v>
      </c>
      <c r="T1039" s="11" t="str">
        <f t="shared" si="118"/>
        <v>Check</v>
      </c>
      <c r="U1039" s="12">
        <v>45932</v>
      </c>
      <c r="V1039" s="10">
        <v>10312.799999999999</v>
      </c>
      <c r="W1039" s="10" t="str">
        <f t="shared" si="116"/>
        <v>N/A</v>
      </c>
      <c r="X1039" t="s">
        <v>450</v>
      </c>
      <c r="Y1039" t="s">
        <v>28</v>
      </c>
      <c r="Z1039">
        <v>100117</v>
      </c>
      <c r="AA1039" t="s">
        <v>451</v>
      </c>
      <c r="AB1039" t="s">
        <v>523</v>
      </c>
      <c r="AC1039" s="9">
        <v>2</v>
      </c>
      <c r="AD1039" s="9" t="str">
        <f t="shared" si="117"/>
        <v>N/A</v>
      </c>
      <c r="AE1039" s="11" t="e">
        <f t="shared" si="119"/>
        <v>#VALUE!</v>
      </c>
    </row>
    <row r="1040" spans="1:31" x14ac:dyDescent="0.3">
      <c r="A1040">
        <v>63</v>
      </c>
      <c r="B1040">
        <v>4656604</v>
      </c>
      <c r="C1040" t="s">
        <v>239</v>
      </c>
      <c r="D1040">
        <v>1706724</v>
      </c>
      <c r="E1040" t="s">
        <v>617</v>
      </c>
      <c r="F1040" t="s">
        <v>47</v>
      </c>
      <c r="G1040" t="s">
        <v>999</v>
      </c>
      <c r="H1040" t="s">
        <v>1000</v>
      </c>
      <c r="I1040" t="s">
        <v>3496</v>
      </c>
      <c r="J1040">
        <v>51141600055</v>
      </c>
      <c r="K1040" t="s">
        <v>3168</v>
      </c>
      <c r="L1040" t="s">
        <v>3413</v>
      </c>
      <c r="M1040">
        <v>4000</v>
      </c>
      <c r="N1040" s="10">
        <v>0.2157</v>
      </c>
      <c r="O1040" s="10">
        <f t="shared" si="115"/>
        <v>862.8</v>
      </c>
      <c r="P1040" s="10">
        <v>0</v>
      </c>
      <c r="Q1040" s="10">
        <v>194.76</v>
      </c>
      <c r="R1040" s="10">
        <f>IF(COUNTIF($J$2:J1040,J1040)=1,SUMIFS($O:$O,$J:$J,J1040)+SUMIFS($P:$P,$J:$J,J1040)+SUMIFS($Q:$Q,$J:$J,J1040),"")</f>
        <v>1875.86</v>
      </c>
      <c r="S1040" s="10">
        <v>2738.66</v>
      </c>
      <c r="T1040" s="11" t="str">
        <f t="shared" si="118"/>
        <v>Check</v>
      </c>
      <c r="U1040" s="12">
        <v>46105</v>
      </c>
      <c r="V1040" s="10">
        <v>1013.06</v>
      </c>
      <c r="W1040" s="10" t="str">
        <f t="shared" si="116"/>
        <v>Short Paid</v>
      </c>
      <c r="X1040" t="s">
        <v>476</v>
      </c>
      <c r="Y1040" t="s">
        <v>28</v>
      </c>
      <c r="Z1040">
        <v>100195</v>
      </c>
      <c r="AA1040" t="s">
        <v>3070</v>
      </c>
      <c r="AB1040" t="s">
        <v>3039</v>
      </c>
      <c r="AC1040" s="9">
        <v>2</v>
      </c>
      <c r="AD1040" s="9" t="str">
        <f t="shared" si="117"/>
        <v>Check</v>
      </c>
      <c r="AE1040" s="11">
        <f t="shared" si="119"/>
        <v>-862.8</v>
      </c>
    </row>
    <row r="1041" spans="1:31" x14ac:dyDescent="0.3">
      <c r="A1041">
        <v>63</v>
      </c>
      <c r="B1041">
        <v>4656604</v>
      </c>
      <c r="C1041" t="s">
        <v>239</v>
      </c>
      <c r="D1041">
        <v>1706724</v>
      </c>
      <c r="E1041" t="s">
        <v>617</v>
      </c>
      <c r="F1041" t="s">
        <v>47</v>
      </c>
      <c r="G1041" t="s">
        <v>999</v>
      </c>
      <c r="H1041" t="s">
        <v>1000</v>
      </c>
      <c r="I1041" t="s">
        <v>3381</v>
      </c>
      <c r="J1041">
        <v>51141600055</v>
      </c>
      <c r="K1041" t="s">
        <v>3635</v>
      </c>
      <c r="L1041" t="s">
        <v>4065</v>
      </c>
      <c r="M1041">
        <v>100</v>
      </c>
      <c r="N1041" s="10">
        <v>8.1829999999999998</v>
      </c>
      <c r="O1041" s="10">
        <f t="shared" si="115"/>
        <v>818.3</v>
      </c>
      <c r="P1041" s="10" t="s">
        <v>5006</v>
      </c>
      <c r="Q1041" s="10" t="s">
        <v>5006</v>
      </c>
      <c r="R1041" s="10" t="str">
        <f>IF(COUNTIF($J$2:J1041,J1041)=1,SUMIFS($O:$O,$J:$J,J1041)+SUMIFS($P:$P,$J:$J,J1041)+SUMIFS($Q:$Q,$J:$J,J1041),"")</f>
        <v/>
      </c>
      <c r="S1041" s="10" t="s">
        <v>5006</v>
      </c>
      <c r="T1041" s="11" t="str">
        <f t="shared" si="118"/>
        <v>Check</v>
      </c>
      <c r="U1041" s="12">
        <v>46105</v>
      </c>
      <c r="V1041" s="10">
        <v>1013.06</v>
      </c>
      <c r="W1041" s="10" t="str">
        <f t="shared" si="116"/>
        <v>N/A</v>
      </c>
      <c r="X1041" t="s">
        <v>476</v>
      </c>
      <c r="Y1041" t="s">
        <v>28</v>
      </c>
      <c r="Z1041">
        <v>100195</v>
      </c>
      <c r="AA1041" t="s">
        <v>3070</v>
      </c>
      <c r="AB1041" t="s">
        <v>3039</v>
      </c>
      <c r="AC1041" s="9">
        <v>2</v>
      </c>
      <c r="AD1041" s="9" t="str">
        <f t="shared" si="117"/>
        <v>N/A</v>
      </c>
      <c r="AE1041" s="11" t="e">
        <f t="shared" si="119"/>
        <v>#VALUE!</v>
      </c>
    </row>
    <row r="1042" spans="1:31" x14ac:dyDescent="0.3">
      <c r="A1042">
        <v>64</v>
      </c>
      <c r="B1042">
        <v>4655769</v>
      </c>
      <c r="C1042" t="s">
        <v>239</v>
      </c>
      <c r="D1042">
        <v>1079286</v>
      </c>
      <c r="E1042" t="s">
        <v>629</v>
      </c>
      <c r="F1042" t="s">
        <v>20</v>
      </c>
      <c r="G1042" t="s">
        <v>995</v>
      </c>
      <c r="H1042" t="s">
        <v>996</v>
      </c>
      <c r="I1042" t="s">
        <v>3359</v>
      </c>
      <c r="J1042">
        <v>51141671008</v>
      </c>
      <c r="K1042" t="s">
        <v>3223</v>
      </c>
      <c r="L1042" t="s">
        <v>4066</v>
      </c>
      <c r="M1042">
        <v>5000</v>
      </c>
      <c r="N1042" s="10">
        <v>0.38300000000000001</v>
      </c>
      <c r="O1042" s="10">
        <f t="shared" si="115"/>
        <v>1915</v>
      </c>
      <c r="P1042" s="10">
        <v>0</v>
      </c>
      <c r="Q1042" s="10">
        <v>0</v>
      </c>
      <c r="R1042" s="10">
        <f>IF(COUNTIF($J$2:J1042,J1042)=1,SUMIFS($O:$O,$J:$J,J1042)+SUMIFS($P:$P,$J:$J,J1042)+SUMIFS($Q:$Q,$J:$J,J1042),"")</f>
        <v>4886.68</v>
      </c>
      <c r="S1042" s="10">
        <v>4886.68</v>
      </c>
      <c r="T1042" s="11" t="str">
        <f t="shared" si="118"/>
        <v>Ok</v>
      </c>
      <c r="U1042" s="12">
        <v>45820</v>
      </c>
      <c r="V1042" s="10">
        <v>1915</v>
      </c>
      <c r="W1042" s="10" t="str">
        <f t="shared" si="116"/>
        <v>Short Paid</v>
      </c>
      <c r="X1042" t="s">
        <v>476</v>
      </c>
      <c r="Y1042" t="s">
        <v>28</v>
      </c>
      <c r="Z1042">
        <v>100125</v>
      </c>
      <c r="AA1042" t="s">
        <v>477</v>
      </c>
      <c r="AB1042" t="s">
        <v>521</v>
      </c>
      <c r="AC1042" s="9">
        <v>2</v>
      </c>
      <c r="AD1042" s="9" t="str">
        <f t="shared" si="117"/>
        <v>Ok</v>
      </c>
      <c r="AE1042" s="11">
        <f t="shared" si="119"/>
        <v>0</v>
      </c>
    </row>
    <row r="1043" spans="1:31" x14ac:dyDescent="0.3">
      <c r="A1043">
        <v>64</v>
      </c>
      <c r="B1043">
        <v>4655769</v>
      </c>
      <c r="C1043" t="s">
        <v>239</v>
      </c>
      <c r="D1043">
        <v>1079286</v>
      </c>
      <c r="E1043" t="s">
        <v>629</v>
      </c>
      <c r="F1043" t="s">
        <v>20</v>
      </c>
      <c r="G1043" t="s">
        <v>995</v>
      </c>
      <c r="H1043" t="s">
        <v>996</v>
      </c>
      <c r="I1043" t="s">
        <v>3253</v>
      </c>
      <c r="J1043">
        <v>51141671008</v>
      </c>
      <c r="K1043" t="s">
        <v>3379</v>
      </c>
      <c r="L1043" t="s">
        <v>3405</v>
      </c>
      <c r="M1043">
        <v>12000</v>
      </c>
      <c r="N1043" s="10">
        <v>0.24764</v>
      </c>
      <c r="O1043" s="10">
        <f t="shared" si="115"/>
        <v>2971.68</v>
      </c>
      <c r="P1043" s="10" t="s">
        <v>5006</v>
      </c>
      <c r="Q1043" s="10" t="s">
        <v>5006</v>
      </c>
      <c r="R1043" s="10" t="str">
        <f>IF(COUNTIF($J$2:J1043,J1043)=1,SUMIFS($O:$O,$J:$J,J1043)+SUMIFS($P:$P,$J:$J,J1043)+SUMIFS($Q:$Q,$J:$J,J1043),"")</f>
        <v/>
      </c>
      <c r="S1043" s="10" t="s">
        <v>5006</v>
      </c>
      <c r="T1043" s="11" t="str">
        <f t="shared" si="118"/>
        <v>Ok</v>
      </c>
      <c r="U1043" s="12">
        <v>45820</v>
      </c>
      <c r="V1043" s="10">
        <v>1915</v>
      </c>
      <c r="W1043" s="10" t="str">
        <f t="shared" si="116"/>
        <v>N/A</v>
      </c>
      <c r="X1043" t="s">
        <v>476</v>
      </c>
      <c r="Y1043" t="s">
        <v>28</v>
      </c>
      <c r="Z1043">
        <v>100125</v>
      </c>
      <c r="AA1043" t="s">
        <v>477</v>
      </c>
      <c r="AB1043" t="s">
        <v>521</v>
      </c>
      <c r="AC1043" s="9">
        <v>2</v>
      </c>
      <c r="AD1043" s="9" t="str">
        <f t="shared" si="117"/>
        <v>N/A</v>
      </c>
      <c r="AE1043" s="11" t="e">
        <f t="shared" si="119"/>
        <v>#VALUE!</v>
      </c>
    </row>
    <row r="1044" spans="1:31" x14ac:dyDescent="0.3">
      <c r="A1044">
        <v>60</v>
      </c>
      <c r="B1044">
        <v>4661613</v>
      </c>
      <c r="C1044" t="s">
        <v>239</v>
      </c>
      <c r="D1044">
        <v>1104415</v>
      </c>
      <c r="E1044" t="s">
        <v>538</v>
      </c>
      <c r="F1044" t="s">
        <v>47</v>
      </c>
      <c r="G1044" t="s">
        <v>1009</v>
      </c>
      <c r="H1044" t="s">
        <v>1010</v>
      </c>
      <c r="I1044" t="s">
        <v>3411</v>
      </c>
      <c r="J1044">
        <v>51141685547</v>
      </c>
      <c r="K1044" t="s">
        <v>3266</v>
      </c>
      <c r="L1044" t="s">
        <v>4067</v>
      </c>
      <c r="M1044">
        <v>750</v>
      </c>
      <c r="N1044" s="10">
        <v>0.36599999999999999</v>
      </c>
      <c r="O1044" s="10">
        <f t="shared" si="115"/>
        <v>274.5</v>
      </c>
      <c r="P1044" s="10">
        <v>0</v>
      </c>
      <c r="Q1044" s="10">
        <v>53.8</v>
      </c>
      <c r="R1044" s="10">
        <f>IF(COUNTIF($J$2:J1044,J1044)=1,SUMIFS($O:$O,$J:$J,J1044)+SUMIFS($P:$P,$J:$J,J1044)+SUMIFS($Q:$Q,$J:$J,J1044),"")</f>
        <v>976.3</v>
      </c>
      <c r="S1044" s="10">
        <v>976.3</v>
      </c>
      <c r="T1044" s="11" t="str">
        <f t="shared" si="118"/>
        <v>Ok</v>
      </c>
      <c r="U1044" s="12">
        <v>46073</v>
      </c>
      <c r="V1044" s="10">
        <v>328.3</v>
      </c>
      <c r="W1044" s="10" t="str">
        <f t="shared" si="116"/>
        <v>Short Paid</v>
      </c>
      <c r="X1044" t="s">
        <v>476</v>
      </c>
      <c r="Y1044" t="s">
        <v>28</v>
      </c>
      <c r="Z1044">
        <v>100155</v>
      </c>
      <c r="AA1044" t="s">
        <v>3072</v>
      </c>
      <c r="AB1044" t="s">
        <v>3039</v>
      </c>
      <c r="AC1044" s="9">
        <v>2</v>
      </c>
      <c r="AD1044" s="9" t="str">
        <f t="shared" si="117"/>
        <v>Ok</v>
      </c>
      <c r="AE1044" s="11">
        <f t="shared" si="119"/>
        <v>0</v>
      </c>
    </row>
    <row r="1045" spans="1:31" x14ac:dyDescent="0.3">
      <c r="A1045">
        <v>60</v>
      </c>
      <c r="B1045">
        <v>4661613</v>
      </c>
      <c r="C1045" t="s">
        <v>239</v>
      </c>
      <c r="D1045">
        <v>1104415</v>
      </c>
      <c r="E1045" t="s">
        <v>538</v>
      </c>
      <c r="F1045" t="s">
        <v>47</v>
      </c>
      <c r="G1045" t="s">
        <v>1009</v>
      </c>
      <c r="H1045" t="s">
        <v>1010</v>
      </c>
      <c r="I1045" t="s">
        <v>3390</v>
      </c>
      <c r="J1045">
        <v>51141685547</v>
      </c>
      <c r="K1045" t="s">
        <v>3183</v>
      </c>
      <c r="L1045" t="s">
        <v>3940</v>
      </c>
      <c r="M1045">
        <v>100</v>
      </c>
      <c r="N1045" s="10">
        <v>6.48</v>
      </c>
      <c r="O1045" s="10">
        <f t="shared" si="115"/>
        <v>648</v>
      </c>
      <c r="P1045" s="10" t="s">
        <v>5006</v>
      </c>
      <c r="Q1045" s="10" t="s">
        <v>5006</v>
      </c>
      <c r="R1045" s="10" t="str">
        <f>IF(COUNTIF($J$2:J1045,J1045)=1,SUMIFS($O:$O,$J:$J,J1045)+SUMIFS($P:$P,$J:$J,J1045)+SUMIFS($Q:$Q,$J:$J,J1045),"")</f>
        <v/>
      </c>
      <c r="S1045" s="10" t="s">
        <v>5006</v>
      </c>
      <c r="T1045" s="11" t="str">
        <f t="shared" si="118"/>
        <v>Ok</v>
      </c>
      <c r="U1045" s="12">
        <v>46073</v>
      </c>
      <c r="V1045" s="10">
        <v>328.3</v>
      </c>
      <c r="W1045" s="10" t="str">
        <f t="shared" si="116"/>
        <v>N/A</v>
      </c>
      <c r="X1045" t="s">
        <v>476</v>
      </c>
      <c r="Y1045" t="s">
        <v>28</v>
      </c>
      <c r="Z1045">
        <v>100155</v>
      </c>
      <c r="AA1045" t="s">
        <v>3072</v>
      </c>
      <c r="AB1045" t="s">
        <v>3039</v>
      </c>
      <c r="AC1045" s="9">
        <v>2</v>
      </c>
      <c r="AD1045" s="9" t="str">
        <f t="shared" si="117"/>
        <v>N/A</v>
      </c>
      <c r="AE1045" s="11" t="e">
        <f t="shared" si="119"/>
        <v>#VALUE!</v>
      </c>
    </row>
    <row r="1046" spans="1:31" x14ac:dyDescent="0.3">
      <c r="A1046">
        <v>60</v>
      </c>
      <c r="B1046">
        <v>4661335</v>
      </c>
      <c r="C1046" t="s">
        <v>239</v>
      </c>
      <c r="D1046">
        <v>1104415</v>
      </c>
      <c r="E1046" t="s">
        <v>538</v>
      </c>
      <c r="F1046" t="s">
        <v>47</v>
      </c>
      <c r="G1046" t="s">
        <v>1007</v>
      </c>
      <c r="H1046" t="s">
        <v>1008</v>
      </c>
      <c r="I1046" t="s">
        <v>3218</v>
      </c>
      <c r="J1046">
        <v>51141704978</v>
      </c>
      <c r="K1046" t="s">
        <v>3207</v>
      </c>
      <c r="L1046" t="s">
        <v>3346</v>
      </c>
      <c r="M1046">
        <v>28000</v>
      </c>
      <c r="N1046" s="10">
        <v>7.0000000000000007E-2</v>
      </c>
      <c r="O1046" s="10">
        <f t="shared" si="115"/>
        <v>1960.0000000000002</v>
      </c>
      <c r="P1046" s="10">
        <v>0</v>
      </c>
      <c r="Q1046" s="10">
        <v>247.75</v>
      </c>
      <c r="R1046" s="10">
        <f>IF(COUNTIF($J$2:J1046,J1046)=1,SUMIFS($O:$O,$J:$J,J1046)+SUMIFS($P:$P,$J:$J,J1046)+SUMIFS($Q:$Q,$J:$J,J1046),"")</f>
        <v>3940.25</v>
      </c>
      <c r="S1046" s="10">
        <v>3940.25</v>
      </c>
      <c r="T1046" s="11" t="str">
        <f t="shared" si="118"/>
        <v>Ok</v>
      </c>
      <c r="U1046" s="12">
        <v>46076</v>
      </c>
      <c r="V1046" s="10">
        <v>1980.25</v>
      </c>
      <c r="W1046" s="10" t="str">
        <f t="shared" si="116"/>
        <v>Short Paid</v>
      </c>
      <c r="X1046" t="s">
        <v>476</v>
      </c>
      <c r="Y1046" t="s">
        <v>28</v>
      </c>
      <c r="Z1046">
        <v>100125</v>
      </c>
      <c r="AA1046" t="s">
        <v>477</v>
      </c>
      <c r="AB1046" t="s">
        <v>3039</v>
      </c>
      <c r="AC1046" s="9">
        <v>2</v>
      </c>
      <c r="AD1046" s="9" t="str">
        <f t="shared" si="117"/>
        <v>Ok</v>
      </c>
      <c r="AE1046" s="11">
        <f t="shared" si="119"/>
        <v>0</v>
      </c>
    </row>
    <row r="1047" spans="1:31" x14ac:dyDescent="0.3">
      <c r="A1047">
        <v>60</v>
      </c>
      <c r="B1047">
        <v>4661335</v>
      </c>
      <c r="C1047" t="s">
        <v>239</v>
      </c>
      <c r="D1047">
        <v>1104415</v>
      </c>
      <c r="E1047" t="s">
        <v>538</v>
      </c>
      <c r="F1047" t="s">
        <v>47</v>
      </c>
      <c r="G1047" t="s">
        <v>1007</v>
      </c>
      <c r="H1047" t="s">
        <v>1008</v>
      </c>
      <c r="I1047" t="s">
        <v>3210</v>
      </c>
      <c r="J1047">
        <v>51141704978</v>
      </c>
      <c r="K1047" t="s">
        <v>3628</v>
      </c>
      <c r="L1047" t="s">
        <v>4068</v>
      </c>
      <c r="M1047">
        <v>250</v>
      </c>
      <c r="N1047" s="10">
        <v>6.93</v>
      </c>
      <c r="O1047" s="10">
        <f t="shared" si="115"/>
        <v>1732.5</v>
      </c>
      <c r="P1047" s="10" t="s">
        <v>5006</v>
      </c>
      <c r="Q1047" s="10" t="s">
        <v>5006</v>
      </c>
      <c r="R1047" s="10" t="str">
        <f>IF(COUNTIF($J$2:J1047,J1047)=1,SUMIFS($O:$O,$J:$J,J1047)+SUMIFS($P:$P,$J:$J,J1047)+SUMIFS($Q:$Q,$J:$J,J1047),"")</f>
        <v/>
      </c>
      <c r="S1047" s="10" t="s">
        <v>5006</v>
      </c>
      <c r="T1047" s="11" t="str">
        <f t="shared" si="118"/>
        <v>Ok</v>
      </c>
      <c r="U1047" s="12">
        <v>46076</v>
      </c>
      <c r="V1047" s="10">
        <v>1980.25</v>
      </c>
      <c r="W1047" s="10" t="str">
        <f t="shared" si="116"/>
        <v>N/A</v>
      </c>
      <c r="X1047" t="s">
        <v>476</v>
      </c>
      <c r="Y1047" t="s">
        <v>28</v>
      </c>
      <c r="Z1047">
        <v>100125</v>
      </c>
      <c r="AA1047" t="s">
        <v>477</v>
      </c>
      <c r="AB1047" t="s">
        <v>3039</v>
      </c>
      <c r="AC1047" s="9">
        <v>2</v>
      </c>
      <c r="AD1047" s="9" t="str">
        <f t="shared" si="117"/>
        <v>N/A</v>
      </c>
      <c r="AE1047" s="11" t="e">
        <f t="shared" si="119"/>
        <v>#VALUE!</v>
      </c>
    </row>
    <row r="1048" spans="1:31" x14ac:dyDescent="0.3">
      <c r="A1048">
        <v>64</v>
      </c>
      <c r="B1048">
        <v>4654378</v>
      </c>
      <c r="C1048" t="s">
        <v>160</v>
      </c>
      <c r="D1048">
        <v>1709146</v>
      </c>
      <c r="E1048" t="s">
        <v>624</v>
      </c>
      <c r="F1048" t="s">
        <v>19</v>
      </c>
      <c r="G1048" t="s">
        <v>986</v>
      </c>
      <c r="H1048" t="s">
        <v>987</v>
      </c>
      <c r="I1048" t="s">
        <v>3206</v>
      </c>
      <c r="J1048">
        <v>51141711073</v>
      </c>
      <c r="K1048" t="s">
        <v>3266</v>
      </c>
      <c r="L1048" t="s">
        <v>4069</v>
      </c>
      <c r="M1048">
        <v>1000</v>
      </c>
      <c r="N1048" s="10">
        <v>1.1299999999999999</v>
      </c>
      <c r="O1048" s="10">
        <f t="shared" si="115"/>
        <v>1130</v>
      </c>
      <c r="P1048" s="10">
        <v>0</v>
      </c>
      <c r="Q1048" s="10">
        <v>0</v>
      </c>
      <c r="R1048" s="10">
        <f>IF(COUNTIF($J$2:J1048,J1048)=1,SUMIFS($O:$O,$J:$J,J1048)+SUMIFS($P:$P,$J:$J,J1048)+SUMIFS($Q:$Q,$J:$J,J1048),"")</f>
        <v>1358</v>
      </c>
      <c r="S1048" s="10">
        <v>1358</v>
      </c>
      <c r="T1048" s="11" t="str">
        <f t="shared" si="118"/>
        <v>Ok</v>
      </c>
      <c r="U1048" s="12">
        <v>45994</v>
      </c>
      <c r="V1048" s="10">
        <v>1130</v>
      </c>
      <c r="W1048" s="10" t="str">
        <f t="shared" si="116"/>
        <v>Short Paid</v>
      </c>
      <c r="X1048" t="s">
        <v>453</v>
      </c>
      <c r="Y1048" t="s">
        <v>28</v>
      </c>
      <c r="Z1048">
        <v>100234</v>
      </c>
      <c r="AA1048" t="s">
        <v>502</v>
      </c>
      <c r="AB1048" t="s">
        <v>524</v>
      </c>
      <c r="AC1048" s="9">
        <v>2</v>
      </c>
      <c r="AD1048" s="9" t="str">
        <f t="shared" si="117"/>
        <v>Ok</v>
      </c>
      <c r="AE1048" s="11">
        <f t="shared" si="119"/>
        <v>0</v>
      </c>
    </row>
    <row r="1049" spans="1:31" x14ac:dyDescent="0.3">
      <c r="A1049">
        <v>64</v>
      </c>
      <c r="B1049">
        <v>4654378</v>
      </c>
      <c r="C1049" t="s">
        <v>160</v>
      </c>
      <c r="D1049">
        <v>1709146</v>
      </c>
      <c r="E1049" t="s">
        <v>624</v>
      </c>
      <c r="F1049" t="s">
        <v>19</v>
      </c>
      <c r="G1049" t="s">
        <v>986</v>
      </c>
      <c r="H1049" t="s">
        <v>987</v>
      </c>
      <c r="I1049" t="s">
        <v>3298</v>
      </c>
      <c r="J1049">
        <v>51141711073</v>
      </c>
      <c r="K1049" t="s">
        <v>3229</v>
      </c>
      <c r="L1049" t="s">
        <v>3409</v>
      </c>
      <c r="M1049">
        <v>12000</v>
      </c>
      <c r="N1049" s="10">
        <v>1.9E-2</v>
      </c>
      <c r="O1049" s="10">
        <f t="shared" si="115"/>
        <v>228</v>
      </c>
      <c r="P1049" s="10" t="s">
        <v>5006</v>
      </c>
      <c r="Q1049" s="10" t="s">
        <v>5006</v>
      </c>
      <c r="R1049" s="10" t="str">
        <f>IF(COUNTIF($J$2:J1049,J1049)=1,SUMIFS($O:$O,$J:$J,J1049)+SUMIFS($P:$P,$J:$J,J1049)+SUMIFS($Q:$Q,$J:$J,J1049),"")</f>
        <v/>
      </c>
      <c r="S1049" s="10" t="s">
        <v>5006</v>
      </c>
      <c r="T1049" s="11" t="str">
        <f t="shared" si="118"/>
        <v>Ok</v>
      </c>
      <c r="U1049" s="12">
        <v>45994</v>
      </c>
      <c r="V1049" s="10">
        <v>1130</v>
      </c>
      <c r="W1049" s="10" t="str">
        <f t="shared" si="116"/>
        <v>N/A</v>
      </c>
      <c r="X1049" t="s">
        <v>453</v>
      </c>
      <c r="Y1049" t="s">
        <v>28</v>
      </c>
      <c r="Z1049">
        <v>100234</v>
      </c>
      <c r="AA1049" t="s">
        <v>502</v>
      </c>
      <c r="AB1049" t="s">
        <v>524</v>
      </c>
      <c r="AC1049" s="9">
        <v>2</v>
      </c>
      <c r="AD1049" s="9" t="str">
        <f t="shared" si="117"/>
        <v>N/A</v>
      </c>
      <c r="AE1049" s="11" t="e">
        <f t="shared" si="119"/>
        <v>#VALUE!</v>
      </c>
    </row>
    <row r="1050" spans="1:31" x14ac:dyDescent="0.3">
      <c r="A1050">
        <v>64</v>
      </c>
      <c r="B1050">
        <v>4654934</v>
      </c>
      <c r="C1050" t="s">
        <v>239</v>
      </c>
      <c r="D1050">
        <v>1079286</v>
      </c>
      <c r="E1050" t="s">
        <v>629</v>
      </c>
      <c r="F1050" t="s">
        <v>20</v>
      </c>
      <c r="G1050" t="s">
        <v>989</v>
      </c>
      <c r="H1050" t="s">
        <v>990</v>
      </c>
      <c r="I1050" t="s">
        <v>3455</v>
      </c>
      <c r="J1050">
        <v>51141859851</v>
      </c>
      <c r="K1050" t="s">
        <v>3386</v>
      </c>
      <c r="L1050" t="s">
        <v>3385</v>
      </c>
      <c r="M1050">
        <v>42000</v>
      </c>
      <c r="N1050" s="10">
        <v>4.0599999999999997E-2</v>
      </c>
      <c r="O1050" s="10">
        <f t="shared" si="115"/>
        <v>1705.1999999999998</v>
      </c>
      <c r="P1050" s="10">
        <v>0</v>
      </c>
      <c r="Q1050" s="10">
        <v>0</v>
      </c>
      <c r="R1050" s="10">
        <f>IF(COUNTIF($J$2:J1050,J1050)=1,SUMIFS($O:$O,$J:$J,J1050)+SUMIFS($P:$P,$J:$J,J1050)+SUMIFS($Q:$Q,$J:$J,J1050),"")</f>
        <v>7450.2</v>
      </c>
      <c r="S1050" s="10">
        <v>7450.2</v>
      </c>
      <c r="T1050" s="11" t="str">
        <f t="shared" si="118"/>
        <v>Ok</v>
      </c>
      <c r="U1050" s="12">
        <v>45815</v>
      </c>
      <c r="V1050" s="10">
        <v>5745</v>
      </c>
      <c r="W1050" s="10" t="str">
        <f t="shared" si="116"/>
        <v>Short Paid</v>
      </c>
      <c r="X1050" t="s">
        <v>476</v>
      </c>
      <c r="Y1050" t="s">
        <v>28</v>
      </c>
      <c r="Z1050">
        <v>100275</v>
      </c>
      <c r="AA1050" t="s">
        <v>492</v>
      </c>
      <c r="AB1050" t="s">
        <v>521</v>
      </c>
      <c r="AC1050" s="9">
        <v>2</v>
      </c>
      <c r="AD1050" s="9" t="str">
        <f t="shared" si="117"/>
        <v>Ok</v>
      </c>
      <c r="AE1050" s="11">
        <f t="shared" si="119"/>
        <v>0</v>
      </c>
    </row>
    <row r="1051" spans="1:31" x14ac:dyDescent="0.3">
      <c r="A1051">
        <v>64</v>
      </c>
      <c r="B1051">
        <v>4654934</v>
      </c>
      <c r="C1051" t="s">
        <v>239</v>
      </c>
      <c r="D1051">
        <v>1079286</v>
      </c>
      <c r="E1051" t="s">
        <v>629</v>
      </c>
      <c r="F1051" t="s">
        <v>20</v>
      </c>
      <c r="G1051" t="s">
        <v>989</v>
      </c>
      <c r="H1051" t="s">
        <v>990</v>
      </c>
      <c r="I1051" t="s">
        <v>3432</v>
      </c>
      <c r="J1051">
        <v>51141859851</v>
      </c>
      <c r="K1051" t="s">
        <v>3223</v>
      </c>
      <c r="L1051" t="s">
        <v>4066</v>
      </c>
      <c r="M1051">
        <v>15000</v>
      </c>
      <c r="N1051" s="10">
        <v>0.38300000000000001</v>
      </c>
      <c r="O1051" s="10">
        <f t="shared" si="115"/>
        <v>5745</v>
      </c>
      <c r="P1051" s="10" t="s">
        <v>5006</v>
      </c>
      <c r="Q1051" s="10" t="s">
        <v>5006</v>
      </c>
      <c r="R1051" s="10" t="str">
        <f>IF(COUNTIF($J$2:J1051,J1051)=1,SUMIFS($O:$O,$J:$J,J1051)+SUMIFS($P:$P,$J:$J,J1051)+SUMIFS($Q:$Q,$J:$J,J1051),"")</f>
        <v/>
      </c>
      <c r="S1051" s="10" t="s">
        <v>5006</v>
      </c>
      <c r="T1051" s="11" t="str">
        <f t="shared" si="118"/>
        <v>Ok</v>
      </c>
      <c r="U1051" s="12">
        <v>45815</v>
      </c>
      <c r="V1051" s="10">
        <v>5745</v>
      </c>
      <c r="W1051" s="10" t="str">
        <f t="shared" si="116"/>
        <v>N/A</v>
      </c>
      <c r="X1051" t="s">
        <v>476</v>
      </c>
      <c r="Y1051" t="s">
        <v>28</v>
      </c>
      <c r="Z1051">
        <v>100275</v>
      </c>
      <c r="AA1051" t="s">
        <v>492</v>
      </c>
      <c r="AB1051" t="s">
        <v>521</v>
      </c>
      <c r="AC1051" s="9">
        <v>2</v>
      </c>
      <c r="AD1051" s="9" t="str">
        <f t="shared" si="117"/>
        <v>N/A</v>
      </c>
      <c r="AE1051" s="11" t="e">
        <f t="shared" si="119"/>
        <v>#VALUE!</v>
      </c>
    </row>
    <row r="1052" spans="1:31" x14ac:dyDescent="0.3">
      <c r="A1052">
        <v>64</v>
      </c>
      <c r="B1052">
        <v>4655213</v>
      </c>
      <c r="C1052" t="s">
        <v>239</v>
      </c>
      <c r="D1052">
        <v>1079286</v>
      </c>
      <c r="E1052" t="s">
        <v>629</v>
      </c>
      <c r="F1052" t="s">
        <v>20</v>
      </c>
      <c r="G1052" t="s">
        <v>991</v>
      </c>
      <c r="H1052" t="s">
        <v>992</v>
      </c>
      <c r="I1052" t="s">
        <v>3469</v>
      </c>
      <c r="J1052">
        <v>51141865070</v>
      </c>
      <c r="K1052" t="s">
        <v>3194</v>
      </c>
      <c r="L1052" t="s">
        <v>3382</v>
      </c>
      <c r="M1052">
        <v>4000</v>
      </c>
      <c r="N1052" s="10">
        <v>0.71060000000000001</v>
      </c>
      <c r="O1052" s="10">
        <f t="shared" si="115"/>
        <v>2842.4</v>
      </c>
      <c r="P1052" s="10">
        <v>0</v>
      </c>
      <c r="Q1052" s="10">
        <v>0</v>
      </c>
      <c r="R1052" s="10">
        <f>IF(COUNTIF($J$2:J1052,J1052)=1,SUMIFS($O:$O,$J:$J,J1052)+SUMIFS($P:$P,$J:$J,J1052)+SUMIFS($Q:$Q,$J:$J,J1052),"")</f>
        <v>2928.2000000000003</v>
      </c>
      <c r="S1052" s="10">
        <v>2928.2000000000003</v>
      </c>
      <c r="T1052" s="11" t="str">
        <f t="shared" si="118"/>
        <v>Ok</v>
      </c>
      <c r="U1052" s="12">
        <v>45818</v>
      </c>
      <c r="V1052" s="10">
        <v>85.8</v>
      </c>
      <c r="W1052" s="10" t="str">
        <f t="shared" si="116"/>
        <v>Short Paid</v>
      </c>
      <c r="X1052" t="s">
        <v>476</v>
      </c>
      <c r="Y1052" t="s">
        <v>28</v>
      </c>
      <c r="Z1052">
        <v>100285</v>
      </c>
      <c r="AA1052" t="s">
        <v>501</v>
      </c>
      <c r="AB1052" t="s">
        <v>521</v>
      </c>
      <c r="AC1052" s="9">
        <v>2</v>
      </c>
      <c r="AD1052" s="9" t="str">
        <f t="shared" si="117"/>
        <v>Ok</v>
      </c>
      <c r="AE1052" s="11">
        <f t="shared" si="119"/>
        <v>0</v>
      </c>
    </row>
    <row r="1053" spans="1:31" x14ac:dyDescent="0.3">
      <c r="A1053">
        <v>64</v>
      </c>
      <c r="B1053">
        <v>4655213</v>
      </c>
      <c r="C1053" t="s">
        <v>239</v>
      </c>
      <c r="D1053">
        <v>1079286</v>
      </c>
      <c r="E1053" t="s">
        <v>629</v>
      </c>
      <c r="F1053" t="s">
        <v>20</v>
      </c>
      <c r="G1053" t="s">
        <v>991</v>
      </c>
      <c r="H1053" t="s">
        <v>992</v>
      </c>
      <c r="I1053" t="s">
        <v>3468</v>
      </c>
      <c r="J1053">
        <v>51141865070</v>
      </c>
      <c r="K1053" t="s">
        <v>3241</v>
      </c>
      <c r="L1053" t="s">
        <v>4070</v>
      </c>
      <c r="M1053">
        <v>130000</v>
      </c>
      <c r="N1053" s="10">
        <v>6.6E-4</v>
      </c>
      <c r="O1053" s="10">
        <f t="shared" si="115"/>
        <v>85.8</v>
      </c>
      <c r="P1053" s="10" t="s">
        <v>5006</v>
      </c>
      <c r="Q1053" s="10" t="s">
        <v>5006</v>
      </c>
      <c r="R1053" s="10" t="str">
        <f>IF(COUNTIF($J$2:J1053,J1053)=1,SUMIFS($O:$O,$J:$J,J1053)+SUMIFS($P:$P,$J:$J,J1053)+SUMIFS($Q:$Q,$J:$J,J1053),"")</f>
        <v/>
      </c>
      <c r="S1053" s="10" t="s">
        <v>5006</v>
      </c>
      <c r="T1053" s="11" t="str">
        <f t="shared" si="118"/>
        <v>Ok</v>
      </c>
      <c r="U1053" s="12">
        <v>45818</v>
      </c>
      <c r="V1053" s="10">
        <v>85.8</v>
      </c>
      <c r="W1053" s="10" t="str">
        <f t="shared" si="116"/>
        <v>N/A</v>
      </c>
      <c r="X1053" t="s">
        <v>476</v>
      </c>
      <c r="Y1053" t="s">
        <v>28</v>
      </c>
      <c r="Z1053">
        <v>100285</v>
      </c>
      <c r="AA1053" t="s">
        <v>501</v>
      </c>
      <c r="AB1053" t="s">
        <v>521</v>
      </c>
      <c r="AC1053" s="9">
        <v>2</v>
      </c>
      <c r="AD1053" s="9" t="str">
        <f t="shared" si="117"/>
        <v>N/A</v>
      </c>
      <c r="AE1053" s="11" t="e">
        <f t="shared" si="119"/>
        <v>#VALUE!</v>
      </c>
    </row>
    <row r="1054" spans="1:31" x14ac:dyDescent="0.3">
      <c r="A1054">
        <v>64</v>
      </c>
      <c r="B1054">
        <v>4655491</v>
      </c>
      <c r="C1054" t="s">
        <v>239</v>
      </c>
      <c r="D1054">
        <v>1079286</v>
      </c>
      <c r="E1054" t="s">
        <v>629</v>
      </c>
      <c r="F1054" t="s">
        <v>20</v>
      </c>
      <c r="G1054" t="s">
        <v>993</v>
      </c>
      <c r="H1054" t="s">
        <v>994</v>
      </c>
      <c r="I1054" t="s">
        <v>3333</v>
      </c>
      <c r="J1054">
        <v>51141914269</v>
      </c>
      <c r="K1054" t="s">
        <v>3168</v>
      </c>
      <c r="L1054" t="s">
        <v>4071</v>
      </c>
      <c r="M1054">
        <v>63000</v>
      </c>
      <c r="N1054" s="10">
        <v>1.1650000000000001E-2</v>
      </c>
      <c r="O1054" s="10">
        <f t="shared" si="115"/>
        <v>733.95</v>
      </c>
      <c r="P1054" s="10">
        <v>0</v>
      </c>
      <c r="Q1054" s="10">
        <v>0</v>
      </c>
      <c r="R1054" s="10">
        <f>IF(COUNTIF($J$2:J1054,J1054)=1,SUMIFS($O:$O,$J:$J,J1054)+SUMIFS($P:$P,$J:$J,J1054)+SUMIFS($Q:$Q,$J:$J,J1054),"")</f>
        <v>2155.15</v>
      </c>
      <c r="S1054" s="10">
        <v>2155.15</v>
      </c>
      <c r="T1054" s="11" t="str">
        <f t="shared" si="118"/>
        <v>Ok</v>
      </c>
      <c r="U1054" s="12">
        <v>45819</v>
      </c>
      <c r="V1054" s="10">
        <v>733.95</v>
      </c>
      <c r="W1054" s="10" t="str">
        <f t="shared" si="116"/>
        <v>Short Paid</v>
      </c>
      <c r="X1054" t="s">
        <v>476</v>
      </c>
      <c r="Y1054" t="s">
        <v>28</v>
      </c>
      <c r="Z1054">
        <v>100115</v>
      </c>
      <c r="AA1054" t="s">
        <v>504</v>
      </c>
      <c r="AB1054" t="s">
        <v>521</v>
      </c>
      <c r="AC1054" s="9">
        <v>2</v>
      </c>
      <c r="AD1054" s="9" t="str">
        <f t="shared" si="117"/>
        <v>Ok</v>
      </c>
      <c r="AE1054" s="11">
        <f t="shared" si="119"/>
        <v>0</v>
      </c>
    </row>
    <row r="1055" spans="1:31" x14ac:dyDescent="0.3">
      <c r="A1055">
        <v>64</v>
      </c>
      <c r="B1055">
        <v>4655491</v>
      </c>
      <c r="C1055" t="s">
        <v>239</v>
      </c>
      <c r="D1055">
        <v>1079286</v>
      </c>
      <c r="E1055" t="s">
        <v>629</v>
      </c>
      <c r="F1055" t="s">
        <v>20</v>
      </c>
      <c r="G1055" t="s">
        <v>993</v>
      </c>
      <c r="H1055" t="s">
        <v>994</v>
      </c>
      <c r="I1055" t="s">
        <v>3260</v>
      </c>
      <c r="J1055">
        <v>51141914269</v>
      </c>
      <c r="K1055" t="s">
        <v>3194</v>
      </c>
      <c r="L1055" t="s">
        <v>3382</v>
      </c>
      <c r="M1055">
        <v>2000</v>
      </c>
      <c r="N1055" s="10">
        <v>0.71060000000000001</v>
      </c>
      <c r="O1055" s="10">
        <f t="shared" si="115"/>
        <v>1421.2</v>
      </c>
      <c r="P1055" s="10" t="s">
        <v>5006</v>
      </c>
      <c r="Q1055" s="10" t="s">
        <v>5006</v>
      </c>
      <c r="R1055" s="10" t="str">
        <f>IF(COUNTIF($J$2:J1055,J1055)=1,SUMIFS($O:$O,$J:$J,J1055)+SUMIFS($P:$P,$J:$J,J1055)+SUMIFS($Q:$Q,$J:$J,J1055),"")</f>
        <v/>
      </c>
      <c r="S1055" s="10" t="s">
        <v>5006</v>
      </c>
      <c r="T1055" s="11" t="str">
        <f t="shared" si="118"/>
        <v>Ok</v>
      </c>
      <c r="U1055" s="12">
        <v>45819</v>
      </c>
      <c r="V1055" s="10">
        <v>733.95</v>
      </c>
      <c r="W1055" s="10" t="str">
        <f t="shared" si="116"/>
        <v>N/A</v>
      </c>
      <c r="X1055" t="s">
        <v>476</v>
      </c>
      <c r="Y1055" t="s">
        <v>28</v>
      </c>
      <c r="Z1055">
        <v>100115</v>
      </c>
      <c r="AA1055" t="s">
        <v>504</v>
      </c>
      <c r="AB1055" t="s">
        <v>521</v>
      </c>
      <c r="AC1055" s="9">
        <v>2</v>
      </c>
      <c r="AD1055" s="9" t="str">
        <f t="shared" si="117"/>
        <v>N/A</v>
      </c>
      <c r="AE1055" s="11" t="e">
        <f t="shared" si="119"/>
        <v>#VALUE!</v>
      </c>
    </row>
    <row r="1056" spans="1:31" x14ac:dyDescent="0.3">
      <c r="A1056">
        <v>64</v>
      </c>
      <c r="B1056">
        <v>4656047</v>
      </c>
      <c r="C1056" t="s">
        <v>239</v>
      </c>
      <c r="D1056">
        <v>1079286</v>
      </c>
      <c r="E1056" t="s">
        <v>629</v>
      </c>
      <c r="F1056" t="s">
        <v>20</v>
      </c>
      <c r="G1056" t="s">
        <v>997</v>
      </c>
      <c r="H1056" t="s">
        <v>998</v>
      </c>
      <c r="I1056" t="s">
        <v>3350</v>
      </c>
      <c r="J1056">
        <v>51141946867</v>
      </c>
      <c r="K1056" t="s">
        <v>3241</v>
      </c>
      <c r="L1056" t="s">
        <v>3418</v>
      </c>
      <c r="M1056">
        <v>40000</v>
      </c>
      <c r="N1056" s="10">
        <v>2.6700000000000002E-2</v>
      </c>
      <c r="O1056" s="10">
        <f t="shared" si="115"/>
        <v>1068</v>
      </c>
      <c r="P1056" s="10">
        <v>0</v>
      </c>
      <c r="Q1056" s="10">
        <v>0</v>
      </c>
      <c r="R1056" s="10">
        <f>IF(COUNTIF($J$2:J1056,J1056)=1,SUMIFS($O:$O,$J:$J,J1056)+SUMIFS($P:$P,$J:$J,J1056)+SUMIFS($Q:$Q,$J:$J,J1056),"")</f>
        <v>4154</v>
      </c>
      <c r="S1056" s="10">
        <v>4154</v>
      </c>
      <c r="T1056" s="11" t="str">
        <f t="shared" si="118"/>
        <v>Ok</v>
      </c>
      <c r="U1056" s="12">
        <v>45820</v>
      </c>
      <c r="V1056" s="10">
        <v>3086</v>
      </c>
      <c r="W1056" s="10" t="str">
        <f t="shared" si="116"/>
        <v>Short Paid</v>
      </c>
      <c r="X1056" t="s">
        <v>476</v>
      </c>
      <c r="Y1056" t="s">
        <v>28</v>
      </c>
      <c r="Z1056">
        <v>100155</v>
      </c>
      <c r="AA1056" t="s">
        <v>3072</v>
      </c>
      <c r="AB1056" t="s">
        <v>521</v>
      </c>
      <c r="AC1056" s="9">
        <v>2</v>
      </c>
      <c r="AD1056" s="9" t="str">
        <f t="shared" si="117"/>
        <v>Ok</v>
      </c>
      <c r="AE1056" s="11">
        <f t="shared" si="119"/>
        <v>0</v>
      </c>
    </row>
    <row r="1057" spans="1:31" x14ac:dyDescent="0.3">
      <c r="A1057">
        <v>64</v>
      </c>
      <c r="B1057">
        <v>4656047</v>
      </c>
      <c r="C1057" t="s">
        <v>239</v>
      </c>
      <c r="D1057">
        <v>1079286</v>
      </c>
      <c r="E1057" t="s">
        <v>629</v>
      </c>
      <c r="F1057" t="s">
        <v>20</v>
      </c>
      <c r="G1057" t="s">
        <v>997</v>
      </c>
      <c r="H1057" t="s">
        <v>998</v>
      </c>
      <c r="I1057" t="s">
        <v>3250</v>
      </c>
      <c r="J1057">
        <v>51141946867</v>
      </c>
      <c r="K1057" t="s">
        <v>3223</v>
      </c>
      <c r="L1057" t="s">
        <v>4072</v>
      </c>
      <c r="M1057">
        <v>10000</v>
      </c>
      <c r="N1057" s="10">
        <v>0.30859999999999999</v>
      </c>
      <c r="O1057" s="10">
        <f t="shared" si="115"/>
        <v>3086</v>
      </c>
      <c r="P1057" s="10" t="s">
        <v>5006</v>
      </c>
      <c r="Q1057" s="10" t="s">
        <v>5006</v>
      </c>
      <c r="R1057" s="10" t="str">
        <f>IF(COUNTIF($J$2:J1057,J1057)=1,SUMIFS($O:$O,$J:$J,J1057)+SUMIFS($P:$P,$J:$J,J1057)+SUMIFS($Q:$Q,$J:$J,J1057),"")</f>
        <v/>
      </c>
      <c r="S1057" s="10" t="s">
        <v>5006</v>
      </c>
      <c r="T1057" s="11" t="str">
        <f t="shared" si="118"/>
        <v>Ok</v>
      </c>
      <c r="U1057" s="12">
        <v>45820</v>
      </c>
      <c r="V1057" s="10">
        <v>3086</v>
      </c>
      <c r="W1057" s="10" t="str">
        <f t="shared" si="116"/>
        <v>N/A</v>
      </c>
      <c r="X1057" t="s">
        <v>476</v>
      </c>
      <c r="Y1057" t="s">
        <v>28</v>
      </c>
      <c r="Z1057">
        <v>100155</v>
      </c>
      <c r="AA1057" t="s">
        <v>3072</v>
      </c>
      <c r="AB1057" t="s">
        <v>521</v>
      </c>
      <c r="AC1057" s="9">
        <v>2</v>
      </c>
      <c r="AD1057" s="9" t="str">
        <f t="shared" si="117"/>
        <v>N/A</v>
      </c>
      <c r="AE1057" s="11" t="e">
        <f t="shared" si="119"/>
        <v>#VALUE!</v>
      </c>
    </row>
    <row r="1058" spans="1:31" x14ac:dyDescent="0.3">
      <c r="A1058">
        <v>65</v>
      </c>
      <c r="B1058">
        <v>4653543</v>
      </c>
      <c r="C1058" t="s">
        <v>239</v>
      </c>
      <c r="D1058">
        <v>1423649</v>
      </c>
      <c r="E1058" t="s">
        <v>671</v>
      </c>
      <c r="F1058" t="s">
        <v>18</v>
      </c>
      <c r="G1058" t="s">
        <v>984</v>
      </c>
      <c r="H1058" t="s">
        <v>985</v>
      </c>
      <c r="I1058" t="s">
        <v>3361</v>
      </c>
      <c r="J1058">
        <v>51141953316</v>
      </c>
      <c r="K1058" t="s">
        <v>3374</v>
      </c>
      <c r="L1058" t="s">
        <v>3438</v>
      </c>
      <c r="M1058">
        <v>114000</v>
      </c>
      <c r="N1058" s="10">
        <v>1.619E-2</v>
      </c>
      <c r="O1058" s="10">
        <f t="shared" si="115"/>
        <v>1845.6599999999999</v>
      </c>
      <c r="P1058" s="10">
        <v>0</v>
      </c>
      <c r="Q1058" s="10">
        <v>0</v>
      </c>
      <c r="R1058" s="10">
        <f>IF(COUNTIF($J$2:J1058,J1058)=1,SUMIFS($O:$O,$J:$J,J1058)+SUMIFS($P:$P,$J:$J,J1058)+SUMIFS($Q:$Q,$J:$J,J1058),"")</f>
        <v>5195.66</v>
      </c>
      <c r="S1058" s="10">
        <v>5195.66</v>
      </c>
      <c r="T1058" s="11" t="str">
        <f t="shared" si="118"/>
        <v>Ok</v>
      </c>
      <c r="U1058" s="12">
        <v>46045</v>
      </c>
      <c r="V1058" s="10">
        <v>150</v>
      </c>
      <c r="W1058" s="10" t="str">
        <f t="shared" si="116"/>
        <v>Short Paid</v>
      </c>
      <c r="X1058" t="s">
        <v>476</v>
      </c>
      <c r="Y1058" t="s">
        <v>28</v>
      </c>
      <c r="Z1058">
        <v>100165</v>
      </c>
      <c r="AA1058" t="s">
        <v>3100</v>
      </c>
      <c r="AB1058" t="s">
        <v>523</v>
      </c>
      <c r="AC1058" s="9">
        <v>2</v>
      </c>
      <c r="AD1058" s="9" t="str">
        <f t="shared" si="117"/>
        <v>Ok</v>
      </c>
      <c r="AE1058" s="11">
        <f t="shared" si="119"/>
        <v>0</v>
      </c>
    </row>
    <row r="1059" spans="1:31" x14ac:dyDescent="0.3">
      <c r="A1059">
        <v>65</v>
      </c>
      <c r="B1059">
        <v>4653543</v>
      </c>
      <c r="C1059" t="s">
        <v>239</v>
      </c>
      <c r="D1059">
        <v>1423649</v>
      </c>
      <c r="E1059" t="s">
        <v>671</v>
      </c>
      <c r="F1059" t="s">
        <v>18</v>
      </c>
      <c r="G1059" t="s">
        <v>984</v>
      </c>
      <c r="H1059" t="s">
        <v>985</v>
      </c>
      <c r="I1059" t="s">
        <v>3469</v>
      </c>
      <c r="J1059">
        <v>51141953316</v>
      </c>
      <c r="K1059" t="s">
        <v>3262</v>
      </c>
      <c r="L1059" t="s">
        <v>4073</v>
      </c>
      <c r="M1059">
        <v>10000</v>
      </c>
      <c r="N1059" s="10">
        <v>0.33500000000000002</v>
      </c>
      <c r="O1059" s="10">
        <f t="shared" si="115"/>
        <v>3350</v>
      </c>
      <c r="P1059" s="10" t="s">
        <v>5006</v>
      </c>
      <c r="Q1059" s="10" t="s">
        <v>5006</v>
      </c>
      <c r="R1059" s="10" t="str">
        <f>IF(COUNTIF($J$2:J1059,J1059)=1,SUMIFS($O:$O,$J:$J,J1059)+SUMIFS($P:$P,$J:$J,J1059)+SUMIFS($Q:$Q,$J:$J,J1059),"")</f>
        <v/>
      </c>
      <c r="S1059" s="10" t="s">
        <v>5006</v>
      </c>
      <c r="T1059" s="11" t="str">
        <f t="shared" si="118"/>
        <v>Ok</v>
      </c>
      <c r="U1059" s="12">
        <v>46045</v>
      </c>
      <c r="V1059" s="10">
        <v>150</v>
      </c>
      <c r="W1059" s="10" t="str">
        <f t="shared" si="116"/>
        <v>N/A</v>
      </c>
      <c r="X1059" t="s">
        <v>476</v>
      </c>
      <c r="Y1059" t="s">
        <v>28</v>
      </c>
      <c r="Z1059">
        <v>100165</v>
      </c>
      <c r="AA1059" t="s">
        <v>3100</v>
      </c>
      <c r="AB1059" t="s">
        <v>523</v>
      </c>
      <c r="AC1059" s="9">
        <v>2</v>
      </c>
      <c r="AD1059" s="9" t="str">
        <f t="shared" si="117"/>
        <v>N/A</v>
      </c>
      <c r="AE1059" s="11" t="e">
        <f t="shared" si="119"/>
        <v>#VALUE!</v>
      </c>
    </row>
    <row r="1060" spans="1:31" x14ac:dyDescent="0.3">
      <c r="A1060">
        <v>63</v>
      </c>
      <c r="B1060">
        <v>4656882</v>
      </c>
      <c r="C1060" t="s">
        <v>94</v>
      </c>
      <c r="D1060">
        <v>1470631</v>
      </c>
      <c r="E1060" t="s">
        <v>214</v>
      </c>
      <c r="F1060" t="s">
        <v>20</v>
      </c>
      <c r="G1060" t="s">
        <v>1001</v>
      </c>
      <c r="H1060" t="s">
        <v>1002</v>
      </c>
      <c r="I1060" t="s">
        <v>3425</v>
      </c>
      <c r="J1060">
        <v>51141973214</v>
      </c>
      <c r="K1060" t="s">
        <v>3375</v>
      </c>
      <c r="L1060" t="s">
        <v>3428</v>
      </c>
      <c r="M1060">
        <v>2500</v>
      </c>
      <c r="N1060" s="10">
        <v>0.13750000000000001</v>
      </c>
      <c r="O1060" s="10">
        <f t="shared" si="115"/>
        <v>343.75</v>
      </c>
      <c r="P1060" s="10">
        <v>0</v>
      </c>
      <c r="Q1060" s="10">
        <v>0</v>
      </c>
      <c r="R1060" s="10">
        <f>IF(COUNTIF($J$2:J1060,J1060)=1,SUMIFS($O:$O,$J:$J,J1060)+SUMIFS($P:$P,$J:$J,J1060)+SUMIFS($Q:$Q,$J:$J,J1060),"")</f>
        <v>8991.52</v>
      </c>
      <c r="S1060" s="10">
        <v>9335.27</v>
      </c>
      <c r="T1060" s="11" t="str">
        <f t="shared" si="118"/>
        <v>Check</v>
      </c>
      <c r="U1060" s="12">
        <v>46073</v>
      </c>
      <c r="V1060" s="10">
        <v>850</v>
      </c>
      <c r="W1060" s="10" t="str">
        <f t="shared" si="116"/>
        <v>Short Paid</v>
      </c>
      <c r="X1060" t="s">
        <v>450</v>
      </c>
      <c r="Y1060" t="s">
        <v>28</v>
      </c>
      <c r="Z1060">
        <v>100207</v>
      </c>
      <c r="AA1060" t="s">
        <v>519</v>
      </c>
      <c r="AB1060" t="s">
        <v>521</v>
      </c>
      <c r="AC1060" s="9">
        <v>3</v>
      </c>
      <c r="AD1060" s="9" t="str">
        <f t="shared" si="117"/>
        <v>Check</v>
      </c>
      <c r="AE1060" s="11">
        <f t="shared" si="119"/>
        <v>-343.75</v>
      </c>
    </row>
    <row r="1061" spans="1:31" x14ac:dyDescent="0.3">
      <c r="A1061">
        <v>63</v>
      </c>
      <c r="B1061">
        <v>4656882</v>
      </c>
      <c r="C1061" t="s">
        <v>94</v>
      </c>
      <c r="D1061">
        <v>1470631</v>
      </c>
      <c r="E1061" t="s">
        <v>214</v>
      </c>
      <c r="F1061" t="s">
        <v>20</v>
      </c>
      <c r="G1061" t="s">
        <v>1001</v>
      </c>
      <c r="H1061" t="s">
        <v>1002</v>
      </c>
      <c r="I1061" t="s">
        <v>3184</v>
      </c>
      <c r="J1061">
        <v>51141973214</v>
      </c>
      <c r="K1061" t="s">
        <v>3177</v>
      </c>
      <c r="L1061" t="s">
        <v>4074</v>
      </c>
      <c r="M1061">
        <v>1</v>
      </c>
      <c r="N1061" s="10">
        <v>850</v>
      </c>
      <c r="O1061" s="10">
        <f t="shared" si="115"/>
        <v>850</v>
      </c>
      <c r="P1061" s="10" t="s">
        <v>5006</v>
      </c>
      <c r="Q1061" s="10" t="s">
        <v>5006</v>
      </c>
      <c r="R1061" s="10" t="str">
        <f>IF(COUNTIF($J$2:J1061,J1061)=1,SUMIFS($O:$O,$J:$J,J1061)+SUMIFS($P:$P,$J:$J,J1061)+SUMIFS($Q:$Q,$J:$J,J1061),"")</f>
        <v/>
      </c>
      <c r="S1061" s="10" t="s">
        <v>5006</v>
      </c>
      <c r="T1061" s="11" t="str">
        <f t="shared" si="118"/>
        <v>Check</v>
      </c>
      <c r="U1061" s="12">
        <v>46073</v>
      </c>
      <c r="V1061" s="10">
        <v>850</v>
      </c>
      <c r="W1061" s="10" t="str">
        <f t="shared" si="116"/>
        <v>N/A</v>
      </c>
      <c r="X1061" t="s">
        <v>450</v>
      </c>
      <c r="Y1061" t="s">
        <v>28</v>
      </c>
      <c r="Z1061">
        <v>100207</v>
      </c>
      <c r="AA1061" t="s">
        <v>519</v>
      </c>
      <c r="AB1061" t="s">
        <v>521</v>
      </c>
      <c r="AC1061" s="9">
        <v>3</v>
      </c>
      <c r="AD1061" s="9" t="str">
        <f t="shared" si="117"/>
        <v>N/A</v>
      </c>
      <c r="AE1061" s="11" t="e">
        <f t="shared" si="119"/>
        <v>#VALUE!</v>
      </c>
    </row>
    <row r="1062" spans="1:31" x14ac:dyDescent="0.3">
      <c r="A1062">
        <v>63</v>
      </c>
      <c r="B1062">
        <v>4656882</v>
      </c>
      <c r="C1062" t="s">
        <v>94</v>
      </c>
      <c r="D1062">
        <v>1470631</v>
      </c>
      <c r="E1062" t="s">
        <v>214</v>
      </c>
      <c r="F1062" t="s">
        <v>20</v>
      </c>
      <c r="G1062" t="s">
        <v>1001</v>
      </c>
      <c r="H1062" t="s">
        <v>1002</v>
      </c>
      <c r="I1062" t="s">
        <v>3184</v>
      </c>
      <c r="J1062">
        <v>51141973214</v>
      </c>
      <c r="K1062" t="s">
        <v>3177</v>
      </c>
      <c r="L1062" t="s">
        <v>4075</v>
      </c>
      <c r="M1062">
        <v>47</v>
      </c>
      <c r="N1062" s="10">
        <v>165.91</v>
      </c>
      <c r="O1062" s="10">
        <f t="shared" si="115"/>
        <v>7797.7699999999995</v>
      </c>
      <c r="P1062" s="10" t="s">
        <v>5006</v>
      </c>
      <c r="Q1062" s="10" t="s">
        <v>5006</v>
      </c>
      <c r="R1062" s="10" t="str">
        <f>IF(COUNTIF($J$2:J1062,J1062)=1,SUMIFS($O:$O,$J:$J,J1062)+SUMIFS($P:$P,$J:$J,J1062)+SUMIFS($Q:$Q,$J:$J,J1062),"")</f>
        <v/>
      </c>
      <c r="S1062" s="10" t="s">
        <v>5006</v>
      </c>
      <c r="T1062" s="11" t="str">
        <f t="shared" si="118"/>
        <v>Check</v>
      </c>
      <c r="U1062" s="12">
        <v>46073</v>
      </c>
      <c r="V1062" s="10">
        <v>850</v>
      </c>
      <c r="W1062" s="10" t="str">
        <f t="shared" si="116"/>
        <v>N/A</v>
      </c>
      <c r="X1062" t="s">
        <v>450</v>
      </c>
      <c r="Y1062" t="s">
        <v>28</v>
      </c>
      <c r="Z1062">
        <v>100207</v>
      </c>
      <c r="AA1062" t="s">
        <v>519</v>
      </c>
      <c r="AB1062" t="s">
        <v>521</v>
      </c>
      <c r="AC1062" s="9">
        <v>3</v>
      </c>
      <c r="AD1062" s="9" t="str">
        <f t="shared" si="117"/>
        <v>N/A</v>
      </c>
      <c r="AE1062" s="11" t="e">
        <f t="shared" si="119"/>
        <v>#VALUE!</v>
      </c>
    </row>
    <row r="1063" spans="1:31" x14ac:dyDescent="0.3">
      <c r="A1063">
        <v>63</v>
      </c>
      <c r="B1063">
        <v>4657439</v>
      </c>
      <c r="C1063" t="s">
        <v>167</v>
      </c>
      <c r="D1063">
        <v>1139721</v>
      </c>
      <c r="E1063" t="s">
        <v>547</v>
      </c>
      <c r="F1063" t="s">
        <v>18</v>
      </c>
      <c r="G1063" t="s">
        <v>2725</v>
      </c>
      <c r="H1063" t="s">
        <v>2726</v>
      </c>
      <c r="I1063" t="s">
        <v>3163</v>
      </c>
      <c r="J1063">
        <v>51141981292</v>
      </c>
      <c r="K1063" t="s">
        <v>3226</v>
      </c>
      <c r="L1063" t="s">
        <v>4076</v>
      </c>
      <c r="M1063">
        <v>7000</v>
      </c>
      <c r="N1063" s="10">
        <v>4.12</v>
      </c>
      <c r="O1063" s="10">
        <f t="shared" si="115"/>
        <v>28840</v>
      </c>
      <c r="P1063" s="10">
        <v>0</v>
      </c>
      <c r="Q1063" s="10">
        <v>0</v>
      </c>
      <c r="R1063" s="10">
        <f>IF(COUNTIF($J$2:J1063,J1063)=1,SUMIFS($O:$O,$J:$J,J1063)+SUMIFS($P:$P,$J:$J,J1063)+SUMIFS($Q:$Q,$J:$J,J1063),"")</f>
        <v>32642.5</v>
      </c>
      <c r="S1063" s="10">
        <v>34163.5</v>
      </c>
      <c r="T1063" s="11" t="str">
        <f t="shared" si="118"/>
        <v>Check</v>
      </c>
      <c r="U1063" s="12">
        <v>46027</v>
      </c>
      <c r="V1063" s="10">
        <v>14140</v>
      </c>
      <c r="W1063" s="10" t="str">
        <f t="shared" si="116"/>
        <v>Short Paid</v>
      </c>
      <c r="X1063" t="s">
        <v>455</v>
      </c>
      <c r="Y1063" t="s">
        <v>28</v>
      </c>
      <c r="Z1063">
        <v>100240</v>
      </c>
      <c r="AA1063" t="s">
        <v>459</v>
      </c>
      <c r="AB1063" t="s">
        <v>523</v>
      </c>
      <c r="AC1063" s="9">
        <v>2</v>
      </c>
      <c r="AD1063" s="9" t="str">
        <f t="shared" si="117"/>
        <v>Check</v>
      </c>
      <c r="AE1063" s="11">
        <f t="shared" si="119"/>
        <v>-1521</v>
      </c>
    </row>
    <row r="1064" spans="1:31" x14ac:dyDescent="0.3">
      <c r="A1064">
        <v>63</v>
      </c>
      <c r="B1064">
        <v>4657439</v>
      </c>
      <c r="C1064" t="s">
        <v>167</v>
      </c>
      <c r="D1064">
        <v>1139721</v>
      </c>
      <c r="E1064" t="s">
        <v>547</v>
      </c>
      <c r="F1064" t="s">
        <v>18</v>
      </c>
      <c r="G1064" t="s">
        <v>2725</v>
      </c>
      <c r="H1064" t="s">
        <v>2726</v>
      </c>
      <c r="I1064" t="s">
        <v>3357</v>
      </c>
      <c r="J1064">
        <v>51141981292</v>
      </c>
      <c r="K1064" t="s">
        <v>3180</v>
      </c>
      <c r="L1064" t="s">
        <v>4077</v>
      </c>
      <c r="M1064">
        <v>75000</v>
      </c>
      <c r="N1064" s="10">
        <v>5.0700000000000002E-2</v>
      </c>
      <c r="O1064" s="10">
        <f t="shared" si="115"/>
        <v>3802.5</v>
      </c>
      <c r="P1064" s="10" t="s">
        <v>5006</v>
      </c>
      <c r="Q1064" s="10" t="s">
        <v>5006</v>
      </c>
      <c r="R1064" s="10" t="str">
        <f>IF(COUNTIF($J$2:J1064,J1064)=1,SUMIFS($O:$O,$J:$J,J1064)+SUMIFS($P:$P,$J:$J,J1064)+SUMIFS($Q:$Q,$J:$J,J1064),"")</f>
        <v/>
      </c>
      <c r="S1064" s="10" t="s">
        <v>5006</v>
      </c>
      <c r="T1064" s="11" t="str">
        <f t="shared" si="118"/>
        <v>Check</v>
      </c>
      <c r="U1064" s="12">
        <v>46027</v>
      </c>
      <c r="V1064" s="10">
        <v>14140</v>
      </c>
      <c r="W1064" s="10" t="str">
        <f t="shared" si="116"/>
        <v>N/A</v>
      </c>
      <c r="X1064" t="s">
        <v>455</v>
      </c>
      <c r="Y1064" t="s">
        <v>28</v>
      </c>
      <c r="Z1064">
        <v>100240</v>
      </c>
      <c r="AA1064" t="s">
        <v>459</v>
      </c>
      <c r="AB1064" t="s">
        <v>523</v>
      </c>
      <c r="AC1064" s="9">
        <v>2</v>
      </c>
      <c r="AD1064" s="9" t="str">
        <f t="shared" si="117"/>
        <v>N/A</v>
      </c>
      <c r="AE1064" s="11" t="e">
        <f t="shared" si="119"/>
        <v>#VALUE!</v>
      </c>
    </row>
    <row r="1065" spans="1:31" x14ac:dyDescent="0.3">
      <c r="A1065">
        <v>63</v>
      </c>
      <c r="B1065">
        <v>4659387</v>
      </c>
      <c r="C1065" t="s">
        <v>167</v>
      </c>
      <c r="D1065">
        <v>1212379</v>
      </c>
      <c r="E1065" t="s">
        <v>535</v>
      </c>
      <c r="F1065" t="s">
        <v>19</v>
      </c>
      <c r="G1065" t="s">
        <v>979</v>
      </c>
      <c r="H1065" t="s">
        <v>980</v>
      </c>
      <c r="I1065" t="s">
        <v>3387</v>
      </c>
      <c r="J1065">
        <v>51142130555</v>
      </c>
      <c r="K1065" t="s">
        <v>3362</v>
      </c>
      <c r="L1065" t="s">
        <v>4078</v>
      </c>
      <c r="M1065">
        <v>2</v>
      </c>
      <c r="N1065" s="10">
        <v>101.5</v>
      </c>
      <c r="O1065" s="10">
        <f t="shared" si="115"/>
        <v>203</v>
      </c>
      <c r="P1065" s="10">
        <v>87.92</v>
      </c>
      <c r="Q1065" s="10" t="s">
        <v>5006</v>
      </c>
      <c r="R1065" s="10">
        <f>IF(COUNTIF($J$2:J1065,J1065)=1,SUMIFS($O:$O,$J:$J,J1065)+SUMIFS($P:$P,$J:$J,J1065)+SUMIFS($Q:$Q,$J:$J,J1065),"")</f>
        <v>499.72</v>
      </c>
      <c r="S1065" s="10">
        <v>1051.42</v>
      </c>
      <c r="T1065" s="11" t="str">
        <f t="shared" si="118"/>
        <v>Check</v>
      </c>
      <c r="U1065" s="12">
        <v>46062</v>
      </c>
      <c r="V1065" s="10">
        <v>1051.42</v>
      </c>
      <c r="W1065" s="10" t="str">
        <f t="shared" si="116"/>
        <v>Not Paid</v>
      </c>
      <c r="X1065" t="s">
        <v>455</v>
      </c>
      <c r="Y1065" t="s">
        <v>28</v>
      </c>
      <c r="Z1065">
        <v>100190</v>
      </c>
      <c r="AA1065" t="s">
        <v>456</v>
      </c>
      <c r="AB1065" t="s">
        <v>524</v>
      </c>
      <c r="AC1065" s="9">
        <v>2</v>
      </c>
      <c r="AD1065" s="9" t="str">
        <f t="shared" si="117"/>
        <v>Check</v>
      </c>
      <c r="AE1065" s="11">
        <f t="shared" si="119"/>
        <v>-551.70000000000005</v>
      </c>
    </row>
    <row r="1066" spans="1:31" x14ac:dyDescent="0.3">
      <c r="A1066">
        <v>63</v>
      </c>
      <c r="B1066">
        <v>4659387</v>
      </c>
      <c r="C1066" t="s">
        <v>167</v>
      </c>
      <c r="D1066">
        <v>1212379</v>
      </c>
      <c r="E1066" t="s">
        <v>535</v>
      </c>
      <c r="F1066" t="s">
        <v>19</v>
      </c>
      <c r="G1066" t="s">
        <v>979</v>
      </c>
      <c r="H1066" t="s">
        <v>980</v>
      </c>
      <c r="I1066" t="s">
        <v>3387</v>
      </c>
      <c r="J1066">
        <v>51142130555</v>
      </c>
      <c r="K1066" t="s">
        <v>3362</v>
      </c>
      <c r="L1066" t="s">
        <v>4079</v>
      </c>
      <c r="M1066">
        <v>1</v>
      </c>
      <c r="N1066" s="10">
        <v>208.8</v>
      </c>
      <c r="O1066" s="10">
        <f t="shared" si="115"/>
        <v>208.8</v>
      </c>
      <c r="P1066" s="10" t="s">
        <v>5006</v>
      </c>
      <c r="Q1066" s="10" t="s">
        <v>5006</v>
      </c>
      <c r="R1066" s="10" t="str">
        <f>IF(COUNTIF($J$2:J1066,J1066)=1,SUMIFS($O:$O,$J:$J,J1066)+SUMIFS($P:$P,$J:$J,J1066)+SUMIFS($Q:$Q,$J:$J,J1066),"")</f>
        <v/>
      </c>
      <c r="S1066" s="10" t="s">
        <v>5006</v>
      </c>
      <c r="T1066" s="11" t="str">
        <f t="shared" si="118"/>
        <v>Check</v>
      </c>
      <c r="U1066" s="12">
        <v>46062</v>
      </c>
      <c r="V1066" s="10">
        <v>1051.42</v>
      </c>
      <c r="W1066" s="10" t="str">
        <f t="shared" si="116"/>
        <v>N/A</v>
      </c>
      <c r="X1066" t="s">
        <v>455</v>
      </c>
      <c r="Y1066" t="s">
        <v>28</v>
      </c>
      <c r="Z1066">
        <v>100190</v>
      </c>
      <c r="AA1066" t="s">
        <v>456</v>
      </c>
      <c r="AB1066" t="s">
        <v>524</v>
      </c>
      <c r="AC1066" s="9">
        <v>2</v>
      </c>
      <c r="AD1066" s="9" t="str">
        <f t="shared" si="117"/>
        <v>N/A</v>
      </c>
      <c r="AE1066" s="11" t="e">
        <f t="shared" si="119"/>
        <v>#VALUE!</v>
      </c>
    </row>
    <row r="1067" spans="1:31" x14ac:dyDescent="0.3">
      <c r="A1067">
        <v>62</v>
      </c>
      <c r="B1067">
        <v>4660500</v>
      </c>
      <c r="C1067" t="s">
        <v>217</v>
      </c>
      <c r="D1067">
        <v>1140119</v>
      </c>
      <c r="E1067" t="s">
        <v>630</v>
      </c>
      <c r="F1067" t="s">
        <v>18</v>
      </c>
      <c r="G1067" t="s">
        <v>1003</v>
      </c>
      <c r="H1067" t="s">
        <v>1004</v>
      </c>
      <c r="I1067" t="s">
        <v>3416</v>
      </c>
      <c r="J1067">
        <v>51142292991</v>
      </c>
      <c r="K1067" t="s">
        <v>3375</v>
      </c>
      <c r="L1067" t="s">
        <v>3428</v>
      </c>
      <c r="M1067">
        <v>17500</v>
      </c>
      <c r="N1067" s="10">
        <v>0.13750000000000001</v>
      </c>
      <c r="O1067" s="10">
        <f t="shared" si="115"/>
        <v>2406.25</v>
      </c>
      <c r="P1067" s="10">
        <v>66.430000000000007</v>
      </c>
      <c r="Q1067" s="10">
        <v>0</v>
      </c>
      <c r="R1067" s="10">
        <f>IF(COUNTIF($J$2:J1067,J1067)=1,SUMIFS($O:$O,$J:$J,J1067)+SUMIFS($P:$P,$J:$J,J1067)+SUMIFS($Q:$Q,$J:$J,J1067),"")</f>
        <v>2983.68</v>
      </c>
      <c r="S1067" s="10">
        <v>2983.68</v>
      </c>
      <c r="T1067" s="11" t="str">
        <f t="shared" si="118"/>
        <v>Ok</v>
      </c>
      <c r="U1067" s="12">
        <v>46052</v>
      </c>
      <c r="V1067" s="10">
        <v>311.64999999999998</v>
      </c>
      <c r="W1067" s="10" t="str">
        <f t="shared" si="116"/>
        <v>Short Paid</v>
      </c>
      <c r="X1067" t="s">
        <v>468</v>
      </c>
      <c r="Y1067" t="s">
        <v>28</v>
      </c>
      <c r="Z1067">
        <v>100276</v>
      </c>
      <c r="AA1067" t="s">
        <v>469</v>
      </c>
      <c r="AB1067" t="s">
        <v>523</v>
      </c>
      <c r="AC1067" s="9">
        <v>2</v>
      </c>
      <c r="AD1067" s="9" t="str">
        <f t="shared" si="117"/>
        <v>Ok</v>
      </c>
      <c r="AE1067" s="11">
        <f t="shared" si="119"/>
        <v>0</v>
      </c>
    </row>
    <row r="1068" spans="1:31" x14ac:dyDescent="0.3">
      <c r="A1068">
        <v>62</v>
      </c>
      <c r="B1068">
        <v>4660500</v>
      </c>
      <c r="C1068" t="s">
        <v>217</v>
      </c>
      <c r="D1068">
        <v>1140119</v>
      </c>
      <c r="E1068" t="s">
        <v>630</v>
      </c>
      <c r="F1068" t="s">
        <v>18</v>
      </c>
      <c r="G1068" t="s">
        <v>1003</v>
      </c>
      <c r="H1068" t="s">
        <v>1004</v>
      </c>
      <c r="I1068" t="s">
        <v>3410</v>
      </c>
      <c r="J1068">
        <v>51142292991</v>
      </c>
      <c r="K1068" t="s">
        <v>3379</v>
      </c>
      <c r="L1068" t="s">
        <v>3624</v>
      </c>
      <c r="M1068">
        <v>140000</v>
      </c>
      <c r="N1068" s="10">
        <v>3.65E-3</v>
      </c>
      <c r="O1068" s="10">
        <f t="shared" si="115"/>
        <v>511</v>
      </c>
      <c r="P1068" s="10" t="s">
        <v>5006</v>
      </c>
      <c r="Q1068" s="10" t="s">
        <v>5006</v>
      </c>
      <c r="R1068" s="10" t="str">
        <f>IF(COUNTIF($J$2:J1068,J1068)=1,SUMIFS($O:$O,$J:$J,J1068)+SUMIFS($P:$P,$J:$J,J1068)+SUMIFS($Q:$Q,$J:$J,J1068),"")</f>
        <v/>
      </c>
      <c r="S1068" s="10" t="s">
        <v>5006</v>
      </c>
      <c r="T1068" s="11" t="str">
        <f t="shared" si="118"/>
        <v>Ok</v>
      </c>
      <c r="U1068" s="12">
        <v>46052</v>
      </c>
      <c r="V1068" s="10">
        <v>311.64999999999998</v>
      </c>
      <c r="W1068" s="10" t="str">
        <f t="shared" si="116"/>
        <v>N/A</v>
      </c>
      <c r="X1068" t="s">
        <v>468</v>
      </c>
      <c r="Y1068" t="s">
        <v>28</v>
      </c>
      <c r="Z1068">
        <v>100276</v>
      </c>
      <c r="AA1068" t="s">
        <v>469</v>
      </c>
      <c r="AB1068" t="s">
        <v>523</v>
      </c>
      <c r="AC1068" s="9">
        <v>2</v>
      </c>
      <c r="AD1068" s="9" t="str">
        <f t="shared" si="117"/>
        <v>N/A</v>
      </c>
      <c r="AE1068" s="11" t="e">
        <f t="shared" si="119"/>
        <v>#VALUE!</v>
      </c>
    </row>
    <row r="1069" spans="1:31" x14ac:dyDescent="0.3">
      <c r="A1069">
        <v>62</v>
      </c>
      <c r="B1069">
        <v>4660778</v>
      </c>
      <c r="C1069" t="s">
        <v>94</v>
      </c>
      <c r="D1069">
        <v>1724337</v>
      </c>
      <c r="E1069" t="s">
        <v>4882</v>
      </c>
      <c r="F1069" t="s">
        <v>52</v>
      </c>
      <c r="G1069" t="s">
        <v>1005</v>
      </c>
      <c r="H1069" t="s">
        <v>1006</v>
      </c>
      <c r="I1069" t="s">
        <v>3390</v>
      </c>
      <c r="J1069">
        <v>51142310850</v>
      </c>
      <c r="K1069" t="s">
        <v>3266</v>
      </c>
      <c r="L1069" t="s">
        <v>4080</v>
      </c>
      <c r="M1069">
        <v>8000</v>
      </c>
      <c r="N1069" s="10">
        <v>4.965E-2</v>
      </c>
      <c r="O1069" s="10">
        <f t="shared" si="115"/>
        <v>397.2</v>
      </c>
      <c r="P1069" s="10">
        <v>0</v>
      </c>
      <c r="Q1069" s="10">
        <v>43.54</v>
      </c>
      <c r="R1069" s="10">
        <f>IF(COUNTIF($J$2:J1069,J1069)=1,SUMIFS($O:$O,$J:$J,J1069)+SUMIFS($P:$P,$J:$J,J1069)+SUMIFS($Q:$Q,$J:$J,J1069),"")</f>
        <v>732.33999999999992</v>
      </c>
      <c r="S1069" s="10">
        <v>1015.0699999999999</v>
      </c>
      <c r="T1069" s="11" t="str">
        <f t="shared" si="118"/>
        <v>Check</v>
      </c>
      <c r="U1069" s="12">
        <v>46072</v>
      </c>
      <c r="V1069" s="10">
        <v>282.73</v>
      </c>
      <c r="W1069" s="10" t="str">
        <f t="shared" si="116"/>
        <v>Short Paid</v>
      </c>
      <c r="X1069" t="s">
        <v>450</v>
      </c>
      <c r="Y1069" t="s">
        <v>436</v>
      </c>
      <c r="Z1069">
        <v>100177</v>
      </c>
      <c r="AA1069" t="s">
        <v>3110</v>
      </c>
      <c r="AB1069" t="s">
        <v>530</v>
      </c>
      <c r="AC1069" s="9">
        <v>2</v>
      </c>
      <c r="AD1069" s="9" t="str">
        <f t="shared" si="117"/>
        <v>Check</v>
      </c>
      <c r="AE1069" s="11">
        <f t="shared" si="119"/>
        <v>-282.73</v>
      </c>
    </row>
    <row r="1070" spans="1:31" x14ac:dyDescent="0.3">
      <c r="A1070">
        <v>62</v>
      </c>
      <c r="B1070">
        <v>4660778</v>
      </c>
      <c r="C1070" t="s">
        <v>94</v>
      </c>
      <c r="D1070">
        <v>1724337</v>
      </c>
      <c r="E1070" t="s">
        <v>4882</v>
      </c>
      <c r="F1070" t="s">
        <v>52</v>
      </c>
      <c r="G1070" t="s">
        <v>1005</v>
      </c>
      <c r="H1070" t="s">
        <v>1006</v>
      </c>
      <c r="I1070" t="s">
        <v>3444</v>
      </c>
      <c r="J1070">
        <v>51142310850</v>
      </c>
      <c r="K1070" t="s">
        <v>3168</v>
      </c>
      <c r="L1070" t="s">
        <v>3426</v>
      </c>
      <c r="M1070">
        <v>18000</v>
      </c>
      <c r="N1070" s="10">
        <v>1.6199999999999999E-2</v>
      </c>
      <c r="O1070" s="10">
        <f t="shared" si="115"/>
        <v>291.59999999999997</v>
      </c>
      <c r="P1070" s="10" t="s">
        <v>5006</v>
      </c>
      <c r="Q1070" s="10" t="s">
        <v>5006</v>
      </c>
      <c r="R1070" s="10" t="str">
        <f>IF(COUNTIF($J$2:J1070,J1070)=1,SUMIFS($O:$O,$J:$J,J1070)+SUMIFS($P:$P,$J:$J,J1070)+SUMIFS($Q:$Q,$J:$J,J1070),"")</f>
        <v/>
      </c>
      <c r="S1070" s="10" t="s">
        <v>5006</v>
      </c>
      <c r="T1070" s="11" t="str">
        <f t="shared" si="118"/>
        <v>Check</v>
      </c>
      <c r="U1070" s="12">
        <v>46072</v>
      </c>
      <c r="V1070" s="10">
        <v>282.73</v>
      </c>
      <c r="W1070" s="10" t="str">
        <f t="shared" si="116"/>
        <v>N/A</v>
      </c>
      <c r="X1070" t="s">
        <v>450</v>
      </c>
      <c r="Y1070" t="s">
        <v>436</v>
      </c>
      <c r="Z1070">
        <v>100177</v>
      </c>
      <c r="AA1070" t="s">
        <v>3110</v>
      </c>
      <c r="AB1070" t="s">
        <v>530</v>
      </c>
      <c r="AC1070" s="9">
        <v>2</v>
      </c>
      <c r="AD1070" s="9" t="str">
        <f t="shared" si="117"/>
        <v>N/A</v>
      </c>
      <c r="AE1070" s="11" t="e">
        <f t="shared" si="119"/>
        <v>#VALUE!</v>
      </c>
    </row>
    <row r="1071" spans="1:31" x14ac:dyDescent="0.3">
      <c r="A1071">
        <v>79</v>
      </c>
      <c r="B1071">
        <v>4618479</v>
      </c>
      <c r="C1071" t="s">
        <v>56</v>
      </c>
      <c r="D1071">
        <v>1443616</v>
      </c>
      <c r="E1071" t="s">
        <v>285</v>
      </c>
      <c r="F1071" t="s">
        <v>19</v>
      </c>
      <c r="G1071" t="s">
        <v>890</v>
      </c>
      <c r="H1071" t="s">
        <v>891</v>
      </c>
      <c r="I1071" t="s">
        <v>3344</v>
      </c>
      <c r="J1071">
        <v>51142368022</v>
      </c>
      <c r="K1071" t="s">
        <v>3479</v>
      </c>
      <c r="L1071" t="s">
        <v>4081</v>
      </c>
      <c r="M1071">
        <v>9128000</v>
      </c>
      <c r="N1071" s="10">
        <v>2.1839999999999998E-2</v>
      </c>
      <c r="O1071" s="10">
        <f t="shared" si="115"/>
        <v>199355.51999999999</v>
      </c>
      <c r="P1071" s="10">
        <v>0</v>
      </c>
      <c r="Q1071" s="10">
        <v>47151.869999999995</v>
      </c>
      <c r="R1071" s="10">
        <f>IF(COUNTIF($J$2:J1071,J1071)=1,SUMIFS($O:$O,$J:$J,J1071)+SUMIFS($P:$P,$J:$J,J1071)+SUMIFS($Q:$Q,$J:$J,J1071),"")</f>
        <v>294194.89</v>
      </c>
      <c r="S1071" s="10">
        <v>355346.89</v>
      </c>
      <c r="T1071" s="11" t="str">
        <f t="shared" si="118"/>
        <v>Check</v>
      </c>
      <c r="U1071" s="12">
        <v>46083</v>
      </c>
      <c r="V1071" s="10">
        <v>307659.39</v>
      </c>
      <c r="W1071" s="10" t="str">
        <f t="shared" si="116"/>
        <v>Short Paid</v>
      </c>
      <c r="X1071" t="s">
        <v>435</v>
      </c>
      <c r="Y1071" t="s">
        <v>28</v>
      </c>
      <c r="Z1071">
        <v>100201</v>
      </c>
      <c r="AA1071" t="s">
        <v>3064</v>
      </c>
      <c r="AB1071" t="s">
        <v>524</v>
      </c>
      <c r="AC1071" s="9">
        <v>2</v>
      </c>
      <c r="AD1071" s="9" t="str">
        <f t="shared" si="117"/>
        <v>Check</v>
      </c>
      <c r="AE1071" s="11">
        <f t="shared" si="119"/>
        <v>-61152</v>
      </c>
    </row>
    <row r="1072" spans="1:31" x14ac:dyDescent="0.3">
      <c r="A1072">
        <v>79</v>
      </c>
      <c r="B1072">
        <v>4618479</v>
      </c>
      <c r="C1072" t="s">
        <v>56</v>
      </c>
      <c r="D1072">
        <v>1443616</v>
      </c>
      <c r="E1072" t="s">
        <v>285</v>
      </c>
      <c r="F1072" t="s">
        <v>19</v>
      </c>
      <c r="G1072" t="s">
        <v>890</v>
      </c>
      <c r="H1072" t="s">
        <v>891</v>
      </c>
      <c r="I1072" t="s">
        <v>3528</v>
      </c>
      <c r="J1072">
        <v>51142368022</v>
      </c>
      <c r="K1072" t="s">
        <v>3656</v>
      </c>
      <c r="L1072" t="s">
        <v>4082</v>
      </c>
      <c r="M1072">
        <v>17500</v>
      </c>
      <c r="N1072" s="10">
        <v>2.7250000000000001</v>
      </c>
      <c r="O1072" s="10">
        <f t="shared" si="115"/>
        <v>47687.5</v>
      </c>
      <c r="P1072" s="10" t="s">
        <v>5006</v>
      </c>
      <c r="Q1072" s="10" t="s">
        <v>5006</v>
      </c>
      <c r="R1072" s="10" t="str">
        <f>IF(COUNTIF($J$2:J1072,J1072)=1,SUMIFS($O:$O,$J:$J,J1072)+SUMIFS($P:$P,$J:$J,J1072)+SUMIFS($Q:$Q,$J:$J,J1072),"")</f>
        <v/>
      </c>
      <c r="S1072" s="10" t="s">
        <v>5006</v>
      </c>
      <c r="T1072" s="11" t="str">
        <f t="shared" si="118"/>
        <v>Check</v>
      </c>
      <c r="U1072" s="12">
        <v>46083</v>
      </c>
      <c r="V1072" s="10">
        <v>307659.39</v>
      </c>
      <c r="W1072" s="10" t="str">
        <f t="shared" si="116"/>
        <v>N/A</v>
      </c>
      <c r="X1072" t="s">
        <v>435</v>
      </c>
      <c r="Y1072" t="s">
        <v>28</v>
      </c>
      <c r="Z1072">
        <v>100201</v>
      </c>
      <c r="AA1072" t="s">
        <v>3064</v>
      </c>
      <c r="AB1072" t="s">
        <v>524</v>
      </c>
      <c r="AC1072" s="9">
        <v>2</v>
      </c>
      <c r="AD1072" s="9" t="str">
        <f t="shared" si="117"/>
        <v>N/A</v>
      </c>
      <c r="AE1072" s="11" t="e">
        <f t="shared" si="119"/>
        <v>#VALUE!</v>
      </c>
    </row>
    <row r="1073" spans="1:31" x14ac:dyDescent="0.3">
      <c r="A1073">
        <v>79</v>
      </c>
      <c r="B1073">
        <v>4617922</v>
      </c>
      <c r="C1073" t="s">
        <v>94</v>
      </c>
      <c r="D1073">
        <v>1470631</v>
      </c>
      <c r="E1073" t="s">
        <v>214</v>
      </c>
      <c r="F1073" t="s">
        <v>20</v>
      </c>
      <c r="G1073" t="s">
        <v>888</v>
      </c>
      <c r="H1073" t="s">
        <v>889</v>
      </c>
      <c r="I1073" t="s">
        <v>3467</v>
      </c>
      <c r="J1073">
        <v>51142378334</v>
      </c>
      <c r="K1073" t="s">
        <v>3194</v>
      </c>
      <c r="L1073" t="s">
        <v>4083</v>
      </c>
      <c r="M1073">
        <v>100</v>
      </c>
      <c r="N1073" s="10">
        <v>114.95</v>
      </c>
      <c r="O1073" s="10">
        <f t="shared" si="115"/>
        <v>11495</v>
      </c>
      <c r="P1073" s="10">
        <v>0</v>
      </c>
      <c r="Q1073" s="10">
        <v>34.61</v>
      </c>
      <c r="R1073" s="10">
        <f>IF(COUNTIF($J$2:J1073,J1073)=1,SUMIFS($O:$O,$J:$J,J1073)+SUMIFS($P:$P,$J:$J,J1073)+SUMIFS($Q:$Q,$J:$J,J1073),"")</f>
        <v>11680.09</v>
      </c>
      <c r="S1073" s="10">
        <v>11680.09</v>
      </c>
      <c r="T1073" s="11" t="str">
        <f t="shared" si="118"/>
        <v>Ok</v>
      </c>
      <c r="U1073" s="12">
        <v>45986</v>
      </c>
      <c r="V1073" s="10">
        <v>185.09</v>
      </c>
      <c r="W1073" s="10" t="str">
        <f t="shared" si="116"/>
        <v>Short Paid</v>
      </c>
      <c r="X1073" t="s">
        <v>450</v>
      </c>
      <c r="Y1073" t="s">
        <v>28</v>
      </c>
      <c r="Z1073">
        <v>100207</v>
      </c>
      <c r="AA1073" t="s">
        <v>519</v>
      </c>
      <c r="AB1073" t="s">
        <v>521</v>
      </c>
      <c r="AC1073" s="9">
        <v>2</v>
      </c>
      <c r="AD1073" s="9" t="str">
        <f t="shared" si="117"/>
        <v>Ok</v>
      </c>
      <c r="AE1073" s="11">
        <f t="shared" si="119"/>
        <v>0</v>
      </c>
    </row>
    <row r="1074" spans="1:31" x14ac:dyDescent="0.3">
      <c r="A1074">
        <v>79</v>
      </c>
      <c r="B1074">
        <v>4617922</v>
      </c>
      <c r="C1074" t="s">
        <v>94</v>
      </c>
      <c r="D1074">
        <v>1470631</v>
      </c>
      <c r="E1074" t="s">
        <v>214</v>
      </c>
      <c r="F1074" t="s">
        <v>20</v>
      </c>
      <c r="G1074" t="s">
        <v>888</v>
      </c>
      <c r="H1074" t="s">
        <v>889</v>
      </c>
      <c r="I1074" t="s">
        <v>3263</v>
      </c>
      <c r="J1074">
        <v>51142378334</v>
      </c>
      <c r="K1074" t="s">
        <v>3203</v>
      </c>
      <c r="L1074" t="s">
        <v>3709</v>
      </c>
      <c r="M1074">
        <v>72</v>
      </c>
      <c r="N1074" s="10">
        <v>2.09</v>
      </c>
      <c r="O1074" s="10">
        <f t="shared" si="115"/>
        <v>150.47999999999999</v>
      </c>
      <c r="P1074" s="10" t="s">
        <v>5006</v>
      </c>
      <c r="Q1074" s="10" t="s">
        <v>5006</v>
      </c>
      <c r="R1074" s="10" t="str">
        <f>IF(COUNTIF($J$2:J1074,J1074)=1,SUMIFS($O:$O,$J:$J,J1074)+SUMIFS($P:$P,$J:$J,J1074)+SUMIFS($Q:$Q,$J:$J,J1074),"")</f>
        <v/>
      </c>
      <c r="S1074" s="10" t="s">
        <v>5006</v>
      </c>
      <c r="T1074" s="11" t="str">
        <f t="shared" si="118"/>
        <v>Ok</v>
      </c>
      <c r="U1074" s="12">
        <v>45986</v>
      </c>
      <c r="V1074" s="10">
        <v>185.09</v>
      </c>
      <c r="W1074" s="10" t="str">
        <f t="shared" si="116"/>
        <v>N/A</v>
      </c>
      <c r="X1074" t="s">
        <v>450</v>
      </c>
      <c r="Y1074" t="s">
        <v>28</v>
      </c>
      <c r="Z1074">
        <v>100207</v>
      </c>
      <c r="AA1074" t="s">
        <v>519</v>
      </c>
      <c r="AB1074" t="s">
        <v>521</v>
      </c>
      <c r="AC1074" s="9">
        <v>2</v>
      </c>
      <c r="AD1074" s="9" t="str">
        <f t="shared" si="117"/>
        <v>N/A</v>
      </c>
      <c r="AE1074" s="11" t="e">
        <f t="shared" si="119"/>
        <v>#VALUE!</v>
      </c>
    </row>
    <row r="1075" spans="1:31" x14ac:dyDescent="0.3">
      <c r="A1075">
        <v>79</v>
      </c>
      <c r="B1075">
        <v>4618201</v>
      </c>
      <c r="C1075" t="s">
        <v>167</v>
      </c>
      <c r="D1075">
        <v>1590415</v>
      </c>
      <c r="E1075" t="s">
        <v>682</v>
      </c>
      <c r="F1075" t="s">
        <v>19</v>
      </c>
      <c r="G1075" t="s">
        <v>2697</v>
      </c>
      <c r="H1075" t="s">
        <v>2698</v>
      </c>
      <c r="I1075" t="s">
        <v>3350</v>
      </c>
      <c r="J1075">
        <v>51142703863</v>
      </c>
      <c r="K1075" t="s">
        <v>3177</v>
      </c>
      <c r="L1075" t="s">
        <v>4084</v>
      </c>
      <c r="M1075">
        <v>36000</v>
      </c>
      <c r="N1075" s="10">
        <v>3.64E-3</v>
      </c>
      <c r="O1075" s="10">
        <f t="shared" si="115"/>
        <v>131.04</v>
      </c>
      <c r="P1075" s="10">
        <v>0</v>
      </c>
      <c r="Q1075" s="10">
        <v>24.9</v>
      </c>
      <c r="R1075" s="10">
        <f>IF(COUNTIF($J$2:J1075,J1075)=1,SUMIFS($O:$O,$J:$J,J1075)+SUMIFS($P:$P,$J:$J,J1075)+SUMIFS($Q:$Q,$J:$J,J1075),"")</f>
        <v>20338.340000000004</v>
      </c>
      <c r="S1075" s="10">
        <v>24980.289999999997</v>
      </c>
      <c r="T1075" s="11" t="str">
        <f t="shared" si="118"/>
        <v>Check</v>
      </c>
      <c r="U1075" s="12">
        <v>46030</v>
      </c>
      <c r="V1075" s="10">
        <v>155.94</v>
      </c>
      <c r="W1075" s="10" t="str">
        <f t="shared" si="116"/>
        <v>Short Paid</v>
      </c>
      <c r="X1075" t="s">
        <v>455</v>
      </c>
      <c r="Y1075" t="s">
        <v>28</v>
      </c>
      <c r="Z1075">
        <v>100230</v>
      </c>
      <c r="AA1075" t="s">
        <v>462</v>
      </c>
      <c r="AB1075" t="s">
        <v>524</v>
      </c>
      <c r="AC1075" s="9">
        <v>2</v>
      </c>
      <c r="AD1075" s="9" t="str">
        <f t="shared" si="117"/>
        <v>Check</v>
      </c>
      <c r="AE1075" s="11">
        <f t="shared" si="119"/>
        <v>-4641.9499999999935</v>
      </c>
    </row>
    <row r="1076" spans="1:31" x14ac:dyDescent="0.3">
      <c r="A1076">
        <v>79</v>
      </c>
      <c r="B1076">
        <v>4618201</v>
      </c>
      <c r="C1076" t="s">
        <v>167</v>
      </c>
      <c r="D1076">
        <v>1590415</v>
      </c>
      <c r="E1076" t="s">
        <v>682</v>
      </c>
      <c r="F1076" t="s">
        <v>19</v>
      </c>
      <c r="G1076" t="s">
        <v>2697</v>
      </c>
      <c r="H1076" t="s">
        <v>2698</v>
      </c>
      <c r="I1076" t="s">
        <v>3451</v>
      </c>
      <c r="J1076">
        <v>51142703863</v>
      </c>
      <c r="K1076" t="s">
        <v>3197</v>
      </c>
      <c r="L1076" t="s">
        <v>3396</v>
      </c>
      <c r="M1076">
        <v>272</v>
      </c>
      <c r="N1076" s="10">
        <v>74.2</v>
      </c>
      <c r="O1076" s="10">
        <f t="shared" si="115"/>
        <v>20182.400000000001</v>
      </c>
      <c r="P1076" s="10" t="s">
        <v>5006</v>
      </c>
      <c r="Q1076" s="10" t="s">
        <v>5006</v>
      </c>
      <c r="R1076" s="10" t="str">
        <f>IF(COUNTIF($J$2:J1076,J1076)=1,SUMIFS($O:$O,$J:$J,J1076)+SUMIFS($P:$P,$J:$J,J1076)+SUMIFS($Q:$Q,$J:$J,J1076),"")</f>
        <v/>
      </c>
      <c r="S1076" s="10" t="s">
        <v>5006</v>
      </c>
      <c r="T1076" s="11" t="str">
        <f t="shared" si="118"/>
        <v>Check</v>
      </c>
      <c r="U1076" s="12">
        <v>46030</v>
      </c>
      <c r="V1076" s="10">
        <v>155.94</v>
      </c>
      <c r="W1076" s="10" t="str">
        <f t="shared" si="116"/>
        <v>N/A</v>
      </c>
      <c r="X1076" t="s">
        <v>455</v>
      </c>
      <c r="Y1076" t="s">
        <v>28</v>
      </c>
      <c r="Z1076">
        <v>100230</v>
      </c>
      <c r="AA1076" t="s">
        <v>462</v>
      </c>
      <c r="AB1076" t="s">
        <v>524</v>
      </c>
      <c r="AC1076" s="9">
        <v>2</v>
      </c>
      <c r="AD1076" s="9" t="str">
        <f t="shared" si="117"/>
        <v>N/A</v>
      </c>
      <c r="AE1076" s="11" t="e">
        <f t="shared" si="119"/>
        <v>#VALUE!</v>
      </c>
    </row>
    <row r="1077" spans="1:31" x14ac:dyDescent="0.3">
      <c r="A1077">
        <v>59</v>
      </c>
      <c r="B1077">
        <v>4666901</v>
      </c>
      <c r="C1077" t="s">
        <v>217</v>
      </c>
      <c r="D1077">
        <v>1157310</v>
      </c>
      <c r="E1077" t="s">
        <v>673</v>
      </c>
      <c r="F1077" t="s">
        <v>20</v>
      </c>
      <c r="G1077" t="s">
        <v>1021</v>
      </c>
      <c r="H1077" t="s">
        <v>1022</v>
      </c>
      <c r="I1077" t="s">
        <v>3184</v>
      </c>
      <c r="J1077">
        <v>51142739298</v>
      </c>
      <c r="K1077" t="s">
        <v>3362</v>
      </c>
      <c r="L1077" t="s">
        <v>3832</v>
      </c>
      <c r="M1077">
        <v>2</v>
      </c>
      <c r="N1077" s="10">
        <v>28700.68</v>
      </c>
      <c r="O1077" s="10">
        <f t="shared" si="115"/>
        <v>57401.36</v>
      </c>
      <c r="P1077" s="10">
        <v>0</v>
      </c>
      <c r="Q1077" s="10" t="s">
        <v>5006</v>
      </c>
      <c r="R1077" s="10">
        <f>IF(COUNTIF($J$2:J1077,J1077)=1,SUMIFS($O:$O,$J:$J,J1077)+SUMIFS($P:$P,$J:$J,J1077)+SUMIFS($Q:$Q,$J:$J,J1077),"")</f>
        <v>58442.36</v>
      </c>
      <c r="S1077" s="10">
        <v>58471.839999999997</v>
      </c>
      <c r="T1077" s="11" t="str">
        <f t="shared" si="118"/>
        <v>Check</v>
      </c>
      <c r="U1077" s="12">
        <v>46080</v>
      </c>
      <c r="V1077" s="10">
        <v>1040</v>
      </c>
      <c r="W1077" s="10" t="str">
        <f t="shared" si="116"/>
        <v>Short Paid</v>
      </c>
      <c r="X1077" t="s">
        <v>468</v>
      </c>
      <c r="Y1077" t="s">
        <v>28</v>
      </c>
      <c r="Z1077">
        <v>100126</v>
      </c>
      <c r="AA1077" t="s">
        <v>3123</v>
      </c>
      <c r="AB1077" t="s">
        <v>521</v>
      </c>
      <c r="AC1077" s="9">
        <v>3</v>
      </c>
      <c r="AD1077" s="9" t="str">
        <f t="shared" si="117"/>
        <v>Check</v>
      </c>
      <c r="AE1077" s="11">
        <f t="shared" si="119"/>
        <v>-29.479999999995925</v>
      </c>
    </row>
    <row r="1078" spans="1:31" x14ac:dyDescent="0.3">
      <c r="A1078">
        <v>59</v>
      </c>
      <c r="B1078">
        <v>4666901</v>
      </c>
      <c r="C1078" t="s">
        <v>217</v>
      </c>
      <c r="D1078">
        <v>1157310</v>
      </c>
      <c r="E1078" t="s">
        <v>673</v>
      </c>
      <c r="F1078" t="s">
        <v>20</v>
      </c>
      <c r="G1078" t="s">
        <v>1021</v>
      </c>
      <c r="H1078" t="s">
        <v>1022</v>
      </c>
      <c r="I1078" t="s">
        <v>3184</v>
      </c>
      <c r="J1078">
        <v>51142739298</v>
      </c>
      <c r="K1078" t="s">
        <v>3183</v>
      </c>
      <c r="L1078" t="s">
        <v>3816</v>
      </c>
      <c r="M1078">
        <v>4</v>
      </c>
      <c r="N1078" s="10">
        <v>0.25</v>
      </c>
      <c r="O1078" s="10">
        <f t="shared" si="115"/>
        <v>1</v>
      </c>
      <c r="P1078" s="10" t="s">
        <v>5006</v>
      </c>
      <c r="Q1078" s="10" t="s">
        <v>5006</v>
      </c>
      <c r="R1078" s="10" t="str">
        <f>IF(COUNTIF($J$2:J1078,J1078)=1,SUMIFS($O:$O,$J:$J,J1078)+SUMIFS($P:$P,$J:$J,J1078)+SUMIFS($Q:$Q,$J:$J,J1078),"")</f>
        <v/>
      </c>
      <c r="S1078" s="10" t="s">
        <v>5006</v>
      </c>
      <c r="T1078" s="11" t="str">
        <f t="shared" si="118"/>
        <v>Check</v>
      </c>
      <c r="U1078" s="12">
        <v>46080</v>
      </c>
      <c r="V1078" s="10">
        <v>1040</v>
      </c>
      <c r="W1078" s="10" t="str">
        <f t="shared" si="116"/>
        <v>N/A</v>
      </c>
      <c r="X1078" t="s">
        <v>468</v>
      </c>
      <c r="Y1078" t="s">
        <v>28</v>
      </c>
      <c r="Z1078">
        <v>100126</v>
      </c>
      <c r="AA1078" t="s">
        <v>3123</v>
      </c>
      <c r="AB1078" t="s">
        <v>521</v>
      </c>
      <c r="AC1078" s="9">
        <v>3</v>
      </c>
      <c r="AD1078" s="9" t="str">
        <f t="shared" si="117"/>
        <v>N/A</v>
      </c>
      <c r="AE1078" s="11" t="e">
        <f t="shared" si="119"/>
        <v>#VALUE!</v>
      </c>
    </row>
    <row r="1079" spans="1:31" x14ac:dyDescent="0.3">
      <c r="A1079">
        <v>59</v>
      </c>
      <c r="B1079">
        <v>4666901</v>
      </c>
      <c r="C1079" t="s">
        <v>217</v>
      </c>
      <c r="D1079">
        <v>1157310</v>
      </c>
      <c r="E1079" t="s">
        <v>673</v>
      </c>
      <c r="F1079" t="s">
        <v>20</v>
      </c>
      <c r="G1079" t="s">
        <v>1021</v>
      </c>
      <c r="H1079" t="s">
        <v>1022</v>
      </c>
      <c r="I1079" t="s">
        <v>3399</v>
      </c>
      <c r="J1079">
        <v>51142739298</v>
      </c>
      <c r="K1079" t="s">
        <v>3165</v>
      </c>
      <c r="L1079" t="s">
        <v>4085</v>
      </c>
      <c r="M1079">
        <v>1</v>
      </c>
      <c r="N1079" s="10">
        <v>1040</v>
      </c>
      <c r="O1079" s="10">
        <f t="shared" si="115"/>
        <v>1040</v>
      </c>
      <c r="P1079" s="10" t="s">
        <v>5006</v>
      </c>
      <c r="Q1079" s="10" t="s">
        <v>5006</v>
      </c>
      <c r="R1079" s="10" t="str">
        <f>IF(COUNTIF($J$2:J1079,J1079)=1,SUMIFS($O:$O,$J:$J,J1079)+SUMIFS($P:$P,$J:$J,J1079)+SUMIFS($Q:$Q,$J:$J,J1079),"")</f>
        <v/>
      </c>
      <c r="S1079" s="10" t="s">
        <v>5006</v>
      </c>
      <c r="T1079" s="11" t="str">
        <f t="shared" si="118"/>
        <v>Check</v>
      </c>
      <c r="U1079" s="12">
        <v>46080</v>
      </c>
      <c r="V1079" s="10">
        <v>1040</v>
      </c>
      <c r="W1079" s="10" t="str">
        <f t="shared" si="116"/>
        <v>N/A</v>
      </c>
      <c r="X1079" t="s">
        <v>468</v>
      </c>
      <c r="Y1079" t="s">
        <v>28</v>
      </c>
      <c r="Z1079">
        <v>100126</v>
      </c>
      <c r="AA1079" t="s">
        <v>3123</v>
      </c>
      <c r="AB1079" t="s">
        <v>521</v>
      </c>
      <c r="AC1079" s="9">
        <v>3</v>
      </c>
      <c r="AD1079" s="9" t="str">
        <f t="shared" si="117"/>
        <v>N/A</v>
      </c>
      <c r="AE1079" s="11" t="e">
        <f t="shared" si="119"/>
        <v>#VALUE!</v>
      </c>
    </row>
    <row r="1080" spans="1:31" x14ac:dyDescent="0.3">
      <c r="A1080">
        <v>59</v>
      </c>
      <c r="B1080">
        <v>4666622</v>
      </c>
      <c r="C1080" t="s">
        <v>217</v>
      </c>
      <c r="D1080">
        <v>1765203</v>
      </c>
      <c r="E1080" t="s">
        <v>691</v>
      </c>
      <c r="F1080" t="s">
        <v>18</v>
      </c>
      <c r="G1080" t="s">
        <v>1033</v>
      </c>
      <c r="H1080" t="s">
        <v>1034</v>
      </c>
      <c r="I1080" t="s">
        <v>3181</v>
      </c>
      <c r="J1080">
        <v>51142739319</v>
      </c>
      <c r="K1080" t="s">
        <v>3635</v>
      </c>
      <c r="L1080" t="s">
        <v>4086</v>
      </c>
      <c r="M1080">
        <v>8</v>
      </c>
      <c r="N1080" s="10">
        <v>29.87</v>
      </c>
      <c r="O1080" s="10">
        <f t="shared" si="115"/>
        <v>238.96</v>
      </c>
      <c r="P1080" s="10">
        <v>0</v>
      </c>
      <c r="Q1080" s="10">
        <v>0</v>
      </c>
      <c r="R1080" s="10">
        <f>IF(COUNTIF($J$2:J1080,J1080)=1,SUMIFS($O:$O,$J:$J,J1080)+SUMIFS($P:$P,$J:$J,J1080)+SUMIFS($Q:$Q,$J:$J,J1080),"")</f>
        <v>1053.76</v>
      </c>
      <c r="S1080" s="10">
        <v>1053.76</v>
      </c>
      <c r="T1080" s="11" t="str">
        <f t="shared" si="118"/>
        <v>Ok</v>
      </c>
      <c r="U1080" s="12">
        <v>46058</v>
      </c>
      <c r="V1080" s="10">
        <v>238.96</v>
      </c>
      <c r="W1080" s="10" t="str">
        <f t="shared" si="116"/>
        <v>Short Paid</v>
      </c>
      <c r="X1080" t="s">
        <v>468</v>
      </c>
      <c r="Y1080" t="s">
        <v>28</v>
      </c>
      <c r="Z1080">
        <v>100116</v>
      </c>
      <c r="AA1080" t="s">
        <v>3082</v>
      </c>
      <c r="AB1080" t="s">
        <v>523</v>
      </c>
      <c r="AC1080" s="9">
        <v>2</v>
      </c>
      <c r="AD1080" s="9" t="str">
        <f t="shared" si="117"/>
        <v>Ok</v>
      </c>
      <c r="AE1080" s="11">
        <f t="shared" si="119"/>
        <v>0</v>
      </c>
    </row>
    <row r="1081" spans="1:31" x14ac:dyDescent="0.3">
      <c r="A1081">
        <v>59</v>
      </c>
      <c r="B1081">
        <v>4666622</v>
      </c>
      <c r="C1081" t="s">
        <v>217</v>
      </c>
      <c r="D1081">
        <v>1765203</v>
      </c>
      <c r="E1081" t="s">
        <v>691</v>
      </c>
      <c r="F1081" t="s">
        <v>18</v>
      </c>
      <c r="G1081" t="s">
        <v>1033</v>
      </c>
      <c r="H1081" t="s">
        <v>1034</v>
      </c>
      <c r="I1081" t="s">
        <v>3342</v>
      </c>
      <c r="J1081">
        <v>51142739319</v>
      </c>
      <c r="K1081" t="s">
        <v>3241</v>
      </c>
      <c r="L1081" t="s">
        <v>3418</v>
      </c>
      <c r="M1081">
        <v>28000</v>
      </c>
      <c r="N1081" s="10">
        <v>2.9100000000000001E-2</v>
      </c>
      <c r="O1081" s="10">
        <f t="shared" si="115"/>
        <v>814.80000000000007</v>
      </c>
      <c r="P1081" s="10" t="s">
        <v>5006</v>
      </c>
      <c r="Q1081" s="10" t="s">
        <v>5006</v>
      </c>
      <c r="R1081" s="10" t="str">
        <f>IF(COUNTIF($J$2:J1081,J1081)=1,SUMIFS($O:$O,$J:$J,J1081)+SUMIFS($P:$P,$J:$J,J1081)+SUMIFS($Q:$Q,$J:$J,J1081),"")</f>
        <v/>
      </c>
      <c r="S1081" s="10" t="s">
        <v>5006</v>
      </c>
      <c r="T1081" s="11" t="str">
        <f t="shared" si="118"/>
        <v>Ok</v>
      </c>
      <c r="U1081" s="12">
        <v>46058</v>
      </c>
      <c r="V1081" s="10">
        <v>238.96</v>
      </c>
      <c r="W1081" s="10" t="str">
        <f t="shared" si="116"/>
        <v>N/A</v>
      </c>
      <c r="X1081" t="s">
        <v>468</v>
      </c>
      <c r="Y1081" t="s">
        <v>28</v>
      </c>
      <c r="Z1081">
        <v>100116</v>
      </c>
      <c r="AA1081" t="s">
        <v>3082</v>
      </c>
      <c r="AB1081" t="s">
        <v>523</v>
      </c>
      <c r="AC1081" s="9">
        <v>2</v>
      </c>
      <c r="AD1081" s="9" t="str">
        <f t="shared" si="117"/>
        <v>N/A</v>
      </c>
      <c r="AE1081" s="11" t="e">
        <f t="shared" si="119"/>
        <v>#VALUE!</v>
      </c>
    </row>
    <row r="1082" spans="1:31" x14ac:dyDescent="0.3">
      <c r="A1082">
        <v>77</v>
      </c>
      <c r="B1082">
        <v>4623488</v>
      </c>
      <c r="C1082" t="s">
        <v>239</v>
      </c>
      <c r="D1082">
        <v>1028314</v>
      </c>
      <c r="E1082" t="s">
        <v>552</v>
      </c>
      <c r="F1082" t="s">
        <v>18</v>
      </c>
      <c r="G1082" t="s">
        <v>898</v>
      </c>
      <c r="H1082" t="s">
        <v>899</v>
      </c>
      <c r="I1082" t="s">
        <v>3393</v>
      </c>
      <c r="J1082">
        <v>51142919534</v>
      </c>
      <c r="K1082" t="s">
        <v>3266</v>
      </c>
      <c r="L1082" t="s">
        <v>4087</v>
      </c>
      <c r="M1082">
        <v>147000</v>
      </c>
      <c r="N1082" s="10">
        <v>0.27686000000000005</v>
      </c>
      <c r="O1082" s="10">
        <f t="shared" si="115"/>
        <v>40698.420000000006</v>
      </c>
      <c r="P1082" s="10">
        <v>0</v>
      </c>
      <c r="Q1082" s="10">
        <v>0</v>
      </c>
      <c r="R1082" s="10">
        <f>IF(COUNTIF($J$2:J1082,J1082)=1,SUMIFS($O:$O,$J:$J,J1082)+SUMIFS($P:$P,$J:$J,J1082)+SUMIFS($Q:$Q,$J:$J,J1082),"")</f>
        <v>43152.840000000004</v>
      </c>
      <c r="S1082" s="10">
        <v>43688.73</v>
      </c>
      <c r="T1082" s="11" t="str">
        <f t="shared" si="118"/>
        <v>Check</v>
      </c>
      <c r="U1082" s="12">
        <v>46011</v>
      </c>
      <c r="V1082" s="10">
        <v>449.81</v>
      </c>
      <c r="W1082" s="10" t="str">
        <f t="shared" si="116"/>
        <v>Short Paid</v>
      </c>
      <c r="X1082" t="s">
        <v>476</v>
      </c>
      <c r="Y1082" t="s">
        <v>28</v>
      </c>
      <c r="Z1082">
        <v>100205</v>
      </c>
      <c r="AA1082" t="s">
        <v>3075</v>
      </c>
      <c r="AB1082" t="s">
        <v>523</v>
      </c>
      <c r="AC1082" s="9">
        <v>3</v>
      </c>
      <c r="AD1082" s="9" t="str">
        <f t="shared" si="117"/>
        <v>Check</v>
      </c>
      <c r="AE1082" s="11">
        <f t="shared" si="119"/>
        <v>-535.88999999999942</v>
      </c>
    </row>
    <row r="1083" spans="1:31" x14ac:dyDescent="0.3">
      <c r="A1083">
        <v>77</v>
      </c>
      <c r="B1083">
        <v>4623488</v>
      </c>
      <c r="C1083" t="s">
        <v>239</v>
      </c>
      <c r="D1083">
        <v>1028314</v>
      </c>
      <c r="E1083" t="s">
        <v>552</v>
      </c>
      <c r="F1083" t="s">
        <v>18</v>
      </c>
      <c r="G1083" t="s">
        <v>898</v>
      </c>
      <c r="H1083" t="s">
        <v>899</v>
      </c>
      <c r="I1083" t="s">
        <v>3188</v>
      </c>
      <c r="J1083">
        <v>51142919534</v>
      </c>
      <c r="K1083" t="s">
        <v>4089</v>
      </c>
      <c r="L1083" t="s">
        <v>4088</v>
      </c>
      <c r="M1083">
        <v>11000</v>
      </c>
      <c r="N1083" s="10">
        <v>0.13778000000000001</v>
      </c>
      <c r="O1083" s="10">
        <f t="shared" si="115"/>
        <v>1515.5800000000002</v>
      </c>
      <c r="P1083" s="10" t="s">
        <v>5006</v>
      </c>
      <c r="Q1083" s="10" t="s">
        <v>5006</v>
      </c>
      <c r="R1083" s="10" t="str">
        <f>IF(COUNTIF($J$2:J1083,J1083)=1,SUMIFS($O:$O,$J:$J,J1083)+SUMIFS($P:$P,$J:$J,J1083)+SUMIFS($Q:$Q,$J:$J,J1083),"")</f>
        <v/>
      </c>
      <c r="S1083" s="10" t="s">
        <v>5006</v>
      </c>
      <c r="T1083" s="11" t="str">
        <f t="shared" si="118"/>
        <v>Check</v>
      </c>
      <c r="U1083" s="12">
        <v>46011</v>
      </c>
      <c r="V1083" s="10">
        <v>449.81</v>
      </c>
      <c r="W1083" s="10" t="str">
        <f t="shared" si="116"/>
        <v>N/A</v>
      </c>
      <c r="X1083" t="s">
        <v>476</v>
      </c>
      <c r="Y1083" t="s">
        <v>28</v>
      </c>
      <c r="Z1083">
        <v>100205</v>
      </c>
      <c r="AA1083" t="s">
        <v>3075</v>
      </c>
      <c r="AB1083" t="s">
        <v>523</v>
      </c>
      <c r="AC1083" s="9">
        <v>3</v>
      </c>
      <c r="AD1083" s="9" t="str">
        <f t="shared" si="117"/>
        <v>N/A</v>
      </c>
      <c r="AE1083" s="11" t="e">
        <f t="shared" si="119"/>
        <v>#VALUE!</v>
      </c>
    </row>
    <row r="1084" spans="1:31" x14ac:dyDescent="0.3">
      <c r="A1084">
        <v>77</v>
      </c>
      <c r="B1084">
        <v>4623488</v>
      </c>
      <c r="C1084" t="s">
        <v>239</v>
      </c>
      <c r="D1084">
        <v>1028314</v>
      </c>
      <c r="E1084" t="s">
        <v>552</v>
      </c>
      <c r="F1084" t="s">
        <v>18</v>
      </c>
      <c r="G1084" t="s">
        <v>898</v>
      </c>
      <c r="H1084" t="s">
        <v>899</v>
      </c>
      <c r="I1084" t="s">
        <v>3188</v>
      </c>
      <c r="J1084">
        <v>51142919534</v>
      </c>
      <c r="K1084" t="s">
        <v>4089</v>
      </c>
      <c r="L1084" t="s">
        <v>4090</v>
      </c>
      <c r="M1084">
        <v>7000</v>
      </c>
      <c r="N1084" s="10">
        <v>0.13411999999999999</v>
      </c>
      <c r="O1084" s="10">
        <f t="shared" si="115"/>
        <v>938.83999999999992</v>
      </c>
      <c r="P1084" s="10" t="s">
        <v>5006</v>
      </c>
      <c r="Q1084" s="10" t="s">
        <v>5006</v>
      </c>
      <c r="R1084" s="10" t="str">
        <f>IF(COUNTIF($J$2:J1084,J1084)=1,SUMIFS($O:$O,$J:$J,J1084)+SUMIFS($P:$P,$J:$J,J1084)+SUMIFS($Q:$Q,$J:$J,J1084),"")</f>
        <v/>
      </c>
      <c r="S1084" s="10" t="s">
        <v>5006</v>
      </c>
      <c r="T1084" s="11" t="str">
        <f t="shared" si="118"/>
        <v>Check</v>
      </c>
      <c r="U1084" s="12">
        <v>46011</v>
      </c>
      <c r="V1084" s="10">
        <v>449.81</v>
      </c>
      <c r="W1084" s="10" t="str">
        <f t="shared" si="116"/>
        <v>N/A</v>
      </c>
      <c r="X1084" t="s">
        <v>476</v>
      </c>
      <c r="Y1084" t="s">
        <v>28</v>
      </c>
      <c r="Z1084">
        <v>100205</v>
      </c>
      <c r="AA1084" t="s">
        <v>3075</v>
      </c>
      <c r="AB1084" t="s">
        <v>523</v>
      </c>
      <c r="AC1084" s="9">
        <v>3</v>
      </c>
      <c r="AD1084" s="9" t="str">
        <f t="shared" si="117"/>
        <v>N/A</v>
      </c>
      <c r="AE1084" s="11" t="e">
        <f t="shared" si="119"/>
        <v>#VALUE!</v>
      </c>
    </row>
    <row r="1085" spans="1:31" x14ac:dyDescent="0.3">
      <c r="A1085">
        <v>58</v>
      </c>
      <c r="B1085">
        <v>4669683</v>
      </c>
      <c r="C1085" t="s">
        <v>38</v>
      </c>
      <c r="D1085">
        <v>1963277</v>
      </c>
      <c r="E1085" t="s">
        <v>250</v>
      </c>
      <c r="F1085" t="s">
        <v>18</v>
      </c>
      <c r="G1085" t="s">
        <v>1036</v>
      </c>
      <c r="H1085" t="s">
        <v>1037</v>
      </c>
      <c r="I1085" t="s">
        <v>3217</v>
      </c>
      <c r="J1085">
        <v>51143020928</v>
      </c>
      <c r="K1085" t="s">
        <v>3183</v>
      </c>
      <c r="L1085" t="s">
        <v>3843</v>
      </c>
      <c r="M1085">
        <v>1200</v>
      </c>
      <c r="N1085" s="10">
        <v>39.927999999999997</v>
      </c>
      <c r="O1085" s="10">
        <f t="shared" si="115"/>
        <v>47913.599999999999</v>
      </c>
      <c r="P1085" s="10">
        <v>0</v>
      </c>
      <c r="Q1085" s="10">
        <v>0</v>
      </c>
      <c r="R1085" s="10">
        <f>IF(COUNTIF($J$2:J1085,J1085)=1,SUMIFS($O:$O,$J:$J,J1085)+SUMIFS($P:$P,$J:$J,J1085)+SUMIFS($Q:$Q,$J:$J,J1085),"")</f>
        <v>49024.6</v>
      </c>
      <c r="S1085" s="10">
        <v>52357.599999999999</v>
      </c>
      <c r="T1085" s="11" t="str">
        <f t="shared" si="118"/>
        <v>Check</v>
      </c>
      <c r="U1085" s="12">
        <v>46031</v>
      </c>
      <c r="V1085" s="10">
        <v>788.59</v>
      </c>
      <c r="W1085" s="10" t="str">
        <f t="shared" si="116"/>
        <v>Short Paid</v>
      </c>
      <c r="X1085" t="s">
        <v>474</v>
      </c>
      <c r="Y1085" t="s">
        <v>28</v>
      </c>
      <c r="Z1085">
        <v>100129</v>
      </c>
      <c r="AA1085" t="s">
        <v>495</v>
      </c>
      <c r="AB1085" t="s">
        <v>523</v>
      </c>
      <c r="AC1085" s="9">
        <v>2</v>
      </c>
      <c r="AD1085" s="9" t="str">
        <f t="shared" si="117"/>
        <v>Check</v>
      </c>
      <c r="AE1085" s="11">
        <f t="shared" si="119"/>
        <v>-3333</v>
      </c>
    </row>
    <row r="1086" spans="1:31" x14ac:dyDescent="0.3">
      <c r="A1086">
        <v>58</v>
      </c>
      <c r="B1086">
        <v>4669683</v>
      </c>
      <c r="C1086" t="s">
        <v>38</v>
      </c>
      <c r="D1086">
        <v>1963277</v>
      </c>
      <c r="E1086" t="s">
        <v>250</v>
      </c>
      <c r="F1086" t="s">
        <v>18</v>
      </c>
      <c r="G1086" t="s">
        <v>1036</v>
      </c>
      <c r="H1086" t="s">
        <v>1037</v>
      </c>
      <c r="I1086" t="s">
        <v>3596</v>
      </c>
      <c r="J1086">
        <v>51143020928</v>
      </c>
      <c r="K1086" t="s">
        <v>3314</v>
      </c>
      <c r="L1086" t="s">
        <v>3313</v>
      </c>
      <c r="M1086">
        <v>25</v>
      </c>
      <c r="N1086" s="10">
        <v>44.44</v>
      </c>
      <c r="O1086" s="10">
        <f t="shared" si="115"/>
        <v>1111</v>
      </c>
      <c r="P1086" s="10" t="s">
        <v>5006</v>
      </c>
      <c r="Q1086" s="10" t="s">
        <v>5006</v>
      </c>
      <c r="R1086" s="10" t="str">
        <f>IF(COUNTIF($J$2:J1086,J1086)=1,SUMIFS($O:$O,$J:$J,J1086)+SUMIFS($P:$P,$J:$J,J1086)+SUMIFS($Q:$Q,$J:$J,J1086),"")</f>
        <v/>
      </c>
      <c r="S1086" s="10" t="s">
        <v>5006</v>
      </c>
      <c r="T1086" s="11" t="str">
        <f t="shared" si="118"/>
        <v>Check</v>
      </c>
      <c r="U1086" s="12">
        <v>46031</v>
      </c>
      <c r="V1086" s="10">
        <v>788.59</v>
      </c>
      <c r="W1086" s="10" t="str">
        <f t="shared" si="116"/>
        <v>N/A</v>
      </c>
      <c r="X1086" t="s">
        <v>474</v>
      </c>
      <c r="Y1086" t="s">
        <v>28</v>
      </c>
      <c r="Z1086">
        <v>100129</v>
      </c>
      <c r="AA1086" t="s">
        <v>495</v>
      </c>
      <c r="AB1086" t="s">
        <v>523</v>
      </c>
      <c r="AC1086" s="9">
        <v>2</v>
      </c>
      <c r="AD1086" s="9" t="str">
        <f t="shared" si="117"/>
        <v>N/A</v>
      </c>
      <c r="AE1086" s="11" t="e">
        <f t="shared" si="119"/>
        <v>#VALUE!</v>
      </c>
    </row>
    <row r="1087" spans="1:31" x14ac:dyDescent="0.3">
      <c r="A1087">
        <v>77</v>
      </c>
      <c r="B1087">
        <v>4622653</v>
      </c>
      <c r="C1087" t="s">
        <v>220</v>
      </c>
      <c r="D1087">
        <v>1469829</v>
      </c>
      <c r="E1087" t="s">
        <v>224</v>
      </c>
      <c r="F1087" t="s">
        <v>20</v>
      </c>
      <c r="G1087" t="s">
        <v>896</v>
      </c>
      <c r="H1087" t="s">
        <v>897</v>
      </c>
      <c r="I1087" t="s">
        <v>3305</v>
      </c>
      <c r="J1087">
        <v>51143135537</v>
      </c>
      <c r="K1087" t="s">
        <v>3209</v>
      </c>
      <c r="L1087" t="s">
        <v>4091</v>
      </c>
      <c r="M1087">
        <v>2000</v>
      </c>
      <c r="N1087" s="10">
        <v>0.96040000000000003</v>
      </c>
      <c r="O1087" s="10">
        <f t="shared" si="115"/>
        <v>1920.8</v>
      </c>
      <c r="P1087" s="10">
        <v>0</v>
      </c>
      <c r="Q1087" s="10">
        <v>457.15</v>
      </c>
      <c r="R1087" s="10">
        <f>IF(COUNTIF($J$2:J1087,J1087)=1,SUMIFS($O:$O,$J:$J,J1087)+SUMIFS($P:$P,$J:$J,J1087)+SUMIFS($Q:$Q,$J:$J,J1087),"")</f>
        <v>2901.44</v>
      </c>
      <c r="S1087" s="10">
        <v>2901.4399999999996</v>
      </c>
      <c r="T1087" s="11" t="str">
        <f t="shared" si="118"/>
        <v>Ok</v>
      </c>
      <c r="U1087" s="12">
        <v>46073</v>
      </c>
      <c r="V1087" s="10">
        <v>1920.8</v>
      </c>
      <c r="W1087" s="10" t="str">
        <f t="shared" si="116"/>
        <v>Short Paid</v>
      </c>
      <c r="X1087" t="s">
        <v>470</v>
      </c>
      <c r="Y1087" t="s">
        <v>28</v>
      </c>
      <c r="Z1087">
        <v>100158</v>
      </c>
      <c r="AA1087" t="s">
        <v>510</v>
      </c>
      <c r="AB1087" t="s">
        <v>521</v>
      </c>
      <c r="AC1087" s="9">
        <v>2</v>
      </c>
      <c r="AD1087" s="9" t="str">
        <f t="shared" si="117"/>
        <v>Ok</v>
      </c>
      <c r="AE1087" s="11">
        <f t="shared" si="119"/>
        <v>0</v>
      </c>
    </row>
    <row r="1088" spans="1:31" x14ac:dyDescent="0.3">
      <c r="A1088">
        <v>77</v>
      </c>
      <c r="B1088">
        <v>4622653</v>
      </c>
      <c r="C1088" t="s">
        <v>220</v>
      </c>
      <c r="D1088">
        <v>1469829</v>
      </c>
      <c r="E1088" t="s">
        <v>224</v>
      </c>
      <c r="F1088" t="s">
        <v>20</v>
      </c>
      <c r="G1088" t="s">
        <v>896</v>
      </c>
      <c r="H1088" t="s">
        <v>897</v>
      </c>
      <c r="I1088" t="s">
        <v>3416</v>
      </c>
      <c r="J1088">
        <v>51143135537</v>
      </c>
      <c r="K1088" t="s">
        <v>3379</v>
      </c>
      <c r="L1088" t="s">
        <v>3415</v>
      </c>
      <c r="M1088">
        <v>11000</v>
      </c>
      <c r="N1088" s="10">
        <v>4.759E-2</v>
      </c>
      <c r="O1088" s="10">
        <f t="shared" si="115"/>
        <v>523.49</v>
      </c>
      <c r="P1088" s="10" t="s">
        <v>5006</v>
      </c>
      <c r="Q1088" s="10" t="s">
        <v>5006</v>
      </c>
      <c r="R1088" s="10" t="str">
        <f>IF(COUNTIF($J$2:J1088,J1088)=1,SUMIFS($O:$O,$J:$J,J1088)+SUMIFS($P:$P,$J:$J,J1088)+SUMIFS($Q:$Q,$J:$J,J1088),"")</f>
        <v/>
      </c>
      <c r="S1088" s="10" t="s">
        <v>5006</v>
      </c>
      <c r="T1088" s="11" t="str">
        <f t="shared" si="118"/>
        <v>Ok</v>
      </c>
      <c r="U1088" s="12">
        <v>46073</v>
      </c>
      <c r="V1088" s="10">
        <v>1920.8</v>
      </c>
      <c r="W1088" s="10" t="str">
        <f t="shared" si="116"/>
        <v>N/A</v>
      </c>
      <c r="X1088" t="s">
        <v>470</v>
      </c>
      <c r="Y1088" t="s">
        <v>28</v>
      </c>
      <c r="Z1088">
        <v>100158</v>
      </c>
      <c r="AA1088" t="s">
        <v>510</v>
      </c>
      <c r="AB1088" t="s">
        <v>521</v>
      </c>
      <c r="AC1088" s="9">
        <v>2</v>
      </c>
      <c r="AD1088" s="9" t="str">
        <f t="shared" si="117"/>
        <v>N/A</v>
      </c>
      <c r="AE1088" s="11" t="e">
        <f t="shared" si="119"/>
        <v>#VALUE!</v>
      </c>
    </row>
    <row r="1089" spans="1:31" x14ac:dyDescent="0.3">
      <c r="A1089">
        <v>39</v>
      </c>
      <c r="B1089">
        <v>4718383</v>
      </c>
      <c r="C1089" t="s">
        <v>60</v>
      </c>
      <c r="D1089">
        <v>1130746</v>
      </c>
      <c r="E1089" t="s">
        <v>596</v>
      </c>
      <c r="F1089" t="s">
        <v>20</v>
      </c>
      <c r="G1089" t="s">
        <v>1152</v>
      </c>
      <c r="H1089" t="s">
        <v>1153</v>
      </c>
      <c r="I1089" t="s">
        <v>3227</v>
      </c>
      <c r="J1089">
        <v>51143143903</v>
      </c>
      <c r="K1089" t="s">
        <v>3289</v>
      </c>
      <c r="L1089" t="s">
        <v>4092</v>
      </c>
      <c r="M1089">
        <v>36</v>
      </c>
      <c r="N1089" s="10">
        <v>652.57730000000004</v>
      </c>
      <c r="O1089" s="10">
        <f t="shared" si="115"/>
        <v>23492.782800000001</v>
      </c>
      <c r="P1089" s="10">
        <v>0</v>
      </c>
      <c r="Q1089" s="10">
        <v>0</v>
      </c>
      <c r="R1089" s="10">
        <f>IF(COUNTIF($J$2:J1089,J1089)=1,SUMIFS($O:$O,$J:$J,J1089)+SUMIFS($P:$P,$J:$J,J1089)+SUMIFS($Q:$Q,$J:$J,J1089),"")</f>
        <v>57968.837599999999</v>
      </c>
      <c r="S1089" s="10">
        <v>57968.84</v>
      </c>
      <c r="T1089" s="11" t="str">
        <f t="shared" si="118"/>
        <v>Check</v>
      </c>
      <c r="U1089" s="12">
        <v>46094</v>
      </c>
      <c r="V1089" s="10">
        <v>23492.78</v>
      </c>
      <c r="W1089" s="10" t="str">
        <f t="shared" si="116"/>
        <v>Short Paid</v>
      </c>
      <c r="X1089" t="s">
        <v>438</v>
      </c>
      <c r="Y1089" t="s">
        <v>28</v>
      </c>
      <c r="Z1089">
        <v>100233</v>
      </c>
      <c r="AA1089" t="s">
        <v>448</v>
      </c>
      <c r="AB1089" t="s">
        <v>521</v>
      </c>
      <c r="AC1089" s="9">
        <v>2</v>
      </c>
      <c r="AD1089" s="9" t="str">
        <f t="shared" si="117"/>
        <v>Check</v>
      </c>
      <c r="AE1089" s="11">
        <f t="shared" si="119"/>
        <v>-2.3999999975785613E-3</v>
      </c>
    </row>
    <row r="1090" spans="1:31" x14ac:dyDescent="0.3">
      <c r="A1090">
        <v>39</v>
      </c>
      <c r="B1090">
        <v>4718383</v>
      </c>
      <c r="C1090" t="s">
        <v>60</v>
      </c>
      <c r="D1090">
        <v>1130746</v>
      </c>
      <c r="E1090" t="s">
        <v>596</v>
      </c>
      <c r="F1090" t="s">
        <v>20</v>
      </c>
      <c r="G1090" t="s">
        <v>1152</v>
      </c>
      <c r="H1090" t="s">
        <v>1153</v>
      </c>
      <c r="I1090" t="s">
        <v>3581</v>
      </c>
      <c r="J1090">
        <v>51143143903</v>
      </c>
      <c r="K1090" t="s">
        <v>3194</v>
      </c>
      <c r="L1090" t="s">
        <v>3448</v>
      </c>
      <c r="M1090">
        <v>13144</v>
      </c>
      <c r="N1090" s="10">
        <v>2.6229499999999999</v>
      </c>
      <c r="O1090" s="10">
        <f t="shared" ref="O1090:O1153" si="120">M1090*N1090</f>
        <v>34476.054799999998</v>
      </c>
      <c r="P1090" s="10" t="s">
        <v>5006</v>
      </c>
      <c r="Q1090" s="10" t="s">
        <v>5006</v>
      </c>
      <c r="R1090" s="10" t="str">
        <f>IF(COUNTIF($J$2:J1090,J1090)=1,SUMIFS($O:$O,$J:$J,J1090)+SUMIFS($P:$P,$J:$J,J1090)+SUMIFS($Q:$Q,$J:$J,J1090),"")</f>
        <v/>
      </c>
      <c r="S1090" s="10" t="s">
        <v>5006</v>
      </c>
      <c r="T1090" s="11" t="str">
        <f t="shared" si="118"/>
        <v>Check</v>
      </c>
      <c r="U1090" s="12">
        <v>46094</v>
      </c>
      <c r="V1090" s="10">
        <v>23492.78</v>
      </c>
      <c r="W1090" s="10" t="str">
        <f t="shared" ref="W1090:W1153" si="121">IF(OR(S1090="",V1090=""),"N/A",IF(S1090&lt;&gt;V1090,"Short Paid","Not Paid"))</f>
        <v>N/A</v>
      </c>
      <c r="X1090" t="s">
        <v>438</v>
      </c>
      <c r="Y1090" t="s">
        <v>28</v>
      </c>
      <c r="Z1090">
        <v>100233</v>
      </c>
      <c r="AA1090" t="s">
        <v>448</v>
      </c>
      <c r="AB1090" t="s">
        <v>521</v>
      </c>
      <c r="AC1090" s="9">
        <v>2</v>
      </c>
      <c r="AD1090" s="9" t="str">
        <f t="shared" ref="AD1090:AD1153" si="122">IF(AND(R1090="",S1090=""),"N/A",IF(R1090=S1090,"Ok","Check"))</f>
        <v>N/A</v>
      </c>
      <c r="AE1090" s="11" t="e">
        <f t="shared" si="119"/>
        <v>#VALUE!</v>
      </c>
    </row>
    <row r="1091" spans="1:31" x14ac:dyDescent="0.3">
      <c r="A1091">
        <v>55</v>
      </c>
      <c r="B1091">
        <v>4675527</v>
      </c>
      <c r="C1091" t="s">
        <v>240</v>
      </c>
      <c r="D1091">
        <v>1818207</v>
      </c>
      <c r="E1091" t="s">
        <v>694</v>
      </c>
      <c r="F1091" t="s">
        <v>50</v>
      </c>
      <c r="G1091" t="s">
        <v>1043</v>
      </c>
      <c r="H1091" t="s">
        <v>1044</v>
      </c>
      <c r="I1091" t="s">
        <v>3468</v>
      </c>
      <c r="J1091">
        <v>51143261807</v>
      </c>
      <c r="K1091" t="s">
        <v>3374</v>
      </c>
      <c r="L1091" t="s">
        <v>3438</v>
      </c>
      <c r="M1091">
        <v>198000</v>
      </c>
      <c r="N1091" s="10">
        <v>1.619E-2</v>
      </c>
      <c r="O1091" s="10">
        <f t="shared" si="120"/>
        <v>3205.62</v>
      </c>
      <c r="P1091" s="10">
        <v>0</v>
      </c>
      <c r="Q1091" s="10">
        <v>0</v>
      </c>
      <c r="R1091" s="10">
        <f>IF(COUNTIF($J$2:J1091,J1091)=1,SUMIFS($O:$O,$J:$J,J1091)+SUMIFS($P:$P,$J:$J,J1091)+SUMIFS($Q:$Q,$J:$J,J1091),"")</f>
        <v>3210.9847099999997</v>
      </c>
      <c r="S1091" s="10">
        <v>3219.5499999999997</v>
      </c>
      <c r="T1091" s="11" t="str">
        <f t="shared" ref="T1091:T1154" si="123">IFERROR(INDEX(AD:AD,MATCH(J1091,J:J,0)),"")</f>
        <v>Check</v>
      </c>
      <c r="U1091" s="12">
        <v>46099</v>
      </c>
      <c r="V1091" s="10">
        <v>8.57</v>
      </c>
      <c r="W1091" s="10" t="str">
        <f t="shared" si="121"/>
        <v>Short Paid</v>
      </c>
      <c r="X1091" t="s">
        <v>478</v>
      </c>
      <c r="Y1091" t="s">
        <v>436</v>
      </c>
      <c r="Z1091">
        <v>100132</v>
      </c>
      <c r="AA1091" t="s">
        <v>3053</v>
      </c>
      <c r="AB1091" t="s">
        <v>3042</v>
      </c>
      <c r="AC1091" s="9">
        <v>2</v>
      </c>
      <c r="AD1091" s="9" t="str">
        <f t="shared" si="122"/>
        <v>Check</v>
      </c>
      <c r="AE1091" s="11">
        <f t="shared" si="119"/>
        <v>-8.5652900000000045</v>
      </c>
    </row>
    <row r="1092" spans="1:31" x14ac:dyDescent="0.3">
      <c r="A1092">
        <v>55</v>
      </c>
      <c r="B1092">
        <v>4675527</v>
      </c>
      <c r="C1092" t="s">
        <v>240</v>
      </c>
      <c r="D1092">
        <v>1818207</v>
      </c>
      <c r="E1092" t="s">
        <v>694</v>
      </c>
      <c r="F1092" t="s">
        <v>50</v>
      </c>
      <c r="G1092" t="s">
        <v>1043</v>
      </c>
      <c r="H1092" t="s">
        <v>1044</v>
      </c>
      <c r="I1092" t="s">
        <v>3439</v>
      </c>
      <c r="J1092">
        <v>51143261807</v>
      </c>
      <c r="K1092" t="s">
        <v>4094</v>
      </c>
      <c r="L1092" t="s">
        <v>4093</v>
      </c>
      <c r="M1092">
        <v>1</v>
      </c>
      <c r="N1092" s="10">
        <v>5.3647099999999996</v>
      </c>
      <c r="O1092" s="10">
        <f t="shared" si="120"/>
        <v>5.3647099999999996</v>
      </c>
      <c r="P1092" s="10" t="s">
        <v>5006</v>
      </c>
      <c r="Q1092" s="10" t="s">
        <v>5006</v>
      </c>
      <c r="R1092" s="10" t="str">
        <f>IF(COUNTIF($J$2:J1092,J1092)=1,SUMIFS($O:$O,$J:$J,J1092)+SUMIFS($P:$P,$J:$J,J1092)+SUMIFS($Q:$Q,$J:$J,J1092),"")</f>
        <v/>
      </c>
      <c r="S1092" s="10" t="s">
        <v>5006</v>
      </c>
      <c r="T1092" s="11" t="str">
        <f t="shared" si="123"/>
        <v>Check</v>
      </c>
      <c r="U1092" s="12">
        <v>46099</v>
      </c>
      <c r="V1092" s="10">
        <v>8.57</v>
      </c>
      <c r="W1092" s="10" t="str">
        <f t="shared" si="121"/>
        <v>N/A</v>
      </c>
      <c r="X1092" t="s">
        <v>478</v>
      </c>
      <c r="Y1092" t="s">
        <v>436</v>
      </c>
      <c r="Z1092">
        <v>100132</v>
      </c>
      <c r="AA1092" t="s">
        <v>3053</v>
      </c>
      <c r="AB1092" t="s">
        <v>3042</v>
      </c>
      <c r="AC1092" s="9">
        <v>2</v>
      </c>
      <c r="AD1092" s="9" t="str">
        <f t="shared" si="122"/>
        <v>N/A</v>
      </c>
      <c r="AE1092" s="11" t="e">
        <f t="shared" si="119"/>
        <v>#VALUE!</v>
      </c>
    </row>
    <row r="1093" spans="1:31" x14ac:dyDescent="0.3">
      <c r="A1093">
        <v>77</v>
      </c>
      <c r="B1093">
        <v>4623766</v>
      </c>
      <c r="C1093" t="s">
        <v>167</v>
      </c>
      <c r="D1093">
        <v>1235549</v>
      </c>
      <c r="E1093" t="s">
        <v>168</v>
      </c>
      <c r="F1093" t="s">
        <v>3807</v>
      </c>
      <c r="G1093" t="s">
        <v>900</v>
      </c>
      <c r="H1093" t="s">
        <v>901</v>
      </c>
      <c r="I1093" t="s">
        <v>3453</v>
      </c>
      <c r="J1093">
        <v>51143318033</v>
      </c>
      <c r="K1093" t="s">
        <v>3362</v>
      </c>
      <c r="L1093" t="s">
        <v>3832</v>
      </c>
      <c r="M1093">
        <v>4</v>
      </c>
      <c r="N1093" s="10">
        <v>28700.68</v>
      </c>
      <c r="O1093" s="10">
        <f t="shared" si="120"/>
        <v>114802.72</v>
      </c>
      <c r="P1093" s="10">
        <v>32.64</v>
      </c>
      <c r="Q1093" s="10" t="s">
        <v>5006</v>
      </c>
      <c r="R1093" s="10">
        <f>IF(COUNTIF($J$2:J1093,J1093)=1,SUMIFS($O:$O,$J:$J,J1093)+SUMIFS($P:$P,$J:$J,J1093)+SUMIFS($Q:$Q,$J:$J,J1093),"")</f>
        <v>114837.36</v>
      </c>
      <c r="S1093" s="10">
        <v>114863.67999999999</v>
      </c>
      <c r="T1093" s="11" t="str">
        <f t="shared" si="123"/>
        <v>Check</v>
      </c>
      <c r="U1093" s="12">
        <v>45889</v>
      </c>
      <c r="V1093" s="10">
        <v>132.63999999999999</v>
      </c>
      <c r="W1093" s="10" t="str">
        <f t="shared" si="121"/>
        <v>Short Paid</v>
      </c>
      <c r="X1093" t="s">
        <v>455</v>
      </c>
      <c r="Y1093" t="s">
        <v>40</v>
      </c>
      <c r="Z1093">
        <v>100140</v>
      </c>
      <c r="AA1093" t="s">
        <v>3050</v>
      </c>
      <c r="AB1093" t="s">
        <v>3808</v>
      </c>
      <c r="AC1093" s="9">
        <v>2</v>
      </c>
      <c r="AD1093" s="9" t="str">
        <f t="shared" si="122"/>
        <v>Check</v>
      </c>
      <c r="AE1093" s="11">
        <f t="shared" si="119"/>
        <v>-26.319999999992433</v>
      </c>
    </row>
    <row r="1094" spans="1:31" x14ac:dyDescent="0.3">
      <c r="A1094">
        <v>77</v>
      </c>
      <c r="B1094">
        <v>4623766</v>
      </c>
      <c r="C1094" t="s">
        <v>167</v>
      </c>
      <c r="D1094">
        <v>1235549</v>
      </c>
      <c r="E1094" t="s">
        <v>168</v>
      </c>
      <c r="F1094" t="s">
        <v>3807</v>
      </c>
      <c r="G1094" t="s">
        <v>900</v>
      </c>
      <c r="H1094" t="s">
        <v>901</v>
      </c>
      <c r="I1094" t="s">
        <v>3453</v>
      </c>
      <c r="J1094">
        <v>51143318033</v>
      </c>
      <c r="K1094" t="s">
        <v>3183</v>
      </c>
      <c r="L1094" t="s">
        <v>3816</v>
      </c>
      <c r="M1094">
        <v>8</v>
      </c>
      <c r="N1094" s="10">
        <v>0.25</v>
      </c>
      <c r="O1094" s="10">
        <f t="shared" si="120"/>
        <v>2</v>
      </c>
      <c r="P1094" s="10" t="s">
        <v>5006</v>
      </c>
      <c r="Q1094" s="10" t="s">
        <v>5006</v>
      </c>
      <c r="R1094" s="10" t="str">
        <f>IF(COUNTIF($J$2:J1094,J1094)=1,SUMIFS($O:$O,$J:$J,J1094)+SUMIFS($P:$P,$J:$J,J1094)+SUMIFS($Q:$Q,$J:$J,J1094),"")</f>
        <v/>
      </c>
      <c r="S1094" s="10" t="s">
        <v>5006</v>
      </c>
      <c r="T1094" s="11" t="str">
        <f t="shared" si="123"/>
        <v>Check</v>
      </c>
      <c r="U1094" s="12">
        <v>45889</v>
      </c>
      <c r="V1094" s="10">
        <v>132.63999999999999</v>
      </c>
      <c r="W1094" s="10" t="str">
        <f t="shared" si="121"/>
        <v>N/A</v>
      </c>
      <c r="X1094" t="s">
        <v>455</v>
      </c>
      <c r="Y1094" t="s">
        <v>40</v>
      </c>
      <c r="Z1094">
        <v>100140</v>
      </c>
      <c r="AA1094" t="s">
        <v>3050</v>
      </c>
      <c r="AB1094" t="s">
        <v>3808</v>
      </c>
      <c r="AC1094" s="9">
        <v>2</v>
      </c>
      <c r="AD1094" s="9" t="str">
        <f t="shared" si="122"/>
        <v>N/A</v>
      </c>
      <c r="AE1094" s="11" t="e">
        <f t="shared" si="119"/>
        <v>#VALUE!</v>
      </c>
    </row>
    <row r="1095" spans="1:31" x14ac:dyDescent="0.3">
      <c r="A1095">
        <v>52</v>
      </c>
      <c r="B1095">
        <v>4683041</v>
      </c>
      <c r="C1095" t="s">
        <v>167</v>
      </c>
      <c r="D1095">
        <v>1139721</v>
      </c>
      <c r="E1095" t="s">
        <v>547</v>
      </c>
      <c r="F1095" t="s">
        <v>20</v>
      </c>
      <c r="G1095" t="s">
        <v>1069</v>
      </c>
      <c r="H1095" t="s">
        <v>1070</v>
      </c>
      <c r="I1095" t="s">
        <v>3402</v>
      </c>
      <c r="J1095">
        <v>51143400650</v>
      </c>
      <c r="K1095" t="s">
        <v>3351</v>
      </c>
      <c r="L1095" t="s">
        <v>3974</v>
      </c>
      <c r="M1095">
        <v>4000</v>
      </c>
      <c r="N1095" s="10">
        <v>0.3926</v>
      </c>
      <c r="O1095" s="10">
        <f t="shared" si="120"/>
        <v>1570.4</v>
      </c>
      <c r="P1095" s="10">
        <v>0</v>
      </c>
      <c r="Q1095" s="10">
        <v>0</v>
      </c>
      <c r="R1095" s="10">
        <f>IF(COUNTIF($J$2:J1095,J1095)=1,SUMIFS($O:$O,$J:$J,J1095)+SUMIFS($P:$P,$J:$J,J1095)+SUMIFS($Q:$Q,$J:$J,J1095),"")</f>
        <v>5228.3999999999996</v>
      </c>
      <c r="S1095" s="10">
        <v>5228.3999999999996</v>
      </c>
      <c r="T1095" s="11" t="str">
        <f t="shared" si="123"/>
        <v>Ok</v>
      </c>
      <c r="U1095" s="12">
        <v>46003</v>
      </c>
      <c r="V1095" s="10">
        <v>3658</v>
      </c>
      <c r="W1095" s="10" t="str">
        <f t="shared" si="121"/>
        <v>Short Paid</v>
      </c>
      <c r="X1095" t="s">
        <v>455</v>
      </c>
      <c r="Y1095" t="s">
        <v>28</v>
      </c>
      <c r="Z1095">
        <v>100280</v>
      </c>
      <c r="AA1095" t="s">
        <v>465</v>
      </c>
      <c r="AB1095" t="s">
        <v>521</v>
      </c>
      <c r="AC1095" s="9">
        <v>2</v>
      </c>
      <c r="AD1095" s="9" t="str">
        <f t="shared" si="122"/>
        <v>Ok</v>
      </c>
      <c r="AE1095" s="11">
        <f t="shared" ref="AE1095:AE1158" si="124">R1095-S1095</f>
        <v>0</v>
      </c>
    </row>
    <row r="1096" spans="1:31" x14ac:dyDescent="0.3">
      <c r="A1096">
        <v>52</v>
      </c>
      <c r="B1096">
        <v>4683041</v>
      </c>
      <c r="C1096" t="s">
        <v>167</v>
      </c>
      <c r="D1096">
        <v>1139721</v>
      </c>
      <c r="E1096" t="s">
        <v>547</v>
      </c>
      <c r="F1096" t="s">
        <v>20</v>
      </c>
      <c r="G1096" t="s">
        <v>1069</v>
      </c>
      <c r="H1096" t="s">
        <v>1070</v>
      </c>
      <c r="I1096" t="s">
        <v>3390</v>
      </c>
      <c r="J1096">
        <v>51143400650</v>
      </c>
      <c r="K1096" t="s">
        <v>3209</v>
      </c>
      <c r="L1096" t="s">
        <v>4095</v>
      </c>
      <c r="M1096">
        <v>3100</v>
      </c>
      <c r="N1096" s="10">
        <v>1.18</v>
      </c>
      <c r="O1096" s="10">
        <f t="shared" si="120"/>
        <v>3658</v>
      </c>
      <c r="P1096" s="10" t="s">
        <v>5006</v>
      </c>
      <c r="Q1096" s="10" t="s">
        <v>5006</v>
      </c>
      <c r="R1096" s="10" t="str">
        <f>IF(COUNTIF($J$2:J1096,J1096)=1,SUMIFS($O:$O,$J:$J,J1096)+SUMIFS($P:$P,$J:$J,J1096)+SUMIFS($Q:$Q,$J:$J,J1096),"")</f>
        <v/>
      </c>
      <c r="S1096" s="10" t="s">
        <v>5006</v>
      </c>
      <c r="T1096" s="11" t="str">
        <f t="shared" si="123"/>
        <v>Ok</v>
      </c>
      <c r="U1096" s="12">
        <v>46003</v>
      </c>
      <c r="V1096" s="10">
        <v>3658</v>
      </c>
      <c r="W1096" s="10" t="str">
        <f t="shared" si="121"/>
        <v>N/A</v>
      </c>
      <c r="X1096" t="s">
        <v>455</v>
      </c>
      <c r="Y1096" t="s">
        <v>28</v>
      </c>
      <c r="Z1096">
        <v>100280</v>
      </c>
      <c r="AA1096" t="s">
        <v>465</v>
      </c>
      <c r="AB1096" t="s">
        <v>521</v>
      </c>
      <c r="AC1096" s="9">
        <v>2</v>
      </c>
      <c r="AD1096" s="9" t="str">
        <f t="shared" si="122"/>
        <v>N/A</v>
      </c>
      <c r="AE1096" s="11" t="e">
        <f t="shared" si="124"/>
        <v>#VALUE!</v>
      </c>
    </row>
    <row r="1097" spans="1:31" x14ac:dyDescent="0.3">
      <c r="A1097">
        <v>53</v>
      </c>
      <c r="B1097">
        <v>4677754</v>
      </c>
      <c r="C1097" t="s">
        <v>60</v>
      </c>
      <c r="D1097">
        <v>1507694</v>
      </c>
      <c r="E1097" t="s">
        <v>351</v>
      </c>
      <c r="F1097" t="s">
        <v>20</v>
      </c>
      <c r="G1097" t="s">
        <v>1057</v>
      </c>
      <c r="H1097" t="s">
        <v>1058</v>
      </c>
      <c r="I1097" t="s">
        <v>3181</v>
      </c>
      <c r="J1097">
        <v>51143414549</v>
      </c>
      <c r="K1097" t="s">
        <v>4097</v>
      </c>
      <c r="L1097" t="s">
        <v>4096</v>
      </c>
      <c r="M1097">
        <v>1</v>
      </c>
      <c r="N1097" s="10">
        <v>1299</v>
      </c>
      <c r="O1097" s="10">
        <f t="shared" si="120"/>
        <v>1299</v>
      </c>
      <c r="P1097" s="10">
        <v>0</v>
      </c>
      <c r="Q1097" s="10">
        <v>0</v>
      </c>
      <c r="R1097" s="10">
        <f>IF(COUNTIF($J$2:J1097,J1097)=1,SUMIFS($O:$O,$J:$J,J1097)+SUMIFS($P:$P,$J:$J,J1097)+SUMIFS($Q:$Q,$J:$J,J1097),"")</f>
        <v>3443</v>
      </c>
      <c r="S1097" s="10">
        <v>3443</v>
      </c>
      <c r="T1097" s="11" t="str">
        <f t="shared" si="123"/>
        <v>Ok</v>
      </c>
      <c r="U1097" s="12">
        <v>45743</v>
      </c>
      <c r="V1097" s="10">
        <v>1299</v>
      </c>
      <c r="W1097" s="10" t="str">
        <f t="shared" si="121"/>
        <v>Short Paid</v>
      </c>
      <c r="X1097" t="s">
        <v>438</v>
      </c>
      <c r="Y1097" t="s">
        <v>28</v>
      </c>
      <c r="Z1097">
        <v>100113</v>
      </c>
      <c r="AA1097" t="s">
        <v>449</v>
      </c>
      <c r="AB1097" t="s">
        <v>521</v>
      </c>
      <c r="AC1097" s="9">
        <v>2</v>
      </c>
      <c r="AD1097" s="9" t="str">
        <f t="shared" si="122"/>
        <v>Ok</v>
      </c>
      <c r="AE1097" s="11">
        <f t="shared" si="124"/>
        <v>0</v>
      </c>
    </row>
    <row r="1098" spans="1:31" x14ac:dyDescent="0.3">
      <c r="A1098">
        <v>53</v>
      </c>
      <c r="B1098">
        <v>4677754</v>
      </c>
      <c r="C1098" t="s">
        <v>60</v>
      </c>
      <c r="D1098">
        <v>1507694</v>
      </c>
      <c r="E1098" t="s">
        <v>351</v>
      </c>
      <c r="F1098" t="s">
        <v>20</v>
      </c>
      <c r="G1098" t="s">
        <v>1057</v>
      </c>
      <c r="H1098" t="s">
        <v>1058</v>
      </c>
      <c r="I1098" t="s">
        <v>3435</v>
      </c>
      <c r="J1098">
        <v>51143414549</v>
      </c>
      <c r="K1098" t="s">
        <v>3246</v>
      </c>
      <c r="L1098" t="s">
        <v>3445</v>
      </c>
      <c r="M1098">
        <v>8000</v>
      </c>
      <c r="N1098" s="10">
        <v>0.26800000000000002</v>
      </c>
      <c r="O1098" s="10">
        <f t="shared" si="120"/>
        <v>2144</v>
      </c>
      <c r="P1098" s="10" t="s">
        <v>5006</v>
      </c>
      <c r="Q1098" s="10" t="s">
        <v>5006</v>
      </c>
      <c r="R1098" s="10" t="str">
        <f>IF(COUNTIF($J$2:J1098,J1098)=1,SUMIFS($O:$O,$J:$J,J1098)+SUMIFS($P:$P,$J:$J,J1098)+SUMIFS($Q:$Q,$J:$J,J1098),"")</f>
        <v/>
      </c>
      <c r="S1098" s="10" t="s">
        <v>5006</v>
      </c>
      <c r="T1098" s="11" t="str">
        <f t="shared" si="123"/>
        <v>Ok</v>
      </c>
      <c r="U1098" s="12">
        <v>45743</v>
      </c>
      <c r="V1098" s="10">
        <v>1299</v>
      </c>
      <c r="W1098" s="10" t="str">
        <f t="shared" si="121"/>
        <v>N/A</v>
      </c>
      <c r="X1098" t="s">
        <v>438</v>
      </c>
      <c r="Y1098" t="s">
        <v>28</v>
      </c>
      <c r="Z1098">
        <v>100113</v>
      </c>
      <c r="AA1098" t="s">
        <v>449</v>
      </c>
      <c r="AB1098" t="s">
        <v>521</v>
      </c>
      <c r="AC1098" s="9">
        <v>2</v>
      </c>
      <c r="AD1098" s="9" t="str">
        <f t="shared" si="122"/>
        <v>N/A</v>
      </c>
      <c r="AE1098" s="11" t="e">
        <f t="shared" si="124"/>
        <v>#VALUE!</v>
      </c>
    </row>
    <row r="1099" spans="1:31" x14ac:dyDescent="0.3">
      <c r="A1099">
        <v>56</v>
      </c>
      <c r="B1099">
        <v>4673858</v>
      </c>
      <c r="C1099" t="s">
        <v>217</v>
      </c>
      <c r="D1099">
        <v>1137181</v>
      </c>
      <c r="E1099" t="s">
        <v>693</v>
      </c>
      <c r="F1099" t="s">
        <v>19</v>
      </c>
      <c r="G1099" t="s">
        <v>2739</v>
      </c>
      <c r="H1099" t="s">
        <v>1042</v>
      </c>
      <c r="I1099" t="s">
        <v>3494</v>
      </c>
      <c r="J1099">
        <v>51143484823</v>
      </c>
      <c r="K1099" t="s">
        <v>3207</v>
      </c>
      <c r="L1099" t="s">
        <v>3346</v>
      </c>
      <c r="M1099">
        <v>31500</v>
      </c>
      <c r="N1099" s="10">
        <v>6.6000000000000003E-2</v>
      </c>
      <c r="O1099" s="10">
        <f t="shared" si="120"/>
        <v>2079</v>
      </c>
      <c r="P1099" s="10">
        <v>0</v>
      </c>
      <c r="Q1099" s="10">
        <v>0</v>
      </c>
      <c r="R1099" s="10">
        <f>IF(COUNTIF($J$2:J1099,J1099)=1,SUMIFS($O:$O,$J:$J,J1099)+SUMIFS($P:$P,$J:$J,J1099)+SUMIFS($Q:$Q,$J:$J,J1099),"")</f>
        <v>105577.89</v>
      </c>
      <c r="S1099" s="10">
        <v>112773</v>
      </c>
      <c r="T1099" s="11" t="str">
        <f t="shared" si="123"/>
        <v>Check</v>
      </c>
      <c r="U1099" s="12">
        <v>46085</v>
      </c>
      <c r="V1099" s="10">
        <v>110694</v>
      </c>
      <c r="W1099" s="10" t="str">
        <f t="shared" si="121"/>
        <v>Short Paid</v>
      </c>
      <c r="X1099" t="s">
        <v>468</v>
      </c>
      <c r="Y1099" t="s">
        <v>28</v>
      </c>
      <c r="Z1099">
        <v>100236</v>
      </c>
      <c r="AA1099" t="s">
        <v>3059</v>
      </c>
      <c r="AB1099" t="s">
        <v>524</v>
      </c>
      <c r="AC1099" s="9">
        <v>2</v>
      </c>
      <c r="AD1099" s="9" t="str">
        <f t="shared" si="122"/>
        <v>Check</v>
      </c>
      <c r="AE1099" s="11">
        <f t="shared" si="124"/>
        <v>-7195.1100000000006</v>
      </c>
    </row>
    <row r="1100" spans="1:31" x14ac:dyDescent="0.3">
      <c r="A1100">
        <v>56</v>
      </c>
      <c r="B1100">
        <v>4673858</v>
      </c>
      <c r="C1100" t="s">
        <v>217</v>
      </c>
      <c r="D1100">
        <v>1137181</v>
      </c>
      <c r="E1100" t="s">
        <v>693</v>
      </c>
      <c r="F1100" t="s">
        <v>19</v>
      </c>
      <c r="G1100" t="s">
        <v>2739</v>
      </c>
      <c r="H1100" t="s">
        <v>1042</v>
      </c>
      <c r="I1100" t="s">
        <v>3435</v>
      </c>
      <c r="J1100">
        <v>51143484823</v>
      </c>
      <c r="K1100" t="s">
        <v>3194</v>
      </c>
      <c r="L1100" t="s">
        <v>4098</v>
      </c>
      <c r="M1100">
        <v>561</v>
      </c>
      <c r="N1100" s="10">
        <v>184.49</v>
      </c>
      <c r="O1100" s="10">
        <f t="shared" si="120"/>
        <v>103498.89</v>
      </c>
      <c r="P1100" s="10" t="s">
        <v>5006</v>
      </c>
      <c r="Q1100" s="10" t="s">
        <v>5006</v>
      </c>
      <c r="R1100" s="10" t="str">
        <f>IF(COUNTIF($J$2:J1100,J1100)=1,SUMIFS($O:$O,$J:$J,J1100)+SUMIFS($P:$P,$J:$J,J1100)+SUMIFS($Q:$Q,$J:$J,J1100),"")</f>
        <v/>
      </c>
      <c r="S1100" s="10" t="s">
        <v>5006</v>
      </c>
      <c r="T1100" s="11" t="str">
        <f t="shared" si="123"/>
        <v>Check</v>
      </c>
      <c r="U1100" s="12">
        <v>46085</v>
      </c>
      <c r="V1100" s="10">
        <v>110694</v>
      </c>
      <c r="W1100" s="10" t="str">
        <f t="shared" si="121"/>
        <v>N/A</v>
      </c>
      <c r="X1100" t="s">
        <v>468</v>
      </c>
      <c r="Y1100" t="s">
        <v>28</v>
      </c>
      <c r="Z1100">
        <v>100236</v>
      </c>
      <c r="AA1100" t="s">
        <v>3059</v>
      </c>
      <c r="AB1100" t="s">
        <v>524</v>
      </c>
      <c r="AC1100" s="9">
        <v>2</v>
      </c>
      <c r="AD1100" s="9" t="str">
        <f t="shared" si="122"/>
        <v>N/A</v>
      </c>
      <c r="AE1100" s="11" t="e">
        <f t="shared" si="124"/>
        <v>#VALUE!</v>
      </c>
    </row>
    <row r="1101" spans="1:31" x14ac:dyDescent="0.3">
      <c r="A1101">
        <v>56</v>
      </c>
      <c r="B1101">
        <v>4673579</v>
      </c>
      <c r="C1101" t="s">
        <v>239</v>
      </c>
      <c r="D1101">
        <v>1043711</v>
      </c>
      <c r="E1101" t="s">
        <v>539</v>
      </c>
      <c r="F1101" t="s">
        <v>19</v>
      </c>
      <c r="G1101" t="s">
        <v>2737</v>
      </c>
      <c r="H1101" t="s">
        <v>2738</v>
      </c>
      <c r="I1101" t="s">
        <v>3277</v>
      </c>
      <c r="J1101">
        <v>51143484834</v>
      </c>
      <c r="K1101" t="s">
        <v>3314</v>
      </c>
      <c r="L1101" t="s">
        <v>4099</v>
      </c>
      <c r="M1101">
        <v>500</v>
      </c>
      <c r="N1101" s="10">
        <v>0.2303</v>
      </c>
      <c r="O1101" s="10">
        <f t="shared" si="120"/>
        <v>115.15</v>
      </c>
      <c r="P1101" s="10">
        <v>5.76</v>
      </c>
      <c r="Q1101" s="10">
        <v>0</v>
      </c>
      <c r="R1101" s="10">
        <f>IF(COUNTIF($J$2:J1101,J1101)=1,SUMIFS($O:$O,$J:$J,J1101)+SUMIFS($P:$P,$J:$J,J1101)+SUMIFS($Q:$Q,$J:$J,J1101),"")</f>
        <v>973.50999999999988</v>
      </c>
      <c r="S1101" s="10">
        <v>1217.1100000000001</v>
      </c>
      <c r="T1101" s="11" t="str">
        <f t="shared" si="123"/>
        <v>Check</v>
      </c>
      <c r="U1101" s="12">
        <v>46022</v>
      </c>
      <c r="V1101" s="10">
        <v>120.91</v>
      </c>
      <c r="W1101" s="10" t="str">
        <f t="shared" si="121"/>
        <v>Short Paid</v>
      </c>
      <c r="X1101" t="s">
        <v>476</v>
      </c>
      <c r="Y1101" t="s">
        <v>28</v>
      </c>
      <c r="Z1101">
        <v>100205</v>
      </c>
      <c r="AA1101" t="s">
        <v>3075</v>
      </c>
      <c r="AB1101" t="s">
        <v>524</v>
      </c>
      <c r="AC1101" s="9">
        <v>2</v>
      </c>
      <c r="AD1101" s="9" t="str">
        <f t="shared" si="122"/>
        <v>Check</v>
      </c>
      <c r="AE1101" s="11">
        <f t="shared" si="124"/>
        <v>-243.60000000000025</v>
      </c>
    </row>
    <row r="1102" spans="1:31" x14ac:dyDescent="0.3">
      <c r="A1102">
        <v>56</v>
      </c>
      <c r="B1102">
        <v>4673579</v>
      </c>
      <c r="C1102" t="s">
        <v>239</v>
      </c>
      <c r="D1102">
        <v>1043711</v>
      </c>
      <c r="E1102" t="s">
        <v>539</v>
      </c>
      <c r="F1102" t="s">
        <v>19</v>
      </c>
      <c r="G1102" t="s">
        <v>2737</v>
      </c>
      <c r="H1102" t="s">
        <v>2738</v>
      </c>
      <c r="I1102" t="s">
        <v>3419</v>
      </c>
      <c r="J1102">
        <v>51143484834</v>
      </c>
      <c r="K1102" t="s">
        <v>3386</v>
      </c>
      <c r="L1102" t="s">
        <v>3385</v>
      </c>
      <c r="M1102">
        <v>21000</v>
      </c>
      <c r="N1102" s="10">
        <v>4.0599999999999997E-2</v>
      </c>
      <c r="O1102" s="10">
        <f t="shared" si="120"/>
        <v>852.59999999999991</v>
      </c>
      <c r="P1102" s="10" t="s">
        <v>5006</v>
      </c>
      <c r="Q1102" s="10" t="s">
        <v>5006</v>
      </c>
      <c r="R1102" s="10" t="str">
        <f>IF(COUNTIF($J$2:J1102,J1102)=1,SUMIFS($O:$O,$J:$J,J1102)+SUMIFS($P:$P,$J:$J,J1102)+SUMIFS($Q:$Q,$J:$J,J1102),"")</f>
        <v/>
      </c>
      <c r="S1102" s="10" t="s">
        <v>5006</v>
      </c>
      <c r="T1102" s="11" t="str">
        <f t="shared" si="123"/>
        <v>Check</v>
      </c>
      <c r="U1102" s="12">
        <v>46022</v>
      </c>
      <c r="V1102" s="10">
        <v>120.91</v>
      </c>
      <c r="W1102" s="10" t="str">
        <f t="shared" si="121"/>
        <v>N/A</v>
      </c>
      <c r="X1102" t="s">
        <v>476</v>
      </c>
      <c r="Y1102" t="s">
        <v>28</v>
      </c>
      <c r="Z1102">
        <v>100205</v>
      </c>
      <c r="AA1102" t="s">
        <v>3075</v>
      </c>
      <c r="AB1102" t="s">
        <v>524</v>
      </c>
      <c r="AC1102" s="9">
        <v>2</v>
      </c>
      <c r="AD1102" s="9" t="str">
        <f t="shared" si="122"/>
        <v>N/A</v>
      </c>
      <c r="AE1102" s="11" t="e">
        <f t="shared" si="124"/>
        <v>#VALUE!</v>
      </c>
    </row>
    <row r="1103" spans="1:31" x14ac:dyDescent="0.3">
      <c r="A1103">
        <v>53</v>
      </c>
      <c r="B1103">
        <v>4677197</v>
      </c>
      <c r="C1103" t="s">
        <v>239</v>
      </c>
      <c r="D1103">
        <v>1833486</v>
      </c>
      <c r="E1103" t="s">
        <v>697</v>
      </c>
      <c r="F1103" t="s">
        <v>19</v>
      </c>
      <c r="G1103" t="s">
        <v>1053</v>
      </c>
      <c r="H1103" t="s">
        <v>1054</v>
      </c>
      <c r="I1103" t="s">
        <v>3285</v>
      </c>
      <c r="J1103">
        <v>51143486101</v>
      </c>
      <c r="K1103" t="s">
        <v>3226</v>
      </c>
      <c r="L1103" t="s">
        <v>4100</v>
      </c>
      <c r="M1103">
        <v>4000</v>
      </c>
      <c r="N1103" s="10">
        <v>0.45800000000000002</v>
      </c>
      <c r="O1103" s="10">
        <f t="shared" si="120"/>
        <v>1832</v>
      </c>
      <c r="P1103" s="10">
        <v>0</v>
      </c>
      <c r="Q1103" s="10">
        <v>0</v>
      </c>
      <c r="R1103" s="10">
        <f>IF(COUNTIF($J$2:J1103,J1103)=1,SUMIFS($O:$O,$J:$J,J1103)+SUMIFS($P:$P,$J:$J,J1103)+SUMIFS($Q:$Q,$J:$J,J1103),"")</f>
        <v>1898.68</v>
      </c>
      <c r="S1103" s="10">
        <v>1898.68</v>
      </c>
      <c r="T1103" s="11" t="str">
        <f t="shared" si="123"/>
        <v>Ok</v>
      </c>
      <c r="U1103" s="12">
        <v>46058</v>
      </c>
      <c r="V1103" s="10">
        <v>66.680000000000007</v>
      </c>
      <c r="W1103" s="10" t="str">
        <f t="shared" si="121"/>
        <v>Short Paid</v>
      </c>
      <c r="X1103" t="s">
        <v>476</v>
      </c>
      <c r="Y1103" t="s">
        <v>28</v>
      </c>
      <c r="Z1103">
        <v>100275</v>
      </c>
      <c r="AA1103" t="s">
        <v>492</v>
      </c>
      <c r="AB1103" t="s">
        <v>524</v>
      </c>
      <c r="AC1103" s="9">
        <v>2</v>
      </c>
      <c r="AD1103" s="9" t="str">
        <f t="shared" si="122"/>
        <v>Ok</v>
      </c>
      <c r="AE1103" s="11">
        <f t="shared" si="124"/>
        <v>0</v>
      </c>
    </row>
    <row r="1104" spans="1:31" x14ac:dyDescent="0.3">
      <c r="A1104">
        <v>53</v>
      </c>
      <c r="B1104">
        <v>4677197</v>
      </c>
      <c r="C1104" t="s">
        <v>239</v>
      </c>
      <c r="D1104">
        <v>1833486</v>
      </c>
      <c r="E1104" t="s">
        <v>697</v>
      </c>
      <c r="F1104" t="s">
        <v>19</v>
      </c>
      <c r="G1104" t="s">
        <v>1053</v>
      </c>
      <c r="H1104" t="s">
        <v>1054</v>
      </c>
      <c r="I1104" t="s">
        <v>3432</v>
      </c>
      <c r="J1104">
        <v>51143486101</v>
      </c>
      <c r="K1104" t="s">
        <v>3276</v>
      </c>
      <c r="L1104" t="s">
        <v>4101</v>
      </c>
      <c r="M1104">
        <v>1</v>
      </c>
      <c r="N1104" s="10">
        <v>66.680000000000007</v>
      </c>
      <c r="O1104" s="10">
        <f t="shared" si="120"/>
        <v>66.680000000000007</v>
      </c>
      <c r="P1104" s="10" t="s">
        <v>5006</v>
      </c>
      <c r="Q1104" s="10" t="s">
        <v>5006</v>
      </c>
      <c r="R1104" s="10" t="str">
        <f>IF(COUNTIF($J$2:J1104,J1104)=1,SUMIFS($O:$O,$J:$J,J1104)+SUMIFS($P:$P,$J:$J,J1104)+SUMIFS($Q:$Q,$J:$J,J1104),"")</f>
        <v/>
      </c>
      <c r="S1104" s="10" t="s">
        <v>5006</v>
      </c>
      <c r="T1104" s="11" t="str">
        <f t="shared" si="123"/>
        <v>Ok</v>
      </c>
      <c r="U1104" s="12">
        <v>46058</v>
      </c>
      <c r="V1104" s="10">
        <v>66.680000000000007</v>
      </c>
      <c r="W1104" s="10" t="str">
        <f t="shared" si="121"/>
        <v>N/A</v>
      </c>
      <c r="X1104" t="s">
        <v>476</v>
      </c>
      <c r="Y1104" t="s">
        <v>28</v>
      </c>
      <c r="Z1104">
        <v>100275</v>
      </c>
      <c r="AA1104" t="s">
        <v>492</v>
      </c>
      <c r="AB1104" t="s">
        <v>524</v>
      </c>
      <c r="AC1104" s="9">
        <v>2</v>
      </c>
      <c r="AD1104" s="9" t="str">
        <f t="shared" si="122"/>
        <v>N/A</v>
      </c>
      <c r="AE1104" s="11" t="e">
        <f t="shared" si="124"/>
        <v>#VALUE!</v>
      </c>
    </row>
    <row r="1105" spans="1:31" x14ac:dyDescent="0.3">
      <c r="A1105">
        <v>52</v>
      </c>
      <c r="B1105">
        <v>4682763</v>
      </c>
      <c r="C1105" t="s">
        <v>167</v>
      </c>
      <c r="D1105">
        <v>1241713</v>
      </c>
      <c r="E1105" t="s">
        <v>614</v>
      </c>
      <c r="F1105" t="s">
        <v>19</v>
      </c>
      <c r="G1105" t="s">
        <v>1067</v>
      </c>
      <c r="H1105" t="s">
        <v>1068</v>
      </c>
      <c r="I1105" t="s">
        <v>3275</v>
      </c>
      <c r="J1105">
        <v>51143564221</v>
      </c>
      <c r="K1105" t="s">
        <v>3351</v>
      </c>
      <c r="L1105" t="s">
        <v>4102</v>
      </c>
      <c r="M1105">
        <v>150</v>
      </c>
      <c r="N1105" s="10">
        <v>571.31200000000001</v>
      </c>
      <c r="O1105" s="10">
        <f t="shared" si="120"/>
        <v>85696.8</v>
      </c>
      <c r="P1105" s="10">
        <v>0</v>
      </c>
      <c r="Q1105" s="10">
        <v>0</v>
      </c>
      <c r="R1105" s="10">
        <f>IF(COUNTIF($J$2:J1105,J1105)=1,SUMIFS($O:$O,$J:$J,J1105)+SUMIFS($P:$P,$J:$J,J1105)+SUMIFS($Q:$Q,$J:$J,J1105),"")</f>
        <v>86687.360000000001</v>
      </c>
      <c r="S1105" s="10">
        <v>86687.360000000001</v>
      </c>
      <c r="T1105" s="11" t="str">
        <f t="shared" si="123"/>
        <v>Ok</v>
      </c>
      <c r="U1105" s="12">
        <v>46121</v>
      </c>
      <c r="V1105" s="10">
        <v>85696.8</v>
      </c>
      <c r="W1105" s="10" t="str">
        <f t="shared" si="121"/>
        <v>Short Paid</v>
      </c>
      <c r="X1105" t="s">
        <v>455</v>
      </c>
      <c r="Y1105" t="s">
        <v>28</v>
      </c>
      <c r="Z1105">
        <v>100270</v>
      </c>
      <c r="AA1105" t="s">
        <v>464</v>
      </c>
      <c r="AB1105" t="s">
        <v>524</v>
      </c>
      <c r="AC1105" s="9">
        <v>2</v>
      </c>
      <c r="AD1105" s="9" t="str">
        <f t="shared" si="122"/>
        <v>Ok</v>
      </c>
      <c r="AE1105" s="11">
        <f t="shared" si="124"/>
        <v>0</v>
      </c>
    </row>
    <row r="1106" spans="1:31" x14ac:dyDescent="0.3">
      <c r="A1106">
        <v>52</v>
      </c>
      <c r="B1106">
        <v>4682763</v>
      </c>
      <c r="C1106" t="s">
        <v>167</v>
      </c>
      <c r="D1106">
        <v>1241713</v>
      </c>
      <c r="E1106" t="s">
        <v>614</v>
      </c>
      <c r="F1106" t="s">
        <v>19</v>
      </c>
      <c r="G1106" t="s">
        <v>1067</v>
      </c>
      <c r="H1106" t="s">
        <v>1068</v>
      </c>
      <c r="I1106" t="s">
        <v>3247</v>
      </c>
      <c r="J1106">
        <v>51143564221</v>
      </c>
      <c r="K1106" t="s">
        <v>3379</v>
      </c>
      <c r="L1106" t="s">
        <v>3405</v>
      </c>
      <c r="M1106">
        <v>4000</v>
      </c>
      <c r="N1106" s="10">
        <v>0.24764</v>
      </c>
      <c r="O1106" s="10">
        <f t="shared" si="120"/>
        <v>990.56</v>
      </c>
      <c r="P1106" s="10" t="s">
        <v>5006</v>
      </c>
      <c r="Q1106" s="10" t="s">
        <v>5006</v>
      </c>
      <c r="R1106" s="10" t="str">
        <f>IF(COUNTIF($J$2:J1106,J1106)=1,SUMIFS($O:$O,$J:$J,J1106)+SUMIFS($P:$P,$J:$J,J1106)+SUMIFS($Q:$Q,$J:$J,J1106),"")</f>
        <v/>
      </c>
      <c r="S1106" s="10" t="s">
        <v>5006</v>
      </c>
      <c r="T1106" s="11" t="str">
        <f t="shared" si="123"/>
        <v>Ok</v>
      </c>
      <c r="U1106" s="12">
        <v>46121</v>
      </c>
      <c r="V1106" s="10">
        <v>85696.8</v>
      </c>
      <c r="W1106" s="10" t="str">
        <f t="shared" si="121"/>
        <v>N/A</v>
      </c>
      <c r="X1106" t="s">
        <v>455</v>
      </c>
      <c r="Y1106" t="s">
        <v>28</v>
      </c>
      <c r="Z1106">
        <v>100270</v>
      </c>
      <c r="AA1106" t="s">
        <v>464</v>
      </c>
      <c r="AB1106" t="s">
        <v>524</v>
      </c>
      <c r="AC1106" s="9">
        <v>2</v>
      </c>
      <c r="AD1106" s="9" t="str">
        <f t="shared" si="122"/>
        <v>N/A</v>
      </c>
      <c r="AE1106" s="11" t="e">
        <f t="shared" si="124"/>
        <v>#VALUE!</v>
      </c>
    </row>
    <row r="1107" spans="1:31" x14ac:dyDescent="0.3">
      <c r="A1107">
        <v>53</v>
      </c>
      <c r="B1107">
        <v>4677475</v>
      </c>
      <c r="C1107" t="s">
        <v>60</v>
      </c>
      <c r="D1107">
        <v>1507694</v>
      </c>
      <c r="E1107" t="s">
        <v>351</v>
      </c>
      <c r="F1107" t="s">
        <v>20</v>
      </c>
      <c r="G1107" t="s">
        <v>1055</v>
      </c>
      <c r="H1107" t="s">
        <v>1056</v>
      </c>
      <c r="I1107" t="s">
        <v>3254</v>
      </c>
      <c r="J1107">
        <v>51143582650</v>
      </c>
      <c r="K1107" t="s">
        <v>3203</v>
      </c>
      <c r="L1107" t="s">
        <v>3422</v>
      </c>
      <c r="M1107">
        <v>27000</v>
      </c>
      <c r="N1107" s="10">
        <v>8.5099999999999995E-2</v>
      </c>
      <c r="O1107" s="10">
        <f t="shared" si="120"/>
        <v>2297.6999999999998</v>
      </c>
      <c r="P1107" s="10">
        <v>0</v>
      </c>
      <c r="Q1107" s="10">
        <v>334.97</v>
      </c>
      <c r="R1107" s="10">
        <f>IF(COUNTIF($J$2:J1107,J1107)=1,SUMIFS($O:$O,$J:$J,J1107)+SUMIFS($P:$P,$J:$J,J1107)+SUMIFS($Q:$Q,$J:$J,J1107),"")</f>
        <v>3411.67</v>
      </c>
      <c r="S1107" s="10">
        <v>3411.67</v>
      </c>
      <c r="T1107" s="11" t="str">
        <f t="shared" si="123"/>
        <v>Ok</v>
      </c>
      <c r="U1107" s="12">
        <v>45733</v>
      </c>
      <c r="V1107" s="10">
        <v>1113.97</v>
      </c>
      <c r="W1107" s="10" t="str">
        <f t="shared" si="121"/>
        <v>Short Paid</v>
      </c>
      <c r="X1107" t="s">
        <v>438</v>
      </c>
      <c r="Y1107" t="s">
        <v>28</v>
      </c>
      <c r="Z1107">
        <v>100283</v>
      </c>
      <c r="AA1107" t="s">
        <v>439</v>
      </c>
      <c r="AB1107" t="s">
        <v>521</v>
      </c>
      <c r="AC1107" s="9">
        <v>2</v>
      </c>
      <c r="AD1107" s="9" t="str">
        <f t="shared" si="122"/>
        <v>Ok</v>
      </c>
      <c r="AE1107" s="11">
        <f t="shared" si="124"/>
        <v>0</v>
      </c>
    </row>
    <row r="1108" spans="1:31" x14ac:dyDescent="0.3">
      <c r="A1108">
        <v>53</v>
      </c>
      <c r="B1108">
        <v>4677475</v>
      </c>
      <c r="C1108" t="s">
        <v>60</v>
      </c>
      <c r="D1108">
        <v>1507694</v>
      </c>
      <c r="E1108" t="s">
        <v>351</v>
      </c>
      <c r="F1108" t="s">
        <v>20</v>
      </c>
      <c r="G1108" t="s">
        <v>1055</v>
      </c>
      <c r="H1108" t="s">
        <v>1056</v>
      </c>
      <c r="I1108" t="s">
        <v>3421</v>
      </c>
      <c r="J1108">
        <v>51143582650</v>
      </c>
      <c r="K1108" t="s">
        <v>4097</v>
      </c>
      <c r="L1108" t="s">
        <v>4103</v>
      </c>
      <c r="M1108">
        <v>1</v>
      </c>
      <c r="N1108" s="10">
        <v>779</v>
      </c>
      <c r="O1108" s="10">
        <f t="shared" si="120"/>
        <v>779</v>
      </c>
      <c r="P1108" s="10" t="s">
        <v>5006</v>
      </c>
      <c r="Q1108" s="10" t="s">
        <v>5006</v>
      </c>
      <c r="R1108" s="10" t="str">
        <f>IF(COUNTIF($J$2:J1108,J1108)=1,SUMIFS($O:$O,$J:$J,J1108)+SUMIFS($P:$P,$J:$J,J1108)+SUMIFS($Q:$Q,$J:$J,J1108),"")</f>
        <v/>
      </c>
      <c r="S1108" s="10" t="s">
        <v>5006</v>
      </c>
      <c r="T1108" s="11" t="str">
        <f t="shared" si="123"/>
        <v>Ok</v>
      </c>
      <c r="U1108" s="12">
        <v>45733</v>
      </c>
      <c r="V1108" s="10">
        <v>1113.97</v>
      </c>
      <c r="W1108" s="10" t="str">
        <f t="shared" si="121"/>
        <v>N/A</v>
      </c>
      <c r="X1108" t="s">
        <v>438</v>
      </c>
      <c r="Y1108" t="s">
        <v>28</v>
      </c>
      <c r="Z1108">
        <v>100283</v>
      </c>
      <c r="AA1108" t="s">
        <v>439</v>
      </c>
      <c r="AB1108" t="s">
        <v>521</v>
      </c>
      <c r="AC1108" s="9">
        <v>2</v>
      </c>
      <c r="AD1108" s="9" t="str">
        <f t="shared" si="122"/>
        <v>N/A</v>
      </c>
      <c r="AE1108" s="11" t="e">
        <f t="shared" si="124"/>
        <v>#VALUE!</v>
      </c>
    </row>
    <row r="1109" spans="1:31" x14ac:dyDescent="0.3">
      <c r="A1109">
        <v>55</v>
      </c>
      <c r="B1109">
        <v>4676362</v>
      </c>
      <c r="C1109" t="s">
        <v>217</v>
      </c>
      <c r="D1109">
        <v>1134777</v>
      </c>
      <c r="E1109" t="s">
        <v>695</v>
      </c>
      <c r="F1109" t="s">
        <v>18</v>
      </c>
      <c r="G1109" t="s">
        <v>1049</v>
      </c>
      <c r="H1109" t="s">
        <v>1050</v>
      </c>
      <c r="I1109" t="s">
        <v>3397</v>
      </c>
      <c r="J1109">
        <v>51143682244</v>
      </c>
      <c r="K1109" t="s">
        <v>3241</v>
      </c>
      <c r="L1109" t="s">
        <v>3493</v>
      </c>
      <c r="M1109">
        <v>100000</v>
      </c>
      <c r="N1109" s="10">
        <v>3.1040000000000002E-2</v>
      </c>
      <c r="O1109" s="10">
        <f t="shared" si="120"/>
        <v>3104</v>
      </c>
      <c r="P1109" s="10">
        <v>0</v>
      </c>
      <c r="Q1109" s="10">
        <v>589.76</v>
      </c>
      <c r="R1109" s="10">
        <f>IF(COUNTIF($J$2:J1109,J1109)=1,SUMIFS($O:$O,$J:$J,J1109)+SUMIFS($P:$P,$J:$J,J1109)+SUMIFS($Q:$Q,$J:$J,J1109),"")</f>
        <v>5144.2000000000007</v>
      </c>
      <c r="S1109" s="10">
        <v>5144.2000000000007</v>
      </c>
      <c r="T1109" s="11" t="str">
        <f t="shared" si="123"/>
        <v>Ok</v>
      </c>
      <c r="U1109" s="12">
        <v>46066</v>
      </c>
      <c r="V1109" s="10">
        <v>863.76</v>
      </c>
      <c r="W1109" s="10" t="str">
        <f t="shared" si="121"/>
        <v>Short Paid</v>
      </c>
      <c r="X1109" t="s">
        <v>468</v>
      </c>
      <c r="Y1109" t="s">
        <v>28</v>
      </c>
      <c r="Z1109">
        <v>100206</v>
      </c>
      <c r="AA1109" t="s">
        <v>3058</v>
      </c>
      <c r="AB1109" t="s">
        <v>523</v>
      </c>
      <c r="AC1109" s="9">
        <v>2</v>
      </c>
      <c r="AD1109" s="9" t="str">
        <f t="shared" si="122"/>
        <v>Ok</v>
      </c>
      <c r="AE1109" s="11">
        <f t="shared" si="124"/>
        <v>0</v>
      </c>
    </row>
    <row r="1110" spans="1:31" x14ac:dyDescent="0.3">
      <c r="A1110">
        <v>55</v>
      </c>
      <c r="B1110">
        <v>4676362</v>
      </c>
      <c r="C1110" t="s">
        <v>217</v>
      </c>
      <c r="D1110">
        <v>1134777</v>
      </c>
      <c r="E1110" t="s">
        <v>695</v>
      </c>
      <c r="F1110" t="s">
        <v>18</v>
      </c>
      <c r="G1110" t="s">
        <v>1049</v>
      </c>
      <c r="H1110" t="s">
        <v>1050</v>
      </c>
      <c r="I1110" t="s">
        <v>3210</v>
      </c>
      <c r="J1110">
        <v>51143682244</v>
      </c>
      <c r="K1110" t="s">
        <v>3177</v>
      </c>
      <c r="L1110" t="s">
        <v>4104</v>
      </c>
      <c r="M1110">
        <v>612000</v>
      </c>
      <c r="N1110" s="10">
        <v>2.3700000000000001E-3</v>
      </c>
      <c r="O1110" s="10">
        <f t="shared" si="120"/>
        <v>1450.44</v>
      </c>
      <c r="P1110" s="10" t="s">
        <v>5006</v>
      </c>
      <c r="Q1110" s="10" t="s">
        <v>5006</v>
      </c>
      <c r="R1110" s="10" t="str">
        <f>IF(COUNTIF($J$2:J1110,J1110)=1,SUMIFS($O:$O,$J:$J,J1110)+SUMIFS($P:$P,$J:$J,J1110)+SUMIFS($Q:$Q,$J:$J,J1110),"")</f>
        <v/>
      </c>
      <c r="S1110" s="10" t="s">
        <v>5006</v>
      </c>
      <c r="T1110" s="11" t="str">
        <f t="shared" si="123"/>
        <v>Ok</v>
      </c>
      <c r="U1110" s="12">
        <v>46066</v>
      </c>
      <c r="V1110" s="10">
        <v>863.76</v>
      </c>
      <c r="W1110" s="10" t="str">
        <f t="shared" si="121"/>
        <v>N/A</v>
      </c>
      <c r="X1110" t="s">
        <v>468</v>
      </c>
      <c r="Y1110" t="s">
        <v>28</v>
      </c>
      <c r="Z1110">
        <v>100206</v>
      </c>
      <c r="AA1110" t="s">
        <v>3058</v>
      </c>
      <c r="AB1110" t="s">
        <v>523</v>
      </c>
      <c r="AC1110" s="9">
        <v>2</v>
      </c>
      <c r="AD1110" s="9" t="str">
        <f t="shared" si="122"/>
        <v>N/A</v>
      </c>
      <c r="AE1110" s="11" t="e">
        <f t="shared" si="124"/>
        <v>#VALUE!</v>
      </c>
    </row>
    <row r="1111" spans="1:31" x14ac:dyDescent="0.3">
      <c r="A1111">
        <v>52</v>
      </c>
      <c r="B1111">
        <v>4683319</v>
      </c>
      <c r="C1111" t="s">
        <v>217</v>
      </c>
      <c r="D1111">
        <v>1840786</v>
      </c>
      <c r="E1111" t="s">
        <v>4883</v>
      </c>
      <c r="F1111" t="s">
        <v>20</v>
      </c>
      <c r="G1111" t="s">
        <v>1071</v>
      </c>
      <c r="H1111" t="s">
        <v>1072</v>
      </c>
      <c r="I1111" t="s">
        <v>3273</v>
      </c>
      <c r="J1111">
        <v>51143747299</v>
      </c>
      <c r="K1111" t="s">
        <v>3351</v>
      </c>
      <c r="L1111" t="s">
        <v>3974</v>
      </c>
      <c r="M1111">
        <v>8000</v>
      </c>
      <c r="N1111" s="10">
        <v>0.3926</v>
      </c>
      <c r="O1111" s="10">
        <f t="shared" si="120"/>
        <v>3140.8</v>
      </c>
      <c r="P1111" s="10">
        <v>0</v>
      </c>
      <c r="Q1111" s="10">
        <v>0</v>
      </c>
      <c r="R1111" s="10">
        <f>IF(COUNTIF($J$2:J1111,J1111)=1,SUMIFS($O:$O,$J:$J,J1111)+SUMIFS($P:$P,$J:$J,J1111)+SUMIFS($Q:$Q,$J:$J,J1111),"")</f>
        <v>125056.3</v>
      </c>
      <c r="S1111" s="10">
        <v>125064.3</v>
      </c>
      <c r="T1111" s="11" t="str">
        <f t="shared" si="123"/>
        <v>Check</v>
      </c>
      <c r="U1111" s="12">
        <v>46092</v>
      </c>
      <c r="V1111" s="10">
        <v>121923.5</v>
      </c>
      <c r="W1111" s="10" t="str">
        <f t="shared" si="121"/>
        <v>Short Paid</v>
      </c>
      <c r="X1111" t="s">
        <v>468</v>
      </c>
      <c r="Y1111" t="s">
        <v>28</v>
      </c>
      <c r="Z1111">
        <v>100116</v>
      </c>
      <c r="AA1111" t="s">
        <v>3082</v>
      </c>
      <c r="AB1111" t="s">
        <v>521</v>
      </c>
      <c r="AC1111" s="9">
        <v>2</v>
      </c>
      <c r="AD1111" s="9" t="str">
        <f t="shared" si="122"/>
        <v>Check</v>
      </c>
      <c r="AE1111" s="11">
        <f t="shared" si="124"/>
        <v>-8</v>
      </c>
    </row>
    <row r="1112" spans="1:31" x14ac:dyDescent="0.3">
      <c r="A1112">
        <v>52</v>
      </c>
      <c r="B1112">
        <v>4683319</v>
      </c>
      <c r="C1112" t="s">
        <v>217</v>
      </c>
      <c r="D1112">
        <v>1840786</v>
      </c>
      <c r="E1112" t="s">
        <v>4883</v>
      </c>
      <c r="F1112" t="s">
        <v>20</v>
      </c>
      <c r="G1112" t="s">
        <v>1071</v>
      </c>
      <c r="H1112" t="s">
        <v>1072</v>
      </c>
      <c r="I1112" t="s">
        <v>3208</v>
      </c>
      <c r="J1112">
        <v>51143747299</v>
      </c>
      <c r="K1112" t="s">
        <v>3500</v>
      </c>
      <c r="L1112" t="s">
        <v>4105</v>
      </c>
      <c r="M1112">
        <v>1</v>
      </c>
      <c r="N1112" s="10">
        <v>121915.5</v>
      </c>
      <c r="O1112" s="10">
        <f t="shared" si="120"/>
        <v>121915.5</v>
      </c>
      <c r="P1112" s="10" t="s">
        <v>5006</v>
      </c>
      <c r="Q1112" s="10" t="s">
        <v>5006</v>
      </c>
      <c r="R1112" s="10" t="str">
        <f>IF(COUNTIF($J$2:J1112,J1112)=1,SUMIFS($O:$O,$J:$J,J1112)+SUMIFS($P:$P,$J:$J,J1112)+SUMIFS($Q:$Q,$J:$J,J1112),"")</f>
        <v/>
      </c>
      <c r="S1112" s="10" t="s">
        <v>5006</v>
      </c>
      <c r="T1112" s="11" t="str">
        <f t="shared" si="123"/>
        <v>Check</v>
      </c>
      <c r="U1112" s="12">
        <v>46092</v>
      </c>
      <c r="V1112" s="10">
        <v>121923.5</v>
      </c>
      <c r="W1112" s="10" t="str">
        <f t="shared" si="121"/>
        <v>N/A</v>
      </c>
      <c r="X1112" t="s">
        <v>468</v>
      </c>
      <c r="Y1112" t="s">
        <v>28</v>
      </c>
      <c r="Z1112">
        <v>100116</v>
      </c>
      <c r="AA1112" t="s">
        <v>3082</v>
      </c>
      <c r="AB1112" t="s">
        <v>521</v>
      </c>
      <c r="AC1112" s="9">
        <v>2</v>
      </c>
      <c r="AD1112" s="9" t="str">
        <f t="shared" si="122"/>
        <v>N/A</v>
      </c>
      <c r="AE1112" s="11" t="e">
        <f t="shared" si="124"/>
        <v>#VALUE!</v>
      </c>
    </row>
    <row r="1113" spans="1:31" x14ac:dyDescent="0.3">
      <c r="A1113">
        <v>39</v>
      </c>
      <c r="B1113">
        <v>4718661</v>
      </c>
      <c r="C1113" t="s">
        <v>60</v>
      </c>
      <c r="D1113">
        <v>1130746</v>
      </c>
      <c r="E1113" t="s">
        <v>596</v>
      </c>
      <c r="F1113" t="s">
        <v>20</v>
      </c>
      <c r="G1113" t="s">
        <v>1189</v>
      </c>
      <c r="H1113" t="s">
        <v>1190</v>
      </c>
      <c r="I1113" t="s">
        <v>3496</v>
      </c>
      <c r="J1113">
        <v>51143751362</v>
      </c>
      <c r="K1113" t="s">
        <v>3406</v>
      </c>
      <c r="L1113" t="s">
        <v>4106</v>
      </c>
      <c r="M1113">
        <v>648</v>
      </c>
      <c r="N1113" s="10">
        <v>28.2</v>
      </c>
      <c r="O1113" s="10">
        <f t="shared" si="120"/>
        <v>18273.599999999999</v>
      </c>
      <c r="P1113" s="10">
        <v>0</v>
      </c>
      <c r="Q1113" s="10">
        <v>0</v>
      </c>
      <c r="R1113" s="10">
        <f>IF(COUNTIF($J$2:J1113,J1113)=1,SUMIFS($O:$O,$J:$J,J1113)+SUMIFS($P:$P,$J:$J,J1113)+SUMIFS($Q:$Q,$J:$J,J1113),"")</f>
        <v>221877.7176</v>
      </c>
      <c r="S1113" s="10">
        <v>221877.72</v>
      </c>
      <c r="T1113" s="11" t="str">
        <f t="shared" si="123"/>
        <v>Check</v>
      </c>
      <c r="U1113" s="12">
        <v>46094</v>
      </c>
      <c r="V1113" s="10">
        <v>203604.12</v>
      </c>
      <c r="W1113" s="10" t="str">
        <f t="shared" si="121"/>
        <v>Short Paid</v>
      </c>
      <c r="X1113" t="s">
        <v>438</v>
      </c>
      <c r="Y1113" t="s">
        <v>28</v>
      </c>
      <c r="Z1113">
        <v>100243</v>
      </c>
      <c r="AA1113" t="s">
        <v>446</v>
      </c>
      <c r="AB1113" t="s">
        <v>521</v>
      </c>
      <c r="AC1113" s="9">
        <v>2</v>
      </c>
      <c r="AD1113" s="9" t="str">
        <f t="shared" si="122"/>
        <v>Check</v>
      </c>
      <c r="AE1113" s="11">
        <f t="shared" si="124"/>
        <v>-2.3999999975785613E-3</v>
      </c>
    </row>
    <row r="1114" spans="1:31" x14ac:dyDescent="0.3">
      <c r="A1114">
        <v>39</v>
      </c>
      <c r="B1114">
        <v>4718661</v>
      </c>
      <c r="C1114" t="s">
        <v>60</v>
      </c>
      <c r="D1114">
        <v>1130746</v>
      </c>
      <c r="E1114" t="s">
        <v>596</v>
      </c>
      <c r="F1114" t="s">
        <v>20</v>
      </c>
      <c r="G1114" t="s">
        <v>1189</v>
      </c>
      <c r="H1114" t="s">
        <v>1190</v>
      </c>
      <c r="I1114" t="s">
        <v>3349</v>
      </c>
      <c r="J1114">
        <v>51143751362</v>
      </c>
      <c r="K1114" t="s">
        <v>3289</v>
      </c>
      <c r="L1114" t="s">
        <v>4092</v>
      </c>
      <c r="M1114">
        <v>312</v>
      </c>
      <c r="N1114" s="10">
        <v>652.57730000000004</v>
      </c>
      <c r="O1114" s="10">
        <f t="shared" si="120"/>
        <v>203604.1176</v>
      </c>
      <c r="P1114" s="10" t="s">
        <v>5006</v>
      </c>
      <c r="Q1114" s="10" t="s">
        <v>5006</v>
      </c>
      <c r="R1114" s="10" t="str">
        <f>IF(COUNTIF($J$2:J1114,J1114)=1,SUMIFS($O:$O,$J:$J,J1114)+SUMIFS($P:$P,$J:$J,J1114)+SUMIFS($Q:$Q,$J:$J,J1114),"")</f>
        <v/>
      </c>
      <c r="S1114" s="10" t="s">
        <v>5006</v>
      </c>
      <c r="T1114" s="11" t="str">
        <f t="shared" si="123"/>
        <v>Check</v>
      </c>
      <c r="U1114" s="12">
        <v>46094</v>
      </c>
      <c r="V1114" s="10">
        <v>203604.12</v>
      </c>
      <c r="W1114" s="10" t="str">
        <f t="shared" si="121"/>
        <v>N/A</v>
      </c>
      <c r="X1114" t="s">
        <v>438</v>
      </c>
      <c r="Y1114" t="s">
        <v>28</v>
      </c>
      <c r="Z1114">
        <v>100243</v>
      </c>
      <c r="AA1114" t="s">
        <v>446</v>
      </c>
      <c r="AB1114" t="s">
        <v>521</v>
      </c>
      <c r="AC1114" s="9">
        <v>2</v>
      </c>
      <c r="AD1114" s="9" t="str">
        <f t="shared" si="122"/>
        <v>N/A</v>
      </c>
      <c r="AE1114" s="11" t="e">
        <f t="shared" si="124"/>
        <v>#VALUE!</v>
      </c>
    </row>
    <row r="1115" spans="1:31" x14ac:dyDescent="0.3">
      <c r="A1115">
        <v>53</v>
      </c>
      <c r="B1115">
        <v>4676919</v>
      </c>
      <c r="C1115" t="s">
        <v>160</v>
      </c>
      <c r="D1115">
        <v>1821790</v>
      </c>
      <c r="E1115" t="s">
        <v>696</v>
      </c>
      <c r="F1115" t="s">
        <v>20</v>
      </c>
      <c r="G1115" t="s">
        <v>1051</v>
      </c>
      <c r="H1115" t="s">
        <v>1052</v>
      </c>
      <c r="I1115" t="s">
        <v>3496</v>
      </c>
      <c r="J1115">
        <v>51143754842</v>
      </c>
      <c r="K1115" t="s">
        <v>3386</v>
      </c>
      <c r="L1115" t="s">
        <v>3385</v>
      </c>
      <c r="M1115">
        <v>42000</v>
      </c>
      <c r="N1115" s="10">
        <v>4.0599999999999997E-2</v>
      </c>
      <c r="O1115" s="10">
        <f t="shared" si="120"/>
        <v>1705.1999999999998</v>
      </c>
      <c r="P1115" s="10">
        <v>85.8</v>
      </c>
      <c r="Q1115" s="10">
        <v>0</v>
      </c>
      <c r="R1115" s="10">
        <f>IF(COUNTIF($J$2:J1115,J1115)=1,SUMIFS($O:$O,$J:$J,J1115)+SUMIFS($P:$P,$J:$J,J1115)+SUMIFS($Q:$Q,$J:$J,J1115),"")</f>
        <v>2451</v>
      </c>
      <c r="S1115" s="10">
        <v>2451</v>
      </c>
      <c r="T1115" s="11" t="str">
        <f t="shared" si="123"/>
        <v>Ok</v>
      </c>
      <c r="U1115" s="12">
        <v>46035</v>
      </c>
      <c r="V1115" s="10">
        <v>745.8</v>
      </c>
      <c r="W1115" s="10" t="str">
        <f t="shared" si="121"/>
        <v>Short Paid</v>
      </c>
      <c r="X1115" t="s">
        <v>453</v>
      </c>
      <c r="Y1115" t="s">
        <v>28</v>
      </c>
      <c r="Z1115">
        <v>100244</v>
      </c>
      <c r="AA1115" t="s">
        <v>466</v>
      </c>
      <c r="AB1115" t="s">
        <v>521</v>
      </c>
      <c r="AC1115" s="9">
        <v>2</v>
      </c>
      <c r="AD1115" s="9" t="str">
        <f t="shared" si="122"/>
        <v>Ok</v>
      </c>
      <c r="AE1115" s="11">
        <f t="shared" si="124"/>
        <v>0</v>
      </c>
    </row>
    <row r="1116" spans="1:31" x14ac:dyDescent="0.3">
      <c r="A1116">
        <v>53</v>
      </c>
      <c r="B1116">
        <v>4676919</v>
      </c>
      <c r="C1116" t="s">
        <v>160</v>
      </c>
      <c r="D1116">
        <v>1821790</v>
      </c>
      <c r="E1116" t="s">
        <v>696</v>
      </c>
      <c r="F1116" t="s">
        <v>20</v>
      </c>
      <c r="G1116" t="s">
        <v>1051</v>
      </c>
      <c r="H1116" t="s">
        <v>1052</v>
      </c>
      <c r="I1116" t="s">
        <v>3204</v>
      </c>
      <c r="J1116">
        <v>51143754842</v>
      </c>
      <c r="K1116" t="s">
        <v>3772</v>
      </c>
      <c r="L1116" t="s">
        <v>4107</v>
      </c>
      <c r="M1116">
        <v>3000</v>
      </c>
      <c r="N1116" s="10">
        <v>0.22</v>
      </c>
      <c r="O1116" s="10">
        <f t="shared" si="120"/>
        <v>660</v>
      </c>
      <c r="P1116" s="10" t="s">
        <v>5006</v>
      </c>
      <c r="Q1116" s="10" t="s">
        <v>5006</v>
      </c>
      <c r="R1116" s="10" t="str">
        <f>IF(COUNTIF($J$2:J1116,J1116)=1,SUMIFS($O:$O,$J:$J,J1116)+SUMIFS($P:$P,$J:$J,J1116)+SUMIFS($Q:$Q,$J:$J,J1116),"")</f>
        <v/>
      </c>
      <c r="S1116" s="10" t="s">
        <v>5006</v>
      </c>
      <c r="T1116" s="11" t="str">
        <f t="shared" si="123"/>
        <v>Ok</v>
      </c>
      <c r="U1116" s="12">
        <v>46035</v>
      </c>
      <c r="V1116" s="10">
        <v>745.8</v>
      </c>
      <c r="W1116" s="10" t="str">
        <f t="shared" si="121"/>
        <v>N/A</v>
      </c>
      <c r="X1116" t="s">
        <v>453</v>
      </c>
      <c r="Y1116" t="s">
        <v>28</v>
      </c>
      <c r="Z1116">
        <v>100244</v>
      </c>
      <c r="AA1116" t="s">
        <v>466</v>
      </c>
      <c r="AB1116" t="s">
        <v>521</v>
      </c>
      <c r="AC1116" s="9">
        <v>2</v>
      </c>
      <c r="AD1116" s="9" t="str">
        <f t="shared" si="122"/>
        <v>N/A</v>
      </c>
      <c r="AE1116" s="11" t="e">
        <f t="shared" si="124"/>
        <v>#VALUE!</v>
      </c>
    </row>
    <row r="1117" spans="1:31" x14ac:dyDescent="0.3">
      <c r="A1117">
        <v>73</v>
      </c>
      <c r="B1117">
        <v>4627941</v>
      </c>
      <c r="C1117" t="s">
        <v>94</v>
      </c>
      <c r="D1117">
        <v>1206689</v>
      </c>
      <c r="E1117" t="s">
        <v>533</v>
      </c>
      <c r="F1117" t="s">
        <v>18</v>
      </c>
      <c r="G1117" t="s">
        <v>2706</v>
      </c>
      <c r="H1117" t="s">
        <v>930</v>
      </c>
      <c r="I1117" t="s">
        <v>3175</v>
      </c>
      <c r="J1117">
        <v>51143759368</v>
      </c>
      <c r="K1117" t="s">
        <v>3379</v>
      </c>
      <c r="L1117" t="s">
        <v>4108</v>
      </c>
      <c r="M1117">
        <v>60000</v>
      </c>
      <c r="N1117" s="10">
        <v>1.4999999999999999E-2</v>
      </c>
      <c r="O1117" s="10">
        <f t="shared" si="120"/>
        <v>900</v>
      </c>
      <c r="P1117" s="10">
        <v>0</v>
      </c>
      <c r="Q1117" s="10">
        <v>1103.96</v>
      </c>
      <c r="R1117" s="10">
        <f>IF(COUNTIF($J$2:J1117,J1117)=1,SUMIFS($O:$O,$J:$J,J1117)+SUMIFS($P:$P,$J:$J,J1117)+SUMIFS($Q:$Q,$J:$J,J1117),"")</f>
        <v>5863.96</v>
      </c>
      <c r="S1117" s="10">
        <v>9723.9599999999991</v>
      </c>
      <c r="T1117" s="11" t="str">
        <f t="shared" si="123"/>
        <v>Check</v>
      </c>
      <c r="U1117" s="12">
        <v>46070</v>
      </c>
      <c r="V1117" s="10">
        <v>8823.9599999999991</v>
      </c>
      <c r="W1117" s="10" t="str">
        <f t="shared" si="121"/>
        <v>Short Paid</v>
      </c>
      <c r="X1117" t="s">
        <v>450</v>
      </c>
      <c r="Y1117" t="s">
        <v>28</v>
      </c>
      <c r="Z1117">
        <v>100127</v>
      </c>
      <c r="AA1117" t="s">
        <v>3090</v>
      </c>
      <c r="AB1117" t="s">
        <v>523</v>
      </c>
      <c r="AC1117" s="9">
        <v>2</v>
      </c>
      <c r="AD1117" s="9" t="str">
        <f t="shared" si="122"/>
        <v>Check</v>
      </c>
      <c r="AE1117" s="11">
        <f t="shared" si="124"/>
        <v>-3859.9999999999991</v>
      </c>
    </row>
    <row r="1118" spans="1:31" x14ac:dyDescent="0.3">
      <c r="A1118">
        <v>73</v>
      </c>
      <c r="B1118">
        <v>4627941</v>
      </c>
      <c r="C1118" t="s">
        <v>94</v>
      </c>
      <c r="D1118">
        <v>1206689</v>
      </c>
      <c r="E1118" t="s">
        <v>533</v>
      </c>
      <c r="F1118" t="s">
        <v>18</v>
      </c>
      <c r="G1118" t="s">
        <v>2706</v>
      </c>
      <c r="H1118" t="s">
        <v>930</v>
      </c>
      <c r="I1118" t="s">
        <v>3410</v>
      </c>
      <c r="J1118">
        <v>51143759368</v>
      </c>
      <c r="K1118" t="s">
        <v>3238</v>
      </c>
      <c r="L1118" t="s">
        <v>3237</v>
      </c>
      <c r="M1118">
        <v>2000</v>
      </c>
      <c r="N1118" s="10">
        <v>1.93</v>
      </c>
      <c r="O1118" s="10">
        <f t="shared" si="120"/>
        <v>3860</v>
      </c>
      <c r="P1118" s="10" t="s">
        <v>5006</v>
      </c>
      <c r="Q1118" s="10" t="s">
        <v>5006</v>
      </c>
      <c r="R1118" s="10" t="str">
        <f>IF(COUNTIF($J$2:J1118,J1118)=1,SUMIFS($O:$O,$J:$J,J1118)+SUMIFS($P:$P,$J:$J,J1118)+SUMIFS($Q:$Q,$J:$J,J1118),"")</f>
        <v/>
      </c>
      <c r="S1118" s="10" t="s">
        <v>5006</v>
      </c>
      <c r="T1118" s="11" t="str">
        <f t="shared" si="123"/>
        <v>Check</v>
      </c>
      <c r="U1118" s="12">
        <v>46070</v>
      </c>
      <c r="V1118" s="10">
        <v>8823.9599999999991</v>
      </c>
      <c r="W1118" s="10" t="str">
        <f t="shared" si="121"/>
        <v>N/A</v>
      </c>
      <c r="X1118" t="s">
        <v>450</v>
      </c>
      <c r="Y1118" t="s">
        <v>28</v>
      </c>
      <c r="Z1118">
        <v>100127</v>
      </c>
      <c r="AA1118" t="s">
        <v>3090</v>
      </c>
      <c r="AB1118" t="s">
        <v>523</v>
      </c>
      <c r="AC1118" s="9">
        <v>2</v>
      </c>
      <c r="AD1118" s="9" t="str">
        <f t="shared" si="122"/>
        <v>N/A</v>
      </c>
      <c r="AE1118" s="11" t="e">
        <f t="shared" si="124"/>
        <v>#VALUE!</v>
      </c>
    </row>
    <row r="1119" spans="1:31" x14ac:dyDescent="0.3">
      <c r="A1119">
        <v>71</v>
      </c>
      <c r="B1119">
        <v>4634619</v>
      </c>
      <c r="C1119" t="s">
        <v>167</v>
      </c>
      <c r="D1119">
        <v>1241713</v>
      </c>
      <c r="E1119" t="s">
        <v>614</v>
      </c>
      <c r="F1119" t="s">
        <v>19</v>
      </c>
      <c r="G1119" t="s">
        <v>2709</v>
      </c>
      <c r="H1119" t="s">
        <v>954</v>
      </c>
      <c r="I1119" t="s">
        <v>3329</v>
      </c>
      <c r="J1119">
        <v>51143759374</v>
      </c>
      <c r="K1119" t="s">
        <v>3168</v>
      </c>
      <c r="L1119" t="s">
        <v>4109</v>
      </c>
      <c r="M1119">
        <v>1</v>
      </c>
      <c r="N1119" s="10">
        <v>104167</v>
      </c>
      <c r="O1119" s="10">
        <f t="shared" si="120"/>
        <v>104167</v>
      </c>
      <c r="P1119" s="10">
        <v>0</v>
      </c>
      <c r="Q1119" s="10">
        <v>0</v>
      </c>
      <c r="R1119" s="10">
        <f>IF(COUNTIF($J$2:J1119,J1119)=1,SUMIFS($O:$O,$J:$J,J1119)+SUMIFS($P:$P,$J:$J,J1119)+SUMIFS($Q:$Q,$J:$J,J1119),"")</f>
        <v>117047</v>
      </c>
      <c r="S1119" s="10">
        <v>117047</v>
      </c>
      <c r="T1119" s="11" t="str">
        <f t="shared" si="123"/>
        <v>Ok</v>
      </c>
      <c r="U1119" s="12">
        <v>46092</v>
      </c>
      <c r="V1119" s="10">
        <v>104167</v>
      </c>
      <c r="W1119" s="10" t="str">
        <f t="shared" si="121"/>
        <v>Short Paid</v>
      </c>
      <c r="X1119" t="s">
        <v>455</v>
      </c>
      <c r="Y1119" t="s">
        <v>28</v>
      </c>
      <c r="Z1119">
        <v>100200</v>
      </c>
      <c r="AA1119" t="s">
        <v>461</v>
      </c>
      <c r="AB1119" t="s">
        <v>524</v>
      </c>
      <c r="AC1119" s="9">
        <v>2</v>
      </c>
      <c r="AD1119" s="9" t="str">
        <f t="shared" si="122"/>
        <v>Ok</v>
      </c>
      <c r="AE1119" s="11">
        <f t="shared" si="124"/>
        <v>0</v>
      </c>
    </row>
    <row r="1120" spans="1:31" x14ac:dyDescent="0.3">
      <c r="A1120">
        <v>71</v>
      </c>
      <c r="B1120">
        <v>4634619</v>
      </c>
      <c r="C1120" t="s">
        <v>167</v>
      </c>
      <c r="D1120">
        <v>1241713</v>
      </c>
      <c r="E1120" t="s">
        <v>614</v>
      </c>
      <c r="F1120" t="s">
        <v>19</v>
      </c>
      <c r="G1120" t="s">
        <v>2709</v>
      </c>
      <c r="H1120" t="s">
        <v>954</v>
      </c>
      <c r="I1120" t="s">
        <v>3596</v>
      </c>
      <c r="J1120">
        <v>51143759374</v>
      </c>
      <c r="K1120" t="s">
        <v>3266</v>
      </c>
      <c r="L1120" t="s">
        <v>3403</v>
      </c>
      <c r="M1120">
        <v>2800</v>
      </c>
      <c r="N1120" s="10">
        <v>4.5999999999999996</v>
      </c>
      <c r="O1120" s="10">
        <f t="shared" si="120"/>
        <v>12879.999999999998</v>
      </c>
      <c r="P1120" s="10" t="s">
        <v>5006</v>
      </c>
      <c r="Q1120" s="10" t="s">
        <v>5006</v>
      </c>
      <c r="R1120" s="10" t="str">
        <f>IF(COUNTIF($J$2:J1120,J1120)=1,SUMIFS($O:$O,$J:$J,J1120)+SUMIFS($P:$P,$J:$J,J1120)+SUMIFS($Q:$Q,$J:$J,J1120),"")</f>
        <v/>
      </c>
      <c r="S1120" s="10" t="s">
        <v>5006</v>
      </c>
      <c r="T1120" s="11" t="str">
        <f t="shared" si="123"/>
        <v>Ok</v>
      </c>
      <c r="U1120" s="12">
        <v>46092</v>
      </c>
      <c r="V1120" s="10">
        <v>104167</v>
      </c>
      <c r="W1120" s="10" t="str">
        <f t="shared" si="121"/>
        <v>N/A</v>
      </c>
      <c r="X1120" t="s">
        <v>455</v>
      </c>
      <c r="Y1120" t="s">
        <v>28</v>
      </c>
      <c r="Z1120">
        <v>100200</v>
      </c>
      <c r="AA1120" t="s">
        <v>461</v>
      </c>
      <c r="AB1120" t="s">
        <v>524</v>
      </c>
      <c r="AC1120" s="9">
        <v>2</v>
      </c>
      <c r="AD1120" s="9" t="str">
        <f t="shared" si="122"/>
        <v>N/A</v>
      </c>
      <c r="AE1120" s="11" t="e">
        <f t="shared" si="124"/>
        <v>#VALUE!</v>
      </c>
    </row>
    <row r="1121" spans="1:31" x14ac:dyDescent="0.3">
      <c r="A1121">
        <v>19</v>
      </c>
      <c r="B1121">
        <v>4856969</v>
      </c>
      <c r="C1121" t="s">
        <v>167</v>
      </c>
      <c r="D1121">
        <v>1222702</v>
      </c>
      <c r="E1121" t="s">
        <v>579</v>
      </c>
      <c r="F1121" t="s">
        <v>24</v>
      </c>
      <c r="G1121" t="s">
        <v>2822</v>
      </c>
      <c r="H1121" t="s">
        <v>1569</v>
      </c>
      <c r="I1121" t="s">
        <v>3277</v>
      </c>
      <c r="J1121">
        <v>51143804265</v>
      </c>
      <c r="K1121" t="s">
        <v>3375</v>
      </c>
      <c r="L1121" t="s">
        <v>3481</v>
      </c>
      <c r="M1121">
        <v>20000</v>
      </c>
      <c r="N1121" s="10">
        <v>0.10481</v>
      </c>
      <c r="O1121" s="10">
        <f t="shared" si="120"/>
        <v>2096.1999999999998</v>
      </c>
      <c r="P1121" s="10">
        <v>0</v>
      </c>
      <c r="Q1121" s="10">
        <v>0</v>
      </c>
      <c r="R1121" s="10">
        <f>IF(COUNTIF($J$2:J1121,J1121)=1,SUMIFS($O:$O,$J:$J,J1121)+SUMIFS($P:$P,$J:$J,J1121)+SUMIFS($Q:$Q,$J:$J,J1121),"")</f>
        <v>14031.66</v>
      </c>
      <c r="S1121" s="10">
        <v>15342.2</v>
      </c>
      <c r="T1121" s="11" t="str">
        <f t="shared" si="123"/>
        <v>Check</v>
      </c>
      <c r="U1121" s="12">
        <v>46055</v>
      </c>
      <c r="V1121" s="10">
        <v>2846</v>
      </c>
      <c r="W1121" s="10" t="str">
        <f t="shared" si="121"/>
        <v>Short Paid</v>
      </c>
      <c r="X1121" t="s">
        <v>455</v>
      </c>
      <c r="Y1121" t="s">
        <v>40</v>
      </c>
      <c r="Z1121">
        <v>100260</v>
      </c>
      <c r="AA1121" t="s">
        <v>3054</v>
      </c>
      <c r="AB1121" t="s">
        <v>522</v>
      </c>
      <c r="AC1121" s="9">
        <v>2</v>
      </c>
      <c r="AD1121" s="9" t="str">
        <f t="shared" si="122"/>
        <v>Check</v>
      </c>
      <c r="AE1121" s="11">
        <f t="shared" si="124"/>
        <v>-1310.5400000000009</v>
      </c>
    </row>
    <row r="1122" spans="1:31" x14ac:dyDescent="0.3">
      <c r="A1122">
        <v>19</v>
      </c>
      <c r="B1122">
        <v>4856969</v>
      </c>
      <c r="C1122" t="s">
        <v>167</v>
      </c>
      <c r="D1122">
        <v>1222702</v>
      </c>
      <c r="E1122" t="s">
        <v>579</v>
      </c>
      <c r="F1122" t="s">
        <v>24</v>
      </c>
      <c r="G1122" t="s">
        <v>2822</v>
      </c>
      <c r="H1122" t="s">
        <v>1569</v>
      </c>
      <c r="I1122" t="s">
        <v>3323</v>
      </c>
      <c r="J1122">
        <v>51143804265</v>
      </c>
      <c r="K1122" t="s">
        <v>3165</v>
      </c>
      <c r="L1122" t="s">
        <v>4110</v>
      </c>
      <c r="M1122">
        <v>1</v>
      </c>
      <c r="N1122" s="10">
        <v>11935.46</v>
      </c>
      <c r="O1122" s="10">
        <f t="shared" si="120"/>
        <v>11935.46</v>
      </c>
      <c r="P1122" s="10" t="s">
        <v>5006</v>
      </c>
      <c r="Q1122" s="10" t="s">
        <v>5006</v>
      </c>
      <c r="R1122" s="10" t="str">
        <f>IF(COUNTIF($J$2:J1122,J1122)=1,SUMIFS($O:$O,$J:$J,J1122)+SUMIFS($P:$P,$J:$J,J1122)+SUMIFS($Q:$Q,$J:$J,J1122),"")</f>
        <v/>
      </c>
      <c r="S1122" s="10" t="s">
        <v>5006</v>
      </c>
      <c r="T1122" s="11" t="str">
        <f t="shared" si="123"/>
        <v>Check</v>
      </c>
      <c r="U1122" s="12">
        <v>46055</v>
      </c>
      <c r="V1122" s="10">
        <v>2846</v>
      </c>
      <c r="W1122" s="10" t="str">
        <f t="shared" si="121"/>
        <v>N/A</v>
      </c>
      <c r="X1122" t="s">
        <v>455</v>
      </c>
      <c r="Y1122" t="s">
        <v>40</v>
      </c>
      <c r="Z1122">
        <v>100260</v>
      </c>
      <c r="AA1122" t="s">
        <v>3054</v>
      </c>
      <c r="AB1122" t="s">
        <v>522</v>
      </c>
      <c r="AC1122" s="9">
        <v>2</v>
      </c>
      <c r="AD1122" s="9" t="str">
        <f t="shared" si="122"/>
        <v>N/A</v>
      </c>
      <c r="AE1122" s="11" t="e">
        <f t="shared" si="124"/>
        <v>#VALUE!</v>
      </c>
    </row>
    <row r="1123" spans="1:31" x14ac:dyDescent="0.3">
      <c r="A1123">
        <v>55</v>
      </c>
      <c r="B1123">
        <v>4676084</v>
      </c>
      <c r="C1123" t="s">
        <v>94</v>
      </c>
      <c r="D1123">
        <v>1830445</v>
      </c>
      <c r="E1123" t="s">
        <v>95</v>
      </c>
      <c r="F1123" t="s">
        <v>19</v>
      </c>
      <c r="G1123" t="s">
        <v>1047</v>
      </c>
      <c r="H1123" t="s">
        <v>1048</v>
      </c>
      <c r="I1123" t="s">
        <v>3419</v>
      </c>
      <c r="J1123">
        <v>51143855795</v>
      </c>
      <c r="K1123" t="s">
        <v>3401</v>
      </c>
      <c r="L1123" t="s">
        <v>4111</v>
      </c>
      <c r="M1123">
        <v>1</v>
      </c>
      <c r="N1123" s="10">
        <v>150</v>
      </c>
      <c r="O1123" s="10">
        <f t="shared" si="120"/>
        <v>150</v>
      </c>
      <c r="P1123" s="10">
        <v>0</v>
      </c>
      <c r="Q1123" s="10">
        <v>0</v>
      </c>
      <c r="R1123" s="10">
        <f>IF(COUNTIF($J$2:J1123,J1123)=1,SUMIFS($O:$O,$J:$J,J1123)+SUMIFS($P:$P,$J:$J,J1123)+SUMIFS($Q:$Q,$J:$J,J1123),"")</f>
        <v>35746.879999999997</v>
      </c>
      <c r="S1123" s="10">
        <v>36859.58</v>
      </c>
      <c r="T1123" s="11" t="str">
        <f t="shared" si="123"/>
        <v>Check</v>
      </c>
      <c r="U1123" s="12">
        <v>46064</v>
      </c>
      <c r="V1123" s="10">
        <v>1262.7</v>
      </c>
      <c r="W1123" s="10" t="str">
        <f t="shared" si="121"/>
        <v>Short Paid</v>
      </c>
      <c r="X1123" t="s">
        <v>450</v>
      </c>
      <c r="Y1123" t="s">
        <v>28</v>
      </c>
      <c r="Z1123">
        <v>100197</v>
      </c>
      <c r="AA1123" t="s">
        <v>493</v>
      </c>
      <c r="AB1123" t="s">
        <v>524</v>
      </c>
      <c r="AC1123" s="9">
        <v>3</v>
      </c>
      <c r="AD1123" s="9" t="str">
        <f t="shared" si="122"/>
        <v>Check</v>
      </c>
      <c r="AE1123" s="11">
        <f t="shared" si="124"/>
        <v>-1112.7000000000044</v>
      </c>
    </row>
    <row r="1124" spans="1:31" x14ac:dyDescent="0.3">
      <c r="A1124">
        <v>55</v>
      </c>
      <c r="B1124">
        <v>4676084</v>
      </c>
      <c r="C1124" t="s">
        <v>94</v>
      </c>
      <c r="D1124">
        <v>1830445</v>
      </c>
      <c r="E1124" t="s">
        <v>95</v>
      </c>
      <c r="F1124" t="s">
        <v>19</v>
      </c>
      <c r="G1124" t="s">
        <v>1047</v>
      </c>
      <c r="H1124" t="s">
        <v>1048</v>
      </c>
      <c r="I1124" t="s">
        <v>3419</v>
      </c>
      <c r="J1124">
        <v>51143855795</v>
      </c>
      <c r="K1124" t="s">
        <v>3401</v>
      </c>
      <c r="L1124" t="s">
        <v>4112</v>
      </c>
      <c r="M1124">
        <v>171</v>
      </c>
      <c r="N1124" s="10">
        <v>176.88</v>
      </c>
      <c r="O1124" s="10">
        <f t="shared" si="120"/>
        <v>30246.48</v>
      </c>
      <c r="P1124" s="10" t="s">
        <v>5006</v>
      </c>
      <c r="Q1124" s="10" t="s">
        <v>5006</v>
      </c>
      <c r="R1124" s="10" t="str">
        <f>IF(COUNTIF($J$2:J1124,J1124)=1,SUMIFS($O:$O,$J:$J,J1124)+SUMIFS($P:$P,$J:$J,J1124)+SUMIFS($Q:$Q,$J:$J,J1124),"")</f>
        <v/>
      </c>
      <c r="S1124" s="10" t="s">
        <v>5006</v>
      </c>
      <c r="T1124" s="11" t="str">
        <f t="shared" si="123"/>
        <v>Check</v>
      </c>
      <c r="U1124" s="12">
        <v>46064</v>
      </c>
      <c r="V1124" s="10">
        <v>1262.7</v>
      </c>
      <c r="W1124" s="10" t="str">
        <f t="shared" si="121"/>
        <v>N/A</v>
      </c>
      <c r="X1124" t="s">
        <v>450</v>
      </c>
      <c r="Y1124" t="s">
        <v>28</v>
      </c>
      <c r="Z1124">
        <v>100197</v>
      </c>
      <c r="AA1124" t="s">
        <v>493</v>
      </c>
      <c r="AB1124" t="s">
        <v>524</v>
      </c>
      <c r="AC1124" s="9">
        <v>3</v>
      </c>
      <c r="AD1124" s="9" t="str">
        <f t="shared" si="122"/>
        <v>N/A</v>
      </c>
      <c r="AE1124" s="11" t="e">
        <f t="shared" si="124"/>
        <v>#VALUE!</v>
      </c>
    </row>
    <row r="1125" spans="1:31" x14ac:dyDescent="0.3">
      <c r="A1125">
        <v>55</v>
      </c>
      <c r="B1125">
        <v>4676084</v>
      </c>
      <c r="C1125" t="s">
        <v>94</v>
      </c>
      <c r="D1125">
        <v>1830445</v>
      </c>
      <c r="E1125" t="s">
        <v>95</v>
      </c>
      <c r="F1125" t="s">
        <v>19</v>
      </c>
      <c r="G1125" t="s">
        <v>1047</v>
      </c>
      <c r="H1125" t="s">
        <v>1048</v>
      </c>
      <c r="I1125" t="s">
        <v>3528</v>
      </c>
      <c r="J1125">
        <v>51143855795</v>
      </c>
      <c r="K1125" t="s">
        <v>3226</v>
      </c>
      <c r="L1125" t="s">
        <v>3466</v>
      </c>
      <c r="M1125">
        <v>3200</v>
      </c>
      <c r="N1125" s="10">
        <v>1.6719999999999999</v>
      </c>
      <c r="O1125" s="10">
        <f t="shared" si="120"/>
        <v>5350.4</v>
      </c>
      <c r="P1125" s="10" t="s">
        <v>5006</v>
      </c>
      <c r="Q1125" s="10" t="s">
        <v>5006</v>
      </c>
      <c r="R1125" s="10" t="str">
        <f>IF(COUNTIF($J$2:J1125,J1125)=1,SUMIFS($O:$O,$J:$J,J1125)+SUMIFS($P:$P,$J:$J,J1125)+SUMIFS($Q:$Q,$J:$J,J1125),"")</f>
        <v/>
      </c>
      <c r="S1125" s="10" t="s">
        <v>5006</v>
      </c>
      <c r="T1125" s="11" t="str">
        <f t="shared" si="123"/>
        <v>Check</v>
      </c>
      <c r="U1125" s="12">
        <v>46064</v>
      </c>
      <c r="V1125" s="10">
        <v>1262.7</v>
      </c>
      <c r="W1125" s="10" t="str">
        <f t="shared" si="121"/>
        <v>N/A</v>
      </c>
      <c r="X1125" t="s">
        <v>450</v>
      </c>
      <c r="Y1125" t="s">
        <v>28</v>
      </c>
      <c r="Z1125">
        <v>100197</v>
      </c>
      <c r="AA1125" t="s">
        <v>493</v>
      </c>
      <c r="AB1125" t="s">
        <v>524</v>
      </c>
      <c r="AC1125" s="9">
        <v>3</v>
      </c>
      <c r="AD1125" s="9" t="str">
        <f t="shared" si="122"/>
        <v>N/A</v>
      </c>
      <c r="AE1125" s="11" t="e">
        <f t="shared" si="124"/>
        <v>#VALUE!</v>
      </c>
    </row>
    <row r="1126" spans="1:31" x14ac:dyDescent="0.3">
      <c r="A1126">
        <v>53</v>
      </c>
      <c r="B1126">
        <v>4679702</v>
      </c>
      <c r="C1126" t="s">
        <v>60</v>
      </c>
      <c r="D1126">
        <v>1507694</v>
      </c>
      <c r="E1126" t="s">
        <v>351</v>
      </c>
      <c r="F1126" t="s">
        <v>20</v>
      </c>
      <c r="G1126" t="s">
        <v>1063</v>
      </c>
      <c r="H1126" t="s">
        <v>1064</v>
      </c>
      <c r="I1126" t="s">
        <v>3221</v>
      </c>
      <c r="J1126">
        <v>51143892942</v>
      </c>
      <c r="K1126" t="s">
        <v>3168</v>
      </c>
      <c r="L1126" t="s">
        <v>4113</v>
      </c>
      <c r="M1126">
        <v>21000</v>
      </c>
      <c r="N1126" s="10">
        <v>2.5399999999999999E-2</v>
      </c>
      <c r="O1126" s="10">
        <f t="shared" si="120"/>
        <v>533.4</v>
      </c>
      <c r="P1126" s="10">
        <v>0</v>
      </c>
      <c r="Q1126" s="10">
        <v>81.5</v>
      </c>
      <c r="R1126" s="10">
        <f>IF(COUNTIF($J$2:J1126,J1126)=1,SUMIFS($O:$O,$J:$J,J1126)+SUMIFS($P:$P,$J:$J,J1126)+SUMIFS($Q:$Q,$J:$J,J1126),"")</f>
        <v>35550.9</v>
      </c>
      <c r="S1126" s="10">
        <v>35550.9</v>
      </c>
      <c r="T1126" s="11" t="str">
        <f t="shared" si="123"/>
        <v>Ok</v>
      </c>
      <c r="U1126" s="12">
        <v>45771</v>
      </c>
      <c r="V1126" s="10">
        <v>34936</v>
      </c>
      <c r="W1126" s="10" t="str">
        <f t="shared" si="121"/>
        <v>Short Paid</v>
      </c>
      <c r="X1126" t="s">
        <v>438</v>
      </c>
      <c r="Y1126" t="s">
        <v>28</v>
      </c>
      <c r="Z1126">
        <v>100243</v>
      </c>
      <c r="AA1126" t="s">
        <v>446</v>
      </c>
      <c r="AB1126" t="s">
        <v>521</v>
      </c>
      <c r="AC1126" s="9">
        <v>2</v>
      </c>
      <c r="AD1126" s="9" t="str">
        <f t="shared" si="122"/>
        <v>Ok</v>
      </c>
      <c r="AE1126" s="11">
        <f t="shared" si="124"/>
        <v>0</v>
      </c>
    </row>
    <row r="1127" spans="1:31" x14ac:dyDescent="0.3">
      <c r="A1127">
        <v>53</v>
      </c>
      <c r="B1127">
        <v>4679702</v>
      </c>
      <c r="C1127" t="s">
        <v>60</v>
      </c>
      <c r="D1127">
        <v>1507694</v>
      </c>
      <c r="E1127" t="s">
        <v>351</v>
      </c>
      <c r="F1127" t="s">
        <v>20</v>
      </c>
      <c r="G1127" t="s">
        <v>1063</v>
      </c>
      <c r="H1127" t="s">
        <v>1064</v>
      </c>
      <c r="I1127" t="s">
        <v>3414</v>
      </c>
      <c r="J1127">
        <v>51143892942</v>
      </c>
      <c r="K1127" t="s">
        <v>3500</v>
      </c>
      <c r="L1127" t="s">
        <v>4114</v>
      </c>
      <c r="M1127">
        <v>1</v>
      </c>
      <c r="N1127" s="10">
        <v>34936</v>
      </c>
      <c r="O1127" s="10">
        <f t="shared" si="120"/>
        <v>34936</v>
      </c>
      <c r="P1127" s="10" t="s">
        <v>5006</v>
      </c>
      <c r="Q1127" s="10" t="s">
        <v>5006</v>
      </c>
      <c r="R1127" s="10" t="str">
        <f>IF(COUNTIF($J$2:J1127,J1127)=1,SUMIFS($O:$O,$J:$J,J1127)+SUMIFS($P:$P,$J:$J,J1127)+SUMIFS($Q:$Q,$J:$J,J1127),"")</f>
        <v/>
      </c>
      <c r="S1127" s="10" t="s">
        <v>5006</v>
      </c>
      <c r="T1127" s="11" t="str">
        <f t="shared" si="123"/>
        <v>Ok</v>
      </c>
      <c r="U1127" s="12">
        <v>45771</v>
      </c>
      <c r="V1127" s="10">
        <v>34936</v>
      </c>
      <c r="W1127" s="10" t="str">
        <f t="shared" si="121"/>
        <v>N/A</v>
      </c>
      <c r="X1127" t="s">
        <v>438</v>
      </c>
      <c r="Y1127" t="s">
        <v>28</v>
      </c>
      <c r="Z1127">
        <v>100243</v>
      </c>
      <c r="AA1127" t="s">
        <v>446</v>
      </c>
      <c r="AB1127" t="s">
        <v>521</v>
      </c>
      <c r="AC1127" s="9">
        <v>2</v>
      </c>
      <c r="AD1127" s="9" t="str">
        <f t="shared" si="122"/>
        <v>N/A</v>
      </c>
      <c r="AE1127" s="11" t="e">
        <f t="shared" si="124"/>
        <v>#VALUE!</v>
      </c>
    </row>
    <row r="1128" spans="1:31" x14ac:dyDescent="0.3">
      <c r="A1128">
        <v>55</v>
      </c>
      <c r="B1128">
        <v>4675806</v>
      </c>
      <c r="C1128" t="s">
        <v>220</v>
      </c>
      <c r="D1128">
        <v>1469829</v>
      </c>
      <c r="E1128" t="s">
        <v>224</v>
      </c>
      <c r="F1128" t="s">
        <v>20</v>
      </c>
      <c r="G1128" t="s">
        <v>1045</v>
      </c>
      <c r="H1128" t="s">
        <v>1046</v>
      </c>
      <c r="I1128" t="s">
        <v>3551</v>
      </c>
      <c r="J1128">
        <v>51143910066</v>
      </c>
      <c r="K1128" t="s">
        <v>3373</v>
      </c>
      <c r="L1128" t="s">
        <v>3372</v>
      </c>
      <c r="M1128">
        <v>2000</v>
      </c>
      <c r="N1128" s="10">
        <v>1.254</v>
      </c>
      <c r="O1128" s="10">
        <f t="shared" si="120"/>
        <v>2508</v>
      </c>
      <c r="P1128" s="10">
        <v>0</v>
      </c>
      <c r="Q1128" s="10">
        <v>0</v>
      </c>
      <c r="R1128" s="10">
        <f>IF(COUNTIF($J$2:J1128,J1128)=1,SUMIFS($O:$O,$J:$J,J1128)+SUMIFS($P:$P,$J:$J,J1128)+SUMIFS($Q:$Q,$J:$J,J1128),"")</f>
        <v>55968</v>
      </c>
      <c r="S1128" s="10">
        <v>55968</v>
      </c>
      <c r="T1128" s="11" t="str">
        <f t="shared" si="123"/>
        <v>Ok</v>
      </c>
      <c r="U1128" s="12">
        <v>46085</v>
      </c>
      <c r="V1128" s="10">
        <v>-512</v>
      </c>
      <c r="W1128" s="10" t="str">
        <f t="shared" si="121"/>
        <v>Short Paid</v>
      </c>
      <c r="X1128" t="s">
        <v>470</v>
      </c>
      <c r="Y1128" t="s">
        <v>28</v>
      </c>
      <c r="Z1128">
        <v>100168</v>
      </c>
      <c r="AA1128" t="s">
        <v>514</v>
      </c>
      <c r="AB1128" t="s">
        <v>521</v>
      </c>
      <c r="AC1128" s="9">
        <v>2</v>
      </c>
      <c r="AD1128" s="9" t="str">
        <f t="shared" si="122"/>
        <v>Ok</v>
      </c>
      <c r="AE1128" s="11">
        <f t="shared" si="124"/>
        <v>0</v>
      </c>
    </row>
    <row r="1129" spans="1:31" x14ac:dyDescent="0.3">
      <c r="A1129">
        <v>55</v>
      </c>
      <c r="B1129">
        <v>4675806</v>
      </c>
      <c r="C1129" t="s">
        <v>220</v>
      </c>
      <c r="D1129">
        <v>1469829</v>
      </c>
      <c r="E1129" t="s">
        <v>224</v>
      </c>
      <c r="F1129" t="s">
        <v>20</v>
      </c>
      <c r="G1129" t="s">
        <v>1045</v>
      </c>
      <c r="H1129" t="s">
        <v>1046</v>
      </c>
      <c r="I1129" t="s">
        <v>3260</v>
      </c>
      <c r="J1129">
        <v>51143910066</v>
      </c>
      <c r="K1129" t="s">
        <v>3338</v>
      </c>
      <c r="L1129" t="s">
        <v>4115</v>
      </c>
      <c r="M1129">
        <v>120</v>
      </c>
      <c r="N1129" s="10">
        <v>445.5</v>
      </c>
      <c r="O1129" s="10">
        <f t="shared" si="120"/>
        <v>53460</v>
      </c>
      <c r="P1129" s="10" t="s">
        <v>5006</v>
      </c>
      <c r="Q1129" s="10" t="s">
        <v>5006</v>
      </c>
      <c r="R1129" s="10" t="str">
        <f>IF(COUNTIF($J$2:J1129,J1129)=1,SUMIFS($O:$O,$J:$J,J1129)+SUMIFS($P:$P,$J:$J,J1129)+SUMIFS($Q:$Q,$J:$J,J1129),"")</f>
        <v/>
      </c>
      <c r="S1129" s="10" t="s">
        <v>5006</v>
      </c>
      <c r="T1129" s="11" t="str">
        <f t="shared" si="123"/>
        <v>Ok</v>
      </c>
      <c r="U1129" s="12">
        <v>46085</v>
      </c>
      <c r="V1129" s="10">
        <v>-512</v>
      </c>
      <c r="W1129" s="10" t="str">
        <f t="shared" si="121"/>
        <v>N/A</v>
      </c>
      <c r="X1129" t="s">
        <v>470</v>
      </c>
      <c r="Y1129" t="s">
        <v>28</v>
      </c>
      <c r="Z1129">
        <v>100168</v>
      </c>
      <c r="AA1129" t="s">
        <v>514</v>
      </c>
      <c r="AB1129" t="s">
        <v>521</v>
      </c>
      <c r="AC1129" s="9">
        <v>2</v>
      </c>
      <c r="AD1129" s="9" t="str">
        <f t="shared" si="122"/>
        <v>N/A</v>
      </c>
      <c r="AE1129" s="11" t="e">
        <f t="shared" si="124"/>
        <v>#VALUE!</v>
      </c>
    </row>
    <row r="1130" spans="1:31" x14ac:dyDescent="0.3">
      <c r="A1130">
        <v>53</v>
      </c>
      <c r="B1130">
        <v>4678867</v>
      </c>
      <c r="C1130" t="s">
        <v>60</v>
      </c>
      <c r="D1130">
        <v>1507694</v>
      </c>
      <c r="E1130" t="s">
        <v>351</v>
      </c>
      <c r="F1130" t="s">
        <v>20</v>
      </c>
      <c r="G1130" t="s">
        <v>1059</v>
      </c>
      <c r="H1130" t="s">
        <v>1060</v>
      </c>
      <c r="I1130" t="s">
        <v>3476</v>
      </c>
      <c r="J1130">
        <v>51144225435</v>
      </c>
      <c r="K1130" t="s">
        <v>3318</v>
      </c>
      <c r="L1130" t="s">
        <v>4116</v>
      </c>
      <c r="M1130">
        <v>400</v>
      </c>
      <c r="N1130" s="10">
        <v>0.34039999999999998</v>
      </c>
      <c r="O1130" s="10">
        <f t="shared" si="120"/>
        <v>136.16</v>
      </c>
      <c r="P1130" s="10">
        <v>0</v>
      </c>
      <c r="Q1130" s="10">
        <v>28.66</v>
      </c>
      <c r="R1130" s="10">
        <f>IF(COUNTIF($J$2:J1130,J1130)=1,SUMIFS($O:$O,$J:$J,J1130)+SUMIFS($P:$P,$J:$J,J1130)+SUMIFS($Q:$Q,$J:$J,J1130),"")</f>
        <v>263.82</v>
      </c>
      <c r="S1130" s="10">
        <v>263.82</v>
      </c>
      <c r="T1130" s="11" t="str">
        <f t="shared" si="123"/>
        <v>Ok</v>
      </c>
      <c r="U1130" s="12">
        <v>45433</v>
      </c>
      <c r="V1130" s="10">
        <v>99</v>
      </c>
      <c r="W1130" s="10" t="str">
        <f t="shared" si="121"/>
        <v>Short Paid</v>
      </c>
      <c r="X1130" t="s">
        <v>438</v>
      </c>
      <c r="Y1130" t="s">
        <v>28</v>
      </c>
      <c r="Z1130">
        <v>100193</v>
      </c>
      <c r="AA1130" t="s">
        <v>442</v>
      </c>
      <c r="AB1130" t="s">
        <v>521</v>
      </c>
      <c r="AC1130" s="9">
        <v>2</v>
      </c>
      <c r="AD1130" s="9" t="str">
        <f t="shared" si="122"/>
        <v>Ok</v>
      </c>
      <c r="AE1130" s="11">
        <f t="shared" si="124"/>
        <v>0</v>
      </c>
    </row>
    <row r="1131" spans="1:31" x14ac:dyDescent="0.3">
      <c r="A1131">
        <v>53</v>
      </c>
      <c r="B1131">
        <v>4678867</v>
      </c>
      <c r="C1131" t="s">
        <v>60</v>
      </c>
      <c r="D1131">
        <v>1507694</v>
      </c>
      <c r="E1131" t="s">
        <v>351</v>
      </c>
      <c r="F1131" t="s">
        <v>20</v>
      </c>
      <c r="G1131" t="s">
        <v>1059</v>
      </c>
      <c r="H1131" t="s">
        <v>1060</v>
      </c>
      <c r="I1131" t="s">
        <v>3484</v>
      </c>
      <c r="J1131">
        <v>51144225435</v>
      </c>
      <c r="K1131" t="s">
        <v>3638</v>
      </c>
      <c r="L1131" t="s">
        <v>4117</v>
      </c>
      <c r="M1131">
        <v>3</v>
      </c>
      <c r="N1131" s="10">
        <v>33</v>
      </c>
      <c r="O1131" s="10">
        <f t="shared" si="120"/>
        <v>99</v>
      </c>
      <c r="P1131" s="10" t="s">
        <v>5006</v>
      </c>
      <c r="Q1131" s="10" t="s">
        <v>5006</v>
      </c>
      <c r="R1131" s="10" t="str">
        <f>IF(COUNTIF($J$2:J1131,J1131)=1,SUMIFS($O:$O,$J:$J,J1131)+SUMIFS($P:$P,$J:$J,J1131)+SUMIFS($Q:$Q,$J:$J,J1131),"")</f>
        <v/>
      </c>
      <c r="S1131" s="10" t="s">
        <v>5006</v>
      </c>
      <c r="T1131" s="11" t="str">
        <f t="shared" si="123"/>
        <v>Ok</v>
      </c>
      <c r="U1131" s="12">
        <v>45433</v>
      </c>
      <c r="V1131" s="10">
        <v>99</v>
      </c>
      <c r="W1131" s="10" t="str">
        <f t="shared" si="121"/>
        <v>N/A</v>
      </c>
      <c r="X1131" t="s">
        <v>438</v>
      </c>
      <c r="Y1131" t="s">
        <v>28</v>
      </c>
      <c r="Z1131">
        <v>100193</v>
      </c>
      <c r="AA1131" t="s">
        <v>442</v>
      </c>
      <c r="AB1131" t="s">
        <v>521</v>
      </c>
      <c r="AC1131" s="9">
        <v>2</v>
      </c>
      <c r="AD1131" s="9" t="str">
        <f t="shared" si="122"/>
        <v>N/A</v>
      </c>
      <c r="AE1131" s="11" t="e">
        <f t="shared" si="124"/>
        <v>#VALUE!</v>
      </c>
    </row>
    <row r="1132" spans="1:31" x14ac:dyDescent="0.3">
      <c r="A1132">
        <v>52</v>
      </c>
      <c r="B1132">
        <v>4682484</v>
      </c>
      <c r="C1132" t="s">
        <v>167</v>
      </c>
      <c r="D1132">
        <v>1241713</v>
      </c>
      <c r="E1132" t="s">
        <v>614</v>
      </c>
      <c r="F1132" t="s">
        <v>19</v>
      </c>
      <c r="G1132" t="s">
        <v>2742</v>
      </c>
      <c r="H1132" t="s">
        <v>2743</v>
      </c>
      <c r="I1132" t="s">
        <v>3273</v>
      </c>
      <c r="J1132">
        <v>51144290052</v>
      </c>
      <c r="K1132" t="s">
        <v>3168</v>
      </c>
      <c r="L1132" t="s">
        <v>3753</v>
      </c>
      <c r="M1132">
        <v>2400</v>
      </c>
      <c r="N1132" s="10">
        <v>42.43</v>
      </c>
      <c r="O1132" s="10">
        <f t="shared" si="120"/>
        <v>101832</v>
      </c>
      <c r="P1132" s="10">
        <v>0</v>
      </c>
      <c r="Q1132" s="10">
        <v>0</v>
      </c>
      <c r="R1132" s="10">
        <f>IF(COUNTIF($J$2:J1132,J1132)=1,SUMIFS($O:$O,$J:$J,J1132)+SUMIFS($P:$P,$J:$J,J1132)+SUMIFS($Q:$Q,$J:$J,J1132),"")</f>
        <v>103911</v>
      </c>
      <c r="S1132" s="10">
        <v>782248.8</v>
      </c>
      <c r="T1132" s="11" t="str">
        <f t="shared" si="123"/>
        <v>Check</v>
      </c>
      <c r="U1132" s="12">
        <v>46118</v>
      </c>
      <c r="V1132" s="10">
        <v>779014.8</v>
      </c>
      <c r="W1132" s="10" t="str">
        <f t="shared" si="121"/>
        <v>Short Paid</v>
      </c>
      <c r="X1132" t="s">
        <v>455</v>
      </c>
      <c r="Y1132" t="s">
        <v>28</v>
      </c>
      <c r="Z1132">
        <v>100240</v>
      </c>
      <c r="AA1132" t="s">
        <v>459</v>
      </c>
      <c r="AB1132" t="s">
        <v>524</v>
      </c>
      <c r="AC1132" s="9">
        <v>2</v>
      </c>
      <c r="AD1132" s="9" t="str">
        <f t="shared" si="122"/>
        <v>Check</v>
      </c>
      <c r="AE1132" s="11">
        <f t="shared" si="124"/>
        <v>-678337.8</v>
      </c>
    </row>
    <row r="1133" spans="1:31" x14ac:dyDescent="0.3">
      <c r="A1133">
        <v>52</v>
      </c>
      <c r="B1133">
        <v>4682484</v>
      </c>
      <c r="C1133" t="s">
        <v>167</v>
      </c>
      <c r="D1133">
        <v>1241713</v>
      </c>
      <c r="E1133" t="s">
        <v>614</v>
      </c>
      <c r="F1133" t="s">
        <v>19</v>
      </c>
      <c r="G1133" t="s">
        <v>2742</v>
      </c>
      <c r="H1133" t="s">
        <v>2743</v>
      </c>
      <c r="I1133" t="s">
        <v>3326</v>
      </c>
      <c r="J1133">
        <v>51144290052</v>
      </c>
      <c r="K1133" t="s">
        <v>3207</v>
      </c>
      <c r="L1133" t="s">
        <v>3346</v>
      </c>
      <c r="M1133">
        <v>31500</v>
      </c>
      <c r="N1133" s="10">
        <v>6.6000000000000003E-2</v>
      </c>
      <c r="O1133" s="10">
        <f t="shared" si="120"/>
        <v>2079</v>
      </c>
      <c r="P1133" s="10" t="s">
        <v>5006</v>
      </c>
      <c r="Q1133" s="10" t="s">
        <v>5006</v>
      </c>
      <c r="R1133" s="10" t="str">
        <f>IF(COUNTIF($J$2:J1133,J1133)=1,SUMIFS($O:$O,$J:$J,J1133)+SUMIFS($P:$P,$J:$J,J1133)+SUMIFS($Q:$Q,$J:$J,J1133),"")</f>
        <v/>
      </c>
      <c r="S1133" s="10" t="s">
        <v>5006</v>
      </c>
      <c r="T1133" s="11" t="str">
        <f t="shared" si="123"/>
        <v>Check</v>
      </c>
      <c r="U1133" s="12">
        <v>46118</v>
      </c>
      <c r="V1133" s="10">
        <v>779014.8</v>
      </c>
      <c r="W1133" s="10" t="str">
        <f t="shared" si="121"/>
        <v>N/A</v>
      </c>
      <c r="X1133" t="s">
        <v>455</v>
      </c>
      <c r="Y1133" t="s">
        <v>28</v>
      </c>
      <c r="Z1133">
        <v>100240</v>
      </c>
      <c r="AA1133" t="s">
        <v>459</v>
      </c>
      <c r="AB1133" t="s">
        <v>524</v>
      </c>
      <c r="AC1133" s="9">
        <v>2</v>
      </c>
      <c r="AD1133" s="9" t="str">
        <f t="shared" si="122"/>
        <v>N/A</v>
      </c>
      <c r="AE1133" s="11" t="e">
        <f t="shared" si="124"/>
        <v>#VALUE!</v>
      </c>
    </row>
    <row r="1134" spans="1:31" x14ac:dyDescent="0.3">
      <c r="A1134">
        <v>52</v>
      </c>
      <c r="B1134">
        <v>4684154</v>
      </c>
      <c r="C1134" t="s">
        <v>94</v>
      </c>
      <c r="D1134">
        <v>1850835</v>
      </c>
      <c r="E1134" t="s">
        <v>698</v>
      </c>
      <c r="F1134" t="s">
        <v>24</v>
      </c>
      <c r="G1134" t="s">
        <v>1073</v>
      </c>
      <c r="H1134" t="s">
        <v>1074</v>
      </c>
      <c r="I1134" t="s">
        <v>3181</v>
      </c>
      <c r="J1134">
        <v>51144312446</v>
      </c>
      <c r="K1134" t="s">
        <v>3373</v>
      </c>
      <c r="L1134" t="s">
        <v>3372</v>
      </c>
      <c r="M1134">
        <v>4000</v>
      </c>
      <c r="N1134" s="10">
        <v>1.254</v>
      </c>
      <c r="O1134" s="10">
        <f t="shared" si="120"/>
        <v>5016</v>
      </c>
      <c r="P1134" s="10">
        <v>0</v>
      </c>
      <c r="Q1134" s="10">
        <v>0</v>
      </c>
      <c r="R1134" s="10">
        <f>IF(COUNTIF($J$2:J1134,J1134)=1,SUMIFS($O:$O,$J:$J,J1134)+SUMIFS($P:$P,$J:$J,J1134)+SUMIFS($Q:$Q,$J:$J,J1134),"")</f>
        <v>5628.75</v>
      </c>
      <c r="S1134" s="10">
        <v>5628.75</v>
      </c>
      <c r="T1134" s="11" t="str">
        <f t="shared" si="123"/>
        <v>Ok</v>
      </c>
      <c r="U1134" s="12">
        <v>46044</v>
      </c>
      <c r="V1134" s="10">
        <v>520.20000000000005</v>
      </c>
      <c r="W1134" s="10" t="str">
        <f t="shared" si="121"/>
        <v>Short Paid</v>
      </c>
      <c r="X1134" t="s">
        <v>450</v>
      </c>
      <c r="Y1134" t="s">
        <v>40</v>
      </c>
      <c r="Z1134">
        <v>100227</v>
      </c>
      <c r="AA1134" t="s">
        <v>3139</v>
      </c>
      <c r="AB1134" t="s">
        <v>522</v>
      </c>
      <c r="AC1134" s="9">
        <v>2</v>
      </c>
      <c r="AD1134" s="9" t="str">
        <f t="shared" si="122"/>
        <v>Ok</v>
      </c>
      <c r="AE1134" s="11">
        <f t="shared" si="124"/>
        <v>0</v>
      </c>
    </row>
    <row r="1135" spans="1:31" x14ac:dyDescent="0.3">
      <c r="A1135">
        <v>52</v>
      </c>
      <c r="B1135">
        <v>4684154</v>
      </c>
      <c r="C1135" t="s">
        <v>94</v>
      </c>
      <c r="D1135">
        <v>1850835</v>
      </c>
      <c r="E1135" t="s">
        <v>698</v>
      </c>
      <c r="F1135" t="s">
        <v>24</v>
      </c>
      <c r="G1135" t="s">
        <v>1073</v>
      </c>
      <c r="H1135" t="s">
        <v>1074</v>
      </c>
      <c r="I1135" t="s">
        <v>3307</v>
      </c>
      <c r="J1135">
        <v>51144312446</v>
      </c>
      <c r="K1135" t="s">
        <v>3168</v>
      </c>
      <c r="L1135" t="s">
        <v>4118</v>
      </c>
      <c r="M1135">
        <v>75000</v>
      </c>
      <c r="N1135" s="10">
        <v>8.1700000000000002E-3</v>
      </c>
      <c r="O1135" s="10">
        <f t="shared" si="120"/>
        <v>612.75</v>
      </c>
      <c r="P1135" s="10" t="s">
        <v>5006</v>
      </c>
      <c r="Q1135" s="10" t="s">
        <v>5006</v>
      </c>
      <c r="R1135" s="10" t="str">
        <f>IF(COUNTIF($J$2:J1135,J1135)=1,SUMIFS($O:$O,$J:$J,J1135)+SUMIFS($P:$P,$J:$J,J1135)+SUMIFS($Q:$Q,$J:$J,J1135),"")</f>
        <v/>
      </c>
      <c r="S1135" s="10" t="s">
        <v>5006</v>
      </c>
      <c r="T1135" s="11" t="str">
        <f t="shared" si="123"/>
        <v>Ok</v>
      </c>
      <c r="U1135" s="12">
        <v>46044</v>
      </c>
      <c r="V1135" s="10">
        <v>520.20000000000005</v>
      </c>
      <c r="W1135" s="10" t="str">
        <f t="shared" si="121"/>
        <v>N/A</v>
      </c>
      <c r="X1135" t="s">
        <v>450</v>
      </c>
      <c r="Y1135" t="s">
        <v>40</v>
      </c>
      <c r="Z1135">
        <v>100227</v>
      </c>
      <c r="AA1135" t="s">
        <v>3139</v>
      </c>
      <c r="AB1135" t="s">
        <v>522</v>
      </c>
      <c r="AC1135" s="9">
        <v>2</v>
      </c>
      <c r="AD1135" s="9" t="str">
        <f t="shared" si="122"/>
        <v>N/A</v>
      </c>
      <c r="AE1135" s="11" t="e">
        <f t="shared" si="124"/>
        <v>#VALUE!</v>
      </c>
    </row>
    <row r="1136" spans="1:31" x14ac:dyDescent="0.3">
      <c r="A1136">
        <v>49</v>
      </c>
      <c r="B1136">
        <v>4689720</v>
      </c>
      <c r="C1136" t="s">
        <v>160</v>
      </c>
      <c r="D1136">
        <v>1262308</v>
      </c>
      <c r="E1136" t="s">
        <v>611</v>
      </c>
      <c r="F1136" t="s">
        <v>18</v>
      </c>
      <c r="G1136" t="s">
        <v>1091</v>
      </c>
      <c r="H1136" t="s">
        <v>1092</v>
      </c>
      <c r="I1136" t="s">
        <v>3303</v>
      </c>
      <c r="J1136">
        <v>51144460886</v>
      </c>
      <c r="K1136" t="s">
        <v>3650</v>
      </c>
      <c r="L1136" t="s">
        <v>4119</v>
      </c>
      <c r="M1136">
        <v>600</v>
      </c>
      <c r="N1136" s="10">
        <v>22.02</v>
      </c>
      <c r="O1136" s="10">
        <f t="shared" si="120"/>
        <v>13212</v>
      </c>
      <c r="P1136" s="10">
        <v>924.84</v>
      </c>
      <c r="Q1136" s="10">
        <v>0</v>
      </c>
      <c r="R1136" s="10">
        <f>IF(COUNTIF($J$2:J1136,J1136)=1,SUMIFS($O:$O,$J:$J,J1136)+SUMIFS($P:$P,$J:$J,J1136)+SUMIFS($Q:$Q,$J:$J,J1136),"")</f>
        <v>18675.84</v>
      </c>
      <c r="S1136" s="10">
        <v>18675.84</v>
      </c>
      <c r="T1136" s="11" t="str">
        <f t="shared" si="123"/>
        <v>Ok</v>
      </c>
      <c r="U1136" s="12">
        <v>46050</v>
      </c>
      <c r="V1136" s="10">
        <v>2640.84</v>
      </c>
      <c r="W1136" s="10" t="str">
        <f t="shared" si="121"/>
        <v>Short Paid</v>
      </c>
      <c r="X1136" t="s">
        <v>453</v>
      </c>
      <c r="Y1136" t="s">
        <v>28</v>
      </c>
      <c r="Z1136">
        <v>100164</v>
      </c>
      <c r="AA1136" t="s">
        <v>490</v>
      </c>
      <c r="AB1136" t="s">
        <v>523</v>
      </c>
      <c r="AC1136" s="9">
        <v>2</v>
      </c>
      <c r="AD1136" s="9" t="str">
        <f t="shared" si="122"/>
        <v>Ok</v>
      </c>
      <c r="AE1136" s="11">
        <f t="shared" si="124"/>
        <v>0</v>
      </c>
    </row>
    <row r="1137" spans="1:31" x14ac:dyDescent="0.3">
      <c r="A1137">
        <v>49</v>
      </c>
      <c r="B1137">
        <v>4689720</v>
      </c>
      <c r="C1137" t="s">
        <v>160</v>
      </c>
      <c r="D1137">
        <v>1262308</v>
      </c>
      <c r="E1137" t="s">
        <v>611</v>
      </c>
      <c r="F1137" t="s">
        <v>18</v>
      </c>
      <c r="G1137" t="s">
        <v>1091</v>
      </c>
      <c r="H1137" t="s">
        <v>1092</v>
      </c>
      <c r="I1137" t="s">
        <v>3312</v>
      </c>
      <c r="J1137">
        <v>51144460886</v>
      </c>
      <c r="K1137" t="s">
        <v>3612</v>
      </c>
      <c r="L1137" t="s">
        <v>4120</v>
      </c>
      <c r="M1137">
        <v>100000</v>
      </c>
      <c r="N1137" s="10">
        <v>4.5390000000000007E-2</v>
      </c>
      <c r="O1137" s="10">
        <f t="shared" si="120"/>
        <v>4539.0000000000009</v>
      </c>
      <c r="P1137" s="10" t="s">
        <v>5006</v>
      </c>
      <c r="Q1137" s="10" t="s">
        <v>5006</v>
      </c>
      <c r="R1137" s="10" t="str">
        <f>IF(COUNTIF($J$2:J1137,J1137)=1,SUMIFS($O:$O,$J:$J,J1137)+SUMIFS($P:$P,$J:$J,J1137)+SUMIFS($Q:$Q,$J:$J,J1137),"")</f>
        <v/>
      </c>
      <c r="S1137" s="10" t="s">
        <v>5006</v>
      </c>
      <c r="T1137" s="11" t="str">
        <f t="shared" si="123"/>
        <v>Ok</v>
      </c>
      <c r="U1137" s="12">
        <v>46050</v>
      </c>
      <c r="V1137" s="10">
        <v>2640.84</v>
      </c>
      <c r="W1137" s="10" t="str">
        <f t="shared" si="121"/>
        <v>N/A</v>
      </c>
      <c r="X1137" t="s">
        <v>453</v>
      </c>
      <c r="Y1137" t="s">
        <v>28</v>
      </c>
      <c r="Z1137">
        <v>100164</v>
      </c>
      <c r="AA1137" t="s">
        <v>490</v>
      </c>
      <c r="AB1137" t="s">
        <v>523</v>
      </c>
      <c r="AC1137" s="9">
        <v>2</v>
      </c>
      <c r="AD1137" s="9" t="str">
        <f t="shared" si="122"/>
        <v>N/A</v>
      </c>
      <c r="AE1137" s="11" t="e">
        <f t="shared" si="124"/>
        <v>#VALUE!</v>
      </c>
    </row>
    <row r="1138" spans="1:31" x14ac:dyDescent="0.3">
      <c r="A1138">
        <v>50</v>
      </c>
      <c r="B1138">
        <v>4687215</v>
      </c>
      <c r="C1138" t="s">
        <v>160</v>
      </c>
      <c r="D1138">
        <v>1262308</v>
      </c>
      <c r="E1138" t="s">
        <v>611</v>
      </c>
      <c r="F1138" t="s">
        <v>18</v>
      </c>
      <c r="G1138" t="s">
        <v>1085</v>
      </c>
      <c r="H1138" t="s">
        <v>1086</v>
      </c>
      <c r="I1138" t="s">
        <v>3327</v>
      </c>
      <c r="J1138">
        <v>51144559865</v>
      </c>
      <c r="K1138" t="s">
        <v>3650</v>
      </c>
      <c r="L1138" t="s">
        <v>4119</v>
      </c>
      <c r="M1138">
        <v>200</v>
      </c>
      <c r="N1138" s="10">
        <v>22.02</v>
      </c>
      <c r="O1138" s="10">
        <f t="shared" si="120"/>
        <v>4404</v>
      </c>
      <c r="P1138" s="10">
        <v>616.55999999999995</v>
      </c>
      <c r="Q1138" s="10">
        <v>0</v>
      </c>
      <c r="R1138" s="10">
        <f>IF(COUNTIF($J$2:J1138,J1138)=1,SUMIFS($O:$O,$J:$J,J1138)+SUMIFS($P:$P,$J:$J,J1138)+SUMIFS($Q:$Q,$J:$J,J1138),"")</f>
        <v>12158.26</v>
      </c>
      <c r="S1138" s="10">
        <v>16562.259999999998</v>
      </c>
      <c r="T1138" s="11" t="str">
        <f t="shared" si="123"/>
        <v>Check</v>
      </c>
      <c r="U1138" s="12">
        <v>46045</v>
      </c>
      <c r="V1138" s="10">
        <v>1760.56</v>
      </c>
      <c r="W1138" s="10" t="str">
        <f t="shared" si="121"/>
        <v>Short Paid</v>
      </c>
      <c r="X1138" t="s">
        <v>453</v>
      </c>
      <c r="Y1138" t="s">
        <v>28</v>
      </c>
      <c r="Z1138">
        <v>100194</v>
      </c>
      <c r="AA1138" t="s">
        <v>487</v>
      </c>
      <c r="AB1138" t="s">
        <v>523</v>
      </c>
      <c r="AC1138" s="9">
        <v>2</v>
      </c>
      <c r="AD1138" s="9" t="str">
        <f t="shared" si="122"/>
        <v>Check</v>
      </c>
      <c r="AE1138" s="11">
        <f t="shared" si="124"/>
        <v>-4403.9999999999982</v>
      </c>
    </row>
    <row r="1139" spans="1:31" x14ac:dyDescent="0.3">
      <c r="A1139">
        <v>50</v>
      </c>
      <c r="B1139">
        <v>4687215</v>
      </c>
      <c r="C1139" t="s">
        <v>160</v>
      </c>
      <c r="D1139">
        <v>1262308</v>
      </c>
      <c r="E1139" t="s">
        <v>611</v>
      </c>
      <c r="F1139" t="s">
        <v>18</v>
      </c>
      <c r="G1139" t="s">
        <v>1085</v>
      </c>
      <c r="H1139" t="s">
        <v>1086</v>
      </c>
      <c r="I1139" t="s">
        <v>3188</v>
      </c>
      <c r="J1139">
        <v>51144559865</v>
      </c>
      <c r="K1139" t="s">
        <v>3475</v>
      </c>
      <c r="L1139" t="s">
        <v>3564</v>
      </c>
      <c r="M1139">
        <v>1000</v>
      </c>
      <c r="N1139" s="10">
        <v>7.1376999999999997</v>
      </c>
      <c r="O1139" s="10">
        <f t="shared" si="120"/>
        <v>7137.7</v>
      </c>
      <c r="P1139" s="10" t="s">
        <v>5006</v>
      </c>
      <c r="Q1139" s="10" t="s">
        <v>5006</v>
      </c>
      <c r="R1139" s="10" t="str">
        <f>IF(COUNTIF($J$2:J1139,J1139)=1,SUMIFS($O:$O,$J:$J,J1139)+SUMIFS($P:$P,$J:$J,J1139)+SUMIFS($Q:$Q,$J:$J,J1139),"")</f>
        <v/>
      </c>
      <c r="S1139" s="10" t="s">
        <v>5006</v>
      </c>
      <c r="T1139" s="11" t="str">
        <f t="shared" si="123"/>
        <v>Check</v>
      </c>
      <c r="U1139" s="12">
        <v>46045</v>
      </c>
      <c r="V1139" s="10">
        <v>1760.56</v>
      </c>
      <c r="W1139" s="10" t="str">
        <f t="shared" si="121"/>
        <v>N/A</v>
      </c>
      <c r="X1139" t="s">
        <v>453</v>
      </c>
      <c r="Y1139" t="s">
        <v>28</v>
      </c>
      <c r="Z1139">
        <v>100194</v>
      </c>
      <c r="AA1139" t="s">
        <v>487</v>
      </c>
      <c r="AB1139" t="s">
        <v>523</v>
      </c>
      <c r="AC1139" s="9">
        <v>2</v>
      </c>
      <c r="AD1139" s="9" t="str">
        <f t="shared" si="122"/>
        <v>N/A</v>
      </c>
      <c r="AE1139" s="11" t="e">
        <f t="shared" si="124"/>
        <v>#VALUE!</v>
      </c>
    </row>
    <row r="1140" spans="1:31" x14ac:dyDescent="0.3">
      <c r="A1140">
        <v>53</v>
      </c>
      <c r="B1140">
        <v>4679980</v>
      </c>
      <c r="C1140" t="s">
        <v>60</v>
      </c>
      <c r="D1140">
        <v>1507694</v>
      </c>
      <c r="E1140" t="s">
        <v>351</v>
      </c>
      <c r="F1140" t="s">
        <v>20</v>
      </c>
      <c r="G1140" t="s">
        <v>1065</v>
      </c>
      <c r="H1140" t="s">
        <v>1066</v>
      </c>
      <c r="I1140" t="s">
        <v>3260</v>
      </c>
      <c r="J1140">
        <v>51144773231</v>
      </c>
      <c r="K1140" t="s">
        <v>3500</v>
      </c>
      <c r="L1140" t="s">
        <v>4121</v>
      </c>
      <c r="M1140">
        <v>1</v>
      </c>
      <c r="N1140" s="10">
        <v>1320</v>
      </c>
      <c r="O1140" s="10">
        <f t="shared" si="120"/>
        <v>1320</v>
      </c>
      <c r="P1140" s="10">
        <v>0</v>
      </c>
      <c r="Q1140" s="10">
        <v>0</v>
      </c>
      <c r="R1140" s="10">
        <f>IF(COUNTIF($J$2:J1140,J1140)=1,SUMIFS($O:$O,$J:$J,J1140)+SUMIFS($P:$P,$J:$J,J1140)+SUMIFS($Q:$Q,$J:$J,J1140),"")</f>
        <v>2046.6599999999999</v>
      </c>
      <c r="S1140" s="10">
        <v>2046.6599999999999</v>
      </c>
      <c r="T1140" s="11" t="str">
        <f t="shared" si="123"/>
        <v>Ok</v>
      </c>
      <c r="U1140" s="12">
        <v>46004</v>
      </c>
      <c r="V1140" s="10">
        <v>1320</v>
      </c>
      <c r="W1140" s="10" t="str">
        <f t="shared" si="121"/>
        <v>Short Paid</v>
      </c>
      <c r="X1140" t="s">
        <v>438</v>
      </c>
      <c r="Y1140" t="s">
        <v>28</v>
      </c>
      <c r="Z1140">
        <v>100273</v>
      </c>
      <c r="AA1140" t="s">
        <v>444</v>
      </c>
      <c r="AB1140" t="s">
        <v>521</v>
      </c>
      <c r="AC1140" s="9">
        <v>2</v>
      </c>
      <c r="AD1140" s="9" t="str">
        <f t="shared" si="122"/>
        <v>Ok</v>
      </c>
      <c r="AE1140" s="11">
        <f t="shared" si="124"/>
        <v>0</v>
      </c>
    </row>
    <row r="1141" spans="1:31" x14ac:dyDescent="0.3">
      <c r="A1141">
        <v>53</v>
      </c>
      <c r="B1141">
        <v>4679980</v>
      </c>
      <c r="C1141" t="s">
        <v>60</v>
      </c>
      <c r="D1141">
        <v>1507694</v>
      </c>
      <c r="E1141" t="s">
        <v>351</v>
      </c>
      <c r="F1141" t="s">
        <v>20</v>
      </c>
      <c r="G1141" t="s">
        <v>1065</v>
      </c>
      <c r="H1141" t="s">
        <v>1066</v>
      </c>
      <c r="I1141" t="s">
        <v>3249</v>
      </c>
      <c r="J1141">
        <v>51144773231</v>
      </c>
      <c r="K1141" t="s">
        <v>4089</v>
      </c>
      <c r="L1141" t="s">
        <v>4122</v>
      </c>
      <c r="M1141">
        <v>6000</v>
      </c>
      <c r="N1141" s="10">
        <v>0.12111</v>
      </c>
      <c r="O1141" s="10">
        <f t="shared" si="120"/>
        <v>726.66</v>
      </c>
      <c r="P1141" s="10" t="s">
        <v>5006</v>
      </c>
      <c r="Q1141" s="10" t="s">
        <v>5006</v>
      </c>
      <c r="R1141" s="10" t="str">
        <f>IF(COUNTIF($J$2:J1141,J1141)=1,SUMIFS($O:$O,$J:$J,J1141)+SUMIFS($P:$P,$J:$J,J1141)+SUMIFS($Q:$Q,$J:$J,J1141),"")</f>
        <v/>
      </c>
      <c r="S1141" s="10" t="s">
        <v>5006</v>
      </c>
      <c r="T1141" s="11" t="str">
        <f t="shared" si="123"/>
        <v>Ok</v>
      </c>
      <c r="U1141" s="12">
        <v>46004</v>
      </c>
      <c r="V1141" s="10">
        <v>1320</v>
      </c>
      <c r="W1141" s="10" t="str">
        <f t="shared" si="121"/>
        <v>N/A</v>
      </c>
      <c r="X1141" t="s">
        <v>438</v>
      </c>
      <c r="Y1141" t="s">
        <v>28</v>
      </c>
      <c r="Z1141">
        <v>100273</v>
      </c>
      <c r="AA1141" t="s">
        <v>444</v>
      </c>
      <c r="AB1141" t="s">
        <v>521</v>
      </c>
      <c r="AC1141" s="9">
        <v>2</v>
      </c>
      <c r="AD1141" s="9" t="str">
        <f t="shared" si="122"/>
        <v>N/A</v>
      </c>
      <c r="AE1141" s="11" t="e">
        <f t="shared" si="124"/>
        <v>#VALUE!</v>
      </c>
    </row>
    <row r="1142" spans="1:31" x14ac:dyDescent="0.3">
      <c r="A1142">
        <v>49</v>
      </c>
      <c r="B1142">
        <v>4690555</v>
      </c>
      <c r="C1142" t="s">
        <v>239</v>
      </c>
      <c r="D1142">
        <v>1028314</v>
      </c>
      <c r="E1142" t="s">
        <v>552</v>
      </c>
      <c r="F1142" t="s">
        <v>18</v>
      </c>
      <c r="G1142" t="s">
        <v>1095</v>
      </c>
      <c r="H1142" t="s">
        <v>1096</v>
      </c>
      <c r="I1142" t="s">
        <v>3277</v>
      </c>
      <c r="J1142">
        <v>51144887413</v>
      </c>
      <c r="K1142" t="s">
        <v>3661</v>
      </c>
      <c r="L1142" t="s">
        <v>4123</v>
      </c>
      <c r="M1142">
        <v>1250</v>
      </c>
      <c r="N1142" s="10">
        <v>1.0459799999999999</v>
      </c>
      <c r="O1142" s="10">
        <f t="shared" si="120"/>
        <v>1307.4749999999999</v>
      </c>
      <c r="P1142" s="10">
        <v>0</v>
      </c>
      <c r="Q1142" s="10">
        <v>0</v>
      </c>
      <c r="R1142" s="10">
        <f>IF(COUNTIF($J$2:J1142,J1142)=1,SUMIFS($O:$O,$J:$J,J1142)+SUMIFS($P:$P,$J:$J,J1142)+SUMIFS($Q:$Q,$J:$J,J1142),"")</f>
        <v>7890.9750000000004</v>
      </c>
      <c r="S1142" s="10">
        <v>7890.98</v>
      </c>
      <c r="T1142" s="11" t="str">
        <f t="shared" si="123"/>
        <v>Check</v>
      </c>
      <c r="U1142" s="12">
        <v>46038</v>
      </c>
      <c r="V1142" s="10">
        <v>118.37</v>
      </c>
      <c r="W1142" s="10" t="str">
        <f t="shared" si="121"/>
        <v>Short Paid</v>
      </c>
      <c r="X1142" t="s">
        <v>476</v>
      </c>
      <c r="Y1142" t="s">
        <v>28</v>
      </c>
      <c r="Z1142">
        <v>100235</v>
      </c>
      <c r="AA1142" t="s">
        <v>509</v>
      </c>
      <c r="AB1142" t="s">
        <v>523</v>
      </c>
      <c r="AC1142" s="9">
        <v>2</v>
      </c>
      <c r="AD1142" s="9" t="str">
        <f t="shared" si="122"/>
        <v>Check</v>
      </c>
      <c r="AE1142" s="11">
        <f t="shared" si="124"/>
        <v>-4.9999999991996447E-3</v>
      </c>
    </row>
    <row r="1143" spans="1:31" x14ac:dyDescent="0.3">
      <c r="A1143">
        <v>49</v>
      </c>
      <c r="B1143">
        <v>4690555</v>
      </c>
      <c r="C1143" t="s">
        <v>239</v>
      </c>
      <c r="D1143">
        <v>1028314</v>
      </c>
      <c r="E1143" t="s">
        <v>552</v>
      </c>
      <c r="F1143" t="s">
        <v>18</v>
      </c>
      <c r="G1143" t="s">
        <v>1095</v>
      </c>
      <c r="H1143" t="s">
        <v>1096</v>
      </c>
      <c r="I1143" t="s">
        <v>3300</v>
      </c>
      <c r="J1143">
        <v>51144887413</v>
      </c>
      <c r="K1143" t="s">
        <v>3194</v>
      </c>
      <c r="L1143" t="s">
        <v>3193</v>
      </c>
      <c r="M1143">
        <v>15000</v>
      </c>
      <c r="N1143" s="10">
        <v>0.43890000000000001</v>
      </c>
      <c r="O1143" s="10">
        <f t="shared" si="120"/>
        <v>6583.5</v>
      </c>
      <c r="P1143" s="10" t="s">
        <v>5006</v>
      </c>
      <c r="Q1143" s="10" t="s">
        <v>5006</v>
      </c>
      <c r="R1143" s="10" t="str">
        <f>IF(COUNTIF($J$2:J1143,J1143)=1,SUMIFS($O:$O,$J:$J,J1143)+SUMIFS($P:$P,$J:$J,J1143)+SUMIFS($Q:$Q,$J:$J,J1143),"")</f>
        <v/>
      </c>
      <c r="S1143" s="10" t="s">
        <v>5006</v>
      </c>
      <c r="T1143" s="11" t="str">
        <f t="shared" si="123"/>
        <v>Check</v>
      </c>
      <c r="U1143" s="12">
        <v>46038</v>
      </c>
      <c r="V1143" s="10">
        <v>118.37</v>
      </c>
      <c r="W1143" s="10" t="str">
        <f t="shared" si="121"/>
        <v>N/A</v>
      </c>
      <c r="X1143" t="s">
        <v>476</v>
      </c>
      <c r="Y1143" t="s">
        <v>28</v>
      </c>
      <c r="Z1143">
        <v>100235</v>
      </c>
      <c r="AA1143" t="s">
        <v>509</v>
      </c>
      <c r="AB1143" t="s">
        <v>523</v>
      </c>
      <c r="AC1143" s="9">
        <v>2</v>
      </c>
      <c r="AD1143" s="9" t="str">
        <f t="shared" si="122"/>
        <v>N/A</v>
      </c>
      <c r="AE1143" s="11" t="e">
        <f t="shared" si="124"/>
        <v>#VALUE!</v>
      </c>
    </row>
    <row r="1144" spans="1:31" x14ac:dyDescent="0.3">
      <c r="A1144">
        <v>49</v>
      </c>
      <c r="B1144">
        <v>4690833</v>
      </c>
      <c r="C1144" t="s">
        <v>220</v>
      </c>
      <c r="D1144">
        <v>1131583</v>
      </c>
      <c r="E1144" t="s">
        <v>4884</v>
      </c>
      <c r="F1144" t="s">
        <v>19</v>
      </c>
      <c r="G1144" t="s">
        <v>1081</v>
      </c>
      <c r="H1144" t="s">
        <v>1082</v>
      </c>
      <c r="I1144" t="s">
        <v>3300</v>
      </c>
      <c r="J1144">
        <v>51144995692</v>
      </c>
      <c r="K1144" t="s">
        <v>3241</v>
      </c>
      <c r="L1144" t="s">
        <v>4124</v>
      </c>
      <c r="M1144">
        <v>200000</v>
      </c>
      <c r="N1144" s="10">
        <v>5.9000000000000003E-4</v>
      </c>
      <c r="O1144" s="10">
        <f t="shared" si="120"/>
        <v>118</v>
      </c>
      <c r="P1144" s="10">
        <v>0</v>
      </c>
      <c r="Q1144" s="10">
        <v>0</v>
      </c>
      <c r="R1144" s="10">
        <f>IF(COUNTIF($J$2:J1144,J1144)=1,SUMIFS($O:$O,$J:$J,J1144)+SUMIFS($P:$P,$J:$J,J1144)+SUMIFS($Q:$Q,$J:$J,J1144),"")</f>
        <v>1742.9750000000001</v>
      </c>
      <c r="S1144" s="10">
        <v>1752.97</v>
      </c>
      <c r="T1144" s="11" t="str">
        <f t="shared" si="123"/>
        <v>Check</v>
      </c>
      <c r="U1144" s="12">
        <v>46066</v>
      </c>
      <c r="V1144" s="10">
        <v>127.99</v>
      </c>
      <c r="W1144" s="10" t="str">
        <f t="shared" si="121"/>
        <v>Short Paid</v>
      </c>
      <c r="X1144" t="s">
        <v>470</v>
      </c>
      <c r="Y1144" t="s">
        <v>28</v>
      </c>
      <c r="Z1144">
        <v>100248</v>
      </c>
      <c r="AA1144" t="s">
        <v>3117</v>
      </c>
      <c r="AB1144" t="s">
        <v>524</v>
      </c>
      <c r="AC1144" s="9">
        <v>2</v>
      </c>
      <c r="AD1144" s="9" t="str">
        <f t="shared" si="122"/>
        <v>Check</v>
      </c>
      <c r="AE1144" s="11">
        <f t="shared" si="124"/>
        <v>-9.9949999999998909</v>
      </c>
    </row>
    <row r="1145" spans="1:31" x14ac:dyDescent="0.3">
      <c r="A1145">
        <v>49</v>
      </c>
      <c r="B1145">
        <v>4690833</v>
      </c>
      <c r="C1145" t="s">
        <v>220</v>
      </c>
      <c r="D1145">
        <v>1131583</v>
      </c>
      <c r="E1145" t="s">
        <v>4884</v>
      </c>
      <c r="F1145" t="s">
        <v>19</v>
      </c>
      <c r="G1145" t="s">
        <v>1081</v>
      </c>
      <c r="H1145" t="s">
        <v>1082</v>
      </c>
      <c r="I1145" t="s">
        <v>3524</v>
      </c>
      <c r="J1145">
        <v>51144995692</v>
      </c>
      <c r="K1145" t="s">
        <v>3194</v>
      </c>
      <c r="L1145" t="s">
        <v>4125</v>
      </c>
      <c r="M1145">
        <v>500</v>
      </c>
      <c r="N1145" s="10">
        <v>3.2499500000000001</v>
      </c>
      <c r="O1145" s="10">
        <f t="shared" si="120"/>
        <v>1624.9750000000001</v>
      </c>
      <c r="P1145" s="10" t="s">
        <v>5006</v>
      </c>
      <c r="Q1145" s="10" t="s">
        <v>5006</v>
      </c>
      <c r="R1145" s="10" t="str">
        <f>IF(COUNTIF($J$2:J1145,J1145)=1,SUMIFS($O:$O,$J:$J,J1145)+SUMIFS($P:$P,$J:$J,J1145)+SUMIFS($Q:$Q,$J:$J,J1145),"")</f>
        <v/>
      </c>
      <c r="S1145" s="10" t="s">
        <v>5006</v>
      </c>
      <c r="T1145" s="11" t="str">
        <f t="shared" si="123"/>
        <v>Check</v>
      </c>
      <c r="U1145" s="12">
        <v>46066</v>
      </c>
      <c r="V1145" s="10">
        <v>127.99</v>
      </c>
      <c r="W1145" s="10" t="str">
        <f t="shared" si="121"/>
        <v>N/A</v>
      </c>
      <c r="X1145" t="s">
        <v>470</v>
      </c>
      <c r="Y1145" t="s">
        <v>28</v>
      </c>
      <c r="Z1145">
        <v>100248</v>
      </c>
      <c r="AA1145" t="s">
        <v>3117</v>
      </c>
      <c r="AB1145" t="s">
        <v>524</v>
      </c>
      <c r="AC1145" s="9">
        <v>2</v>
      </c>
      <c r="AD1145" s="9" t="str">
        <f t="shared" si="122"/>
        <v>N/A</v>
      </c>
      <c r="AE1145" s="11" t="e">
        <f t="shared" si="124"/>
        <v>#VALUE!</v>
      </c>
    </row>
    <row r="1146" spans="1:31" x14ac:dyDescent="0.3">
      <c r="A1146">
        <v>49</v>
      </c>
      <c r="B1146">
        <v>4690276</v>
      </c>
      <c r="C1146" t="s">
        <v>239</v>
      </c>
      <c r="D1146">
        <v>1028314</v>
      </c>
      <c r="E1146" t="s">
        <v>552</v>
      </c>
      <c r="F1146" t="s">
        <v>18</v>
      </c>
      <c r="G1146" t="s">
        <v>1093</v>
      </c>
      <c r="H1146" t="s">
        <v>1094</v>
      </c>
      <c r="I1146" t="s">
        <v>3524</v>
      </c>
      <c r="J1146">
        <v>51145119794</v>
      </c>
      <c r="K1146" t="s">
        <v>3266</v>
      </c>
      <c r="L1146" t="s">
        <v>3788</v>
      </c>
      <c r="M1146">
        <v>1250</v>
      </c>
      <c r="N1146" s="10">
        <v>1.0459799999999999</v>
      </c>
      <c r="O1146" s="10">
        <f t="shared" si="120"/>
        <v>1307.4749999999999</v>
      </c>
      <c r="P1146" s="10">
        <v>0</v>
      </c>
      <c r="Q1146" s="10">
        <v>0</v>
      </c>
      <c r="R1146" s="10">
        <f>IF(COUNTIF($J$2:J1146,J1146)=1,SUMIFS($O:$O,$J:$J,J1146)+SUMIFS($P:$P,$J:$J,J1146)+SUMIFS($Q:$Q,$J:$J,J1146),"")</f>
        <v>2987.4749999999999</v>
      </c>
      <c r="S1146" s="10">
        <v>2987.48</v>
      </c>
      <c r="T1146" s="11" t="str">
        <f t="shared" si="123"/>
        <v>Check</v>
      </c>
      <c r="U1146" s="12">
        <v>46038</v>
      </c>
      <c r="V1146" s="10">
        <v>118.37</v>
      </c>
      <c r="W1146" s="10" t="str">
        <f t="shared" si="121"/>
        <v>Short Paid</v>
      </c>
      <c r="X1146" t="s">
        <v>476</v>
      </c>
      <c r="Y1146" t="s">
        <v>28</v>
      </c>
      <c r="Z1146">
        <v>100205</v>
      </c>
      <c r="AA1146" t="s">
        <v>3075</v>
      </c>
      <c r="AB1146" t="s">
        <v>523</v>
      </c>
      <c r="AC1146" s="9">
        <v>2</v>
      </c>
      <c r="AD1146" s="9" t="str">
        <f t="shared" si="122"/>
        <v>Check</v>
      </c>
      <c r="AE1146" s="11">
        <f t="shared" si="124"/>
        <v>-5.0000000001091394E-3</v>
      </c>
    </row>
    <row r="1147" spans="1:31" x14ac:dyDescent="0.3">
      <c r="A1147">
        <v>49</v>
      </c>
      <c r="B1147">
        <v>4690276</v>
      </c>
      <c r="C1147" t="s">
        <v>239</v>
      </c>
      <c r="D1147">
        <v>1028314</v>
      </c>
      <c r="E1147" t="s">
        <v>552</v>
      </c>
      <c r="F1147" t="s">
        <v>18</v>
      </c>
      <c r="G1147" t="s">
        <v>1093</v>
      </c>
      <c r="H1147" t="s">
        <v>1094</v>
      </c>
      <c r="I1147" t="s">
        <v>3414</v>
      </c>
      <c r="J1147">
        <v>51145119794</v>
      </c>
      <c r="K1147" t="s">
        <v>3246</v>
      </c>
      <c r="L1147" t="s">
        <v>3445</v>
      </c>
      <c r="M1147">
        <v>8000</v>
      </c>
      <c r="N1147" s="10">
        <v>0.21</v>
      </c>
      <c r="O1147" s="10">
        <f t="shared" si="120"/>
        <v>1680</v>
      </c>
      <c r="P1147" s="10" t="s">
        <v>5006</v>
      </c>
      <c r="Q1147" s="10" t="s">
        <v>5006</v>
      </c>
      <c r="R1147" s="10" t="str">
        <f>IF(COUNTIF($J$2:J1147,J1147)=1,SUMIFS($O:$O,$J:$J,J1147)+SUMIFS($P:$P,$J:$J,J1147)+SUMIFS($Q:$Q,$J:$J,J1147),"")</f>
        <v/>
      </c>
      <c r="S1147" s="10" t="s">
        <v>5006</v>
      </c>
      <c r="T1147" s="11" t="str">
        <f t="shared" si="123"/>
        <v>Check</v>
      </c>
      <c r="U1147" s="12">
        <v>46038</v>
      </c>
      <c r="V1147" s="10">
        <v>118.37</v>
      </c>
      <c r="W1147" s="10" t="str">
        <f t="shared" si="121"/>
        <v>N/A</v>
      </c>
      <c r="X1147" t="s">
        <v>476</v>
      </c>
      <c r="Y1147" t="s">
        <v>28</v>
      </c>
      <c r="Z1147">
        <v>100205</v>
      </c>
      <c r="AA1147" t="s">
        <v>3075</v>
      </c>
      <c r="AB1147" t="s">
        <v>523</v>
      </c>
      <c r="AC1147" s="9">
        <v>2</v>
      </c>
      <c r="AD1147" s="9" t="str">
        <f t="shared" si="122"/>
        <v>N/A</v>
      </c>
      <c r="AE1147" s="11" t="e">
        <f t="shared" si="124"/>
        <v>#VALUE!</v>
      </c>
    </row>
    <row r="1148" spans="1:31" x14ac:dyDescent="0.3">
      <c r="A1148">
        <v>48</v>
      </c>
      <c r="B1148">
        <v>4691668</v>
      </c>
      <c r="C1148" t="s">
        <v>220</v>
      </c>
      <c r="D1148">
        <v>1309220</v>
      </c>
      <c r="E1148" t="s">
        <v>638</v>
      </c>
      <c r="F1148" t="s">
        <v>49</v>
      </c>
      <c r="G1148" t="s">
        <v>1089</v>
      </c>
      <c r="H1148" t="s">
        <v>1090</v>
      </c>
      <c r="I1148" t="s">
        <v>3181</v>
      </c>
      <c r="J1148">
        <v>51145119809</v>
      </c>
      <c r="K1148" t="s">
        <v>3990</v>
      </c>
      <c r="L1148" t="s">
        <v>4126</v>
      </c>
      <c r="M1148">
        <v>50</v>
      </c>
      <c r="N1148" s="10">
        <v>117.65000000000002</v>
      </c>
      <c r="O1148" s="10">
        <f t="shared" si="120"/>
        <v>5882.5000000000009</v>
      </c>
      <c r="P1148" s="10">
        <v>0</v>
      </c>
      <c r="Q1148" s="10" t="s">
        <v>5006</v>
      </c>
      <c r="R1148" s="10">
        <f>IF(COUNTIF($J$2:J1148,J1148)=1,SUMIFS($O:$O,$J:$J,J1148)+SUMIFS($P:$P,$J:$J,J1148)+SUMIFS($Q:$Q,$J:$J,J1148),"")</f>
        <v>8389.9000000000015</v>
      </c>
      <c r="S1148" s="10">
        <v>8389.9</v>
      </c>
      <c r="T1148" s="11" t="str">
        <f t="shared" si="123"/>
        <v>Ok</v>
      </c>
      <c r="U1148" s="12">
        <v>46141</v>
      </c>
      <c r="V1148" s="10">
        <v>298.47000000000003</v>
      </c>
      <c r="W1148" s="10" t="str">
        <f t="shared" si="121"/>
        <v>Short Paid</v>
      </c>
      <c r="X1148" t="s">
        <v>470</v>
      </c>
      <c r="Y1148" t="s">
        <v>29</v>
      </c>
      <c r="Z1148">
        <v>100298</v>
      </c>
      <c r="AA1148" t="s">
        <v>3105</v>
      </c>
      <c r="AB1148" t="s">
        <v>3041</v>
      </c>
      <c r="AC1148" s="9">
        <v>2</v>
      </c>
      <c r="AD1148" s="9" t="str">
        <f t="shared" si="122"/>
        <v>Ok</v>
      </c>
      <c r="AE1148" s="11">
        <f t="shared" si="124"/>
        <v>0</v>
      </c>
    </row>
    <row r="1149" spans="1:31" x14ac:dyDescent="0.3">
      <c r="A1149">
        <v>48</v>
      </c>
      <c r="B1149">
        <v>4691668</v>
      </c>
      <c r="C1149" t="s">
        <v>220</v>
      </c>
      <c r="D1149">
        <v>1309220</v>
      </c>
      <c r="E1149" t="s">
        <v>638</v>
      </c>
      <c r="F1149" t="s">
        <v>49</v>
      </c>
      <c r="G1149" t="s">
        <v>1089</v>
      </c>
      <c r="H1149" t="s">
        <v>1090</v>
      </c>
      <c r="I1149" t="s">
        <v>3181</v>
      </c>
      <c r="J1149">
        <v>51145119809</v>
      </c>
      <c r="K1149" t="s">
        <v>3990</v>
      </c>
      <c r="L1149" t="s">
        <v>4127</v>
      </c>
      <c r="M1149">
        <v>90</v>
      </c>
      <c r="N1149" s="10">
        <v>27.86</v>
      </c>
      <c r="O1149" s="10">
        <f t="shared" si="120"/>
        <v>2507.4</v>
      </c>
      <c r="P1149" s="10" t="s">
        <v>5006</v>
      </c>
      <c r="Q1149" s="10" t="s">
        <v>5006</v>
      </c>
      <c r="R1149" s="10" t="str">
        <f>IF(COUNTIF($J$2:J1149,J1149)=1,SUMIFS($O:$O,$J:$J,J1149)+SUMIFS($P:$P,$J:$J,J1149)+SUMIFS($Q:$Q,$J:$J,J1149),"")</f>
        <v/>
      </c>
      <c r="S1149" s="10" t="s">
        <v>5006</v>
      </c>
      <c r="T1149" s="11" t="str">
        <f t="shared" si="123"/>
        <v>Ok</v>
      </c>
      <c r="U1149" s="12">
        <v>46141</v>
      </c>
      <c r="V1149" s="10">
        <v>298.47000000000003</v>
      </c>
      <c r="W1149" s="10" t="str">
        <f t="shared" si="121"/>
        <v>N/A</v>
      </c>
      <c r="X1149" t="s">
        <v>470</v>
      </c>
      <c r="Y1149" t="s">
        <v>29</v>
      </c>
      <c r="Z1149">
        <v>100298</v>
      </c>
      <c r="AA1149" t="s">
        <v>3105</v>
      </c>
      <c r="AB1149" t="s">
        <v>3041</v>
      </c>
      <c r="AC1149" s="9">
        <v>2</v>
      </c>
      <c r="AD1149" s="9" t="str">
        <f t="shared" si="122"/>
        <v>N/A</v>
      </c>
      <c r="AE1149" s="11" t="e">
        <f t="shared" si="124"/>
        <v>#VALUE!</v>
      </c>
    </row>
    <row r="1150" spans="1:31" x14ac:dyDescent="0.3">
      <c r="A1150">
        <v>25</v>
      </c>
      <c r="B1150">
        <v>4793798</v>
      </c>
      <c r="C1150" t="s">
        <v>239</v>
      </c>
      <c r="D1150">
        <v>1079286</v>
      </c>
      <c r="E1150" t="s">
        <v>629</v>
      </c>
      <c r="F1150" t="s">
        <v>20</v>
      </c>
      <c r="G1150" t="s">
        <v>1371</v>
      </c>
      <c r="H1150" t="s">
        <v>1372</v>
      </c>
      <c r="I1150" t="s">
        <v>3322</v>
      </c>
      <c r="J1150">
        <v>51145164502</v>
      </c>
      <c r="K1150" t="s">
        <v>3266</v>
      </c>
      <c r="L1150" t="s">
        <v>4128</v>
      </c>
      <c r="M1150">
        <v>500</v>
      </c>
      <c r="N1150" s="10">
        <v>0.35942000000000002</v>
      </c>
      <c r="O1150" s="10">
        <f t="shared" si="120"/>
        <v>179.71</v>
      </c>
      <c r="P1150" s="10">
        <v>0</v>
      </c>
      <c r="Q1150" s="10">
        <v>0</v>
      </c>
      <c r="R1150" s="10">
        <f>IF(COUNTIF($J$2:J1150,J1150)=1,SUMIFS($O:$O,$J:$J,J1150)+SUMIFS($P:$P,$J:$J,J1150)+SUMIFS($Q:$Q,$J:$J,J1150),"")</f>
        <v>27717.480999999996</v>
      </c>
      <c r="S1150" s="10">
        <v>27717.489999999998</v>
      </c>
      <c r="T1150" s="11" t="str">
        <f t="shared" si="123"/>
        <v>Check</v>
      </c>
      <c r="U1150" s="12">
        <v>45912</v>
      </c>
      <c r="V1150" s="10">
        <v>179.71</v>
      </c>
      <c r="W1150" s="10" t="str">
        <f t="shared" si="121"/>
        <v>Short Paid</v>
      </c>
      <c r="X1150" t="s">
        <v>476</v>
      </c>
      <c r="Y1150" t="s">
        <v>28</v>
      </c>
      <c r="Z1150">
        <v>100245</v>
      </c>
      <c r="AA1150" t="s">
        <v>507</v>
      </c>
      <c r="AB1150" t="s">
        <v>521</v>
      </c>
      <c r="AC1150" s="9">
        <v>2</v>
      </c>
      <c r="AD1150" s="9" t="str">
        <f t="shared" si="122"/>
        <v>Check</v>
      </c>
      <c r="AE1150" s="11">
        <f t="shared" si="124"/>
        <v>-9.0000000018335413E-3</v>
      </c>
    </row>
    <row r="1151" spans="1:31" x14ac:dyDescent="0.3">
      <c r="A1151">
        <v>25</v>
      </c>
      <c r="B1151">
        <v>4793798</v>
      </c>
      <c r="C1151" t="s">
        <v>239</v>
      </c>
      <c r="D1151">
        <v>1079286</v>
      </c>
      <c r="E1151" t="s">
        <v>629</v>
      </c>
      <c r="F1151" t="s">
        <v>20</v>
      </c>
      <c r="G1151" t="s">
        <v>1371</v>
      </c>
      <c r="H1151" t="s">
        <v>1372</v>
      </c>
      <c r="I1151" t="s">
        <v>3468</v>
      </c>
      <c r="J1151">
        <v>51145164502</v>
      </c>
      <c r="K1151" t="s">
        <v>3506</v>
      </c>
      <c r="L1151" t="s">
        <v>4129</v>
      </c>
      <c r="M1151">
        <v>6180</v>
      </c>
      <c r="N1151" s="10">
        <v>4.4559499999999996</v>
      </c>
      <c r="O1151" s="10">
        <f t="shared" si="120"/>
        <v>27537.770999999997</v>
      </c>
      <c r="P1151" s="10" t="s">
        <v>5006</v>
      </c>
      <c r="Q1151" s="10" t="s">
        <v>5006</v>
      </c>
      <c r="R1151" s="10" t="str">
        <f>IF(COUNTIF($J$2:J1151,J1151)=1,SUMIFS($O:$O,$J:$J,J1151)+SUMIFS($P:$P,$J:$J,J1151)+SUMIFS($Q:$Q,$J:$J,J1151),"")</f>
        <v/>
      </c>
      <c r="S1151" s="10" t="s">
        <v>5006</v>
      </c>
      <c r="T1151" s="11" t="str">
        <f t="shared" si="123"/>
        <v>Check</v>
      </c>
      <c r="U1151" s="12">
        <v>45912</v>
      </c>
      <c r="V1151" s="10">
        <v>179.71</v>
      </c>
      <c r="W1151" s="10" t="str">
        <f t="shared" si="121"/>
        <v>N/A</v>
      </c>
      <c r="X1151" t="s">
        <v>476</v>
      </c>
      <c r="Y1151" t="s">
        <v>28</v>
      </c>
      <c r="Z1151">
        <v>100245</v>
      </c>
      <c r="AA1151" t="s">
        <v>507</v>
      </c>
      <c r="AB1151" t="s">
        <v>521</v>
      </c>
      <c r="AC1151" s="9">
        <v>2</v>
      </c>
      <c r="AD1151" s="9" t="str">
        <f t="shared" si="122"/>
        <v>N/A</v>
      </c>
      <c r="AE1151" s="11" t="e">
        <f t="shared" si="124"/>
        <v>#VALUE!</v>
      </c>
    </row>
    <row r="1152" spans="1:31" x14ac:dyDescent="0.3">
      <c r="A1152">
        <v>50</v>
      </c>
      <c r="B1152">
        <v>4688050</v>
      </c>
      <c r="C1152" t="s">
        <v>240</v>
      </c>
      <c r="D1152">
        <v>1403565</v>
      </c>
      <c r="E1152" t="s">
        <v>668</v>
      </c>
      <c r="F1152" t="s">
        <v>19</v>
      </c>
      <c r="G1152" t="s">
        <v>1087</v>
      </c>
      <c r="H1152" t="s">
        <v>1088</v>
      </c>
      <c r="I1152" t="s">
        <v>3513</v>
      </c>
      <c r="J1152">
        <v>51145180932</v>
      </c>
      <c r="K1152" t="s">
        <v>3266</v>
      </c>
      <c r="L1152" t="s">
        <v>3464</v>
      </c>
      <c r="M1152">
        <v>4000</v>
      </c>
      <c r="N1152" s="10">
        <v>1.0669999999999999</v>
      </c>
      <c r="O1152" s="10">
        <f t="shared" si="120"/>
        <v>4268</v>
      </c>
      <c r="P1152" s="10">
        <v>0</v>
      </c>
      <c r="Q1152" s="10">
        <v>0</v>
      </c>
      <c r="R1152" s="10">
        <f>IF(COUNTIF($J$2:J1152,J1152)=1,SUMIFS($O:$O,$J:$J,J1152)+SUMIFS($P:$P,$J:$J,J1152)+SUMIFS($Q:$Q,$J:$J,J1152),"")</f>
        <v>26319.05</v>
      </c>
      <c r="S1152" s="10">
        <v>27875.15</v>
      </c>
      <c r="T1152" s="11" t="str">
        <f t="shared" si="123"/>
        <v>Check</v>
      </c>
      <c r="U1152" s="12">
        <v>46070</v>
      </c>
      <c r="V1152" s="10">
        <v>23607.15</v>
      </c>
      <c r="W1152" s="10" t="str">
        <f t="shared" si="121"/>
        <v>Short Paid</v>
      </c>
      <c r="X1152" t="s">
        <v>478</v>
      </c>
      <c r="Y1152" t="s">
        <v>28</v>
      </c>
      <c r="Z1152">
        <v>100242</v>
      </c>
      <c r="AA1152" t="s">
        <v>3096</v>
      </c>
      <c r="AB1152" t="s">
        <v>524</v>
      </c>
      <c r="AC1152" s="9">
        <v>2</v>
      </c>
      <c r="AD1152" s="9" t="str">
        <f t="shared" si="122"/>
        <v>Check</v>
      </c>
      <c r="AE1152" s="11">
        <f t="shared" si="124"/>
        <v>-1556.1000000000022</v>
      </c>
    </row>
    <row r="1153" spans="1:31" x14ac:dyDescent="0.3">
      <c r="A1153">
        <v>50</v>
      </c>
      <c r="B1153">
        <v>4688050</v>
      </c>
      <c r="C1153" t="s">
        <v>240</v>
      </c>
      <c r="D1153">
        <v>1403565</v>
      </c>
      <c r="E1153" t="s">
        <v>668</v>
      </c>
      <c r="F1153" t="s">
        <v>19</v>
      </c>
      <c r="G1153" t="s">
        <v>1087</v>
      </c>
      <c r="H1153" t="s">
        <v>1088</v>
      </c>
      <c r="I1153" t="s">
        <v>3498</v>
      </c>
      <c r="J1153">
        <v>51145180932</v>
      </c>
      <c r="K1153" t="s">
        <v>3266</v>
      </c>
      <c r="L1153" t="s">
        <v>3741</v>
      </c>
      <c r="M1153">
        <v>21001</v>
      </c>
      <c r="N1153" s="10">
        <v>1.05</v>
      </c>
      <c r="O1153" s="10">
        <f t="shared" si="120"/>
        <v>22051.05</v>
      </c>
      <c r="P1153" s="10" t="s">
        <v>5006</v>
      </c>
      <c r="Q1153" s="10" t="s">
        <v>5006</v>
      </c>
      <c r="R1153" s="10" t="str">
        <f>IF(COUNTIF($J$2:J1153,J1153)=1,SUMIFS($O:$O,$J:$J,J1153)+SUMIFS($P:$P,$J:$J,J1153)+SUMIFS($Q:$Q,$J:$J,J1153),"")</f>
        <v/>
      </c>
      <c r="S1153" s="10" t="s">
        <v>5006</v>
      </c>
      <c r="T1153" s="11" t="str">
        <f t="shared" si="123"/>
        <v>Check</v>
      </c>
      <c r="U1153" s="12">
        <v>46070</v>
      </c>
      <c r="V1153" s="10">
        <v>23607.15</v>
      </c>
      <c r="W1153" s="10" t="str">
        <f t="shared" si="121"/>
        <v>N/A</v>
      </c>
      <c r="X1153" t="s">
        <v>478</v>
      </c>
      <c r="Y1153" t="s">
        <v>28</v>
      </c>
      <c r="Z1153">
        <v>100242</v>
      </c>
      <c r="AA1153" t="s">
        <v>3096</v>
      </c>
      <c r="AB1153" t="s">
        <v>524</v>
      </c>
      <c r="AC1153" s="9">
        <v>2</v>
      </c>
      <c r="AD1153" s="9" t="str">
        <f t="shared" si="122"/>
        <v>N/A</v>
      </c>
      <c r="AE1153" s="11" t="e">
        <f t="shared" si="124"/>
        <v>#VALUE!</v>
      </c>
    </row>
    <row r="1154" spans="1:31" x14ac:dyDescent="0.3">
      <c r="A1154">
        <v>50</v>
      </c>
      <c r="B1154">
        <v>4686937</v>
      </c>
      <c r="C1154" t="s">
        <v>239</v>
      </c>
      <c r="D1154">
        <v>1045897</v>
      </c>
      <c r="E1154" t="s">
        <v>615</v>
      </c>
      <c r="F1154" t="s">
        <v>17</v>
      </c>
      <c r="G1154" t="s">
        <v>1083</v>
      </c>
      <c r="H1154" t="s">
        <v>1084</v>
      </c>
      <c r="I1154" t="s">
        <v>3172</v>
      </c>
      <c r="J1154">
        <v>51145289886</v>
      </c>
      <c r="K1154" t="s">
        <v>3351</v>
      </c>
      <c r="L1154" t="s">
        <v>3384</v>
      </c>
      <c r="M1154">
        <v>2500</v>
      </c>
      <c r="N1154" s="10">
        <v>1.0817000000000001</v>
      </c>
      <c r="O1154" s="10">
        <f t="shared" ref="O1154:O1217" si="125">M1154*N1154</f>
        <v>2704.2500000000005</v>
      </c>
      <c r="P1154" s="10">
        <v>27.46</v>
      </c>
      <c r="Q1154" s="10">
        <v>0</v>
      </c>
      <c r="R1154" s="10">
        <f>IF(COUNTIF($J$2:J1154,J1154)=1,SUMIFS($O:$O,$J:$J,J1154)+SUMIFS($P:$P,$J:$J,J1154)+SUMIFS($Q:$Q,$J:$J,J1154),"")</f>
        <v>2942.9100000000003</v>
      </c>
      <c r="S1154" s="10">
        <v>2942.91</v>
      </c>
      <c r="T1154" s="11" t="str">
        <f t="shared" si="123"/>
        <v>Ok</v>
      </c>
      <c r="U1154" s="12">
        <v>46042</v>
      </c>
      <c r="V1154" s="10">
        <v>238.66</v>
      </c>
      <c r="W1154" s="10" t="str">
        <f t="shared" ref="W1154:W1217" si="126">IF(OR(S1154="",V1154=""),"N/A",IF(S1154&lt;&gt;V1154,"Short Paid","Not Paid"))</f>
        <v>Short Paid</v>
      </c>
      <c r="X1154" t="s">
        <v>476</v>
      </c>
      <c r="Y1154" t="s">
        <v>436</v>
      </c>
      <c r="Z1154">
        <v>100135</v>
      </c>
      <c r="AA1154" t="s">
        <v>506</v>
      </c>
      <c r="AB1154" t="s">
        <v>528</v>
      </c>
      <c r="AC1154" s="9">
        <v>2</v>
      </c>
      <c r="AD1154" s="9" t="str">
        <f t="shared" ref="AD1154:AD1217" si="127">IF(AND(R1154="",S1154=""),"N/A",IF(R1154=S1154,"Ok","Check"))</f>
        <v>Ok</v>
      </c>
      <c r="AE1154" s="11">
        <f t="shared" si="124"/>
        <v>0</v>
      </c>
    </row>
    <row r="1155" spans="1:31" x14ac:dyDescent="0.3">
      <c r="A1155">
        <v>50</v>
      </c>
      <c r="B1155">
        <v>4686937</v>
      </c>
      <c r="C1155" t="s">
        <v>239</v>
      </c>
      <c r="D1155">
        <v>1045897</v>
      </c>
      <c r="E1155" t="s">
        <v>615</v>
      </c>
      <c r="F1155" t="s">
        <v>17</v>
      </c>
      <c r="G1155" t="s">
        <v>1083</v>
      </c>
      <c r="H1155" t="s">
        <v>1084</v>
      </c>
      <c r="I1155" t="s">
        <v>3336</v>
      </c>
      <c r="J1155">
        <v>51145289886</v>
      </c>
      <c r="K1155" t="s">
        <v>4131</v>
      </c>
      <c r="L1155" t="s">
        <v>4130</v>
      </c>
      <c r="M1155">
        <v>55</v>
      </c>
      <c r="N1155" s="10">
        <v>3.84</v>
      </c>
      <c r="O1155" s="10">
        <f t="shared" si="125"/>
        <v>211.2</v>
      </c>
      <c r="P1155" s="10" t="s">
        <v>5006</v>
      </c>
      <c r="Q1155" s="10" t="s">
        <v>5006</v>
      </c>
      <c r="R1155" s="10" t="str">
        <f>IF(COUNTIF($J$2:J1155,J1155)=1,SUMIFS($O:$O,$J:$J,J1155)+SUMIFS($P:$P,$J:$J,J1155)+SUMIFS($Q:$Q,$J:$J,J1155),"")</f>
        <v/>
      </c>
      <c r="S1155" s="10" t="s">
        <v>5006</v>
      </c>
      <c r="T1155" s="11" t="str">
        <f t="shared" ref="T1155:T1218" si="128">IFERROR(INDEX(AD:AD,MATCH(J1155,J:J,0)),"")</f>
        <v>Ok</v>
      </c>
      <c r="U1155" s="12">
        <v>46042</v>
      </c>
      <c r="V1155" s="10">
        <v>238.66</v>
      </c>
      <c r="W1155" s="10" t="str">
        <f t="shared" si="126"/>
        <v>N/A</v>
      </c>
      <c r="X1155" t="s">
        <v>476</v>
      </c>
      <c r="Y1155" t="s">
        <v>436</v>
      </c>
      <c r="Z1155">
        <v>100135</v>
      </c>
      <c r="AA1155" t="s">
        <v>506</v>
      </c>
      <c r="AB1155" t="s">
        <v>528</v>
      </c>
      <c r="AC1155" s="9">
        <v>2</v>
      </c>
      <c r="AD1155" s="9" t="str">
        <f t="shared" si="127"/>
        <v>N/A</v>
      </c>
      <c r="AE1155" s="11" t="e">
        <f t="shared" si="124"/>
        <v>#VALUE!</v>
      </c>
    </row>
    <row r="1156" spans="1:31" x14ac:dyDescent="0.3">
      <c r="A1156">
        <v>45</v>
      </c>
      <c r="B1156">
        <v>4695842</v>
      </c>
      <c r="C1156" t="s">
        <v>94</v>
      </c>
      <c r="D1156">
        <v>1830445</v>
      </c>
      <c r="E1156" t="s">
        <v>95</v>
      </c>
      <c r="F1156" t="s">
        <v>19</v>
      </c>
      <c r="G1156" t="s">
        <v>1097</v>
      </c>
      <c r="H1156" t="s">
        <v>1098</v>
      </c>
      <c r="I1156" t="s">
        <v>3402</v>
      </c>
      <c r="J1156">
        <v>51145322474</v>
      </c>
      <c r="K1156" t="s">
        <v>3434</v>
      </c>
      <c r="L1156" t="s">
        <v>3433</v>
      </c>
      <c r="M1156">
        <v>683</v>
      </c>
      <c r="N1156" s="10">
        <v>6.8540000000000001</v>
      </c>
      <c r="O1156" s="10">
        <f t="shared" si="125"/>
        <v>4681.2820000000002</v>
      </c>
      <c r="P1156" s="10">
        <v>0</v>
      </c>
      <c r="Q1156" s="10">
        <v>0</v>
      </c>
      <c r="R1156" s="10">
        <f>IF(COUNTIF($J$2:J1156,J1156)=1,SUMIFS($O:$O,$J:$J,J1156)+SUMIFS($P:$P,$J:$J,J1156)+SUMIFS($Q:$Q,$J:$J,J1156),"")</f>
        <v>19876.531999999999</v>
      </c>
      <c r="S1156" s="10">
        <v>80657.53</v>
      </c>
      <c r="T1156" s="11" t="str">
        <f t="shared" si="128"/>
        <v>Check</v>
      </c>
      <c r="U1156" s="12">
        <v>46008</v>
      </c>
      <c r="V1156" s="10">
        <v>75976.25</v>
      </c>
      <c r="W1156" s="10" t="str">
        <f t="shared" si="126"/>
        <v>Short Paid</v>
      </c>
      <c r="X1156" t="s">
        <v>450</v>
      </c>
      <c r="Y1156" t="s">
        <v>28</v>
      </c>
      <c r="Z1156">
        <v>100207</v>
      </c>
      <c r="AA1156" t="s">
        <v>519</v>
      </c>
      <c r="AB1156" t="s">
        <v>524</v>
      </c>
      <c r="AC1156" s="9">
        <v>2</v>
      </c>
      <c r="AD1156" s="9" t="str">
        <f t="shared" si="127"/>
        <v>Check</v>
      </c>
      <c r="AE1156" s="11">
        <f t="shared" si="124"/>
        <v>-60780.998</v>
      </c>
    </row>
    <row r="1157" spans="1:31" x14ac:dyDescent="0.3">
      <c r="A1157">
        <v>45</v>
      </c>
      <c r="B1157">
        <v>4695842</v>
      </c>
      <c r="C1157" t="s">
        <v>94</v>
      </c>
      <c r="D1157">
        <v>1830445</v>
      </c>
      <c r="E1157" t="s">
        <v>95</v>
      </c>
      <c r="F1157" t="s">
        <v>19</v>
      </c>
      <c r="G1157" t="s">
        <v>1097</v>
      </c>
      <c r="H1157" t="s">
        <v>1098</v>
      </c>
      <c r="I1157" t="s">
        <v>3476</v>
      </c>
      <c r="J1157">
        <v>51145322474</v>
      </c>
      <c r="K1157" t="s">
        <v>3500</v>
      </c>
      <c r="L1157" t="s">
        <v>4132</v>
      </c>
      <c r="M1157">
        <v>1</v>
      </c>
      <c r="N1157" s="10">
        <v>15195.25</v>
      </c>
      <c r="O1157" s="10">
        <f t="shared" si="125"/>
        <v>15195.25</v>
      </c>
      <c r="P1157" s="10" t="s">
        <v>5006</v>
      </c>
      <c r="Q1157" s="10" t="s">
        <v>5006</v>
      </c>
      <c r="R1157" s="10" t="str">
        <f>IF(COUNTIF($J$2:J1157,J1157)=1,SUMIFS($O:$O,$J:$J,J1157)+SUMIFS($P:$P,$J:$J,J1157)+SUMIFS($Q:$Q,$J:$J,J1157),"")</f>
        <v/>
      </c>
      <c r="S1157" s="10" t="s">
        <v>5006</v>
      </c>
      <c r="T1157" s="11" t="str">
        <f t="shared" si="128"/>
        <v>Check</v>
      </c>
      <c r="U1157" s="12">
        <v>46008</v>
      </c>
      <c r="V1157" s="10">
        <v>75976.25</v>
      </c>
      <c r="W1157" s="10" t="str">
        <f t="shared" si="126"/>
        <v>N/A</v>
      </c>
      <c r="X1157" t="s">
        <v>450</v>
      </c>
      <c r="Y1157" t="s">
        <v>28</v>
      </c>
      <c r="Z1157">
        <v>100207</v>
      </c>
      <c r="AA1157" t="s">
        <v>519</v>
      </c>
      <c r="AB1157" t="s">
        <v>524</v>
      </c>
      <c r="AC1157" s="9">
        <v>2</v>
      </c>
      <c r="AD1157" s="9" t="str">
        <f t="shared" si="127"/>
        <v>N/A</v>
      </c>
      <c r="AE1157" s="11" t="e">
        <f t="shared" si="124"/>
        <v>#VALUE!</v>
      </c>
    </row>
    <row r="1158" spans="1:31" x14ac:dyDescent="0.3">
      <c r="A1158">
        <v>44</v>
      </c>
      <c r="B1158">
        <v>4697234</v>
      </c>
      <c r="C1158" t="s">
        <v>167</v>
      </c>
      <c r="D1158">
        <v>1241713</v>
      </c>
      <c r="E1158" t="s">
        <v>614</v>
      </c>
      <c r="F1158" t="s">
        <v>19</v>
      </c>
      <c r="G1158" t="s">
        <v>1109</v>
      </c>
      <c r="H1158" t="s">
        <v>1110</v>
      </c>
      <c r="I1158" t="s">
        <v>3181</v>
      </c>
      <c r="J1158">
        <v>51145337779</v>
      </c>
      <c r="K1158" t="s">
        <v>3517</v>
      </c>
      <c r="L1158" t="s">
        <v>4049</v>
      </c>
      <c r="M1158">
        <v>36000</v>
      </c>
      <c r="N1158" s="10">
        <v>0.94</v>
      </c>
      <c r="O1158" s="10">
        <f t="shared" si="125"/>
        <v>33840</v>
      </c>
      <c r="P1158" s="10">
        <v>0</v>
      </c>
      <c r="Q1158" s="10">
        <v>0</v>
      </c>
      <c r="R1158" s="10">
        <f>IF(COUNTIF($J$2:J1158,J1158)=1,SUMIFS($O:$O,$J:$J,J1158)+SUMIFS($P:$P,$J:$J,J1158)+SUMIFS($Q:$Q,$J:$J,J1158),"")</f>
        <v>34132.5</v>
      </c>
      <c r="S1158" s="10">
        <v>34132.5</v>
      </c>
      <c r="T1158" s="11" t="str">
        <f t="shared" si="128"/>
        <v>Ok</v>
      </c>
      <c r="U1158" s="12">
        <v>46125</v>
      </c>
      <c r="V1158" s="10">
        <v>33840</v>
      </c>
      <c r="W1158" s="10" t="str">
        <f t="shared" si="126"/>
        <v>Short Paid</v>
      </c>
      <c r="X1158" t="s">
        <v>455</v>
      </c>
      <c r="Y1158" t="s">
        <v>28</v>
      </c>
      <c r="Z1158">
        <v>100110</v>
      </c>
      <c r="AA1158" t="s">
        <v>512</v>
      </c>
      <c r="AB1158" t="s">
        <v>524</v>
      </c>
      <c r="AC1158" s="9">
        <v>2</v>
      </c>
      <c r="AD1158" s="9" t="str">
        <f t="shared" si="127"/>
        <v>Ok</v>
      </c>
      <c r="AE1158" s="11">
        <f t="shared" si="124"/>
        <v>0</v>
      </c>
    </row>
    <row r="1159" spans="1:31" x14ac:dyDescent="0.3">
      <c r="A1159">
        <v>44</v>
      </c>
      <c r="B1159">
        <v>4697234</v>
      </c>
      <c r="C1159" t="s">
        <v>167</v>
      </c>
      <c r="D1159">
        <v>1241713</v>
      </c>
      <c r="E1159" t="s">
        <v>614</v>
      </c>
      <c r="F1159" t="s">
        <v>19</v>
      </c>
      <c r="G1159" t="s">
        <v>1109</v>
      </c>
      <c r="H1159" t="s">
        <v>1110</v>
      </c>
      <c r="I1159" t="s">
        <v>3236</v>
      </c>
      <c r="J1159">
        <v>51145337779</v>
      </c>
      <c r="K1159" t="s">
        <v>3229</v>
      </c>
      <c r="L1159" t="s">
        <v>3427</v>
      </c>
      <c r="M1159">
        <v>15000</v>
      </c>
      <c r="N1159" s="10">
        <v>1.95E-2</v>
      </c>
      <c r="O1159" s="10">
        <f t="shared" si="125"/>
        <v>292.5</v>
      </c>
      <c r="P1159" s="10" t="s">
        <v>5006</v>
      </c>
      <c r="Q1159" s="10" t="s">
        <v>5006</v>
      </c>
      <c r="R1159" s="10" t="str">
        <f>IF(COUNTIF($J$2:J1159,J1159)=1,SUMIFS($O:$O,$J:$J,J1159)+SUMIFS($P:$P,$J:$J,J1159)+SUMIFS($Q:$Q,$J:$J,J1159),"")</f>
        <v/>
      </c>
      <c r="S1159" s="10" t="s">
        <v>5006</v>
      </c>
      <c r="T1159" s="11" t="str">
        <f t="shared" si="128"/>
        <v>Ok</v>
      </c>
      <c r="U1159" s="12">
        <v>46125</v>
      </c>
      <c r="V1159" s="10">
        <v>33840</v>
      </c>
      <c r="W1159" s="10" t="str">
        <f t="shared" si="126"/>
        <v>N/A</v>
      </c>
      <c r="X1159" t="s">
        <v>455</v>
      </c>
      <c r="Y1159" t="s">
        <v>28</v>
      </c>
      <c r="Z1159">
        <v>100110</v>
      </c>
      <c r="AA1159" t="s">
        <v>512</v>
      </c>
      <c r="AB1159" t="s">
        <v>524</v>
      </c>
      <c r="AC1159" s="9">
        <v>2</v>
      </c>
      <c r="AD1159" s="9" t="str">
        <f t="shared" si="127"/>
        <v>N/A</v>
      </c>
      <c r="AE1159" s="11" t="e">
        <f t="shared" ref="AE1159:AE1222" si="129">R1159-S1159</f>
        <v>#VALUE!</v>
      </c>
    </row>
    <row r="1160" spans="1:31" x14ac:dyDescent="0.3">
      <c r="A1160">
        <v>43</v>
      </c>
      <c r="B1160">
        <v>4700851</v>
      </c>
      <c r="C1160" t="s">
        <v>220</v>
      </c>
      <c r="D1160">
        <v>1379208</v>
      </c>
      <c r="E1160" t="s">
        <v>603</v>
      </c>
      <c r="F1160" t="s">
        <v>20</v>
      </c>
      <c r="G1160" t="s">
        <v>2753</v>
      </c>
      <c r="H1160" t="s">
        <v>1104</v>
      </c>
      <c r="I1160" t="s">
        <v>3195</v>
      </c>
      <c r="J1160">
        <v>51145341986</v>
      </c>
      <c r="K1160" s="12">
        <v>46082</v>
      </c>
      <c r="L1160" t="s">
        <v>4133</v>
      </c>
      <c r="M1160">
        <v>1440</v>
      </c>
      <c r="N1160" s="10">
        <v>3.53</v>
      </c>
      <c r="O1160" s="10">
        <f t="shared" si="125"/>
        <v>5083.2</v>
      </c>
      <c r="P1160" s="10">
        <v>0</v>
      </c>
      <c r="Q1160" s="10">
        <v>0</v>
      </c>
      <c r="R1160" s="10">
        <f>IF(COUNTIF($J$2:J1160,J1160)=1,SUMIFS($O:$O,$J:$J,J1160)+SUMIFS($P:$P,$J:$J,J1160)+SUMIFS($Q:$Q,$J:$J,J1160),"")</f>
        <v>8724.8467500000006</v>
      </c>
      <c r="S1160" s="10">
        <v>9995.65</v>
      </c>
      <c r="T1160" s="11" t="str">
        <f t="shared" si="128"/>
        <v>Check</v>
      </c>
      <c r="U1160" s="12">
        <v>46104</v>
      </c>
      <c r="V1160" s="10">
        <v>6354</v>
      </c>
      <c r="W1160" s="10" t="str">
        <f t="shared" si="126"/>
        <v>Short Paid</v>
      </c>
      <c r="X1160" t="s">
        <v>470</v>
      </c>
      <c r="Y1160" t="s">
        <v>28</v>
      </c>
      <c r="Z1160">
        <v>100168</v>
      </c>
      <c r="AA1160" t="s">
        <v>514</v>
      </c>
      <c r="AB1160" t="s">
        <v>521</v>
      </c>
      <c r="AC1160" s="9">
        <v>2</v>
      </c>
      <c r="AD1160" s="9" t="str">
        <f t="shared" si="127"/>
        <v>Check</v>
      </c>
      <c r="AE1160" s="11">
        <f t="shared" si="129"/>
        <v>-1270.803249999999</v>
      </c>
    </row>
    <row r="1161" spans="1:31" x14ac:dyDescent="0.3">
      <c r="A1161">
        <v>43</v>
      </c>
      <c r="B1161">
        <v>4700851</v>
      </c>
      <c r="C1161" t="s">
        <v>220</v>
      </c>
      <c r="D1161">
        <v>1379208</v>
      </c>
      <c r="E1161" t="s">
        <v>603</v>
      </c>
      <c r="F1161" t="s">
        <v>20</v>
      </c>
      <c r="G1161" t="s">
        <v>2753</v>
      </c>
      <c r="H1161" t="s">
        <v>1104</v>
      </c>
      <c r="I1161" t="s">
        <v>3397</v>
      </c>
      <c r="J1161">
        <v>51145341986</v>
      </c>
      <c r="K1161" t="s">
        <v>3443</v>
      </c>
      <c r="L1161" t="s">
        <v>3442</v>
      </c>
      <c r="M1161">
        <v>105</v>
      </c>
      <c r="N1161" s="10">
        <v>34.68235</v>
      </c>
      <c r="O1161" s="10">
        <f t="shared" si="125"/>
        <v>3641.6467499999999</v>
      </c>
      <c r="P1161" s="10" t="s">
        <v>5006</v>
      </c>
      <c r="Q1161" s="10" t="s">
        <v>5006</v>
      </c>
      <c r="R1161" s="10" t="str">
        <f>IF(COUNTIF($J$2:J1161,J1161)=1,SUMIFS($O:$O,$J:$J,J1161)+SUMIFS($P:$P,$J:$J,J1161)+SUMIFS($Q:$Q,$J:$J,J1161),"")</f>
        <v/>
      </c>
      <c r="S1161" s="10" t="s">
        <v>5006</v>
      </c>
      <c r="T1161" s="11" t="str">
        <f t="shared" si="128"/>
        <v>Check</v>
      </c>
      <c r="U1161" s="12">
        <v>46104</v>
      </c>
      <c r="V1161" s="10">
        <v>6354</v>
      </c>
      <c r="W1161" s="10" t="str">
        <f t="shared" si="126"/>
        <v>N/A</v>
      </c>
      <c r="X1161" t="s">
        <v>470</v>
      </c>
      <c r="Y1161" t="s">
        <v>28</v>
      </c>
      <c r="Z1161">
        <v>100168</v>
      </c>
      <c r="AA1161" t="s">
        <v>514</v>
      </c>
      <c r="AB1161" t="s">
        <v>521</v>
      </c>
      <c r="AC1161" s="9">
        <v>2</v>
      </c>
      <c r="AD1161" s="9" t="str">
        <f t="shared" si="127"/>
        <v>N/A</v>
      </c>
      <c r="AE1161" s="11" t="e">
        <f t="shared" si="129"/>
        <v>#VALUE!</v>
      </c>
    </row>
    <row r="1162" spans="1:31" x14ac:dyDescent="0.3">
      <c r="A1162">
        <v>43</v>
      </c>
      <c r="B1162">
        <v>4700016</v>
      </c>
      <c r="C1162" t="s">
        <v>94</v>
      </c>
      <c r="D1162">
        <v>1923884</v>
      </c>
      <c r="E1162" t="s">
        <v>704</v>
      </c>
      <c r="F1162" t="s">
        <v>22</v>
      </c>
      <c r="G1162" t="s">
        <v>1119</v>
      </c>
      <c r="H1162" t="s">
        <v>1120</v>
      </c>
      <c r="I1162" t="s">
        <v>3224</v>
      </c>
      <c r="J1162">
        <v>51145362519</v>
      </c>
      <c r="K1162" t="s">
        <v>3479</v>
      </c>
      <c r="L1162" t="s">
        <v>3478</v>
      </c>
      <c r="M1162">
        <v>150000</v>
      </c>
      <c r="N1162" s="10">
        <v>1.6049999999999998E-2</v>
      </c>
      <c r="O1162" s="10">
        <f t="shared" si="125"/>
        <v>2407.4999999999995</v>
      </c>
      <c r="P1162" s="10">
        <v>0</v>
      </c>
      <c r="Q1162" s="10">
        <v>0</v>
      </c>
      <c r="R1162" s="10">
        <f>IF(COUNTIF($J$2:J1162,J1162)=1,SUMIFS($O:$O,$J:$J,J1162)+SUMIFS($P:$P,$J:$J,J1162)+SUMIFS($Q:$Q,$J:$J,J1162),"")</f>
        <v>2469.7999999999997</v>
      </c>
      <c r="S1162" s="10">
        <v>2479.79</v>
      </c>
      <c r="T1162" s="11" t="str">
        <f t="shared" si="128"/>
        <v>Check</v>
      </c>
      <c r="U1162" s="12">
        <v>44981</v>
      </c>
      <c r="V1162" s="10">
        <v>72.290000000000006</v>
      </c>
      <c r="W1162" s="10" t="str">
        <f t="shared" si="126"/>
        <v>Short Paid</v>
      </c>
      <c r="X1162" t="s">
        <v>450</v>
      </c>
      <c r="Y1162" t="s">
        <v>28</v>
      </c>
      <c r="Z1162">
        <v>100117</v>
      </c>
      <c r="AA1162" t="s">
        <v>451</v>
      </c>
      <c r="AB1162" t="s">
        <v>3035</v>
      </c>
      <c r="AC1162" s="9">
        <v>2</v>
      </c>
      <c r="AD1162" s="9" t="str">
        <f t="shared" si="127"/>
        <v>Check</v>
      </c>
      <c r="AE1162" s="11">
        <f t="shared" si="129"/>
        <v>-9.9900000000002365</v>
      </c>
    </row>
    <row r="1163" spans="1:31" x14ac:dyDescent="0.3">
      <c r="A1163">
        <v>43</v>
      </c>
      <c r="B1163">
        <v>4700016</v>
      </c>
      <c r="C1163" t="s">
        <v>94</v>
      </c>
      <c r="D1163">
        <v>1923884</v>
      </c>
      <c r="E1163" t="s">
        <v>704</v>
      </c>
      <c r="F1163" t="s">
        <v>22</v>
      </c>
      <c r="G1163" t="s">
        <v>1119</v>
      </c>
      <c r="H1163" t="s">
        <v>1120</v>
      </c>
      <c r="I1163" t="s">
        <v>3367</v>
      </c>
      <c r="J1163">
        <v>51145362519</v>
      </c>
      <c r="K1163" t="s">
        <v>3209</v>
      </c>
      <c r="L1163" t="s">
        <v>4134</v>
      </c>
      <c r="M1163">
        <v>50</v>
      </c>
      <c r="N1163" s="10">
        <v>1.246</v>
      </c>
      <c r="O1163" s="10">
        <f t="shared" si="125"/>
        <v>62.3</v>
      </c>
      <c r="P1163" s="10" t="s">
        <v>5006</v>
      </c>
      <c r="Q1163" s="10" t="s">
        <v>5006</v>
      </c>
      <c r="R1163" s="10" t="str">
        <f>IF(COUNTIF($J$2:J1163,J1163)=1,SUMIFS($O:$O,$J:$J,J1163)+SUMIFS($P:$P,$J:$J,J1163)+SUMIFS($Q:$Q,$J:$J,J1163),"")</f>
        <v/>
      </c>
      <c r="S1163" s="10" t="s">
        <v>5006</v>
      </c>
      <c r="T1163" s="11" t="str">
        <f t="shared" si="128"/>
        <v>Check</v>
      </c>
      <c r="U1163" s="12">
        <v>44981</v>
      </c>
      <c r="V1163" s="10">
        <v>72.290000000000006</v>
      </c>
      <c r="W1163" s="10" t="str">
        <f t="shared" si="126"/>
        <v>N/A</v>
      </c>
      <c r="X1163" t="s">
        <v>450</v>
      </c>
      <c r="Y1163" t="s">
        <v>28</v>
      </c>
      <c r="Z1163">
        <v>100117</v>
      </c>
      <c r="AA1163" t="s">
        <v>451</v>
      </c>
      <c r="AB1163" t="s">
        <v>3035</v>
      </c>
      <c r="AC1163" s="9">
        <v>2</v>
      </c>
      <c r="AD1163" s="9" t="str">
        <f t="shared" si="127"/>
        <v>N/A</v>
      </c>
      <c r="AE1163" s="11" t="e">
        <f t="shared" si="129"/>
        <v>#VALUE!</v>
      </c>
    </row>
    <row r="1164" spans="1:31" x14ac:dyDescent="0.3">
      <c r="A1164">
        <v>38</v>
      </c>
      <c r="B1164">
        <v>4733689</v>
      </c>
      <c r="C1164" t="s">
        <v>217</v>
      </c>
      <c r="D1164">
        <v>1036945</v>
      </c>
      <c r="E1164" t="s">
        <v>4885</v>
      </c>
      <c r="F1164" t="s">
        <v>50</v>
      </c>
      <c r="G1164" t="s">
        <v>4886</v>
      </c>
      <c r="H1164" t="s">
        <v>1231</v>
      </c>
      <c r="I1164" t="s">
        <v>3218</v>
      </c>
      <c r="J1164">
        <v>51145417698</v>
      </c>
      <c r="K1164" t="s">
        <v>3351</v>
      </c>
      <c r="L1164" t="s">
        <v>3450</v>
      </c>
      <c r="M1164">
        <v>4000</v>
      </c>
      <c r="N1164" s="10">
        <v>3.8679999999999999</v>
      </c>
      <c r="O1164" s="10">
        <f t="shared" si="125"/>
        <v>15472</v>
      </c>
      <c r="P1164" s="10">
        <v>0</v>
      </c>
      <c r="Q1164" s="10">
        <v>0</v>
      </c>
      <c r="R1164" s="10">
        <f>IF(COUNTIF($J$2:J1164,J1164)=1,SUMIFS($O:$O,$J:$J,J1164)+SUMIFS($P:$P,$J:$J,J1164)+SUMIFS($Q:$Q,$J:$J,J1164),"")</f>
        <v>28189.599999999999</v>
      </c>
      <c r="S1164" s="10">
        <v>28340.55</v>
      </c>
      <c r="T1164" s="11" t="str">
        <f t="shared" si="128"/>
        <v>Check</v>
      </c>
      <c r="U1164" s="12">
        <v>46091</v>
      </c>
      <c r="V1164" s="10">
        <v>150.94999999999999</v>
      </c>
      <c r="W1164" s="10" t="str">
        <f t="shared" si="126"/>
        <v>Short Paid</v>
      </c>
      <c r="X1164" t="s">
        <v>468</v>
      </c>
      <c r="Y1164" t="s">
        <v>436</v>
      </c>
      <c r="Z1164">
        <v>100136</v>
      </c>
      <c r="AA1164" t="s">
        <v>4887</v>
      </c>
      <c r="AB1164" t="s">
        <v>3042</v>
      </c>
      <c r="AC1164" s="9">
        <v>2</v>
      </c>
      <c r="AD1164" s="9" t="str">
        <f t="shared" si="127"/>
        <v>Check</v>
      </c>
      <c r="AE1164" s="11">
        <f t="shared" si="129"/>
        <v>-150.95000000000073</v>
      </c>
    </row>
    <row r="1165" spans="1:31" x14ac:dyDescent="0.3">
      <c r="A1165">
        <v>38</v>
      </c>
      <c r="B1165">
        <v>4733689</v>
      </c>
      <c r="C1165" t="s">
        <v>217</v>
      </c>
      <c r="D1165">
        <v>1036945</v>
      </c>
      <c r="E1165" t="s">
        <v>4885</v>
      </c>
      <c r="F1165" t="s">
        <v>50</v>
      </c>
      <c r="G1165" t="s">
        <v>4886</v>
      </c>
      <c r="H1165" t="s">
        <v>1231</v>
      </c>
      <c r="I1165" t="s">
        <v>3444</v>
      </c>
      <c r="J1165">
        <v>51145417698</v>
      </c>
      <c r="K1165" t="s">
        <v>3266</v>
      </c>
      <c r="L1165" t="s">
        <v>4135</v>
      </c>
      <c r="M1165">
        <v>840</v>
      </c>
      <c r="N1165" s="10">
        <v>15.14</v>
      </c>
      <c r="O1165" s="10">
        <f t="shared" si="125"/>
        <v>12717.6</v>
      </c>
      <c r="P1165" s="10" t="s">
        <v>5006</v>
      </c>
      <c r="Q1165" s="10" t="s">
        <v>5006</v>
      </c>
      <c r="R1165" s="10" t="str">
        <f>IF(COUNTIF($J$2:J1165,J1165)=1,SUMIFS($O:$O,$J:$J,J1165)+SUMIFS($P:$P,$J:$J,J1165)+SUMIFS($Q:$Q,$J:$J,J1165),"")</f>
        <v/>
      </c>
      <c r="S1165" s="10" t="s">
        <v>5006</v>
      </c>
      <c r="T1165" s="11" t="str">
        <f t="shared" si="128"/>
        <v>Check</v>
      </c>
      <c r="U1165" s="12">
        <v>46091</v>
      </c>
      <c r="V1165" s="10">
        <v>150.94999999999999</v>
      </c>
      <c r="W1165" s="10" t="str">
        <f t="shared" si="126"/>
        <v>N/A</v>
      </c>
      <c r="X1165" t="s">
        <v>468</v>
      </c>
      <c r="Y1165" t="s">
        <v>436</v>
      </c>
      <c r="Z1165">
        <v>100136</v>
      </c>
      <c r="AA1165" t="s">
        <v>4887</v>
      </c>
      <c r="AB1165" t="s">
        <v>3042</v>
      </c>
      <c r="AC1165" s="9">
        <v>2</v>
      </c>
      <c r="AD1165" s="9" t="str">
        <f t="shared" si="127"/>
        <v>N/A</v>
      </c>
      <c r="AE1165" s="11" t="e">
        <f t="shared" si="129"/>
        <v>#VALUE!</v>
      </c>
    </row>
    <row r="1166" spans="1:31" x14ac:dyDescent="0.3">
      <c r="A1166">
        <v>38</v>
      </c>
      <c r="B1166">
        <v>4733967</v>
      </c>
      <c r="C1166" t="s">
        <v>217</v>
      </c>
      <c r="D1166">
        <v>1036945</v>
      </c>
      <c r="E1166" t="s">
        <v>4885</v>
      </c>
      <c r="F1166" t="s">
        <v>50</v>
      </c>
      <c r="G1166" t="s">
        <v>4888</v>
      </c>
      <c r="H1166" t="s">
        <v>1232</v>
      </c>
      <c r="I1166" t="s">
        <v>3449</v>
      </c>
      <c r="J1166">
        <v>51145443067</v>
      </c>
      <c r="K1166" t="s">
        <v>3194</v>
      </c>
      <c r="L1166" t="s">
        <v>3448</v>
      </c>
      <c r="M1166">
        <v>13120</v>
      </c>
      <c r="N1166" s="10">
        <v>2.6230000000000002</v>
      </c>
      <c r="O1166" s="10">
        <f t="shared" si="125"/>
        <v>34413.760000000002</v>
      </c>
      <c r="P1166" s="10">
        <v>0</v>
      </c>
      <c r="Q1166" s="10">
        <v>0</v>
      </c>
      <c r="R1166" s="10">
        <f>IF(COUNTIF($J$2:J1166,J1166)=1,SUMIFS($O:$O,$J:$J,J1166)+SUMIFS($P:$P,$J:$J,J1166)+SUMIFS($Q:$Q,$J:$J,J1166),"")</f>
        <v>39656.080000000002</v>
      </c>
      <c r="S1166" s="10">
        <v>39809.120000000003</v>
      </c>
      <c r="T1166" s="11" t="str">
        <f t="shared" si="128"/>
        <v>Check</v>
      </c>
      <c r="U1166" s="12">
        <v>46107</v>
      </c>
      <c r="V1166" s="10">
        <v>153.04</v>
      </c>
      <c r="W1166" s="10" t="str">
        <f t="shared" si="126"/>
        <v>Short Paid</v>
      </c>
      <c r="X1166" t="s">
        <v>468</v>
      </c>
      <c r="Y1166" t="s">
        <v>436</v>
      </c>
      <c r="Z1166">
        <v>100176</v>
      </c>
      <c r="AA1166" t="s">
        <v>3109</v>
      </c>
      <c r="AB1166" t="s">
        <v>3042</v>
      </c>
      <c r="AC1166" s="9">
        <v>3</v>
      </c>
      <c r="AD1166" s="9" t="str">
        <f t="shared" si="127"/>
        <v>Check</v>
      </c>
      <c r="AE1166" s="11">
        <f t="shared" si="129"/>
        <v>-153.04000000000087</v>
      </c>
    </row>
    <row r="1167" spans="1:31" x14ac:dyDescent="0.3">
      <c r="A1167">
        <v>38</v>
      </c>
      <c r="B1167">
        <v>4733967</v>
      </c>
      <c r="C1167" t="s">
        <v>217</v>
      </c>
      <c r="D1167">
        <v>1036945</v>
      </c>
      <c r="E1167" t="s">
        <v>4885</v>
      </c>
      <c r="F1167" t="s">
        <v>50</v>
      </c>
      <c r="G1167" t="s">
        <v>4888</v>
      </c>
      <c r="H1167" t="s">
        <v>1232</v>
      </c>
      <c r="I1167" t="s">
        <v>3412</v>
      </c>
      <c r="J1167">
        <v>51145443067</v>
      </c>
      <c r="K1167" t="s">
        <v>3266</v>
      </c>
      <c r="L1167" t="s">
        <v>4136</v>
      </c>
      <c r="M1167">
        <v>108</v>
      </c>
      <c r="N1167" s="10">
        <v>15.16</v>
      </c>
      <c r="O1167" s="10">
        <f t="shared" si="125"/>
        <v>1637.28</v>
      </c>
      <c r="P1167" s="10" t="s">
        <v>5006</v>
      </c>
      <c r="Q1167" s="10" t="s">
        <v>5006</v>
      </c>
      <c r="R1167" s="10" t="str">
        <f>IF(COUNTIF($J$2:J1167,J1167)=1,SUMIFS($O:$O,$J:$J,J1167)+SUMIFS($P:$P,$J:$J,J1167)+SUMIFS($Q:$Q,$J:$J,J1167),"")</f>
        <v/>
      </c>
      <c r="S1167" s="10" t="s">
        <v>5006</v>
      </c>
      <c r="T1167" s="11" t="str">
        <f t="shared" si="128"/>
        <v>Check</v>
      </c>
      <c r="U1167" s="12">
        <v>46107</v>
      </c>
      <c r="V1167" s="10">
        <v>153.04</v>
      </c>
      <c r="W1167" s="10" t="str">
        <f t="shared" si="126"/>
        <v>N/A</v>
      </c>
      <c r="X1167" t="s">
        <v>468</v>
      </c>
      <c r="Y1167" t="s">
        <v>436</v>
      </c>
      <c r="Z1167">
        <v>100176</v>
      </c>
      <c r="AA1167" t="s">
        <v>3109</v>
      </c>
      <c r="AB1167" t="s">
        <v>3042</v>
      </c>
      <c r="AC1167" s="9">
        <v>3</v>
      </c>
      <c r="AD1167" s="9" t="str">
        <f t="shared" si="127"/>
        <v>N/A</v>
      </c>
      <c r="AE1167" s="11" t="e">
        <f t="shared" si="129"/>
        <v>#VALUE!</v>
      </c>
    </row>
    <row r="1168" spans="1:31" x14ac:dyDescent="0.3">
      <c r="A1168">
        <v>38</v>
      </c>
      <c r="B1168">
        <v>4733967</v>
      </c>
      <c r="C1168" t="s">
        <v>217</v>
      </c>
      <c r="D1168">
        <v>1036945</v>
      </c>
      <c r="E1168" t="s">
        <v>4885</v>
      </c>
      <c r="F1168" t="s">
        <v>50</v>
      </c>
      <c r="G1168" t="s">
        <v>4888</v>
      </c>
      <c r="H1168" t="s">
        <v>1232</v>
      </c>
      <c r="I1168" t="s">
        <v>3412</v>
      </c>
      <c r="J1168">
        <v>51145443067</v>
      </c>
      <c r="K1168" t="s">
        <v>3266</v>
      </c>
      <c r="L1168" t="s">
        <v>4137</v>
      </c>
      <c r="M1168">
        <v>216</v>
      </c>
      <c r="N1168" s="10">
        <v>16.690000000000001</v>
      </c>
      <c r="O1168" s="10">
        <f t="shared" si="125"/>
        <v>3605.0400000000004</v>
      </c>
      <c r="P1168" s="10" t="s">
        <v>5006</v>
      </c>
      <c r="Q1168" s="10" t="s">
        <v>5006</v>
      </c>
      <c r="R1168" s="10" t="str">
        <f>IF(COUNTIF($J$2:J1168,J1168)=1,SUMIFS($O:$O,$J:$J,J1168)+SUMIFS($P:$P,$J:$J,J1168)+SUMIFS($Q:$Q,$J:$J,J1168),"")</f>
        <v/>
      </c>
      <c r="S1168" s="10" t="s">
        <v>5006</v>
      </c>
      <c r="T1168" s="11" t="str">
        <f t="shared" si="128"/>
        <v>Check</v>
      </c>
      <c r="U1168" s="12">
        <v>46107</v>
      </c>
      <c r="V1168" s="10">
        <v>153.04</v>
      </c>
      <c r="W1168" s="10" t="str">
        <f t="shared" si="126"/>
        <v>N/A</v>
      </c>
      <c r="X1168" t="s">
        <v>468</v>
      </c>
      <c r="Y1168" t="s">
        <v>436</v>
      </c>
      <c r="Z1168">
        <v>100176</v>
      </c>
      <c r="AA1168" t="s">
        <v>3109</v>
      </c>
      <c r="AB1168" t="s">
        <v>3042</v>
      </c>
      <c r="AC1168" s="9">
        <v>3</v>
      </c>
      <c r="AD1168" s="9" t="str">
        <f t="shared" si="127"/>
        <v>N/A</v>
      </c>
      <c r="AE1168" s="11" t="e">
        <f t="shared" si="129"/>
        <v>#VALUE!</v>
      </c>
    </row>
    <row r="1169" spans="1:31" x14ac:dyDescent="0.3">
      <c r="A1169">
        <v>53</v>
      </c>
      <c r="B1169">
        <v>4679145</v>
      </c>
      <c r="C1169" t="s">
        <v>60</v>
      </c>
      <c r="D1169">
        <v>1507694</v>
      </c>
      <c r="E1169" t="s">
        <v>351</v>
      </c>
      <c r="F1169" t="s">
        <v>20</v>
      </c>
      <c r="G1169" t="s">
        <v>1061</v>
      </c>
      <c r="H1169" t="s">
        <v>1062</v>
      </c>
      <c r="I1169" t="s">
        <v>3300</v>
      </c>
      <c r="J1169">
        <v>51145473904</v>
      </c>
      <c r="K1169" t="s">
        <v>3638</v>
      </c>
      <c r="L1169" t="s">
        <v>4138</v>
      </c>
      <c r="M1169">
        <v>2</v>
      </c>
      <c r="N1169" s="10">
        <v>7</v>
      </c>
      <c r="O1169" s="10">
        <f t="shared" si="125"/>
        <v>14</v>
      </c>
      <c r="P1169" s="10">
        <v>0</v>
      </c>
      <c r="Q1169" s="10">
        <v>1395.93</v>
      </c>
      <c r="R1169" s="10">
        <f>IF(COUNTIF($J$2:J1169,J1169)=1,SUMIFS($O:$O,$J:$J,J1169)+SUMIFS($P:$P,$J:$J,J1169)+SUMIFS($Q:$Q,$J:$J,J1169),"")</f>
        <v>7479.21</v>
      </c>
      <c r="S1169" s="10">
        <v>7479.21</v>
      </c>
      <c r="T1169" s="11" t="str">
        <f t="shared" si="128"/>
        <v>Ok</v>
      </c>
      <c r="U1169" s="12">
        <v>45449</v>
      </c>
      <c r="V1169" s="10">
        <v>14</v>
      </c>
      <c r="W1169" s="10" t="str">
        <f t="shared" si="126"/>
        <v>Short Paid</v>
      </c>
      <c r="X1169" t="s">
        <v>438</v>
      </c>
      <c r="Y1169" t="s">
        <v>28</v>
      </c>
      <c r="Z1169">
        <v>100203</v>
      </c>
      <c r="AA1169" t="s">
        <v>441</v>
      </c>
      <c r="AB1169" t="s">
        <v>521</v>
      </c>
      <c r="AC1169" s="9">
        <v>2</v>
      </c>
      <c r="AD1169" s="9" t="str">
        <f t="shared" si="127"/>
        <v>Ok</v>
      </c>
      <c r="AE1169" s="11">
        <f t="shared" si="129"/>
        <v>0</v>
      </c>
    </row>
    <row r="1170" spans="1:31" x14ac:dyDescent="0.3">
      <c r="A1170">
        <v>53</v>
      </c>
      <c r="B1170">
        <v>4679145</v>
      </c>
      <c r="C1170" t="s">
        <v>60</v>
      </c>
      <c r="D1170">
        <v>1507694</v>
      </c>
      <c r="E1170" t="s">
        <v>351</v>
      </c>
      <c r="F1170" t="s">
        <v>20</v>
      </c>
      <c r="G1170" t="s">
        <v>1061</v>
      </c>
      <c r="H1170" t="s">
        <v>1062</v>
      </c>
      <c r="I1170" t="s">
        <v>3528</v>
      </c>
      <c r="J1170">
        <v>51145473904</v>
      </c>
      <c r="K1170" t="s">
        <v>3532</v>
      </c>
      <c r="L1170" t="s">
        <v>3531</v>
      </c>
      <c r="M1170">
        <v>16000</v>
      </c>
      <c r="N1170" s="10">
        <v>0.37933</v>
      </c>
      <c r="O1170" s="10">
        <f t="shared" si="125"/>
        <v>6069.28</v>
      </c>
      <c r="P1170" s="10" t="s">
        <v>5006</v>
      </c>
      <c r="Q1170" s="10" t="s">
        <v>5006</v>
      </c>
      <c r="R1170" s="10" t="str">
        <f>IF(COUNTIF($J$2:J1170,J1170)=1,SUMIFS($O:$O,$J:$J,J1170)+SUMIFS($P:$P,$J:$J,J1170)+SUMIFS($Q:$Q,$J:$J,J1170),"")</f>
        <v/>
      </c>
      <c r="S1170" s="10" t="s">
        <v>5006</v>
      </c>
      <c r="T1170" s="11" t="str">
        <f t="shared" si="128"/>
        <v>Ok</v>
      </c>
      <c r="U1170" s="12">
        <v>45449</v>
      </c>
      <c r="V1170" s="10">
        <v>14</v>
      </c>
      <c r="W1170" s="10" t="str">
        <f t="shared" si="126"/>
        <v>N/A</v>
      </c>
      <c r="X1170" t="s">
        <v>438</v>
      </c>
      <c r="Y1170" t="s">
        <v>28</v>
      </c>
      <c r="Z1170">
        <v>100203</v>
      </c>
      <c r="AA1170" t="s">
        <v>441</v>
      </c>
      <c r="AB1170" t="s">
        <v>521</v>
      </c>
      <c r="AC1170" s="9">
        <v>2</v>
      </c>
      <c r="AD1170" s="9" t="str">
        <f t="shared" si="127"/>
        <v>N/A</v>
      </c>
      <c r="AE1170" s="11" t="e">
        <f t="shared" si="129"/>
        <v>#VALUE!</v>
      </c>
    </row>
    <row r="1171" spans="1:31" x14ac:dyDescent="0.3">
      <c r="A1171">
        <v>44</v>
      </c>
      <c r="B1171">
        <v>4698625</v>
      </c>
      <c r="C1171" t="s">
        <v>217</v>
      </c>
      <c r="D1171">
        <v>1928065</v>
      </c>
      <c r="E1171" t="s">
        <v>703</v>
      </c>
      <c r="F1171" t="s">
        <v>27</v>
      </c>
      <c r="G1171" t="s">
        <v>1111</v>
      </c>
      <c r="H1171" t="s">
        <v>1112</v>
      </c>
      <c r="I1171" t="s">
        <v>3395</v>
      </c>
      <c r="J1171">
        <v>51145523514</v>
      </c>
      <c r="K1171" t="s">
        <v>3246</v>
      </c>
      <c r="L1171" t="s">
        <v>4139</v>
      </c>
      <c r="M1171">
        <v>2000</v>
      </c>
      <c r="N1171" s="10">
        <v>0.38129999999999997</v>
      </c>
      <c r="O1171" s="10">
        <f t="shared" si="125"/>
        <v>762.59999999999991</v>
      </c>
      <c r="P1171" s="10">
        <v>0</v>
      </c>
      <c r="Q1171" s="10">
        <v>33.25</v>
      </c>
      <c r="R1171" s="10">
        <f>IF(COUNTIF($J$2:J1171,J1171)=1,SUMIFS($O:$O,$J:$J,J1171)+SUMIFS($P:$P,$J:$J,J1171)+SUMIFS($Q:$Q,$J:$J,J1171),"")</f>
        <v>970.84999999999991</v>
      </c>
      <c r="S1171" s="10">
        <v>970.85</v>
      </c>
      <c r="T1171" s="11" t="str">
        <f t="shared" si="128"/>
        <v>Ok</v>
      </c>
      <c r="U1171" s="12">
        <v>45971</v>
      </c>
      <c r="V1171" s="10">
        <v>208.25</v>
      </c>
      <c r="W1171" s="10" t="str">
        <f t="shared" si="126"/>
        <v>Short Paid</v>
      </c>
      <c r="X1171" t="s">
        <v>468</v>
      </c>
      <c r="Y1171" t="s">
        <v>436</v>
      </c>
      <c r="Z1171">
        <v>100216</v>
      </c>
      <c r="AA1171" t="s">
        <v>3140</v>
      </c>
      <c r="AB1171" t="s">
        <v>3034</v>
      </c>
      <c r="AC1171" s="9">
        <v>2</v>
      </c>
      <c r="AD1171" s="9" t="str">
        <f t="shared" si="127"/>
        <v>Ok</v>
      </c>
      <c r="AE1171" s="11">
        <f t="shared" si="129"/>
        <v>0</v>
      </c>
    </row>
    <row r="1172" spans="1:31" x14ac:dyDescent="0.3">
      <c r="A1172">
        <v>44</v>
      </c>
      <c r="B1172">
        <v>4698625</v>
      </c>
      <c r="C1172" t="s">
        <v>217</v>
      </c>
      <c r="D1172">
        <v>1928065</v>
      </c>
      <c r="E1172" t="s">
        <v>703</v>
      </c>
      <c r="F1172" t="s">
        <v>27</v>
      </c>
      <c r="G1172" t="s">
        <v>1111</v>
      </c>
      <c r="H1172" t="s">
        <v>1112</v>
      </c>
      <c r="I1172" t="s">
        <v>3484</v>
      </c>
      <c r="J1172">
        <v>51145523514</v>
      </c>
      <c r="K1172" t="s">
        <v>3401</v>
      </c>
      <c r="L1172" t="s">
        <v>4140</v>
      </c>
      <c r="M1172">
        <v>50</v>
      </c>
      <c r="N1172" s="10">
        <v>3.5</v>
      </c>
      <c r="O1172" s="10">
        <f t="shared" si="125"/>
        <v>175</v>
      </c>
      <c r="P1172" s="10" t="s">
        <v>5006</v>
      </c>
      <c r="Q1172" s="10" t="s">
        <v>5006</v>
      </c>
      <c r="R1172" s="10" t="str">
        <f>IF(COUNTIF($J$2:J1172,J1172)=1,SUMIFS($O:$O,$J:$J,J1172)+SUMIFS($P:$P,$J:$J,J1172)+SUMIFS($Q:$Q,$J:$J,J1172),"")</f>
        <v/>
      </c>
      <c r="S1172" s="10" t="s">
        <v>5006</v>
      </c>
      <c r="T1172" s="11" t="str">
        <f t="shared" si="128"/>
        <v>Ok</v>
      </c>
      <c r="U1172" s="12">
        <v>45971</v>
      </c>
      <c r="V1172" s="10">
        <v>208.25</v>
      </c>
      <c r="W1172" s="10" t="str">
        <f t="shared" si="126"/>
        <v>N/A</v>
      </c>
      <c r="X1172" t="s">
        <v>468</v>
      </c>
      <c r="Y1172" t="s">
        <v>436</v>
      </c>
      <c r="Z1172">
        <v>100216</v>
      </c>
      <c r="AA1172" t="s">
        <v>3140</v>
      </c>
      <c r="AB1172" t="s">
        <v>3034</v>
      </c>
      <c r="AC1172" s="9">
        <v>2</v>
      </c>
      <c r="AD1172" s="9" t="str">
        <f t="shared" si="127"/>
        <v>N/A</v>
      </c>
      <c r="AE1172" s="11" t="e">
        <f t="shared" si="129"/>
        <v>#VALUE!</v>
      </c>
    </row>
    <row r="1173" spans="1:31" x14ac:dyDescent="0.3">
      <c r="A1173">
        <v>59</v>
      </c>
      <c r="B1173">
        <v>4665787</v>
      </c>
      <c r="C1173" t="s">
        <v>217</v>
      </c>
      <c r="D1173">
        <v>1160621</v>
      </c>
      <c r="E1173" t="s">
        <v>571</v>
      </c>
      <c r="F1173" t="s">
        <v>18</v>
      </c>
      <c r="G1173" t="s">
        <v>2731</v>
      </c>
      <c r="H1173" t="s">
        <v>1031</v>
      </c>
      <c r="I1173" t="s">
        <v>3178</v>
      </c>
      <c r="J1173">
        <v>51145567742</v>
      </c>
      <c r="K1173" t="s">
        <v>3246</v>
      </c>
      <c r="L1173" t="s">
        <v>4141</v>
      </c>
      <c r="M1173">
        <v>10000</v>
      </c>
      <c r="N1173" s="10">
        <v>0.35489999999999999</v>
      </c>
      <c r="O1173" s="10">
        <f t="shared" si="125"/>
        <v>3549</v>
      </c>
      <c r="P1173" s="10">
        <v>0</v>
      </c>
      <c r="Q1173" s="10">
        <v>674.31</v>
      </c>
      <c r="R1173" s="10">
        <f>IF(COUNTIF($J$2:J1173,J1173)=1,SUMIFS($O:$O,$J:$J,J1173)+SUMIFS($P:$P,$J:$J,J1173)+SUMIFS($Q:$Q,$J:$J,J1173),"")</f>
        <v>5041.41</v>
      </c>
      <c r="S1173" s="10">
        <v>5041.4100000000008</v>
      </c>
      <c r="T1173" s="11" t="str">
        <f t="shared" si="128"/>
        <v>Ok</v>
      </c>
      <c r="U1173" s="12">
        <v>46057</v>
      </c>
      <c r="V1173" s="10">
        <v>4223.3100000000004</v>
      </c>
      <c r="W1173" s="10" t="str">
        <f t="shared" si="126"/>
        <v>Short Paid</v>
      </c>
      <c r="X1173" t="s">
        <v>468</v>
      </c>
      <c r="Y1173" t="s">
        <v>28</v>
      </c>
      <c r="Z1173">
        <v>100246</v>
      </c>
      <c r="AA1173" t="s">
        <v>3060</v>
      </c>
      <c r="AB1173" t="s">
        <v>523</v>
      </c>
      <c r="AC1173" s="9">
        <v>2</v>
      </c>
      <c r="AD1173" s="9" t="str">
        <f t="shared" si="127"/>
        <v>Ok</v>
      </c>
      <c r="AE1173" s="11">
        <f t="shared" si="129"/>
        <v>0</v>
      </c>
    </row>
    <row r="1174" spans="1:31" x14ac:dyDescent="0.3">
      <c r="A1174">
        <v>59</v>
      </c>
      <c r="B1174">
        <v>4665787</v>
      </c>
      <c r="C1174" t="s">
        <v>217</v>
      </c>
      <c r="D1174">
        <v>1160621</v>
      </c>
      <c r="E1174" t="s">
        <v>571</v>
      </c>
      <c r="F1174" t="s">
        <v>18</v>
      </c>
      <c r="G1174" t="s">
        <v>2731</v>
      </c>
      <c r="H1174" t="s">
        <v>1031</v>
      </c>
      <c r="I1174" t="s">
        <v>3525</v>
      </c>
      <c r="J1174">
        <v>51145567742</v>
      </c>
      <c r="K1174" t="s">
        <v>3246</v>
      </c>
      <c r="L1174" t="s">
        <v>3404</v>
      </c>
      <c r="M1174">
        <v>3000</v>
      </c>
      <c r="N1174" s="10">
        <v>0.2727</v>
      </c>
      <c r="O1174" s="10">
        <f t="shared" si="125"/>
        <v>818.1</v>
      </c>
      <c r="P1174" s="10" t="s">
        <v>5006</v>
      </c>
      <c r="Q1174" s="10" t="s">
        <v>5006</v>
      </c>
      <c r="R1174" s="10" t="str">
        <f>IF(COUNTIF($J$2:J1174,J1174)=1,SUMIFS($O:$O,$J:$J,J1174)+SUMIFS($P:$P,$J:$J,J1174)+SUMIFS($Q:$Q,$J:$J,J1174),"")</f>
        <v/>
      </c>
      <c r="S1174" s="10" t="s">
        <v>5006</v>
      </c>
      <c r="T1174" s="11" t="str">
        <f t="shared" si="128"/>
        <v>Ok</v>
      </c>
      <c r="U1174" s="12">
        <v>46057</v>
      </c>
      <c r="V1174" s="10">
        <v>4223.3100000000004</v>
      </c>
      <c r="W1174" s="10" t="str">
        <f t="shared" si="126"/>
        <v>N/A</v>
      </c>
      <c r="X1174" t="s">
        <v>468</v>
      </c>
      <c r="Y1174" t="s">
        <v>28</v>
      </c>
      <c r="Z1174">
        <v>100246</v>
      </c>
      <c r="AA1174" t="s">
        <v>3060</v>
      </c>
      <c r="AB1174" t="s">
        <v>523</v>
      </c>
      <c r="AC1174" s="9">
        <v>2</v>
      </c>
      <c r="AD1174" s="9" t="str">
        <f t="shared" si="127"/>
        <v>N/A</v>
      </c>
      <c r="AE1174" s="11" t="e">
        <f t="shared" si="129"/>
        <v>#VALUE!</v>
      </c>
    </row>
    <row r="1175" spans="1:31" x14ac:dyDescent="0.3">
      <c r="A1175">
        <v>59</v>
      </c>
      <c r="B1175">
        <v>4666066</v>
      </c>
      <c r="C1175" t="s">
        <v>217</v>
      </c>
      <c r="D1175">
        <v>1160621</v>
      </c>
      <c r="E1175" t="s">
        <v>571</v>
      </c>
      <c r="F1175" t="s">
        <v>18</v>
      </c>
      <c r="G1175" t="s">
        <v>4889</v>
      </c>
      <c r="H1175" t="s">
        <v>1032</v>
      </c>
      <c r="I1175" t="s">
        <v>3285</v>
      </c>
      <c r="J1175">
        <v>51145579741</v>
      </c>
      <c r="K1175" t="s">
        <v>3370</v>
      </c>
      <c r="L1175" t="s">
        <v>4142</v>
      </c>
      <c r="M1175">
        <v>40000</v>
      </c>
      <c r="N1175" s="10">
        <v>4.7500000000000001E-2</v>
      </c>
      <c r="O1175" s="10">
        <f t="shared" si="125"/>
        <v>1900</v>
      </c>
      <c r="P1175" s="10">
        <v>0</v>
      </c>
      <c r="Q1175" s="10">
        <v>0</v>
      </c>
      <c r="R1175" s="10">
        <f>IF(COUNTIF($J$2:J1175,J1175)=1,SUMIFS($O:$O,$J:$J,J1175)+SUMIFS($P:$P,$J:$J,J1175)+SUMIFS($Q:$Q,$J:$J,J1175),"")</f>
        <v>2191.1999999999998</v>
      </c>
      <c r="S1175" s="10">
        <v>5753.7</v>
      </c>
      <c r="T1175" s="11" t="str">
        <f t="shared" si="128"/>
        <v>Check</v>
      </c>
      <c r="U1175" s="12">
        <v>46056</v>
      </c>
      <c r="V1175" s="10">
        <v>5462.5</v>
      </c>
      <c r="W1175" s="10" t="str">
        <f t="shared" si="126"/>
        <v>Short Paid</v>
      </c>
      <c r="X1175" t="s">
        <v>468</v>
      </c>
      <c r="Y1175" t="s">
        <v>28</v>
      </c>
      <c r="Z1175">
        <v>100276</v>
      </c>
      <c r="AA1175" t="s">
        <v>469</v>
      </c>
      <c r="AB1175" t="s">
        <v>523</v>
      </c>
      <c r="AC1175" s="9">
        <v>2</v>
      </c>
      <c r="AD1175" s="9" t="str">
        <f t="shared" si="127"/>
        <v>Check</v>
      </c>
      <c r="AE1175" s="11">
        <f t="shared" si="129"/>
        <v>-3562.5</v>
      </c>
    </row>
    <row r="1176" spans="1:31" x14ac:dyDescent="0.3">
      <c r="A1176">
        <v>59</v>
      </c>
      <c r="B1176">
        <v>4666066</v>
      </c>
      <c r="C1176" t="s">
        <v>217</v>
      </c>
      <c r="D1176">
        <v>1160621</v>
      </c>
      <c r="E1176" t="s">
        <v>571</v>
      </c>
      <c r="F1176" t="s">
        <v>18</v>
      </c>
      <c r="G1176" t="s">
        <v>4889</v>
      </c>
      <c r="H1176" t="s">
        <v>1032</v>
      </c>
      <c r="I1176" t="s">
        <v>3249</v>
      </c>
      <c r="J1176">
        <v>51145579741</v>
      </c>
      <c r="K1176" t="s">
        <v>3229</v>
      </c>
      <c r="L1176" t="s">
        <v>3409</v>
      </c>
      <c r="M1176">
        <v>16000</v>
      </c>
      <c r="N1176" s="10">
        <v>1.8200000000000001E-2</v>
      </c>
      <c r="O1176" s="10">
        <f t="shared" si="125"/>
        <v>291.2</v>
      </c>
      <c r="P1176" s="10" t="s">
        <v>5006</v>
      </c>
      <c r="Q1176" s="10" t="s">
        <v>5006</v>
      </c>
      <c r="R1176" s="10" t="str">
        <f>IF(COUNTIF($J$2:J1176,J1176)=1,SUMIFS($O:$O,$J:$J,J1176)+SUMIFS($P:$P,$J:$J,J1176)+SUMIFS($Q:$Q,$J:$J,J1176),"")</f>
        <v/>
      </c>
      <c r="S1176" s="10" t="s">
        <v>5006</v>
      </c>
      <c r="T1176" s="11" t="str">
        <f t="shared" si="128"/>
        <v>Check</v>
      </c>
      <c r="U1176" s="12">
        <v>46056</v>
      </c>
      <c r="V1176" s="10">
        <v>5462.5</v>
      </c>
      <c r="W1176" s="10" t="str">
        <f t="shared" si="126"/>
        <v>N/A</v>
      </c>
      <c r="X1176" t="s">
        <v>468</v>
      </c>
      <c r="Y1176" t="s">
        <v>28</v>
      </c>
      <c r="Z1176">
        <v>100276</v>
      </c>
      <c r="AA1176" t="s">
        <v>469</v>
      </c>
      <c r="AB1176" t="s">
        <v>523</v>
      </c>
      <c r="AC1176" s="9">
        <v>2</v>
      </c>
      <c r="AD1176" s="9" t="str">
        <f t="shared" si="127"/>
        <v>N/A</v>
      </c>
      <c r="AE1176" s="11" t="e">
        <f t="shared" si="129"/>
        <v>#VALUE!</v>
      </c>
    </row>
    <row r="1177" spans="1:31" x14ac:dyDescent="0.3">
      <c r="A1177">
        <v>43</v>
      </c>
      <c r="B1177">
        <v>4699738</v>
      </c>
      <c r="C1177" t="s">
        <v>239</v>
      </c>
      <c r="D1177">
        <v>1334402</v>
      </c>
      <c r="E1177" t="s">
        <v>607</v>
      </c>
      <c r="F1177" t="s">
        <v>24</v>
      </c>
      <c r="G1177" t="s">
        <v>1117</v>
      </c>
      <c r="H1177" t="s">
        <v>1118</v>
      </c>
      <c r="I1177" t="s">
        <v>3256</v>
      </c>
      <c r="J1177">
        <v>51145798190</v>
      </c>
      <c r="K1177" t="s">
        <v>3351</v>
      </c>
      <c r="L1177" t="s">
        <v>3974</v>
      </c>
      <c r="M1177">
        <v>4000</v>
      </c>
      <c r="N1177" s="10">
        <v>0.3926</v>
      </c>
      <c r="O1177" s="10">
        <f t="shared" si="125"/>
        <v>1570.4</v>
      </c>
      <c r="P1177" s="10">
        <v>0</v>
      </c>
      <c r="Q1177" s="10">
        <v>0</v>
      </c>
      <c r="R1177" s="10">
        <f>IF(COUNTIF($J$2:J1177,J1177)=1,SUMIFS($O:$O,$J:$J,J1177)+SUMIFS($P:$P,$J:$J,J1177)+SUMIFS($Q:$Q,$J:$J,J1177),"")</f>
        <v>5656.4</v>
      </c>
      <c r="S1177" s="10">
        <v>5656.4</v>
      </c>
      <c r="T1177" s="11" t="str">
        <f t="shared" si="128"/>
        <v>Ok</v>
      </c>
      <c r="U1177" s="12">
        <v>46004</v>
      </c>
      <c r="V1177" s="10">
        <v>3864.15</v>
      </c>
      <c r="W1177" s="10" t="str">
        <f t="shared" si="126"/>
        <v>Short Paid</v>
      </c>
      <c r="X1177" t="s">
        <v>476</v>
      </c>
      <c r="Y1177" t="s">
        <v>40</v>
      </c>
      <c r="Z1177">
        <v>100145</v>
      </c>
      <c r="AA1177" t="s">
        <v>3093</v>
      </c>
      <c r="AB1177" t="s">
        <v>522</v>
      </c>
      <c r="AC1177" s="9">
        <v>2</v>
      </c>
      <c r="AD1177" s="9" t="str">
        <f t="shared" si="127"/>
        <v>Ok</v>
      </c>
      <c r="AE1177" s="11">
        <f t="shared" si="129"/>
        <v>0</v>
      </c>
    </row>
    <row r="1178" spans="1:31" x14ac:dyDescent="0.3">
      <c r="A1178">
        <v>43</v>
      </c>
      <c r="B1178">
        <v>4699738</v>
      </c>
      <c r="C1178" t="s">
        <v>239</v>
      </c>
      <c r="D1178">
        <v>1334402</v>
      </c>
      <c r="E1178" t="s">
        <v>607</v>
      </c>
      <c r="F1178" t="s">
        <v>24</v>
      </c>
      <c r="G1178" t="s">
        <v>1117</v>
      </c>
      <c r="H1178" t="s">
        <v>1118</v>
      </c>
      <c r="I1178" t="s">
        <v>3316</v>
      </c>
      <c r="J1178">
        <v>51145798190</v>
      </c>
      <c r="K1178" t="s">
        <v>3168</v>
      </c>
      <c r="L1178" t="s">
        <v>4143</v>
      </c>
      <c r="M1178">
        <v>1800</v>
      </c>
      <c r="N1178" s="10">
        <v>2.27</v>
      </c>
      <c r="O1178" s="10">
        <f t="shared" si="125"/>
        <v>4086</v>
      </c>
      <c r="P1178" s="10" t="s">
        <v>5006</v>
      </c>
      <c r="Q1178" s="10" t="s">
        <v>5006</v>
      </c>
      <c r="R1178" s="10" t="str">
        <f>IF(COUNTIF($J$2:J1178,J1178)=1,SUMIFS($O:$O,$J:$J,J1178)+SUMIFS($P:$P,$J:$J,J1178)+SUMIFS($Q:$Q,$J:$J,J1178),"")</f>
        <v/>
      </c>
      <c r="S1178" s="10" t="s">
        <v>5006</v>
      </c>
      <c r="T1178" s="11" t="str">
        <f t="shared" si="128"/>
        <v>Ok</v>
      </c>
      <c r="U1178" s="12">
        <v>46004</v>
      </c>
      <c r="V1178" s="10">
        <v>3864.15</v>
      </c>
      <c r="W1178" s="10" t="str">
        <f t="shared" si="126"/>
        <v>N/A</v>
      </c>
      <c r="X1178" t="s">
        <v>476</v>
      </c>
      <c r="Y1178" t="s">
        <v>40</v>
      </c>
      <c r="Z1178">
        <v>100145</v>
      </c>
      <c r="AA1178" t="s">
        <v>3093</v>
      </c>
      <c r="AB1178" t="s">
        <v>522</v>
      </c>
      <c r="AC1178" s="9">
        <v>2</v>
      </c>
      <c r="AD1178" s="9" t="str">
        <f t="shared" si="127"/>
        <v>N/A</v>
      </c>
      <c r="AE1178" s="11" t="e">
        <f t="shared" si="129"/>
        <v>#VALUE!</v>
      </c>
    </row>
    <row r="1179" spans="1:31" x14ac:dyDescent="0.3">
      <c r="A1179">
        <v>45</v>
      </c>
      <c r="B1179">
        <v>4694451</v>
      </c>
      <c r="C1179" t="s">
        <v>239</v>
      </c>
      <c r="D1179">
        <v>1417746</v>
      </c>
      <c r="E1179" t="s">
        <v>634</v>
      </c>
      <c r="F1179" t="s">
        <v>47</v>
      </c>
      <c r="G1179" t="s">
        <v>1105</v>
      </c>
      <c r="H1179" t="s">
        <v>1106</v>
      </c>
      <c r="I1179" t="s">
        <v>3178</v>
      </c>
      <c r="J1179">
        <v>51145919099</v>
      </c>
      <c r="K1179" t="s">
        <v>3207</v>
      </c>
      <c r="L1179" t="s">
        <v>4144</v>
      </c>
      <c r="M1179">
        <v>12000</v>
      </c>
      <c r="N1179" s="10">
        <v>1.47E-2</v>
      </c>
      <c r="O1179" s="10">
        <f t="shared" si="125"/>
        <v>176.4</v>
      </c>
      <c r="P1179" s="10">
        <v>31.44</v>
      </c>
      <c r="Q1179" s="10">
        <v>33.520000000000003</v>
      </c>
      <c r="R1179" s="10">
        <f>IF(COUNTIF($J$2:J1179,J1179)=1,SUMIFS($O:$O,$J:$J,J1179)+SUMIFS($P:$P,$J:$J,J1179)+SUMIFS($Q:$Q,$J:$J,J1179),"")</f>
        <v>20866.36</v>
      </c>
      <c r="S1179" s="10">
        <v>20866.36</v>
      </c>
      <c r="T1179" s="11" t="str">
        <f t="shared" si="128"/>
        <v>Ok</v>
      </c>
      <c r="U1179" s="12">
        <v>46073</v>
      </c>
      <c r="V1179" s="10">
        <v>241.36</v>
      </c>
      <c r="W1179" s="10" t="str">
        <f t="shared" si="126"/>
        <v>Short Paid</v>
      </c>
      <c r="X1179" t="s">
        <v>476</v>
      </c>
      <c r="Y1179" t="s">
        <v>28</v>
      </c>
      <c r="Z1179">
        <v>100115</v>
      </c>
      <c r="AA1179" t="s">
        <v>504</v>
      </c>
      <c r="AB1179" t="s">
        <v>3039</v>
      </c>
      <c r="AC1179" s="9">
        <v>2</v>
      </c>
      <c r="AD1179" s="9" t="str">
        <f t="shared" si="127"/>
        <v>Ok</v>
      </c>
      <c r="AE1179" s="11">
        <f t="shared" si="129"/>
        <v>0</v>
      </c>
    </row>
    <row r="1180" spans="1:31" x14ac:dyDescent="0.3">
      <c r="A1180">
        <v>45</v>
      </c>
      <c r="B1180">
        <v>4694451</v>
      </c>
      <c r="C1180" t="s">
        <v>239</v>
      </c>
      <c r="D1180">
        <v>1417746</v>
      </c>
      <c r="E1180" t="s">
        <v>634</v>
      </c>
      <c r="F1180" t="s">
        <v>47</v>
      </c>
      <c r="G1180" t="s">
        <v>1105</v>
      </c>
      <c r="H1180" t="s">
        <v>1106</v>
      </c>
      <c r="I1180" t="s">
        <v>3449</v>
      </c>
      <c r="J1180">
        <v>51145919099</v>
      </c>
      <c r="K1180" t="s">
        <v>3246</v>
      </c>
      <c r="L1180" t="s">
        <v>3447</v>
      </c>
      <c r="M1180">
        <v>250000</v>
      </c>
      <c r="N1180" s="10">
        <v>8.2500000000000004E-2</v>
      </c>
      <c r="O1180" s="10">
        <f t="shared" si="125"/>
        <v>20625</v>
      </c>
      <c r="P1180" s="10" t="s">
        <v>5006</v>
      </c>
      <c r="Q1180" s="10" t="s">
        <v>5006</v>
      </c>
      <c r="R1180" s="10" t="str">
        <f>IF(COUNTIF($J$2:J1180,J1180)=1,SUMIFS($O:$O,$J:$J,J1180)+SUMIFS($P:$P,$J:$J,J1180)+SUMIFS($Q:$Q,$J:$J,J1180),"")</f>
        <v/>
      </c>
      <c r="S1180" s="10" t="s">
        <v>5006</v>
      </c>
      <c r="T1180" s="11" t="str">
        <f t="shared" si="128"/>
        <v>Ok</v>
      </c>
      <c r="U1180" s="12">
        <v>46073</v>
      </c>
      <c r="V1180" s="10">
        <v>241.36</v>
      </c>
      <c r="W1180" s="10" t="str">
        <f t="shared" si="126"/>
        <v>N/A</v>
      </c>
      <c r="X1180" t="s">
        <v>476</v>
      </c>
      <c r="Y1180" t="s">
        <v>28</v>
      </c>
      <c r="Z1180">
        <v>100115</v>
      </c>
      <c r="AA1180" t="s">
        <v>504</v>
      </c>
      <c r="AB1180" t="s">
        <v>3039</v>
      </c>
      <c r="AC1180" s="9">
        <v>2</v>
      </c>
      <c r="AD1180" s="9" t="str">
        <f t="shared" si="127"/>
        <v>N/A</v>
      </c>
      <c r="AE1180" s="11" t="e">
        <f t="shared" si="129"/>
        <v>#VALUE!</v>
      </c>
    </row>
    <row r="1181" spans="1:31" x14ac:dyDescent="0.3">
      <c r="A1181">
        <v>45</v>
      </c>
      <c r="B1181">
        <v>4696120</v>
      </c>
      <c r="C1181" t="s">
        <v>239</v>
      </c>
      <c r="D1181">
        <v>1104415</v>
      </c>
      <c r="E1181" t="s">
        <v>538</v>
      </c>
      <c r="F1181" t="s">
        <v>20</v>
      </c>
      <c r="G1181" t="s">
        <v>2748</v>
      </c>
      <c r="H1181" t="s">
        <v>2749</v>
      </c>
      <c r="I1181" t="s">
        <v>3185</v>
      </c>
      <c r="J1181">
        <v>51145928753</v>
      </c>
      <c r="K1181" t="s">
        <v>3212</v>
      </c>
      <c r="L1181" t="s">
        <v>4145</v>
      </c>
      <c r="M1181">
        <v>5000</v>
      </c>
      <c r="N1181" s="10">
        <v>3.3640000000000003E-2</v>
      </c>
      <c r="O1181" s="10">
        <f t="shared" si="125"/>
        <v>168.20000000000002</v>
      </c>
      <c r="P1181" s="10">
        <v>0</v>
      </c>
      <c r="Q1181" s="10">
        <v>0</v>
      </c>
      <c r="R1181" s="10">
        <f>IF(COUNTIF($J$2:J1181,J1181)=1,SUMIFS($O:$O,$J:$J,J1181)+SUMIFS($P:$P,$J:$J,J1181)+SUMIFS($Q:$Q,$J:$J,J1181),"")</f>
        <v>4017.1999999999994</v>
      </c>
      <c r="S1181" s="10">
        <v>25186.7</v>
      </c>
      <c r="T1181" s="11" t="str">
        <f t="shared" si="128"/>
        <v>Check</v>
      </c>
      <c r="U1181" s="12">
        <v>46143</v>
      </c>
      <c r="V1181" s="10">
        <v>168.2</v>
      </c>
      <c r="W1181" s="10" t="str">
        <f t="shared" si="126"/>
        <v>Short Paid</v>
      </c>
      <c r="X1181" t="s">
        <v>476</v>
      </c>
      <c r="Y1181" t="s">
        <v>28</v>
      </c>
      <c r="Z1181">
        <v>100235</v>
      </c>
      <c r="AA1181" t="s">
        <v>509</v>
      </c>
      <c r="AB1181" t="s">
        <v>521</v>
      </c>
      <c r="AC1181" s="9">
        <v>2</v>
      </c>
      <c r="AD1181" s="9" t="str">
        <f t="shared" si="127"/>
        <v>Check</v>
      </c>
      <c r="AE1181" s="11">
        <f t="shared" si="129"/>
        <v>-21169.5</v>
      </c>
    </row>
    <row r="1182" spans="1:31" x14ac:dyDescent="0.3">
      <c r="A1182">
        <v>45</v>
      </c>
      <c r="B1182">
        <v>4696120</v>
      </c>
      <c r="C1182" t="s">
        <v>239</v>
      </c>
      <c r="D1182">
        <v>1104415</v>
      </c>
      <c r="E1182" t="s">
        <v>538</v>
      </c>
      <c r="F1182" t="s">
        <v>20</v>
      </c>
      <c r="G1182" t="s">
        <v>2748</v>
      </c>
      <c r="H1182" t="s">
        <v>2749</v>
      </c>
      <c r="I1182" t="s">
        <v>3484</v>
      </c>
      <c r="J1182">
        <v>51145928753</v>
      </c>
      <c r="K1182" t="s">
        <v>3532</v>
      </c>
      <c r="L1182" t="s">
        <v>3531</v>
      </c>
      <c r="M1182">
        <v>6000</v>
      </c>
      <c r="N1182" s="10">
        <v>0.64149999999999996</v>
      </c>
      <c r="O1182" s="10">
        <f t="shared" si="125"/>
        <v>3848.9999999999995</v>
      </c>
      <c r="P1182" s="10" t="s">
        <v>5006</v>
      </c>
      <c r="Q1182" s="10" t="s">
        <v>5006</v>
      </c>
      <c r="R1182" s="10" t="str">
        <f>IF(COUNTIF($J$2:J1182,J1182)=1,SUMIFS($O:$O,$J:$J,J1182)+SUMIFS($P:$P,$J:$J,J1182)+SUMIFS($Q:$Q,$J:$J,J1182),"")</f>
        <v/>
      </c>
      <c r="S1182" s="10" t="s">
        <v>5006</v>
      </c>
      <c r="T1182" s="11" t="str">
        <f t="shared" si="128"/>
        <v>Check</v>
      </c>
      <c r="U1182" s="12">
        <v>46143</v>
      </c>
      <c r="V1182" s="10">
        <v>168.2</v>
      </c>
      <c r="W1182" s="10" t="str">
        <f t="shared" si="126"/>
        <v>N/A</v>
      </c>
      <c r="X1182" t="s">
        <v>476</v>
      </c>
      <c r="Y1182" t="s">
        <v>28</v>
      </c>
      <c r="Z1182">
        <v>100235</v>
      </c>
      <c r="AA1182" t="s">
        <v>509</v>
      </c>
      <c r="AB1182" t="s">
        <v>521</v>
      </c>
      <c r="AC1182" s="9">
        <v>2</v>
      </c>
      <c r="AD1182" s="9" t="str">
        <f t="shared" si="127"/>
        <v>N/A</v>
      </c>
      <c r="AE1182" s="11" t="e">
        <f t="shared" si="129"/>
        <v>#VALUE!</v>
      </c>
    </row>
    <row r="1183" spans="1:31" x14ac:dyDescent="0.3">
      <c r="A1183">
        <v>44</v>
      </c>
      <c r="B1183">
        <v>4699182</v>
      </c>
      <c r="C1183" t="s">
        <v>217</v>
      </c>
      <c r="D1183">
        <v>1928065</v>
      </c>
      <c r="E1183" t="s">
        <v>703</v>
      </c>
      <c r="F1183" t="s">
        <v>20</v>
      </c>
      <c r="G1183" t="s">
        <v>1115</v>
      </c>
      <c r="H1183" t="s">
        <v>1116</v>
      </c>
      <c r="I1183" t="s">
        <v>3349</v>
      </c>
      <c r="J1183">
        <v>51145994792</v>
      </c>
      <c r="K1183" t="s">
        <v>3229</v>
      </c>
      <c r="L1183" t="s">
        <v>4146</v>
      </c>
      <c r="M1183">
        <v>175</v>
      </c>
      <c r="N1183" s="10">
        <v>0.4</v>
      </c>
      <c r="O1183" s="10">
        <f t="shared" si="125"/>
        <v>70</v>
      </c>
      <c r="P1183" s="10">
        <v>0</v>
      </c>
      <c r="Q1183" s="10">
        <v>0</v>
      </c>
      <c r="R1183" s="10">
        <f>IF(COUNTIF($J$2:J1183,J1183)=1,SUMIFS($O:$O,$J:$J,J1183)+SUMIFS($P:$P,$J:$J,J1183)+SUMIFS($Q:$Q,$J:$J,J1183),"")</f>
        <v>2842</v>
      </c>
      <c r="S1183" s="10">
        <v>2842</v>
      </c>
      <c r="T1183" s="11" t="str">
        <f t="shared" si="128"/>
        <v>Ok</v>
      </c>
      <c r="U1183" s="12">
        <v>46009</v>
      </c>
      <c r="V1183" s="10">
        <v>70</v>
      </c>
      <c r="W1183" s="10" t="str">
        <f t="shared" si="126"/>
        <v>Short Paid</v>
      </c>
      <c r="X1183" t="s">
        <v>468</v>
      </c>
      <c r="Y1183" t="s">
        <v>28</v>
      </c>
      <c r="Z1183">
        <v>100246</v>
      </c>
      <c r="AA1183" t="s">
        <v>3060</v>
      </c>
      <c r="AB1183" t="s">
        <v>521</v>
      </c>
      <c r="AC1183" s="9">
        <v>2</v>
      </c>
      <c r="AD1183" s="9" t="str">
        <f t="shared" si="127"/>
        <v>Ok</v>
      </c>
      <c r="AE1183" s="11">
        <f t="shared" si="129"/>
        <v>0</v>
      </c>
    </row>
    <row r="1184" spans="1:31" x14ac:dyDescent="0.3">
      <c r="A1184">
        <v>44</v>
      </c>
      <c r="B1184">
        <v>4699182</v>
      </c>
      <c r="C1184" t="s">
        <v>217</v>
      </c>
      <c r="D1184">
        <v>1928065</v>
      </c>
      <c r="E1184" t="s">
        <v>703</v>
      </c>
      <c r="F1184" t="s">
        <v>20</v>
      </c>
      <c r="G1184" t="s">
        <v>1115</v>
      </c>
      <c r="H1184" t="s">
        <v>1116</v>
      </c>
      <c r="I1184" t="s">
        <v>3206</v>
      </c>
      <c r="J1184">
        <v>51145994792</v>
      </c>
      <c r="K1184" t="s">
        <v>3314</v>
      </c>
      <c r="L1184" t="s">
        <v>3789</v>
      </c>
      <c r="M1184">
        <v>12000</v>
      </c>
      <c r="N1184" s="10">
        <v>0.23100000000000001</v>
      </c>
      <c r="O1184" s="10">
        <f t="shared" si="125"/>
        <v>2772</v>
      </c>
      <c r="P1184" s="10" t="s">
        <v>5006</v>
      </c>
      <c r="Q1184" s="10" t="s">
        <v>5006</v>
      </c>
      <c r="R1184" s="10" t="str">
        <f>IF(COUNTIF($J$2:J1184,J1184)=1,SUMIFS($O:$O,$J:$J,J1184)+SUMIFS($P:$P,$J:$J,J1184)+SUMIFS($Q:$Q,$J:$J,J1184),"")</f>
        <v/>
      </c>
      <c r="S1184" s="10" t="s">
        <v>5006</v>
      </c>
      <c r="T1184" s="11" t="str">
        <f t="shared" si="128"/>
        <v>Ok</v>
      </c>
      <c r="U1184" s="12">
        <v>46009</v>
      </c>
      <c r="V1184" s="10">
        <v>70</v>
      </c>
      <c r="W1184" s="10" t="str">
        <f t="shared" si="126"/>
        <v>N/A</v>
      </c>
      <c r="X1184" t="s">
        <v>468</v>
      </c>
      <c r="Y1184" t="s">
        <v>28</v>
      </c>
      <c r="Z1184">
        <v>100246</v>
      </c>
      <c r="AA1184" t="s">
        <v>3060</v>
      </c>
      <c r="AB1184" t="s">
        <v>521</v>
      </c>
      <c r="AC1184" s="9">
        <v>2</v>
      </c>
      <c r="AD1184" s="9" t="str">
        <f t="shared" si="127"/>
        <v>N/A</v>
      </c>
      <c r="AE1184" s="11" t="e">
        <f t="shared" si="129"/>
        <v>#VALUE!</v>
      </c>
    </row>
    <row r="1185" spans="1:31" x14ac:dyDescent="0.3">
      <c r="A1185">
        <v>44</v>
      </c>
      <c r="B1185">
        <v>4698903</v>
      </c>
      <c r="C1185" t="s">
        <v>217</v>
      </c>
      <c r="D1185">
        <v>1928065</v>
      </c>
      <c r="E1185" t="s">
        <v>703</v>
      </c>
      <c r="F1185" t="s">
        <v>27</v>
      </c>
      <c r="G1185" t="s">
        <v>1113</v>
      </c>
      <c r="H1185" t="s">
        <v>1114</v>
      </c>
      <c r="I1185" t="s">
        <v>3227</v>
      </c>
      <c r="J1185">
        <v>51145994823</v>
      </c>
      <c r="K1185" t="s">
        <v>3209</v>
      </c>
      <c r="L1185" t="s">
        <v>4147</v>
      </c>
      <c r="M1185">
        <v>75</v>
      </c>
      <c r="N1185" s="10">
        <v>8.0939999999999994</v>
      </c>
      <c r="O1185" s="10">
        <f t="shared" si="125"/>
        <v>607.04999999999995</v>
      </c>
      <c r="P1185" s="10">
        <v>0</v>
      </c>
      <c r="Q1185" s="10">
        <v>0</v>
      </c>
      <c r="R1185" s="10">
        <f>IF(COUNTIF($J$2:J1185,J1185)=1,SUMIFS($O:$O,$J:$J,J1185)+SUMIFS($P:$P,$J:$J,J1185)+SUMIFS($Q:$Q,$J:$J,J1185),"")</f>
        <v>20106.75</v>
      </c>
      <c r="S1185" s="10">
        <v>20106.75</v>
      </c>
      <c r="T1185" s="11" t="str">
        <f t="shared" si="128"/>
        <v>Ok</v>
      </c>
      <c r="U1185" s="12">
        <v>45980</v>
      </c>
      <c r="V1185" s="10">
        <v>607.04999999999995</v>
      </c>
      <c r="W1185" s="10" t="str">
        <f t="shared" si="126"/>
        <v>Short Paid</v>
      </c>
      <c r="X1185" t="s">
        <v>468</v>
      </c>
      <c r="Y1185" t="s">
        <v>436</v>
      </c>
      <c r="Z1185">
        <v>100256</v>
      </c>
      <c r="AA1185" t="s">
        <v>3141</v>
      </c>
      <c r="AB1185" t="s">
        <v>3034</v>
      </c>
      <c r="AC1185" s="9">
        <v>2</v>
      </c>
      <c r="AD1185" s="9" t="str">
        <f t="shared" si="127"/>
        <v>Ok</v>
      </c>
      <c r="AE1185" s="11">
        <f t="shared" si="129"/>
        <v>0</v>
      </c>
    </row>
    <row r="1186" spans="1:31" x14ac:dyDescent="0.3">
      <c r="A1186">
        <v>44</v>
      </c>
      <c r="B1186">
        <v>4698903</v>
      </c>
      <c r="C1186" t="s">
        <v>217</v>
      </c>
      <c r="D1186">
        <v>1928065</v>
      </c>
      <c r="E1186" t="s">
        <v>703</v>
      </c>
      <c r="F1186" t="s">
        <v>27</v>
      </c>
      <c r="G1186" t="s">
        <v>1113</v>
      </c>
      <c r="H1186" t="s">
        <v>1114</v>
      </c>
      <c r="I1186" t="s">
        <v>3376</v>
      </c>
      <c r="J1186">
        <v>51145994823</v>
      </c>
      <c r="K1186" t="s">
        <v>3194</v>
      </c>
      <c r="L1186" t="s">
        <v>4125</v>
      </c>
      <c r="M1186">
        <v>6000</v>
      </c>
      <c r="N1186" s="10">
        <v>3.2499500000000001</v>
      </c>
      <c r="O1186" s="10">
        <f t="shared" si="125"/>
        <v>19499.7</v>
      </c>
      <c r="P1186" s="10" t="s">
        <v>5006</v>
      </c>
      <c r="Q1186" s="10" t="s">
        <v>5006</v>
      </c>
      <c r="R1186" s="10" t="str">
        <f>IF(COUNTIF($J$2:J1186,J1186)=1,SUMIFS($O:$O,$J:$J,J1186)+SUMIFS($P:$P,$J:$J,J1186)+SUMIFS($Q:$Q,$J:$J,J1186),"")</f>
        <v/>
      </c>
      <c r="S1186" s="10" t="s">
        <v>5006</v>
      </c>
      <c r="T1186" s="11" t="str">
        <f t="shared" si="128"/>
        <v>Ok</v>
      </c>
      <c r="U1186" s="12">
        <v>45980</v>
      </c>
      <c r="V1186" s="10">
        <v>607.04999999999995</v>
      </c>
      <c r="W1186" s="10" t="str">
        <f t="shared" si="126"/>
        <v>N/A</v>
      </c>
      <c r="X1186" t="s">
        <v>468</v>
      </c>
      <c r="Y1186" t="s">
        <v>436</v>
      </c>
      <c r="Z1186">
        <v>100256</v>
      </c>
      <c r="AA1186" t="s">
        <v>3141</v>
      </c>
      <c r="AB1186" t="s">
        <v>3034</v>
      </c>
      <c r="AC1186" s="9">
        <v>2</v>
      </c>
      <c r="AD1186" s="9" t="str">
        <f t="shared" si="127"/>
        <v>N/A</v>
      </c>
      <c r="AE1186" s="11" t="e">
        <f t="shared" si="129"/>
        <v>#VALUE!</v>
      </c>
    </row>
    <row r="1187" spans="1:31" x14ac:dyDescent="0.3">
      <c r="A1187">
        <v>65</v>
      </c>
      <c r="B1187">
        <v>4652430</v>
      </c>
      <c r="C1187" t="s">
        <v>56</v>
      </c>
      <c r="D1187">
        <v>1443616</v>
      </c>
      <c r="E1187" t="s">
        <v>285</v>
      </c>
      <c r="F1187" t="s">
        <v>19</v>
      </c>
      <c r="G1187" t="s">
        <v>2720</v>
      </c>
      <c r="H1187" t="s">
        <v>983</v>
      </c>
      <c r="I1187" t="s">
        <v>3277</v>
      </c>
      <c r="J1187">
        <v>51146078140</v>
      </c>
      <c r="K1187" t="s">
        <v>3177</v>
      </c>
      <c r="L1187" t="s">
        <v>4104</v>
      </c>
      <c r="M1187">
        <v>636000</v>
      </c>
      <c r="N1187" s="10">
        <v>2.3700000000000001E-3</v>
      </c>
      <c r="O1187" s="10">
        <f t="shared" si="125"/>
        <v>1507.3200000000002</v>
      </c>
      <c r="P1187" s="10">
        <v>0</v>
      </c>
      <c r="Q1187" s="10">
        <v>0</v>
      </c>
      <c r="R1187" s="10">
        <f>IF(COUNTIF($J$2:J1187,J1187)=1,SUMIFS($O:$O,$J:$J,J1187)+SUMIFS($P:$P,$J:$J,J1187)+SUMIFS($Q:$Q,$J:$J,J1187),"")</f>
        <v>5077.32</v>
      </c>
      <c r="S1187" s="10">
        <v>5077.32</v>
      </c>
      <c r="T1187" s="11" t="str">
        <f t="shared" si="128"/>
        <v>Ok</v>
      </c>
      <c r="U1187" s="12">
        <v>46094</v>
      </c>
      <c r="V1187" s="10">
        <v>3570</v>
      </c>
      <c r="W1187" s="10" t="str">
        <f t="shared" si="126"/>
        <v>Short Paid</v>
      </c>
      <c r="X1187" t="s">
        <v>435</v>
      </c>
      <c r="Y1187" t="s">
        <v>28</v>
      </c>
      <c r="Z1187">
        <v>100121</v>
      </c>
      <c r="AA1187" t="s">
        <v>3056</v>
      </c>
      <c r="AB1187" t="s">
        <v>524</v>
      </c>
      <c r="AC1187" s="9">
        <v>2</v>
      </c>
      <c r="AD1187" s="9" t="str">
        <f t="shared" si="127"/>
        <v>Ok</v>
      </c>
      <c r="AE1187" s="11">
        <f t="shared" si="129"/>
        <v>0</v>
      </c>
    </row>
    <row r="1188" spans="1:31" x14ac:dyDescent="0.3">
      <c r="A1188">
        <v>65</v>
      </c>
      <c r="B1188">
        <v>4652430</v>
      </c>
      <c r="C1188" t="s">
        <v>56</v>
      </c>
      <c r="D1188">
        <v>1443616</v>
      </c>
      <c r="E1188" t="s">
        <v>285</v>
      </c>
      <c r="F1188" t="s">
        <v>19</v>
      </c>
      <c r="G1188" t="s">
        <v>2720</v>
      </c>
      <c r="H1188" t="s">
        <v>983</v>
      </c>
      <c r="I1188" t="s">
        <v>3387</v>
      </c>
      <c r="J1188">
        <v>51146078140</v>
      </c>
      <c r="K1188" t="s">
        <v>3168</v>
      </c>
      <c r="L1188" t="s">
        <v>3199</v>
      </c>
      <c r="M1188">
        <v>3000</v>
      </c>
      <c r="N1188" s="10">
        <v>1.19</v>
      </c>
      <c r="O1188" s="10">
        <f t="shared" si="125"/>
        <v>3570</v>
      </c>
      <c r="P1188" s="10" t="s">
        <v>5006</v>
      </c>
      <c r="Q1188" s="10" t="s">
        <v>5006</v>
      </c>
      <c r="R1188" s="10" t="str">
        <f>IF(COUNTIF($J$2:J1188,J1188)=1,SUMIFS($O:$O,$J:$J,J1188)+SUMIFS($P:$P,$J:$J,J1188)+SUMIFS($Q:$Q,$J:$J,J1188),"")</f>
        <v/>
      </c>
      <c r="S1188" s="10" t="s">
        <v>5006</v>
      </c>
      <c r="T1188" s="11" t="str">
        <f t="shared" si="128"/>
        <v>Ok</v>
      </c>
      <c r="U1188" s="12">
        <v>46094</v>
      </c>
      <c r="V1188" s="10">
        <v>3570</v>
      </c>
      <c r="W1188" s="10" t="str">
        <f t="shared" si="126"/>
        <v>N/A</v>
      </c>
      <c r="X1188" t="s">
        <v>435</v>
      </c>
      <c r="Y1188" t="s">
        <v>28</v>
      </c>
      <c r="Z1188">
        <v>100121</v>
      </c>
      <c r="AA1188" t="s">
        <v>3056</v>
      </c>
      <c r="AB1188" t="s">
        <v>524</v>
      </c>
      <c r="AC1188" s="9">
        <v>2</v>
      </c>
      <c r="AD1188" s="9" t="str">
        <f t="shared" si="127"/>
        <v>N/A</v>
      </c>
      <c r="AE1188" s="11" t="e">
        <f t="shared" si="129"/>
        <v>#VALUE!</v>
      </c>
    </row>
    <row r="1189" spans="1:31" x14ac:dyDescent="0.3">
      <c r="A1189">
        <v>44</v>
      </c>
      <c r="B1189">
        <v>4698068</v>
      </c>
      <c r="C1189" t="s">
        <v>94</v>
      </c>
      <c r="D1189">
        <v>1830445</v>
      </c>
      <c r="E1189" t="s">
        <v>95</v>
      </c>
      <c r="F1189" t="s">
        <v>19</v>
      </c>
      <c r="G1189" t="s">
        <v>1099</v>
      </c>
      <c r="H1189" t="s">
        <v>1100</v>
      </c>
      <c r="I1189" t="s">
        <v>3230</v>
      </c>
      <c r="J1189">
        <v>51146081826</v>
      </c>
      <c r="K1189" t="s">
        <v>3209</v>
      </c>
      <c r="L1189" t="s">
        <v>4148</v>
      </c>
      <c r="M1189">
        <v>1</v>
      </c>
      <c r="N1189" s="10">
        <v>250</v>
      </c>
      <c r="O1189" s="10">
        <f t="shared" si="125"/>
        <v>250</v>
      </c>
      <c r="P1189" s="10">
        <v>0</v>
      </c>
      <c r="Q1189" s="10">
        <v>0</v>
      </c>
      <c r="R1189" s="10">
        <f>IF(COUNTIF($J$2:J1189,J1189)=1,SUMIFS($O:$O,$J:$J,J1189)+SUMIFS($P:$P,$J:$J,J1189)+SUMIFS($Q:$Q,$J:$J,J1189),"")</f>
        <v>17723.825000000001</v>
      </c>
      <c r="S1189" s="10">
        <v>21373.83</v>
      </c>
      <c r="T1189" s="11" t="str">
        <f t="shared" si="128"/>
        <v>Check</v>
      </c>
      <c r="U1189" s="12">
        <v>46100</v>
      </c>
      <c r="V1189" s="10">
        <v>3900</v>
      </c>
      <c r="W1189" s="10" t="str">
        <f t="shared" si="126"/>
        <v>Short Paid</v>
      </c>
      <c r="X1189" t="s">
        <v>450</v>
      </c>
      <c r="Y1189" t="s">
        <v>28</v>
      </c>
      <c r="Z1189">
        <v>100167</v>
      </c>
      <c r="AA1189" t="s">
        <v>499</v>
      </c>
      <c r="AB1189" t="s">
        <v>524</v>
      </c>
      <c r="AC1189" s="9">
        <v>3</v>
      </c>
      <c r="AD1189" s="9" t="str">
        <f t="shared" si="127"/>
        <v>Check</v>
      </c>
      <c r="AE1189" s="11">
        <f t="shared" si="129"/>
        <v>-3650.005000000001</v>
      </c>
    </row>
    <row r="1190" spans="1:31" x14ac:dyDescent="0.3">
      <c r="A1190">
        <v>44</v>
      </c>
      <c r="B1190">
        <v>4698068</v>
      </c>
      <c r="C1190" t="s">
        <v>94</v>
      </c>
      <c r="D1190">
        <v>1830445</v>
      </c>
      <c r="E1190" t="s">
        <v>95</v>
      </c>
      <c r="F1190" t="s">
        <v>19</v>
      </c>
      <c r="G1190" t="s">
        <v>1099</v>
      </c>
      <c r="H1190" t="s">
        <v>1100</v>
      </c>
      <c r="I1190" t="s">
        <v>3230</v>
      </c>
      <c r="J1190">
        <v>51146081826</v>
      </c>
      <c r="K1190" t="s">
        <v>3209</v>
      </c>
      <c r="L1190" t="s">
        <v>4149</v>
      </c>
      <c r="M1190">
        <v>300</v>
      </c>
      <c r="N1190" s="10">
        <v>20.329999999999998</v>
      </c>
      <c r="O1190" s="10">
        <f t="shared" si="125"/>
        <v>6098.9999999999991</v>
      </c>
      <c r="P1190" s="10" t="s">
        <v>5006</v>
      </c>
      <c r="Q1190" s="10" t="s">
        <v>5006</v>
      </c>
      <c r="R1190" s="10" t="str">
        <f>IF(COUNTIF($J$2:J1190,J1190)=1,SUMIFS($O:$O,$J:$J,J1190)+SUMIFS($P:$P,$J:$J,J1190)+SUMIFS($Q:$Q,$J:$J,J1190),"")</f>
        <v/>
      </c>
      <c r="S1190" s="10" t="s">
        <v>5006</v>
      </c>
      <c r="T1190" s="11" t="str">
        <f t="shared" si="128"/>
        <v>Check</v>
      </c>
      <c r="U1190" s="12">
        <v>46100</v>
      </c>
      <c r="V1190" s="10">
        <v>3900</v>
      </c>
      <c r="W1190" s="10" t="str">
        <f t="shared" si="126"/>
        <v>N/A</v>
      </c>
      <c r="X1190" t="s">
        <v>450</v>
      </c>
      <c r="Y1190" t="s">
        <v>28</v>
      </c>
      <c r="Z1190">
        <v>100167</v>
      </c>
      <c r="AA1190" t="s">
        <v>499</v>
      </c>
      <c r="AB1190" t="s">
        <v>524</v>
      </c>
      <c r="AC1190" s="9">
        <v>3</v>
      </c>
      <c r="AD1190" s="9" t="str">
        <f t="shared" si="127"/>
        <v>N/A</v>
      </c>
      <c r="AE1190" s="11" t="e">
        <f t="shared" si="129"/>
        <v>#VALUE!</v>
      </c>
    </row>
    <row r="1191" spans="1:31" x14ac:dyDescent="0.3">
      <c r="A1191">
        <v>44</v>
      </c>
      <c r="B1191">
        <v>4698068</v>
      </c>
      <c r="C1191" t="s">
        <v>94</v>
      </c>
      <c r="D1191">
        <v>1830445</v>
      </c>
      <c r="E1191" t="s">
        <v>95</v>
      </c>
      <c r="F1191" t="s">
        <v>19</v>
      </c>
      <c r="G1191" t="s">
        <v>1099</v>
      </c>
      <c r="H1191" t="s">
        <v>1100</v>
      </c>
      <c r="I1191" t="s">
        <v>3350</v>
      </c>
      <c r="J1191">
        <v>51146081826</v>
      </c>
      <c r="K1191" t="s">
        <v>3194</v>
      </c>
      <c r="L1191" t="s">
        <v>4125</v>
      </c>
      <c r="M1191">
        <v>3500</v>
      </c>
      <c r="N1191" s="10">
        <v>3.2499500000000001</v>
      </c>
      <c r="O1191" s="10">
        <f t="shared" si="125"/>
        <v>11374.825000000001</v>
      </c>
      <c r="P1191" s="10" t="s">
        <v>5006</v>
      </c>
      <c r="Q1191" s="10" t="s">
        <v>5006</v>
      </c>
      <c r="R1191" s="10" t="str">
        <f>IF(COUNTIF($J$2:J1191,J1191)=1,SUMIFS($O:$O,$J:$J,J1191)+SUMIFS($P:$P,$J:$J,J1191)+SUMIFS($Q:$Q,$J:$J,J1191),"")</f>
        <v/>
      </c>
      <c r="S1191" s="10" t="s">
        <v>5006</v>
      </c>
      <c r="T1191" s="11" t="str">
        <f t="shared" si="128"/>
        <v>Check</v>
      </c>
      <c r="U1191" s="12">
        <v>46100</v>
      </c>
      <c r="V1191" s="10">
        <v>3900</v>
      </c>
      <c r="W1191" s="10" t="str">
        <f t="shared" si="126"/>
        <v>N/A</v>
      </c>
      <c r="X1191" t="s">
        <v>450</v>
      </c>
      <c r="Y1191" t="s">
        <v>28</v>
      </c>
      <c r="Z1191">
        <v>100167</v>
      </c>
      <c r="AA1191" t="s">
        <v>499</v>
      </c>
      <c r="AB1191" t="s">
        <v>524</v>
      </c>
      <c r="AC1191" s="9">
        <v>3</v>
      </c>
      <c r="AD1191" s="9" t="str">
        <f t="shared" si="127"/>
        <v>N/A</v>
      </c>
      <c r="AE1191" s="11" t="e">
        <f t="shared" si="129"/>
        <v>#VALUE!</v>
      </c>
    </row>
    <row r="1192" spans="1:31" x14ac:dyDescent="0.3">
      <c r="A1192">
        <v>42</v>
      </c>
      <c r="B1192">
        <v>4702521</v>
      </c>
      <c r="C1192" t="s">
        <v>94</v>
      </c>
      <c r="D1192">
        <v>1470631</v>
      </c>
      <c r="E1192" t="s">
        <v>214</v>
      </c>
      <c r="F1192" t="s">
        <v>20</v>
      </c>
      <c r="G1192" t="s">
        <v>1132</v>
      </c>
      <c r="H1192" t="s">
        <v>1133</v>
      </c>
      <c r="I1192" t="s">
        <v>3581</v>
      </c>
      <c r="J1192">
        <v>51146087090</v>
      </c>
      <c r="K1192" t="s">
        <v>3351</v>
      </c>
      <c r="L1192" t="s">
        <v>3450</v>
      </c>
      <c r="M1192">
        <v>11000</v>
      </c>
      <c r="N1192" s="10">
        <v>3.8679999999999999</v>
      </c>
      <c r="O1192" s="10">
        <f t="shared" si="125"/>
        <v>42548</v>
      </c>
      <c r="P1192" s="10">
        <v>0</v>
      </c>
      <c r="Q1192" s="10">
        <v>0</v>
      </c>
      <c r="R1192" s="10">
        <f>IF(COUNTIF($J$2:J1192,J1192)=1,SUMIFS($O:$O,$J:$J,J1192)+SUMIFS($P:$P,$J:$J,J1192)+SUMIFS($Q:$Q,$J:$J,J1192),"")</f>
        <v>42798</v>
      </c>
      <c r="S1192" s="10">
        <v>42798</v>
      </c>
      <c r="T1192" s="11" t="str">
        <f t="shared" si="128"/>
        <v>Ok</v>
      </c>
      <c r="U1192" s="12">
        <v>46027</v>
      </c>
      <c r="V1192" s="10">
        <v>250</v>
      </c>
      <c r="W1192" s="10" t="str">
        <f t="shared" si="126"/>
        <v>Short Paid</v>
      </c>
      <c r="X1192" t="s">
        <v>450</v>
      </c>
      <c r="Y1192" t="s">
        <v>28</v>
      </c>
      <c r="Z1192">
        <v>100287</v>
      </c>
      <c r="AA1192" t="s">
        <v>503</v>
      </c>
      <c r="AB1192" t="s">
        <v>521</v>
      </c>
      <c r="AC1192" s="9">
        <v>2</v>
      </c>
      <c r="AD1192" s="9" t="str">
        <f t="shared" si="127"/>
        <v>Ok</v>
      </c>
      <c r="AE1192" s="11">
        <f t="shared" si="129"/>
        <v>0</v>
      </c>
    </row>
    <row r="1193" spans="1:31" x14ac:dyDescent="0.3">
      <c r="A1193">
        <v>42</v>
      </c>
      <c r="B1193">
        <v>4702521</v>
      </c>
      <c r="C1193" t="s">
        <v>94</v>
      </c>
      <c r="D1193">
        <v>1470631</v>
      </c>
      <c r="E1193" t="s">
        <v>214</v>
      </c>
      <c r="F1193" t="s">
        <v>20</v>
      </c>
      <c r="G1193" t="s">
        <v>1132</v>
      </c>
      <c r="H1193" t="s">
        <v>1133</v>
      </c>
      <c r="I1193" t="s">
        <v>3524</v>
      </c>
      <c r="J1193">
        <v>51146087090</v>
      </c>
      <c r="K1193" t="s">
        <v>3165</v>
      </c>
      <c r="L1193" t="s">
        <v>3457</v>
      </c>
      <c r="M1193">
        <v>1</v>
      </c>
      <c r="N1193" s="10">
        <v>250</v>
      </c>
      <c r="O1193" s="10">
        <f t="shared" si="125"/>
        <v>250</v>
      </c>
      <c r="P1193" s="10" t="s">
        <v>5006</v>
      </c>
      <c r="Q1193" s="10" t="s">
        <v>5006</v>
      </c>
      <c r="R1193" s="10" t="str">
        <f>IF(COUNTIF($J$2:J1193,J1193)=1,SUMIFS($O:$O,$J:$J,J1193)+SUMIFS($P:$P,$J:$J,J1193)+SUMIFS($Q:$Q,$J:$J,J1193),"")</f>
        <v/>
      </c>
      <c r="S1193" s="10" t="s">
        <v>5006</v>
      </c>
      <c r="T1193" s="11" t="str">
        <f t="shared" si="128"/>
        <v>Ok</v>
      </c>
      <c r="U1193" s="12">
        <v>46027</v>
      </c>
      <c r="V1193" s="10">
        <v>250</v>
      </c>
      <c r="W1193" s="10" t="str">
        <f t="shared" si="126"/>
        <v>N/A</v>
      </c>
      <c r="X1193" t="s">
        <v>450</v>
      </c>
      <c r="Y1193" t="s">
        <v>28</v>
      </c>
      <c r="Z1193">
        <v>100287</v>
      </c>
      <c r="AA1193" t="s">
        <v>503</v>
      </c>
      <c r="AB1193" t="s">
        <v>521</v>
      </c>
      <c r="AC1193" s="9">
        <v>2</v>
      </c>
      <c r="AD1193" s="9" t="str">
        <f t="shared" si="127"/>
        <v>N/A</v>
      </c>
      <c r="AE1193" s="11" t="e">
        <f t="shared" si="129"/>
        <v>#VALUE!</v>
      </c>
    </row>
    <row r="1194" spans="1:31" x14ac:dyDescent="0.3">
      <c r="A1194">
        <v>45</v>
      </c>
      <c r="B1194">
        <v>4695564</v>
      </c>
      <c r="C1194" t="s">
        <v>94</v>
      </c>
      <c r="D1194">
        <v>1830445</v>
      </c>
      <c r="E1194" t="s">
        <v>95</v>
      </c>
      <c r="F1194" t="s">
        <v>19</v>
      </c>
      <c r="G1194" t="s">
        <v>1107</v>
      </c>
      <c r="H1194" t="s">
        <v>1108</v>
      </c>
      <c r="I1194" t="s">
        <v>3178</v>
      </c>
      <c r="J1194">
        <v>51146110925</v>
      </c>
      <c r="K1194" t="s">
        <v>3226</v>
      </c>
      <c r="L1194" t="s">
        <v>4150</v>
      </c>
      <c r="M1194">
        <v>8400</v>
      </c>
      <c r="N1194" s="10">
        <v>0.627</v>
      </c>
      <c r="O1194" s="10">
        <f t="shared" si="125"/>
        <v>5266.8</v>
      </c>
      <c r="P1194" s="10">
        <v>0</v>
      </c>
      <c r="Q1194" s="10">
        <v>0</v>
      </c>
      <c r="R1194" s="10">
        <f>IF(COUNTIF($J$2:J1194,J1194)=1,SUMIFS($O:$O,$J:$J,J1194)+SUMIFS($P:$P,$J:$J,J1194)+SUMIFS($Q:$Q,$J:$J,J1194),"")</f>
        <v>20462.05</v>
      </c>
      <c r="S1194" s="10">
        <v>57436.05</v>
      </c>
      <c r="T1194" s="11" t="str">
        <f t="shared" si="128"/>
        <v>Check</v>
      </c>
      <c r="U1194" s="12">
        <v>46007</v>
      </c>
      <c r="V1194" s="10">
        <v>45585.75</v>
      </c>
      <c r="W1194" s="10" t="str">
        <f t="shared" si="126"/>
        <v>Short Paid</v>
      </c>
      <c r="X1194" t="s">
        <v>450</v>
      </c>
      <c r="Y1194" t="s">
        <v>28</v>
      </c>
      <c r="Z1194">
        <v>100197</v>
      </c>
      <c r="AA1194" t="s">
        <v>493</v>
      </c>
      <c r="AB1194" t="s">
        <v>524</v>
      </c>
      <c r="AC1194" s="9">
        <v>2</v>
      </c>
      <c r="AD1194" s="9" t="str">
        <f t="shared" si="127"/>
        <v>Check</v>
      </c>
      <c r="AE1194" s="11">
        <f t="shared" si="129"/>
        <v>-36974</v>
      </c>
    </row>
    <row r="1195" spans="1:31" x14ac:dyDescent="0.3">
      <c r="A1195">
        <v>45</v>
      </c>
      <c r="B1195">
        <v>4695564</v>
      </c>
      <c r="C1195" t="s">
        <v>94</v>
      </c>
      <c r="D1195">
        <v>1830445</v>
      </c>
      <c r="E1195" t="s">
        <v>95</v>
      </c>
      <c r="F1195" t="s">
        <v>19</v>
      </c>
      <c r="G1195" t="s">
        <v>1107</v>
      </c>
      <c r="H1195" t="s">
        <v>1108</v>
      </c>
      <c r="I1195" t="s">
        <v>3367</v>
      </c>
      <c r="J1195">
        <v>51146110925</v>
      </c>
      <c r="K1195" t="s">
        <v>3500</v>
      </c>
      <c r="L1195" t="s">
        <v>4132</v>
      </c>
      <c r="M1195">
        <v>1</v>
      </c>
      <c r="N1195" s="10">
        <v>15195.25</v>
      </c>
      <c r="O1195" s="10">
        <f t="shared" si="125"/>
        <v>15195.25</v>
      </c>
      <c r="P1195" s="10" t="s">
        <v>5006</v>
      </c>
      <c r="Q1195" s="10" t="s">
        <v>5006</v>
      </c>
      <c r="R1195" s="10" t="str">
        <f>IF(COUNTIF($J$2:J1195,J1195)=1,SUMIFS($O:$O,$J:$J,J1195)+SUMIFS($P:$P,$J:$J,J1195)+SUMIFS($Q:$Q,$J:$J,J1195),"")</f>
        <v/>
      </c>
      <c r="S1195" s="10" t="s">
        <v>5006</v>
      </c>
      <c r="T1195" s="11" t="str">
        <f t="shared" si="128"/>
        <v>Check</v>
      </c>
      <c r="U1195" s="12">
        <v>46007</v>
      </c>
      <c r="V1195" s="10">
        <v>45585.75</v>
      </c>
      <c r="W1195" s="10" t="str">
        <f t="shared" si="126"/>
        <v>N/A</v>
      </c>
      <c r="X1195" t="s">
        <v>450</v>
      </c>
      <c r="Y1195" t="s">
        <v>28</v>
      </c>
      <c r="Z1195">
        <v>100197</v>
      </c>
      <c r="AA1195" t="s">
        <v>493</v>
      </c>
      <c r="AB1195" t="s">
        <v>524</v>
      </c>
      <c r="AC1195" s="9">
        <v>2</v>
      </c>
      <c r="AD1195" s="9" t="str">
        <f t="shared" si="127"/>
        <v>N/A</v>
      </c>
      <c r="AE1195" s="11" t="e">
        <f t="shared" si="129"/>
        <v>#VALUE!</v>
      </c>
    </row>
    <row r="1196" spans="1:31" x14ac:dyDescent="0.3">
      <c r="A1196">
        <v>42</v>
      </c>
      <c r="B1196">
        <v>4703912</v>
      </c>
      <c r="C1196" t="s">
        <v>94</v>
      </c>
      <c r="D1196">
        <v>1470631</v>
      </c>
      <c r="E1196" t="s">
        <v>214</v>
      </c>
      <c r="F1196" t="s">
        <v>20</v>
      </c>
      <c r="G1196" t="s">
        <v>1128</v>
      </c>
      <c r="H1196" t="s">
        <v>1129</v>
      </c>
      <c r="I1196" t="s">
        <v>3376</v>
      </c>
      <c r="J1196">
        <v>51146230195</v>
      </c>
      <c r="K1196" t="s">
        <v>3165</v>
      </c>
      <c r="L1196" t="s">
        <v>3457</v>
      </c>
      <c r="M1196">
        <v>1</v>
      </c>
      <c r="N1196" s="10">
        <v>250</v>
      </c>
      <c r="O1196" s="10">
        <f t="shared" si="125"/>
        <v>250</v>
      </c>
      <c r="P1196" s="10">
        <v>0</v>
      </c>
      <c r="Q1196" s="10">
        <v>0</v>
      </c>
      <c r="R1196" s="10">
        <f>IF(COUNTIF($J$2:J1196,J1196)=1,SUMIFS($O:$O,$J:$J,J1196)+SUMIFS($P:$P,$J:$J,J1196)+SUMIFS($Q:$Q,$J:$J,J1196),"")</f>
        <v>13282.599999999999</v>
      </c>
      <c r="S1196" s="10">
        <v>13282.61</v>
      </c>
      <c r="T1196" s="11" t="str">
        <f t="shared" si="128"/>
        <v>Check</v>
      </c>
      <c r="U1196" s="12">
        <v>46027</v>
      </c>
      <c r="V1196" s="10">
        <v>250</v>
      </c>
      <c r="W1196" s="10" t="str">
        <f t="shared" si="126"/>
        <v>Short Paid</v>
      </c>
      <c r="X1196" t="s">
        <v>450</v>
      </c>
      <c r="Y1196" t="s">
        <v>28</v>
      </c>
      <c r="Z1196">
        <v>100197</v>
      </c>
      <c r="AA1196" t="s">
        <v>493</v>
      </c>
      <c r="AB1196" t="s">
        <v>521</v>
      </c>
      <c r="AC1196" s="9">
        <v>2</v>
      </c>
      <c r="AD1196" s="9" t="str">
        <f t="shared" si="127"/>
        <v>Check</v>
      </c>
      <c r="AE1196" s="11">
        <f t="shared" si="129"/>
        <v>-1.0000000002037268E-2</v>
      </c>
    </row>
    <row r="1197" spans="1:31" x14ac:dyDescent="0.3">
      <c r="A1197">
        <v>42</v>
      </c>
      <c r="B1197">
        <v>4703912</v>
      </c>
      <c r="C1197" t="s">
        <v>94</v>
      </c>
      <c r="D1197">
        <v>1470631</v>
      </c>
      <c r="E1197" t="s">
        <v>214</v>
      </c>
      <c r="F1197" t="s">
        <v>20</v>
      </c>
      <c r="G1197" t="s">
        <v>1128</v>
      </c>
      <c r="H1197" t="s">
        <v>1129</v>
      </c>
      <c r="I1197" t="s">
        <v>3249</v>
      </c>
      <c r="J1197">
        <v>51146230195</v>
      </c>
      <c r="K1197" t="s">
        <v>3226</v>
      </c>
      <c r="L1197" t="s">
        <v>3354</v>
      </c>
      <c r="M1197">
        <v>5800</v>
      </c>
      <c r="N1197" s="10">
        <v>2.2469999999999999</v>
      </c>
      <c r="O1197" s="10">
        <f t="shared" si="125"/>
        <v>13032.599999999999</v>
      </c>
      <c r="P1197" s="10" t="s">
        <v>5006</v>
      </c>
      <c r="Q1197" s="10" t="s">
        <v>5006</v>
      </c>
      <c r="R1197" s="10" t="str">
        <f>IF(COUNTIF($J$2:J1197,J1197)=1,SUMIFS($O:$O,$J:$J,J1197)+SUMIFS($P:$P,$J:$J,J1197)+SUMIFS($Q:$Q,$J:$J,J1197),"")</f>
        <v/>
      </c>
      <c r="S1197" s="10" t="s">
        <v>5006</v>
      </c>
      <c r="T1197" s="11" t="str">
        <f t="shared" si="128"/>
        <v>Check</v>
      </c>
      <c r="U1197" s="12">
        <v>46027</v>
      </c>
      <c r="V1197" s="10">
        <v>250</v>
      </c>
      <c r="W1197" s="10" t="str">
        <f t="shared" si="126"/>
        <v>N/A</v>
      </c>
      <c r="X1197" t="s">
        <v>450</v>
      </c>
      <c r="Y1197" t="s">
        <v>28</v>
      </c>
      <c r="Z1197">
        <v>100197</v>
      </c>
      <c r="AA1197" t="s">
        <v>493</v>
      </c>
      <c r="AB1197" t="s">
        <v>521</v>
      </c>
      <c r="AC1197" s="9">
        <v>2</v>
      </c>
      <c r="AD1197" s="9" t="str">
        <f t="shared" si="127"/>
        <v>N/A</v>
      </c>
      <c r="AE1197" s="11" t="e">
        <f t="shared" si="129"/>
        <v>#VALUE!</v>
      </c>
    </row>
    <row r="1198" spans="1:31" x14ac:dyDescent="0.3">
      <c r="A1198">
        <v>64</v>
      </c>
      <c r="B1198">
        <v>4654656</v>
      </c>
      <c r="C1198" t="s">
        <v>239</v>
      </c>
      <c r="D1198">
        <v>1079286</v>
      </c>
      <c r="E1198" t="s">
        <v>629</v>
      </c>
      <c r="F1198" t="s">
        <v>20</v>
      </c>
      <c r="G1198" t="s">
        <v>2724</v>
      </c>
      <c r="H1198" t="s">
        <v>988</v>
      </c>
      <c r="I1198" t="s">
        <v>3485</v>
      </c>
      <c r="J1198">
        <v>51146258292</v>
      </c>
      <c r="K1198" t="s">
        <v>3177</v>
      </c>
      <c r="L1198" t="s">
        <v>4104</v>
      </c>
      <c r="M1198">
        <v>900000</v>
      </c>
      <c r="N1198" s="10">
        <v>2.3700000000000001E-3</v>
      </c>
      <c r="O1198" s="10">
        <f t="shared" si="125"/>
        <v>2133</v>
      </c>
      <c r="P1198" s="10">
        <v>0</v>
      </c>
      <c r="Q1198" s="10">
        <v>0</v>
      </c>
      <c r="R1198" s="10">
        <f>IF(COUNTIF($J$2:J1198,J1198)=1,SUMIFS($O:$O,$J:$J,J1198)+SUMIFS($P:$P,$J:$J,J1198)+SUMIFS($Q:$Q,$J:$J,J1198),"")</f>
        <v>11708</v>
      </c>
      <c r="S1198" s="10">
        <v>11708</v>
      </c>
      <c r="T1198" s="11" t="str">
        <f t="shared" si="128"/>
        <v>Ok</v>
      </c>
      <c r="U1198" s="12">
        <v>45812</v>
      </c>
      <c r="V1198" s="10">
        <v>9575</v>
      </c>
      <c r="W1198" s="10" t="str">
        <f t="shared" si="126"/>
        <v>Short Paid</v>
      </c>
      <c r="X1198" t="s">
        <v>476</v>
      </c>
      <c r="Y1198" t="s">
        <v>28</v>
      </c>
      <c r="Z1198">
        <v>100245</v>
      </c>
      <c r="AA1198" t="s">
        <v>507</v>
      </c>
      <c r="AB1198" t="s">
        <v>521</v>
      </c>
      <c r="AC1198" s="9">
        <v>2</v>
      </c>
      <c r="AD1198" s="9" t="str">
        <f t="shared" si="127"/>
        <v>Ok</v>
      </c>
      <c r="AE1198" s="11">
        <f t="shared" si="129"/>
        <v>0</v>
      </c>
    </row>
    <row r="1199" spans="1:31" x14ac:dyDescent="0.3">
      <c r="A1199">
        <v>64</v>
      </c>
      <c r="B1199">
        <v>4654656</v>
      </c>
      <c r="C1199" t="s">
        <v>239</v>
      </c>
      <c r="D1199">
        <v>1079286</v>
      </c>
      <c r="E1199" t="s">
        <v>629</v>
      </c>
      <c r="F1199" t="s">
        <v>20</v>
      </c>
      <c r="G1199" t="s">
        <v>2724</v>
      </c>
      <c r="H1199" t="s">
        <v>988</v>
      </c>
      <c r="I1199" t="s">
        <v>3420</v>
      </c>
      <c r="J1199">
        <v>51146258292</v>
      </c>
      <c r="K1199" t="s">
        <v>3223</v>
      </c>
      <c r="L1199" t="s">
        <v>4066</v>
      </c>
      <c r="M1199">
        <v>25000</v>
      </c>
      <c r="N1199" s="10">
        <v>0.38300000000000001</v>
      </c>
      <c r="O1199" s="10">
        <f t="shared" si="125"/>
        <v>9575</v>
      </c>
      <c r="P1199" s="10" t="s">
        <v>5006</v>
      </c>
      <c r="Q1199" s="10" t="s">
        <v>5006</v>
      </c>
      <c r="R1199" s="10" t="str">
        <f>IF(COUNTIF($J$2:J1199,J1199)=1,SUMIFS($O:$O,$J:$J,J1199)+SUMIFS($P:$P,$J:$J,J1199)+SUMIFS($Q:$Q,$J:$J,J1199),"")</f>
        <v/>
      </c>
      <c r="S1199" s="10" t="s">
        <v>5006</v>
      </c>
      <c r="T1199" s="11" t="str">
        <f t="shared" si="128"/>
        <v>Ok</v>
      </c>
      <c r="U1199" s="12">
        <v>45812</v>
      </c>
      <c r="V1199" s="10">
        <v>9575</v>
      </c>
      <c r="W1199" s="10" t="str">
        <f t="shared" si="126"/>
        <v>N/A</v>
      </c>
      <c r="X1199" t="s">
        <v>476</v>
      </c>
      <c r="Y1199" t="s">
        <v>28</v>
      </c>
      <c r="Z1199">
        <v>100245</v>
      </c>
      <c r="AA1199" t="s">
        <v>507</v>
      </c>
      <c r="AB1199" t="s">
        <v>521</v>
      </c>
      <c r="AC1199" s="9">
        <v>2</v>
      </c>
      <c r="AD1199" s="9" t="str">
        <f t="shared" si="127"/>
        <v>N/A</v>
      </c>
      <c r="AE1199" s="11" t="e">
        <f t="shared" si="129"/>
        <v>#VALUE!</v>
      </c>
    </row>
    <row r="1200" spans="1:31" x14ac:dyDescent="0.3">
      <c r="A1200">
        <v>39</v>
      </c>
      <c r="B1200">
        <v>4717548</v>
      </c>
      <c r="C1200" t="s">
        <v>240</v>
      </c>
      <c r="D1200">
        <v>1160221</v>
      </c>
      <c r="E1200" t="s">
        <v>574</v>
      </c>
      <c r="F1200" t="s">
        <v>25</v>
      </c>
      <c r="G1200" t="s">
        <v>1185</v>
      </c>
      <c r="H1200" t="s">
        <v>1186</v>
      </c>
      <c r="I1200" t="s">
        <v>3494</v>
      </c>
      <c r="J1200">
        <v>51146265586</v>
      </c>
      <c r="K1200" t="s">
        <v>3351</v>
      </c>
      <c r="L1200" t="s">
        <v>3450</v>
      </c>
      <c r="M1200">
        <v>1000</v>
      </c>
      <c r="N1200" s="10">
        <v>3.8679999999999999</v>
      </c>
      <c r="O1200" s="10">
        <f t="shared" si="125"/>
        <v>3868</v>
      </c>
      <c r="P1200" s="10">
        <v>461.94</v>
      </c>
      <c r="Q1200" s="10">
        <v>0</v>
      </c>
      <c r="R1200" s="10">
        <f>IF(COUNTIF($J$2:J1200,J1200)=1,SUMIFS($O:$O,$J:$J,J1200)+SUMIFS($P:$P,$J:$J,J1200)+SUMIFS($Q:$Q,$J:$J,J1200),"")</f>
        <v>8179.4199999999992</v>
      </c>
      <c r="S1200" s="10">
        <v>8179.42</v>
      </c>
      <c r="T1200" s="11" t="str">
        <f t="shared" si="128"/>
        <v>Ok</v>
      </c>
      <c r="U1200" s="12">
        <v>46104</v>
      </c>
      <c r="V1200" s="10">
        <v>4311.42</v>
      </c>
      <c r="W1200" s="10" t="str">
        <f t="shared" si="126"/>
        <v>Short Paid</v>
      </c>
      <c r="X1200" t="s">
        <v>478</v>
      </c>
      <c r="Y1200" t="s">
        <v>28</v>
      </c>
      <c r="Z1200">
        <v>100162</v>
      </c>
      <c r="AA1200" t="s">
        <v>3083</v>
      </c>
      <c r="AB1200" t="s">
        <v>525</v>
      </c>
      <c r="AC1200" s="9">
        <v>4</v>
      </c>
      <c r="AD1200" s="9" t="str">
        <f t="shared" si="127"/>
        <v>Ok</v>
      </c>
      <c r="AE1200" s="11">
        <f t="shared" si="129"/>
        <v>0</v>
      </c>
    </row>
    <row r="1201" spans="1:31" x14ac:dyDescent="0.3">
      <c r="A1201">
        <v>39</v>
      </c>
      <c r="B1201">
        <v>4717548</v>
      </c>
      <c r="C1201" t="s">
        <v>240</v>
      </c>
      <c r="D1201">
        <v>1160221</v>
      </c>
      <c r="E1201" t="s">
        <v>574</v>
      </c>
      <c r="F1201" t="s">
        <v>25</v>
      </c>
      <c r="G1201" t="s">
        <v>1185</v>
      </c>
      <c r="H1201" t="s">
        <v>1186</v>
      </c>
      <c r="I1201" t="s">
        <v>3535</v>
      </c>
      <c r="J1201">
        <v>51146265586</v>
      </c>
      <c r="K1201" t="s">
        <v>3229</v>
      </c>
      <c r="L1201" t="s">
        <v>4151</v>
      </c>
      <c r="M1201">
        <v>4000</v>
      </c>
      <c r="N1201" s="10">
        <v>0.92276999999999998</v>
      </c>
      <c r="O1201" s="10">
        <f t="shared" si="125"/>
        <v>3691.08</v>
      </c>
      <c r="P1201" s="10" t="s">
        <v>5006</v>
      </c>
      <c r="Q1201" s="10" t="s">
        <v>5006</v>
      </c>
      <c r="R1201" s="10" t="str">
        <f>IF(COUNTIF($J$2:J1201,J1201)=1,SUMIFS($O:$O,$J:$J,J1201)+SUMIFS($P:$P,$J:$J,J1201)+SUMIFS($Q:$Q,$J:$J,J1201),"")</f>
        <v/>
      </c>
      <c r="S1201" s="10" t="s">
        <v>5006</v>
      </c>
      <c r="T1201" s="11" t="str">
        <f t="shared" si="128"/>
        <v>Ok</v>
      </c>
      <c r="U1201" s="12">
        <v>46104</v>
      </c>
      <c r="V1201" s="10">
        <v>4311.42</v>
      </c>
      <c r="W1201" s="10" t="str">
        <f t="shared" si="126"/>
        <v>N/A</v>
      </c>
      <c r="X1201" t="s">
        <v>478</v>
      </c>
      <c r="Y1201" t="s">
        <v>28</v>
      </c>
      <c r="Z1201">
        <v>100162</v>
      </c>
      <c r="AA1201" t="s">
        <v>3083</v>
      </c>
      <c r="AB1201" t="s">
        <v>525</v>
      </c>
      <c r="AC1201" s="9">
        <v>4</v>
      </c>
      <c r="AD1201" s="9" t="str">
        <f t="shared" si="127"/>
        <v>N/A</v>
      </c>
      <c r="AE1201" s="11" t="e">
        <f t="shared" si="129"/>
        <v>#VALUE!</v>
      </c>
    </row>
    <row r="1202" spans="1:31" x14ac:dyDescent="0.3">
      <c r="A1202">
        <v>39</v>
      </c>
      <c r="B1202">
        <v>4717548</v>
      </c>
      <c r="C1202" t="s">
        <v>240</v>
      </c>
      <c r="D1202">
        <v>1160221</v>
      </c>
      <c r="E1202" t="s">
        <v>574</v>
      </c>
      <c r="F1202" t="s">
        <v>25</v>
      </c>
      <c r="G1202" t="s">
        <v>1185</v>
      </c>
      <c r="H1202" t="s">
        <v>1186</v>
      </c>
      <c r="I1202" t="s">
        <v>3535</v>
      </c>
      <c r="J1202">
        <v>51146265586</v>
      </c>
      <c r="K1202" t="s">
        <v>3252</v>
      </c>
      <c r="L1202" t="s">
        <v>4152</v>
      </c>
      <c r="M1202">
        <v>50000</v>
      </c>
      <c r="N1202" s="10">
        <v>2.64E-3</v>
      </c>
      <c r="O1202" s="10">
        <f t="shared" si="125"/>
        <v>132</v>
      </c>
      <c r="P1202" s="10" t="s">
        <v>5006</v>
      </c>
      <c r="Q1202" s="10" t="s">
        <v>5006</v>
      </c>
      <c r="R1202" s="10" t="str">
        <f>IF(COUNTIF($J$2:J1202,J1202)=1,SUMIFS($O:$O,$J:$J,J1202)+SUMIFS($P:$P,$J:$J,J1202)+SUMIFS($Q:$Q,$J:$J,J1202),"")</f>
        <v/>
      </c>
      <c r="S1202" s="10" t="s">
        <v>5006</v>
      </c>
      <c r="T1202" s="11" t="str">
        <f t="shared" si="128"/>
        <v>Ok</v>
      </c>
      <c r="U1202" s="12">
        <v>46104</v>
      </c>
      <c r="V1202" s="10">
        <v>4311.42</v>
      </c>
      <c r="W1202" s="10" t="str">
        <f t="shared" si="126"/>
        <v>N/A</v>
      </c>
      <c r="X1202" t="s">
        <v>478</v>
      </c>
      <c r="Y1202" t="s">
        <v>28</v>
      </c>
      <c r="Z1202">
        <v>100162</v>
      </c>
      <c r="AA1202" t="s">
        <v>3083</v>
      </c>
      <c r="AB1202" t="s">
        <v>525</v>
      </c>
      <c r="AC1202" s="9">
        <v>4</v>
      </c>
      <c r="AD1202" s="9" t="str">
        <f t="shared" si="127"/>
        <v>N/A</v>
      </c>
      <c r="AE1202" s="11" t="e">
        <f t="shared" si="129"/>
        <v>#VALUE!</v>
      </c>
    </row>
    <row r="1203" spans="1:31" x14ac:dyDescent="0.3">
      <c r="A1203">
        <v>39</v>
      </c>
      <c r="B1203">
        <v>4717548</v>
      </c>
      <c r="C1203" t="s">
        <v>240</v>
      </c>
      <c r="D1203">
        <v>1160221</v>
      </c>
      <c r="E1203" t="s">
        <v>574</v>
      </c>
      <c r="F1203" t="s">
        <v>25</v>
      </c>
      <c r="G1203" t="s">
        <v>1185</v>
      </c>
      <c r="H1203" t="s">
        <v>1186</v>
      </c>
      <c r="I1203" t="s">
        <v>3535</v>
      </c>
      <c r="J1203">
        <v>51146265586</v>
      </c>
      <c r="K1203" t="s">
        <v>3252</v>
      </c>
      <c r="L1203" t="s">
        <v>4153</v>
      </c>
      <c r="M1203">
        <v>10000</v>
      </c>
      <c r="N1203" s="10">
        <v>2.64E-3</v>
      </c>
      <c r="O1203" s="10">
        <f t="shared" si="125"/>
        <v>26.4</v>
      </c>
      <c r="P1203" s="10" t="s">
        <v>5006</v>
      </c>
      <c r="Q1203" s="10" t="s">
        <v>5006</v>
      </c>
      <c r="R1203" s="10" t="str">
        <f>IF(COUNTIF($J$2:J1203,J1203)=1,SUMIFS($O:$O,$J:$J,J1203)+SUMIFS($P:$P,$J:$J,J1203)+SUMIFS($Q:$Q,$J:$J,J1203),"")</f>
        <v/>
      </c>
      <c r="S1203" s="10" t="s">
        <v>5006</v>
      </c>
      <c r="T1203" s="11" t="str">
        <f t="shared" si="128"/>
        <v>Ok</v>
      </c>
      <c r="U1203" s="12">
        <v>46104</v>
      </c>
      <c r="V1203" s="10">
        <v>4311.42</v>
      </c>
      <c r="W1203" s="10" t="str">
        <f t="shared" si="126"/>
        <v>N/A</v>
      </c>
      <c r="X1203" t="s">
        <v>478</v>
      </c>
      <c r="Y1203" t="s">
        <v>28</v>
      </c>
      <c r="Z1203">
        <v>100162</v>
      </c>
      <c r="AA1203" t="s">
        <v>3083</v>
      </c>
      <c r="AB1203" t="s">
        <v>525</v>
      </c>
      <c r="AC1203" s="9">
        <v>4</v>
      </c>
      <c r="AD1203" s="9" t="str">
        <f t="shared" si="127"/>
        <v>N/A</v>
      </c>
      <c r="AE1203" s="11" t="e">
        <f t="shared" si="129"/>
        <v>#VALUE!</v>
      </c>
    </row>
    <row r="1204" spans="1:31" x14ac:dyDescent="0.3">
      <c r="A1204">
        <v>42</v>
      </c>
      <c r="B1204">
        <v>4704747</v>
      </c>
      <c r="C1204" t="s">
        <v>160</v>
      </c>
      <c r="D1204">
        <v>1422097</v>
      </c>
      <c r="E1204" t="s">
        <v>388</v>
      </c>
      <c r="F1204" t="s">
        <v>19</v>
      </c>
      <c r="G1204" t="s">
        <v>1136</v>
      </c>
      <c r="H1204" t="s">
        <v>1137</v>
      </c>
      <c r="I1204" t="s">
        <v>3200</v>
      </c>
      <c r="J1204">
        <v>51146265602</v>
      </c>
      <c r="K1204" t="s">
        <v>3246</v>
      </c>
      <c r="L1204" t="s">
        <v>3458</v>
      </c>
      <c r="M1204">
        <v>5000</v>
      </c>
      <c r="N1204" s="10">
        <v>0.24890000000000001</v>
      </c>
      <c r="O1204" s="10">
        <f t="shared" si="125"/>
        <v>1244.5</v>
      </c>
      <c r="P1204" s="10">
        <v>0</v>
      </c>
      <c r="Q1204" s="10">
        <v>22.8</v>
      </c>
      <c r="R1204" s="10">
        <f>IF(COUNTIF($J$2:J1204,J1204)=1,SUMIFS($O:$O,$J:$J,J1204)+SUMIFS($P:$P,$J:$J,J1204)+SUMIFS($Q:$Q,$J:$J,J1204),"")</f>
        <v>1387.3</v>
      </c>
      <c r="S1204" s="10">
        <v>1387.3</v>
      </c>
      <c r="T1204" s="11" t="str">
        <f t="shared" si="128"/>
        <v>Ok</v>
      </c>
      <c r="U1204" s="12">
        <v>46086</v>
      </c>
      <c r="V1204" s="10">
        <v>22.8</v>
      </c>
      <c r="W1204" s="10" t="str">
        <f t="shared" si="126"/>
        <v>Short Paid</v>
      </c>
      <c r="X1204" t="s">
        <v>453</v>
      </c>
      <c r="Y1204" t="s">
        <v>28</v>
      </c>
      <c r="Z1204">
        <v>100244</v>
      </c>
      <c r="AA1204" t="s">
        <v>466</v>
      </c>
      <c r="AB1204" t="s">
        <v>524</v>
      </c>
      <c r="AC1204" s="9">
        <v>2</v>
      </c>
      <c r="AD1204" s="9" t="str">
        <f t="shared" si="127"/>
        <v>Ok</v>
      </c>
      <c r="AE1204" s="11">
        <f t="shared" si="129"/>
        <v>0</v>
      </c>
    </row>
    <row r="1205" spans="1:31" x14ac:dyDescent="0.3">
      <c r="A1205">
        <v>42</v>
      </c>
      <c r="B1205">
        <v>4704747</v>
      </c>
      <c r="C1205" t="s">
        <v>160</v>
      </c>
      <c r="D1205">
        <v>1422097</v>
      </c>
      <c r="E1205" t="s">
        <v>388</v>
      </c>
      <c r="F1205" t="s">
        <v>19</v>
      </c>
      <c r="G1205" t="s">
        <v>1136</v>
      </c>
      <c r="H1205" t="s">
        <v>1137</v>
      </c>
      <c r="I1205" t="s">
        <v>3234</v>
      </c>
      <c r="J1205">
        <v>51146265602</v>
      </c>
      <c r="K1205" t="s">
        <v>3229</v>
      </c>
      <c r="L1205" t="s">
        <v>4154</v>
      </c>
      <c r="M1205">
        <v>2000</v>
      </c>
      <c r="N1205" s="10">
        <v>0.06</v>
      </c>
      <c r="O1205" s="10">
        <f t="shared" si="125"/>
        <v>120</v>
      </c>
      <c r="P1205" s="10" t="s">
        <v>5006</v>
      </c>
      <c r="Q1205" s="10" t="s">
        <v>5006</v>
      </c>
      <c r="R1205" s="10" t="str">
        <f>IF(COUNTIF($J$2:J1205,J1205)=1,SUMIFS($O:$O,$J:$J,J1205)+SUMIFS($P:$P,$J:$J,J1205)+SUMIFS($Q:$Q,$J:$J,J1205),"")</f>
        <v/>
      </c>
      <c r="S1205" s="10" t="s">
        <v>5006</v>
      </c>
      <c r="T1205" s="11" t="str">
        <f t="shared" si="128"/>
        <v>Ok</v>
      </c>
      <c r="U1205" s="12">
        <v>46086</v>
      </c>
      <c r="V1205" s="10">
        <v>22.8</v>
      </c>
      <c r="W1205" s="10" t="str">
        <f t="shared" si="126"/>
        <v>N/A</v>
      </c>
      <c r="X1205" t="s">
        <v>453</v>
      </c>
      <c r="Y1205" t="s">
        <v>28</v>
      </c>
      <c r="Z1205">
        <v>100244</v>
      </c>
      <c r="AA1205" t="s">
        <v>466</v>
      </c>
      <c r="AB1205" t="s">
        <v>524</v>
      </c>
      <c r="AC1205" s="9">
        <v>2</v>
      </c>
      <c r="AD1205" s="9" t="str">
        <f t="shared" si="127"/>
        <v>N/A</v>
      </c>
      <c r="AE1205" s="11" t="e">
        <f t="shared" si="129"/>
        <v>#VALUE!</v>
      </c>
    </row>
    <row r="1206" spans="1:31" x14ac:dyDescent="0.3">
      <c r="A1206">
        <v>42</v>
      </c>
      <c r="B1206">
        <v>4705025</v>
      </c>
      <c r="C1206" t="s">
        <v>220</v>
      </c>
      <c r="D1206">
        <v>1235437</v>
      </c>
      <c r="E1206" t="s">
        <v>705</v>
      </c>
      <c r="F1206" t="s">
        <v>20</v>
      </c>
      <c r="G1206" t="s">
        <v>1138</v>
      </c>
      <c r="H1206" t="s">
        <v>1139</v>
      </c>
      <c r="I1206" t="s">
        <v>3376</v>
      </c>
      <c r="J1206">
        <v>51146266131</v>
      </c>
      <c r="K1206" t="s">
        <v>3207</v>
      </c>
      <c r="L1206" t="s">
        <v>3346</v>
      </c>
      <c r="M1206">
        <v>24500</v>
      </c>
      <c r="N1206" s="10">
        <v>6.6000000000000003E-2</v>
      </c>
      <c r="O1206" s="10">
        <f t="shared" si="125"/>
        <v>1617</v>
      </c>
      <c r="P1206" s="10">
        <v>0</v>
      </c>
      <c r="Q1206" s="10">
        <v>201.1</v>
      </c>
      <c r="R1206" s="10">
        <f>IF(COUNTIF($J$2:J1206,J1206)=1,SUMIFS($O:$O,$J:$J,J1206)+SUMIFS($P:$P,$J:$J,J1206)+SUMIFS($Q:$Q,$J:$J,J1206),"")</f>
        <v>2876.5101</v>
      </c>
      <c r="S1206" s="10">
        <v>3934.92</v>
      </c>
      <c r="T1206" s="11" t="str">
        <f t="shared" si="128"/>
        <v>Check</v>
      </c>
      <c r="U1206" s="12">
        <v>46093</v>
      </c>
      <c r="V1206" s="10">
        <v>2317.92</v>
      </c>
      <c r="W1206" s="10" t="str">
        <f t="shared" si="126"/>
        <v>Short Paid</v>
      </c>
      <c r="X1206" t="s">
        <v>470</v>
      </c>
      <c r="Y1206" t="s">
        <v>28</v>
      </c>
      <c r="Z1206">
        <v>100278</v>
      </c>
      <c r="AA1206" t="s">
        <v>3114</v>
      </c>
      <c r="AB1206" t="s">
        <v>521</v>
      </c>
      <c r="AC1206" s="9">
        <v>2</v>
      </c>
      <c r="AD1206" s="9" t="str">
        <f t="shared" si="127"/>
        <v>Check</v>
      </c>
      <c r="AE1206" s="11">
        <f t="shared" si="129"/>
        <v>-1058.4099000000001</v>
      </c>
    </row>
    <row r="1207" spans="1:31" x14ac:dyDescent="0.3">
      <c r="A1207">
        <v>42</v>
      </c>
      <c r="B1207">
        <v>4705025</v>
      </c>
      <c r="C1207" t="s">
        <v>220</v>
      </c>
      <c r="D1207">
        <v>1235437</v>
      </c>
      <c r="E1207" t="s">
        <v>705</v>
      </c>
      <c r="F1207" t="s">
        <v>20</v>
      </c>
      <c r="G1207" t="s">
        <v>1138</v>
      </c>
      <c r="H1207" t="s">
        <v>1139</v>
      </c>
      <c r="I1207" t="s">
        <v>3355</v>
      </c>
      <c r="J1207">
        <v>51146266131</v>
      </c>
      <c r="K1207" t="s">
        <v>3276</v>
      </c>
      <c r="L1207" t="s">
        <v>4155</v>
      </c>
      <c r="M1207">
        <v>10</v>
      </c>
      <c r="N1207" s="10">
        <v>105.84101</v>
      </c>
      <c r="O1207" s="10">
        <f t="shared" si="125"/>
        <v>1058.4101000000001</v>
      </c>
      <c r="P1207" s="10" t="s">
        <v>5006</v>
      </c>
      <c r="Q1207" s="10" t="s">
        <v>5006</v>
      </c>
      <c r="R1207" s="10" t="str">
        <f>IF(COUNTIF($J$2:J1207,J1207)=1,SUMIFS($O:$O,$J:$J,J1207)+SUMIFS($P:$P,$J:$J,J1207)+SUMIFS($Q:$Q,$J:$J,J1207),"")</f>
        <v/>
      </c>
      <c r="S1207" s="10" t="s">
        <v>5006</v>
      </c>
      <c r="T1207" s="11" t="str">
        <f t="shared" si="128"/>
        <v>Check</v>
      </c>
      <c r="U1207" s="12">
        <v>46093</v>
      </c>
      <c r="V1207" s="10">
        <v>2317.92</v>
      </c>
      <c r="W1207" s="10" t="str">
        <f t="shared" si="126"/>
        <v>N/A</v>
      </c>
      <c r="X1207" t="s">
        <v>470</v>
      </c>
      <c r="Y1207" t="s">
        <v>28</v>
      </c>
      <c r="Z1207">
        <v>100278</v>
      </c>
      <c r="AA1207" t="s">
        <v>3114</v>
      </c>
      <c r="AB1207" t="s">
        <v>521</v>
      </c>
      <c r="AC1207" s="9">
        <v>2</v>
      </c>
      <c r="AD1207" s="9" t="str">
        <f t="shared" si="127"/>
        <v>N/A</v>
      </c>
      <c r="AE1207" s="11" t="e">
        <f t="shared" si="129"/>
        <v>#VALUE!</v>
      </c>
    </row>
    <row r="1208" spans="1:31" x14ac:dyDescent="0.3">
      <c r="A1208">
        <v>42</v>
      </c>
      <c r="B1208">
        <v>4708643</v>
      </c>
      <c r="C1208" t="s">
        <v>60</v>
      </c>
      <c r="D1208">
        <v>1588891</v>
      </c>
      <c r="E1208" t="s">
        <v>61</v>
      </c>
      <c r="F1208" t="s">
        <v>18</v>
      </c>
      <c r="G1208" t="s">
        <v>1148</v>
      </c>
      <c r="H1208" t="s">
        <v>1149</v>
      </c>
      <c r="I1208" t="s">
        <v>3444</v>
      </c>
      <c r="J1208">
        <v>51146357608</v>
      </c>
      <c r="K1208" t="s">
        <v>3745</v>
      </c>
      <c r="L1208" t="s">
        <v>4156</v>
      </c>
      <c r="M1208">
        <v>50</v>
      </c>
      <c r="N1208" s="10">
        <v>94.06</v>
      </c>
      <c r="O1208" s="10">
        <f t="shared" si="125"/>
        <v>4703</v>
      </c>
      <c r="P1208" s="10">
        <v>0</v>
      </c>
      <c r="Q1208" s="10">
        <v>0</v>
      </c>
      <c r="R1208" s="10">
        <f>IF(COUNTIF($J$2:J1208,J1208)=1,SUMIFS($O:$O,$J:$J,J1208)+SUMIFS($P:$P,$J:$J,J1208)+SUMIFS($Q:$Q,$J:$J,J1208),"")</f>
        <v>6101.96</v>
      </c>
      <c r="S1208" s="10">
        <v>10804.96</v>
      </c>
      <c r="T1208" s="11" t="str">
        <f t="shared" si="128"/>
        <v>Check</v>
      </c>
      <c r="U1208" s="12">
        <v>45983</v>
      </c>
      <c r="V1208" s="10">
        <v>-321.04000000000002</v>
      </c>
      <c r="W1208" s="10" t="str">
        <f t="shared" si="126"/>
        <v>Short Paid</v>
      </c>
      <c r="X1208" t="s">
        <v>438</v>
      </c>
      <c r="Y1208" t="s">
        <v>28</v>
      </c>
      <c r="Z1208">
        <v>100123</v>
      </c>
      <c r="AA1208" t="s">
        <v>447</v>
      </c>
      <c r="AB1208" t="s">
        <v>523</v>
      </c>
      <c r="AC1208" s="9">
        <v>2</v>
      </c>
      <c r="AD1208" s="9" t="str">
        <f t="shared" si="127"/>
        <v>Check</v>
      </c>
      <c r="AE1208" s="11">
        <f t="shared" si="129"/>
        <v>-4702.9999999999991</v>
      </c>
    </row>
    <row r="1209" spans="1:31" x14ac:dyDescent="0.3">
      <c r="A1209">
        <v>42</v>
      </c>
      <c r="B1209">
        <v>4708643</v>
      </c>
      <c r="C1209" t="s">
        <v>60</v>
      </c>
      <c r="D1209">
        <v>1588891</v>
      </c>
      <c r="E1209" t="s">
        <v>61</v>
      </c>
      <c r="F1209" t="s">
        <v>18</v>
      </c>
      <c r="G1209" t="s">
        <v>1148</v>
      </c>
      <c r="H1209" t="s">
        <v>1149</v>
      </c>
      <c r="I1209" t="s">
        <v>3446</v>
      </c>
      <c r="J1209">
        <v>51146357608</v>
      </c>
      <c r="K1209" t="s">
        <v>3401</v>
      </c>
      <c r="L1209" t="s">
        <v>4157</v>
      </c>
      <c r="M1209">
        <v>4000</v>
      </c>
      <c r="N1209" s="10">
        <v>0.34974</v>
      </c>
      <c r="O1209" s="10">
        <f t="shared" si="125"/>
        <v>1398.96</v>
      </c>
      <c r="P1209" s="10" t="s">
        <v>5006</v>
      </c>
      <c r="Q1209" s="10" t="s">
        <v>5006</v>
      </c>
      <c r="R1209" s="10" t="str">
        <f>IF(COUNTIF($J$2:J1209,J1209)=1,SUMIFS($O:$O,$J:$J,J1209)+SUMIFS($P:$P,$J:$J,J1209)+SUMIFS($Q:$Q,$J:$J,J1209),"")</f>
        <v/>
      </c>
      <c r="S1209" s="10" t="s">
        <v>5006</v>
      </c>
      <c r="T1209" s="11" t="str">
        <f t="shared" si="128"/>
        <v>Check</v>
      </c>
      <c r="U1209" s="12">
        <v>45983</v>
      </c>
      <c r="V1209" s="10">
        <v>-321.04000000000002</v>
      </c>
      <c r="W1209" s="10" t="str">
        <f t="shared" si="126"/>
        <v>N/A</v>
      </c>
      <c r="X1209" t="s">
        <v>438</v>
      </c>
      <c r="Y1209" t="s">
        <v>28</v>
      </c>
      <c r="Z1209">
        <v>100123</v>
      </c>
      <c r="AA1209" t="s">
        <v>447</v>
      </c>
      <c r="AB1209" t="s">
        <v>523</v>
      </c>
      <c r="AC1209" s="9">
        <v>2</v>
      </c>
      <c r="AD1209" s="9" t="str">
        <f t="shared" si="127"/>
        <v>N/A</v>
      </c>
      <c r="AE1209" s="11" t="e">
        <f t="shared" si="129"/>
        <v>#VALUE!</v>
      </c>
    </row>
    <row r="1210" spans="1:31" x14ac:dyDescent="0.3">
      <c r="A1210">
        <v>59</v>
      </c>
      <c r="B1210">
        <v>4664953</v>
      </c>
      <c r="C1210" t="s">
        <v>217</v>
      </c>
      <c r="D1210">
        <v>1160621</v>
      </c>
      <c r="E1210" t="s">
        <v>571</v>
      </c>
      <c r="F1210" t="s">
        <v>18</v>
      </c>
      <c r="G1210" t="s">
        <v>1025</v>
      </c>
      <c r="H1210" t="s">
        <v>1026</v>
      </c>
      <c r="I1210" t="s">
        <v>3169</v>
      </c>
      <c r="J1210">
        <v>51146394385</v>
      </c>
      <c r="K1210" t="s">
        <v>3429</v>
      </c>
      <c r="L1210" t="s">
        <v>4158</v>
      </c>
      <c r="M1210">
        <v>4040</v>
      </c>
      <c r="N1210" s="10">
        <v>4.5999999999999999E-2</v>
      </c>
      <c r="O1210" s="10">
        <f t="shared" si="125"/>
        <v>185.84</v>
      </c>
      <c r="P1210" s="10">
        <v>0</v>
      </c>
      <c r="Q1210" s="10">
        <v>150.78</v>
      </c>
      <c r="R1210" s="10">
        <f>IF(COUNTIF($J$2:J1210,J1210)=1,SUMIFS($O:$O,$J:$J,J1210)+SUMIFS($P:$P,$J:$J,J1210)+SUMIFS($Q:$Q,$J:$J,J1210),"")</f>
        <v>1130.22</v>
      </c>
      <c r="S1210" s="10">
        <v>1130.22</v>
      </c>
      <c r="T1210" s="11" t="str">
        <f t="shared" si="128"/>
        <v>Ok</v>
      </c>
      <c r="U1210" s="12">
        <v>46056</v>
      </c>
      <c r="V1210" s="10">
        <v>944.38</v>
      </c>
      <c r="W1210" s="10" t="str">
        <f t="shared" si="126"/>
        <v>Short Paid</v>
      </c>
      <c r="X1210" t="s">
        <v>468</v>
      </c>
      <c r="Y1210" t="s">
        <v>28</v>
      </c>
      <c r="Z1210">
        <v>100196</v>
      </c>
      <c r="AA1210" t="s">
        <v>3095</v>
      </c>
      <c r="AB1210" t="s">
        <v>523</v>
      </c>
      <c r="AC1210" s="9">
        <v>2</v>
      </c>
      <c r="AD1210" s="9" t="str">
        <f t="shared" si="127"/>
        <v>Ok</v>
      </c>
      <c r="AE1210" s="11">
        <f t="shared" si="129"/>
        <v>0</v>
      </c>
    </row>
    <row r="1211" spans="1:31" x14ac:dyDescent="0.3">
      <c r="A1211">
        <v>59</v>
      </c>
      <c r="B1211">
        <v>4664953</v>
      </c>
      <c r="C1211" t="s">
        <v>217</v>
      </c>
      <c r="D1211">
        <v>1160621</v>
      </c>
      <c r="E1211" t="s">
        <v>571</v>
      </c>
      <c r="F1211" t="s">
        <v>18</v>
      </c>
      <c r="G1211" t="s">
        <v>1025</v>
      </c>
      <c r="H1211" t="s">
        <v>1026</v>
      </c>
      <c r="I1211" t="s">
        <v>3232</v>
      </c>
      <c r="J1211">
        <v>51146394385</v>
      </c>
      <c r="K1211" t="s">
        <v>3177</v>
      </c>
      <c r="L1211" t="s">
        <v>4159</v>
      </c>
      <c r="M1211">
        <v>640000</v>
      </c>
      <c r="N1211" s="10">
        <v>1.24E-3</v>
      </c>
      <c r="O1211" s="10">
        <f t="shared" si="125"/>
        <v>793.6</v>
      </c>
      <c r="P1211" s="10" t="s">
        <v>5006</v>
      </c>
      <c r="Q1211" s="10" t="s">
        <v>5006</v>
      </c>
      <c r="R1211" s="10" t="str">
        <f>IF(COUNTIF($J$2:J1211,J1211)=1,SUMIFS($O:$O,$J:$J,J1211)+SUMIFS($P:$P,$J:$J,J1211)+SUMIFS($Q:$Q,$J:$J,J1211),"")</f>
        <v/>
      </c>
      <c r="S1211" s="10" t="s">
        <v>5006</v>
      </c>
      <c r="T1211" s="11" t="str">
        <f t="shared" si="128"/>
        <v>Ok</v>
      </c>
      <c r="U1211" s="12">
        <v>46056</v>
      </c>
      <c r="V1211" s="10">
        <v>944.38</v>
      </c>
      <c r="W1211" s="10" t="str">
        <f t="shared" si="126"/>
        <v>N/A</v>
      </c>
      <c r="X1211" t="s">
        <v>468</v>
      </c>
      <c r="Y1211" t="s">
        <v>28</v>
      </c>
      <c r="Z1211">
        <v>100196</v>
      </c>
      <c r="AA1211" t="s">
        <v>3095</v>
      </c>
      <c r="AB1211" t="s">
        <v>523</v>
      </c>
      <c r="AC1211" s="9">
        <v>2</v>
      </c>
      <c r="AD1211" s="9" t="str">
        <f t="shared" si="127"/>
        <v>N/A</v>
      </c>
      <c r="AE1211" s="11" t="e">
        <f t="shared" si="129"/>
        <v>#VALUE!</v>
      </c>
    </row>
    <row r="1212" spans="1:31" x14ac:dyDescent="0.3">
      <c r="A1212">
        <v>59</v>
      </c>
      <c r="B1212">
        <v>4665231</v>
      </c>
      <c r="C1212" t="s">
        <v>217</v>
      </c>
      <c r="D1212">
        <v>1160621</v>
      </c>
      <c r="E1212" t="s">
        <v>571</v>
      </c>
      <c r="F1212" t="s">
        <v>18</v>
      </c>
      <c r="G1212" t="s">
        <v>1027</v>
      </c>
      <c r="H1212" t="s">
        <v>1028</v>
      </c>
      <c r="I1212" t="s">
        <v>3399</v>
      </c>
      <c r="J1212">
        <v>51146394394</v>
      </c>
      <c r="K1212" t="s">
        <v>3177</v>
      </c>
      <c r="L1212" t="s">
        <v>4160</v>
      </c>
      <c r="M1212">
        <v>2500</v>
      </c>
      <c r="N1212" s="10">
        <v>0.3553</v>
      </c>
      <c r="O1212" s="10">
        <f t="shared" si="125"/>
        <v>888.25</v>
      </c>
      <c r="P1212" s="10">
        <v>0</v>
      </c>
      <c r="Q1212" s="10">
        <v>352.45</v>
      </c>
      <c r="R1212" s="10">
        <f>IF(COUNTIF($J$2:J1212,J1212)=1,SUMIFS($O:$O,$J:$J,J1212)+SUMIFS($P:$P,$J:$J,J1212)+SUMIFS($Q:$Q,$J:$J,J1212),"")</f>
        <v>3095.7</v>
      </c>
      <c r="S1212" s="10">
        <v>3095.7</v>
      </c>
      <c r="T1212" s="11" t="str">
        <f t="shared" si="128"/>
        <v>Ok</v>
      </c>
      <c r="U1212" s="12">
        <v>46056</v>
      </c>
      <c r="V1212" s="10">
        <v>2207.4499999999998</v>
      </c>
      <c r="W1212" s="10" t="str">
        <f t="shared" si="126"/>
        <v>Short Paid</v>
      </c>
      <c r="X1212" t="s">
        <v>468</v>
      </c>
      <c r="Y1212" t="s">
        <v>28</v>
      </c>
      <c r="Z1212">
        <v>100206</v>
      </c>
      <c r="AA1212" t="s">
        <v>3058</v>
      </c>
      <c r="AB1212" t="s">
        <v>523</v>
      </c>
      <c r="AC1212" s="9">
        <v>2</v>
      </c>
      <c r="AD1212" s="9" t="str">
        <f t="shared" si="127"/>
        <v>Ok</v>
      </c>
      <c r="AE1212" s="11">
        <f t="shared" si="129"/>
        <v>0</v>
      </c>
    </row>
    <row r="1213" spans="1:31" x14ac:dyDescent="0.3">
      <c r="A1213">
        <v>59</v>
      </c>
      <c r="B1213">
        <v>4665231</v>
      </c>
      <c r="C1213" t="s">
        <v>217</v>
      </c>
      <c r="D1213">
        <v>1160621</v>
      </c>
      <c r="E1213" t="s">
        <v>571</v>
      </c>
      <c r="F1213" t="s">
        <v>18</v>
      </c>
      <c r="G1213" t="s">
        <v>1027</v>
      </c>
      <c r="H1213" t="s">
        <v>1028</v>
      </c>
      <c r="I1213" t="s">
        <v>3204</v>
      </c>
      <c r="J1213">
        <v>51146394394</v>
      </c>
      <c r="K1213" t="s">
        <v>3190</v>
      </c>
      <c r="L1213" t="s">
        <v>4161</v>
      </c>
      <c r="M1213">
        <v>50000</v>
      </c>
      <c r="N1213" s="10">
        <v>3.7100000000000001E-2</v>
      </c>
      <c r="O1213" s="10">
        <f t="shared" si="125"/>
        <v>1855</v>
      </c>
      <c r="P1213" s="10" t="s">
        <v>5006</v>
      </c>
      <c r="Q1213" s="10" t="s">
        <v>5006</v>
      </c>
      <c r="R1213" s="10" t="str">
        <f>IF(COUNTIF($J$2:J1213,J1213)=1,SUMIFS($O:$O,$J:$J,J1213)+SUMIFS($P:$P,$J:$J,J1213)+SUMIFS($Q:$Q,$J:$J,J1213),"")</f>
        <v/>
      </c>
      <c r="S1213" s="10" t="s">
        <v>5006</v>
      </c>
      <c r="T1213" s="11" t="str">
        <f t="shared" si="128"/>
        <v>Ok</v>
      </c>
      <c r="U1213" s="12">
        <v>46056</v>
      </c>
      <c r="V1213" s="10">
        <v>2207.4499999999998</v>
      </c>
      <c r="W1213" s="10" t="str">
        <f t="shared" si="126"/>
        <v>N/A</v>
      </c>
      <c r="X1213" t="s">
        <v>468</v>
      </c>
      <c r="Y1213" t="s">
        <v>28</v>
      </c>
      <c r="Z1213">
        <v>100206</v>
      </c>
      <c r="AA1213" t="s">
        <v>3058</v>
      </c>
      <c r="AB1213" t="s">
        <v>523</v>
      </c>
      <c r="AC1213" s="9">
        <v>2</v>
      </c>
      <c r="AD1213" s="9" t="str">
        <f t="shared" si="127"/>
        <v>N/A</v>
      </c>
      <c r="AE1213" s="11" t="e">
        <f t="shared" si="129"/>
        <v>#VALUE!</v>
      </c>
    </row>
    <row r="1214" spans="1:31" x14ac:dyDescent="0.3">
      <c r="A1214">
        <v>42</v>
      </c>
      <c r="B1214">
        <v>4706973</v>
      </c>
      <c r="C1214" t="s">
        <v>94</v>
      </c>
      <c r="D1214">
        <v>1470631</v>
      </c>
      <c r="E1214" t="s">
        <v>214</v>
      </c>
      <c r="F1214" t="s">
        <v>20</v>
      </c>
      <c r="G1214" t="s">
        <v>2761</v>
      </c>
      <c r="H1214" t="s">
        <v>2762</v>
      </c>
      <c r="I1214" t="s">
        <v>3305</v>
      </c>
      <c r="J1214">
        <v>51146456024</v>
      </c>
      <c r="K1214" t="s">
        <v>3180</v>
      </c>
      <c r="L1214" t="s">
        <v>3781</v>
      </c>
      <c r="M1214">
        <v>2000</v>
      </c>
      <c r="N1214" s="10">
        <v>0.78369999999999995</v>
      </c>
      <c r="O1214" s="10">
        <f t="shared" si="125"/>
        <v>1567.3999999999999</v>
      </c>
      <c r="P1214" s="10">
        <v>0</v>
      </c>
      <c r="Q1214" s="10">
        <v>141.28</v>
      </c>
      <c r="R1214" s="10">
        <f>IF(COUNTIF($J$2:J1214,J1214)=1,SUMIFS($O:$O,$J:$J,J1214)+SUMIFS($P:$P,$J:$J,J1214)+SUMIFS($Q:$Q,$J:$J,J1214),"")</f>
        <v>2302.2800000000002</v>
      </c>
      <c r="S1214" s="10">
        <v>2854.88</v>
      </c>
      <c r="T1214" s="11" t="str">
        <f t="shared" si="128"/>
        <v>Check</v>
      </c>
      <c r="U1214" s="12">
        <v>45999</v>
      </c>
      <c r="V1214" s="10">
        <v>734.88</v>
      </c>
      <c r="W1214" s="10" t="str">
        <f t="shared" si="126"/>
        <v>Short Paid</v>
      </c>
      <c r="X1214" t="s">
        <v>450</v>
      </c>
      <c r="Y1214" t="s">
        <v>28</v>
      </c>
      <c r="Z1214">
        <v>100207</v>
      </c>
      <c r="AA1214" t="s">
        <v>519</v>
      </c>
      <c r="AB1214" t="s">
        <v>521</v>
      </c>
      <c r="AC1214" s="9">
        <v>2</v>
      </c>
      <c r="AD1214" s="9" t="str">
        <f t="shared" si="127"/>
        <v>Check</v>
      </c>
      <c r="AE1214" s="11">
        <f t="shared" si="129"/>
        <v>-552.59999999999991</v>
      </c>
    </row>
    <row r="1215" spans="1:31" x14ac:dyDescent="0.3">
      <c r="A1215">
        <v>42</v>
      </c>
      <c r="B1215">
        <v>4706973</v>
      </c>
      <c r="C1215" t="s">
        <v>94</v>
      </c>
      <c r="D1215">
        <v>1470631</v>
      </c>
      <c r="E1215" t="s">
        <v>214</v>
      </c>
      <c r="F1215" t="s">
        <v>20</v>
      </c>
      <c r="G1215" t="s">
        <v>2761</v>
      </c>
      <c r="H1215" t="s">
        <v>2762</v>
      </c>
      <c r="I1215" t="s">
        <v>3230</v>
      </c>
      <c r="J1215">
        <v>51146456024</v>
      </c>
      <c r="K1215" t="s">
        <v>3259</v>
      </c>
      <c r="L1215" t="s">
        <v>4162</v>
      </c>
      <c r="M1215">
        <v>1</v>
      </c>
      <c r="N1215" s="10">
        <v>593.6</v>
      </c>
      <c r="O1215" s="10">
        <f t="shared" si="125"/>
        <v>593.6</v>
      </c>
      <c r="P1215" s="10" t="s">
        <v>5006</v>
      </c>
      <c r="Q1215" s="10" t="s">
        <v>5006</v>
      </c>
      <c r="R1215" s="10" t="str">
        <f>IF(COUNTIF($J$2:J1215,J1215)=1,SUMIFS($O:$O,$J:$J,J1215)+SUMIFS($P:$P,$J:$J,J1215)+SUMIFS($Q:$Q,$J:$J,J1215),"")</f>
        <v/>
      </c>
      <c r="S1215" s="10" t="s">
        <v>5006</v>
      </c>
      <c r="T1215" s="11" t="str">
        <f t="shared" si="128"/>
        <v>Check</v>
      </c>
      <c r="U1215" s="12">
        <v>45999</v>
      </c>
      <c r="V1215" s="10">
        <v>734.88</v>
      </c>
      <c r="W1215" s="10" t="str">
        <f t="shared" si="126"/>
        <v>N/A</v>
      </c>
      <c r="X1215" t="s">
        <v>450</v>
      </c>
      <c r="Y1215" t="s">
        <v>28</v>
      </c>
      <c r="Z1215">
        <v>100207</v>
      </c>
      <c r="AA1215" t="s">
        <v>519</v>
      </c>
      <c r="AB1215" t="s">
        <v>521</v>
      </c>
      <c r="AC1215" s="9">
        <v>2</v>
      </c>
      <c r="AD1215" s="9" t="str">
        <f t="shared" si="127"/>
        <v>N/A</v>
      </c>
      <c r="AE1215" s="11" t="e">
        <f t="shared" si="129"/>
        <v>#VALUE!</v>
      </c>
    </row>
    <row r="1216" spans="1:31" x14ac:dyDescent="0.3">
      <c r="A1216">
        <v>42</v>
      </c>
      <c r="B1216">
        <v>4708365</v>
      </c>
      <c r="C1216" t="s">
        <v>60</v>
      </c>
      <c r="D1216">
        <v>1588891</v>
      </c>
      <c r="E1216" t="s">
        <v>61</v>
      </c>
      <c r="F1216" t="s">
        <v>18</v>
      </c>
      <c r="G1216" t="s">
        <v>1146</v>
      </c>
      <c r="H1216" t="s">
        <v>1147</v>
      </c>
      <c r="I1216" t="s">
        <v>3349</v>
      </c>
      <c r="J1216">
        <v>51146532109</v>
      </c>
      <c r="K1216" t="s">
        <v>3209</v>
      </c>
      <c r="L1216" t="s">
        <v>3552</v>
      </c>
      <c r="M1216">
        <v>100000</v>
      </c>
      <c r="N1216" s="10">
        <v>1.24E-2</v>
      </c>
      <c r="O1216" s="10">
        <f t="shared" si="125"/>
        <v>1240</v>
      </c>
      <c r="P1216" s="10">
        <v>0</v>
      </c>
      <c r="Q1216" s="10">
        <v>0</v>
      </c>
      <c r="R1216" s="10">
        <f>IF(COUNTIF($J$2:J1216,J1216)=1,SUMIFS($O:$O,$J:$J,J1216)+SUMIFS($P:$P,$J:$J,J1216)+SUMIFS($Q:$Q,$J:$J,J1216),"")</f>
        <v>2034</v>
      </c>
      <c r="S1216" s="10">
        <v>2034</v>
      </c>
      <c r="T1216" s="11" t="str">
        <f t="shared" si="128"/>
        <v>Ok</v>
      </c>
      <c r="U1216" s="12">
        <v>45987</v>
      </c>
      <c r="V1216" s="10">
        <v>794</v>
      </c>
      <c r="W1216" s="10" t="str">
        <f t="shared" si="126"/>
        <v>Short Paid</v>
      </c>
      <c r="X1216" t="s">
        <v>438</v>
      </c>
      <c r="Y1216" t="s">
        <v>28</v>
      </c>
      <c r="Z1216">
        <v>100113</v>
      </c>
      <c r="AA1216" t="s">
        <v>449</v>
      </c>
      <c r="AB1216" t="s">
        <v>523</v>
      </c>
      <c r="AC1216" s="9">
        <v>2</v>
      </c>
      <c r="AD1216" s="9" t="str">
        <f t="shared" si="127"/>
        <v>Ok</v>
      </c>
      <c r="AE1216" s="11">
        <f t="shared" si="129"/>
        <v>0</v>
      </c>
    </row>
    <row r="1217" spans="1:31" x14ac:dyDescent="0.3">
      <c r="A1217">
        <v>42</v>
      </c>
      <c r="B1217">
        <v>4708365</v>
      </c>
      <c r="C1217" t="s">
        <v>60</v>
      </c>
      <c r="D1217">
        <v>1588891</v>
      </c>
      <c r="E1217" t="s">
        <v>61</v>
      </c>
      <c r="F1217" t="s">
        <v>18</v>
      </c>
      <c r="G1217" t="s">
        <v>1146</v>
      </c>
      <c r="H1217" t="s">
        <v>1147</v>
      </c>
      <c r="I1217" t="s">
        <v>3256</v>
      </c>
      <c r="J1217">
        <v>51146532109</v>
      </c>
      <c r="K1217" t="s">
        <v>3375</v>
      </c>
      <c r="L1217" t="s">
        <v>4163</v>
      </c>
      <c r="M1217">
        <v>40</v>
      </c>
      <c r="N1217" s="10">
        <v>19.850000000000001</v>
      </c>
      <c r="O1217" s="10">
        <f t="shared" si="125"/>
        <v>794</v>
      </c>
      <c r="P1217" s="10" t="s">
        <v>5006</v>
      </c>
      <c r="Q1217" s="10" t="s">
        <v>5006</v>
      </c>
      <c r="R1217" s="10" t="str">
        <f>IF(COUNTIF($J$2:J1217,J1217)=1,SUMIFS($O:$O,$J:$J,J1217)+SUMIFS($P:$P,$J:$J,J1217)+SUMIFS($Q:$Q,$J:$J,J1217),"")</f>
        <v/>
      </c>
      <c r="S1217" s="10" t="s">
        <v>5006</v>
      </c>
      <c r="T1217" s="11" t="str">
        <f t="shared" si="128"/>
        <v>Ok</v>
      </c>
      <c r="U1217" s="12">
        <v>45987</v>
      </c>
      <c r="V1217" s="10">
        <v>794</v>
      </c>
      <c r="W1217" s="10" t="str">
        <f t="shared" si="126"/>
        <v>N/A</v>
      </c>
      <c r="X1217" t="s">
        <v>438</v>
      </c>
      <c r="Y1217" t="s">
        <v>28</v>
      </c>
      <c r="Z1217">
        <v>100113</v>
      </c>
      <c r="AA1217" t="s">
        <v>449</v>
      </c>
      <c r="AB1217" t="s">
        <v>523</v>
      </c>
      <c r="AC1217" s="9">
        <v>2</v>
      </c>
      <c r="AD1217" s="9" t="str">
        <f t="shared" si="127"/>
        <v>N/A</v>
      </c>
      <c r="AE1217" s="11" t="e">
        <f t="shared" si="129"/>
        <v>#VALUE!</v>
      </c>
    </row>
    <row r="1218" spans="1:31" x14ac:dyDescent="0.3">
      <c r="A1218">
        <v>42</v>
      </c>
      <c r="B1218">
        <v>4711148</v>
      </c>
      <c r="C1218" t="s">
        <v>60</v>
      </c>
      <c r="D1218">
        <v>1588891</v>
      </c>
      <c r="E1218" t="s">
        <v>61</v>
      </c>
      <c r="F1218" t="s">
        <v>18</v>
      </c>
      <c r="G1218" t="s">
        <v>2767</v>
      </c>
      <c r="H1218" t="s">
        <v>1156</v>
      </c>
      <c r="I1218" t="s">
        <v>3277</v>
      </c>
      <c r="J1218">
        <v>51146691989</v>
      </c>
      <c r="K1218" t="s">
        <v>3177</v>
      </c>
      <c r="L1218" t="s">
        <v>4164</v>
      </c>
      <c r="M1218">
        <v>16000</v>
      </c>
      <c r="N1218" s="10">
        <v>1.2540000000000001E-2</v>
      </c>
      <c r="O1218" s="10">
        <f t="shared" ref="O1218:O1281" si="130">M1218*N1218</f>
        <v>200.64000000000001</v>
      </c>
      <c r="P1218" s="10">
        <v>0</v>
      </c>
      <c r="Q1218" s="10">
        <v>0</v>
      </c>
      <c r="R1218" s="10">
        <f>IF(COUNTIF($J$2:J1218,J1218)=1,SUMIFS($O:$O,$J:$J,J1218)+SUMIFS($P:$P,$J:$J,J1218)+SUMIFS($Q:$Q,$J:$J,J1218),"")</f>
        <v>947.34</v>
      </c>
      <c r="S1218" s="10">
        <v>947.34</v>
      </c>
      <c r="T1218" s="11" t="str">
        <f t="shared" si="128"/>
        <v>Ok</v>
      </c>
      <c r="U1218" s="12">
        <v>45986</v>
      </c>
      <c r="V1218" s="10">
        <v>-684.16</v>
      </c>
      <c r="W1218" s="10" t="str">
        <f t="shared" ref="W1218:W1281" si="131">IF(OR(S1218="",V1218=""),"N/A",IF(S1218&lt;&gt;V1218,"Short Paid","Not Paid"))</f>
        <v>Short Paid</v>
      </c>
      <c r="X1218" t="s">
        <v>438</v>
      </c>
      <c r="Y1218" t="s">
        <v>28</v>
      </c>
      <c r="Z1218">
        <v>100113</v>
      </c>
      <c r="AA1218" t="s">
        <v>449</v>
      </c>
      <c r="AB1218" t="s">
        <v>523</v>
      </c>
      <c r="AC1218" s="9">
        <v>2</v>
      </c>
      <c r="AD1218" s="9" t="str">
        <f t="shared" ref="AD1218:AD1281" si="132">IF(AND(R1218="",S1218=""),"N/A",IF(R1218=S1218,"Ok","Check"))</f>
        <v>Ok</v>
      </c>
      <c r="AE1218" s="11">
        <f t="shared" si="129"/>
        <v>0</v>
      </c>
    </row>
    <row r="1219" spans="1:31" x14ac:dyDescent="0.3">
      <c r="A1219">
        <v>42</v>
      </c>
      <c r="B1219">
        <v>4711148</v>
      </c>
      <c r="C1219" t="s">
        <v>60</v>
      </c>
      <c r="D1219">
        <v>1588891</v>
      </c>
      <c r="E1219" t="s">
        <v>61</v>
      </c>
      <c r="F1219" t="s">
        <v>18</v>
      </c>
      <c r="G1219" t="s">
        <v>2767</v>
      </c>
      <c r="H1219" t="s">
        <v>1156</v>
      </c>
      <c r="I1219" t="s">
        <v>3420</v>
      </c>
      <c r="J1219">
        <v>51146691989</v>
      </c>
      <c r="K1219" t="s">
        <v>3246</v>
      </c>
      <c r="L1219" t="s">
        <v>3458</v>
      </c>
      <c r="M1219">
        <v>3000</v>
      </c>
      <c r="N1219" s="10">
        <v>0.24890000000000001</v>
      </c>
      <c r="O1219" s="10">
        <f t="shared" si="130"/>
        <v>746.7</v>
      </c>
      <c r="P1219" s="10" t="s">
        <v>5006</v>
      </c>
      <c r="Q1219" s="10" t="s">
        <v>5006</v>
      </c>
      <c r="R1219" s="10" t="str">
        <f>IF(COUNTIF($J$2:J1219,J1219)=1,SUMIFS($O:$O,$J:$J,J1219)+SUMIFS($P:$P,$J:$J,J1219)+SUMIFS($Q:$Q,$J:$J,J1219),"")</f>
        <v/>
      </c>
      <c r="S1219" s="10" t="s">
        <v>5006</v>
      </c>
      <c r="T1219" s="11" t="str">
        <f t="shared" ref="T1219:T1282" si="133">IFERROR(INDEX(AD:AD,MATCH(J1219,J:J,0)),"")</f>
        <v>Ok</v>
      </c>
      <c r="U1219" s="12">
        <v>45986</v>
      </c>
      <c r="V1219" s="10">
        <v>-684.16</v>
      </c>
      <c r="W1219" s="10" t="str">
        <f t="shared" si="131"/>
        <v>N/A</v>
      </c>
      <c r="X1219" t="s">
        <v>438</v>
      </c>
      <c r="Y1219" t="s">
        <v>28</v>
      </c>
      <c r="Z1219">
        <v>100113</v>
      </c>
      <c r="AA1219" t="s">
        <v>449</v>
      </c>
      <c r="AB1219" t="s">
        <v>523</v>
      </c>
      <c r="AC1219" s="9">
        <v>2</v>
      </c>
      <c r="AD1219" s="9" t="str">
        <f t="shared" si="132"/>
        <v>N/A</v>
      </c>
      <c r="AE1219" s="11" t="e">
        <f t="shared" si="129"/>
        <v>#VALUE!</v>
      </c>
    </row>
    <row r="1220" spans="1:31" x14ac:dyDescent="0.3">
      <c r="A1220">
        <v>42</v>
      </c>
      <c r="B1220">
        <v>4705304</v>
      </c>
      <c r="C1220" t="s">
        <v>38</v>
      </c>
      <c r="D1220">
        <v>1258266</v>
      </c>
      <c r="E1220" t="s">
        <v>706</v>
      </c>
      <c r="F1220" t="s">
        <v>20</v>
      </c>
      <c r="G1220" t="s">
        <v>1140</v>
      </c>
      <c r="H1220" t="s">
        <v>1141</v>
      </c>
      <c r="I1220" t="s">
        <v>3505</v>
      </c>
      <c r="J1220">
        <v>51146818280</v>
      </c>
      <c r="K1220" t="s">
        <v>3500</v>
      </c>
      <c r="L1220" t="s">
        <v>4165</v>
      </c>
      <c r="M1220">
        <v>1</v>
      </c>
      <c r="N1220" s="10">
        <v>4395</v>
      </c>
      <c r="O1220" s="10">
        <f t="shared" si="130"/>
        <v>4395</v>
      </c>
      <c r="P1220" s="10">
        <v>0</v>
      </c>
      <c r="Q1220" s="10">
        <v>0</v>
      </c>
      <c r="R1220" s="10">
        <f>IF(COUNTIF($J$2:J1220,J1220)=1,SUMIFS($O:$O,$J:$J,J1220)+SUMIFS($P:$P,$J:$J,J1220)+SUMIFS($Q:$Q,$J:$J,J1220),"")</f>
        <v>4547.3999999999996</v>
      </c>
      <c r="S1220" s="10">
        <v>4555.3999999999996</v>
      </c>
      <c r="T1220" s="11" t="str">
        <f t="shared" si="133"/>
        <v>Check</v>
      </c>
      <c r="U1220" s="12">
        <v>46037</v>
      </c>
      <c r="V1220" s="10">
        <v>4403</v>
      </c>
      <c r="W1220" s="10" t="str">
        <f t="shared" si="131"/>
        <v>Short Paid</v>
      </c>
      <c r="X1220" t="s">
        <v>474</v>
      </c>
      <c r="Y1220" t="s">
        <v>28</v>
      </c>
      <c r="Z1220">
        <v>100289</v>
      </c>
      <c r="AA1220" t="s">
        <v>475</v>
      </c>
      <c r="AB1220" t="s">
        <v>521</v>
      </c>
      <c r="AC1220" s="9">
        <v>2</v>
      </c>
      <c r="AD1220" s="9" t="str">
        <f t="shared" si="132"/>
        <v>Check</v>
      </c>
      <c r="AE1220" s="11">
        <f t="shared" si="129"/>
        <v>-8</v>
      </c>
    </row>
    <row r="1221" spans="1:31" x14ac:dyDescent="0.3">
      <c r="A1221">
        <v>42</v>
      </c>
      <c r="B1221">
        <v>4705304</v>
      </c>
      <c r="C1221" t="s">
        <v>38</v>
      </c>
      <c r="D1221">
        <v>1258266</v>
      </c>
      <c r="E1221" t="s">
        <v>706</v>
      </c>
      <c r="F1221" t="s">
        <v>20</v>
      </c>
      <c r="G1221" t="s">
        <v>1140</v>
      </c>
      <c r="H1221" t="s">
        <v>1141</v>
      </c>
      <c r="I1221" t="s">
        <v>3316</v>
      </c>
      <c r="J1221">
        <v>51146818280</v>
      </c>
      <c r="K1221" t="s">
        <v>3370</v>
      </c>
      <c r="L1221" t="s">
        <v>4166</v>
      </c>
      <c r="M1221">
        <v>10000</v>
      </c>
      <c r="N1221" s="10">
        <v>1.524E-2</v>
      </c>
      <c r="O1221" s="10">
        <f t="shared" si="130"/>
        <v>152.4</v>
      </c>
      <c r="P1221" s="10" t="s">
        <v>5006</v>
      </c>
      <c r="Q1221" s="10" t="s">
        <v>5006</v>
      </c>
      <c r="R1221" s="10" t="str">
        <f>IF(COUNTIF($J$2:J1221,J1221)=1,SUMIFS($O:$O,$J:$J,J1221)+SUMIFS($P:$P,$J:$J,J1221)+SUMIFS($Q:$Q,$J:$J,J1221),"")</f>
        <v/>
      </c>
      <c r="S1221" s="10" t="s">
        <v>5006</v>
      </c>
      <c r="T1221" s="11" t="str">
        <f t="shared" si="133"/>
        <v>Check</v>
      </c>
      <c r="U1221" s="12">
        <v>46037</v>
      </c>
      <c r="V1221" s="10">
        <v>4403</v>
      </c>
      <c r="W1221" s="10" t="str">
        <f t="shared" si="131"/>
        <v>N/A</v>
      </c>
      <c r="X1221" t="s">
        <v>474</v>
      </c>
      <c r="Y1221" t="s">
        <v>28</v>
      </c>
      <c r="Z1221">
        <v>100289</v>
      </c>
      <c r="AA1221" t="s">
        <v>475</v>
      </c>
      <c r="AB1221" t="s">
        <v>521</v>
      </c>
      <c r="AC1221" s="9">
        <v>2</v>
      </c>
      <c r="AD1221" s="9" t="str">
        <f t="shared" si="132"/>
        <v>N/A</v>
      </c>
      <c r="AE1221" s="11" t="e">
        <f t="shared" si="129"/>
        <v>#VALUE!</v>
      </c>
    </row>
    <row r="1222" spans="1:31" x14ac:dyDescent="0.3">
      <c r="A1222">
        <v>42</v>
      </c>
      <c r="B1222">
        <v>4703356</v>
      </c>
      <c r="C1222" t="s">
        <v>94</v>
      </c>
      <c r="D1222">
        <v>1470631</v>
      </c>
      <c r="E1222" t="s">
        <v>214</v>
      </c>
      <c r="F1222" t="s">
        <v>20</v>
      </c>
      <c r="G1222" t="s">
        <v>1124</v>
      </c>
      <c r="H1222" t="s">
        <v>1125</v>
      </c>
      <c r="I1222" t="s">
        <v>3505</v>
      </c>
      <c r="J1222">
        <v>51146825647</v>
      </c>
      <c r="K1222" t="s">
        <v>3165</v>
      </c>
      <c r="L1222" t="s">
        <v>3457</v>
      </c>
      <c r="M1222">
        <v>1</v>
      </c>
      <c r="N1222" s="10">
        <v>250</v>
      </c>
      <c r="O1222" s="10">
        <f t="shared" si="130"/>
        <v>250</v>
      </c>
      <c r="P1222" s="10">
        <v>0</v>
      </c>
      <c r="Q1222" s="10">
        <v>0</v>
      </c>
      <c r="R1222" s="10">
        <f>IF(COUNTIF($J$2:J1222,J1222)=1,SUMIFS($O:$O,$J:$J,J1222)+SUMIFS($P:$P,$J:$J,J1222)+SUMIFS($Q:$Q,$J:$J,J1222),"")</f>
        <v>53128.671999999999</v>
      </c>
      <c r="S1222" s="10">
        <v>53128.68</v>
      </c>
      <c r="T1222" s="11" t="str">
        <f t="shared" si="133"/>
        <v>Check</v>
      </c>
      <c r="U1222" s="12">
        <v>46027</v>
      </c>
      <c r="V1222" s="10">
        <v>250</v>
      </c>
      <c r="W1222" s="10" t="str">
        <f t="shared" si="131"/>
        <v>Short Paid</v>
      </c>
      <c r="X1222" t="s">
        <v>450</v>
      </c>
      <c r="Y1222" t="s">
        <v>28</v>
      </c>
      <c r="Z1222">
        <v>100157</v>
      </c>
      <c r="AA1222" t="s">
        <v>3124</v>
      </c>
      <c r="AB1222" t="s">
        <v>521</v>
      </c>
      <c r="AC1222" s="9">
        <v>2</v>
      </c>
      <c r="AD1222" s="9" t="str">
        <f t="shared" si="132"/>
        <v>Check</v>
      </c>
      <c r="AE1222" s="11">
        <f t="shared" si="129"/>
        <v>-8.0000000016298145E-3</v>
      </c>
    </row>
    <row r="1223" spans="1:31" x14ac:dyDescent="0.3">
      <c r="A1223">
        <v>42</v>
      </c>
      <c r="B1223">
        <v>4703356</v>
      </c>
      <c r="C1223" t="s">
        <v>94</v>
      </c>
      <c r="D1223">
        <v>1470631</v>
      </c>
      <c r="E1223" t="s">
        <v>214</v>
      </c>
      <c r="F1223" t="s">
        <v>20</v>
      </c>
      <c r="G1223" t="s">
        <v>1124</v>
      </c>
      <c r="H1223" t="s">
        <v>1125</v>
      </c>
      <c r="I1223" t="s">
        <v>3505</v>
      </c>
      <c r="J1223">
        <v>51146825647</v>
      </c>
      <c r="K1223" t="s">
        <v>3194</v>
      </c>
      <c r="L1223" t="s">
        <v>3448</v>
      </c>
      <c r="M1223">
        <v>20160</v>
      </c>
      <c r="N1223" s="10">
        <v>2.6229499999999999</v>
      </c>
      <c r="O1223" s="10">
        <f t="shared" si="130"/>
        <v>52878.671999999999</v>
      </c>
      <c r="P1223" s="10" t="s">
        <v>5006</v>
      </c>
      <c r="Q1223" s="10" t="s">
        <v>5006</v>
      </c>
      <c r="R1223" s="10" t="str">
        <f>IF(COUNTIF($J$2:J1223,J1223)=1,SUMIFS($O:$O,$J:$J,J1223)+SUMIFS($P:$P,$J:$J,J1223)+SUMIFS($Q:$Q,$J:$J,J1223),"")</f>
        <v/>
      </c>
      <c r="S1223" s="10" t="s">
        <v>5006</v>
      </c>
      <c r="T1223" s="11" t="str">
        <f t="shared" si="133"/>
        <v>Check</v>
      </c>
      <c r="U1223" s="12">
        <v>46027</v>
      </c>
      <c r="V1223" s="10">
        <v>250</v>
      </c>
      <c r="W1223" s="10" t="str">
        <f t="shared" si="131"/>
        <v>N/A</v>
      </c>
      <c r="X1223" t="s">
        <v>450</v>
      </c>
      <c r="Y1223" t="s">
        <v>28</v>
      </c>
      <c r="Z1223">
        <v>100157</v>
      </c>
      <c r="AA1223" t="s">
        <v>3124</v>
      </c>
      <c r="AB1223" t="s">
        <v>521</v>
      </c>
      <c r="AC1223" s="9">
        <v>2</v>
      </c>
      <c r="AD1223" s="9" t="str">
        <f t="shared" si="132"/>
        <v>N/A</v>
      </c>
      <c r="AE1223" s="11" t="e">
        <f t="shared" ref="AE1223:AE1286" si="134">R1223-S1223</f>
        <v>#VALUE!</v>
      </c>
    </row>
    <row r="1224" spans="1:31" x14ac:dyDescent="0.3">
      <c r="A1224">
        <v>13</v>
      </c>
      <c r="B1224">
        <v>4896207</v>
      </c>
      <c r="C1224" t="s">
        <v>240</v>
      </c>
      <c r="D1224">
        <v>1372540</v>
      </c>
      <c r="E1224" t="s">
        <v>580</v>
      </c>
      <c r="F1224" t="s">
        <v>3805</v>
      </c>
      <c r="G1224" t="s">
        <v>1713</v>
      </c>
      <c r="H1224" t="s">
        <v>1714</v>
      </c>
      <c r="I1224" t="s">
        <v>3185</v>
      </c>
      <c r="J1224">
        <v>51146826414</v>
      </c>
      <c r="K1224" t="s">
        <v>3177</v>
      </c>
      <c r="L1224" t="s">
        <v>3891</v>
      </c>
      <c r="M1224">
        <v>20000</v>
      </c>
      <c r="N1224" s="10">
        <v>1.4500000000000001E-2</v>
      </c>
      <c r="O1224" s="10">
        <f t="shared" si="130"/>
        <v>290</v>
      </c>
      <c r="P1224" s="10">
        <v>0</v>
      </c>
      <c r="Q1224" s="10">
        <v>0</v>
      </c>
      <c r="R1224" s="10">
        <f>IF(COUNTIF($J$2:J1224,J1224)=1,SUMIFS($O:$O,$J:$J,J1224)+SUMIFS($P:$P,$J:$J,J1224)+SUMIFS($Q:$Q,$J:$J,J1224),"")</f>
        <v>404.3</v>
      </c>
      <c r="S1224" s="10">
        <v>404.3</v>
      </c>
      <c r="T1224" s="11" t="str">
        <f t="shared" si="133"/>
        <v>Ok</v>
      </c>
      <c r="U1224" s="12">
        <v>46177</v>
      </c>
      <c r="V1224" s="10">
        <v>249.84</v>
      </c>
      <c r="W1224" s="10" t="str">
        <f t="shared" si="131"/>
        <v>Short Paid</v>
      </c>
      <c r="X1224" t="s">
        <v>478</v>
      </c>
      <c r="Y1224" t="s">
        <v>40</v>
      </c>
      <c r="Z1224">
        <v>100262</v>
      </c>
      <c r="AA1224" t="s">
        <v>3159</v>
      </c>
      <c r="AB1224" t="s">
        <v>3806</v>
      </c>
      <c r="AC1224" s="9">
        <v>2</v>
      </c>
      <c r="AD1224" s="9" t="str">
        <f t="shared" si="132"/>
        <v>Ok</v>
      </c>
      <c r="AE1224" s="11">
        <f t="shared" si="134"/>
        <v>0</v>
      </c>
    </row>
    <row r="1225" spans="1:31" x14ac:dyDescent="0.3">
      <c r="A1225">
        <v>13</v>
      </c>
      <c r="B1225">
        <v>4896207</v>
      </c>
      <c r="C1225" t="s">
        <v>240</v>
      </c>
      <c r="D1225">
        <v>1372540</v>
      </c>
      <c r="E1225" t="s">
        <v>580</v>
      </c>
      <c r="F1225" t="s">
        <v>3805</v>
      </c>
      <c r="G1225" t="s">
        <v>1713</v>
      </c>
      <c r="H1225" t="s">
        <v>1714</v>
      </c>
      <c r="I1225" t="s">
        <v>3185</v>
      </c>
      <c r="J1225">
        <v>51146826414</v>
      </c>
      <c r="K1225" t="s">
        <v>3168</v>
      </c>
      <c r="L1225" t="s">
        <v>4167</v>
      </c>
      <c r="M1225">
        <v>9000</v>
      </c>
      <c r="N1225" s="10">
        <v>1.2699999999999999E-2</v>
      </c>
      <c r="O1225" s="10">
        <f t="shared" si="130"/>
        <v>114.3</v>
      </c>
      <c r="P1225" s="10" t="s">
        <v>5006</v>
      </c>
      <c r="Q1225" s="10" t="s">
        <v>5006</v>
      </c>
      <c r="R1225" s="10" t="str">
        <f>IF(COUNTIF($J$2:J1225,J1225)=1,SUMIFS($O:$O,$J:$J,J1225)+SUMIFS($P:$P,$J:$J,J1225)+SUMIFS($Q:$Q,$J:$J,J1225),"")</f>
        <v/>
      </c>
      <c r="S1225" s="10" t="s">
        <v>5006</v>
      </c>
      <c r="T1225" s="11" t="str">
        <f t="shared" si="133"/>
        <v>Ok</v>
      </c>
      <c r="U1225" s="12">
        <v>46177</v>
      </c>
      <c r="V1225" s="10">
        <v>249.84</v>
      </c>
      <c r="W1225" s="10" t="str">
        <f t="shared" si="131"/>
        <v>N/A</v>
      </c>
      <c r="X1225" t="s">
        <v>478</v>
      </c>
      <c r="Y1225" t="s">
        <v>40</v>
      </c>
      <c r="Z1225">
        <v>100262</v>
      </c>
      <c r="AA1225" t="s">
        <v>3159</v>
      </c>
      <c r="AB1225" t="s">
        <v>3806</v>
      </c>
      <c r="AC1225" s="9">
        <v>2</v>
      </c>
      <c r="AD1225" s="9" t="str">
        <f t="shared" si="132"/>
        <v>N/A</v>
      </c>
      <c r="AE1225" s="11" t="e">
        <f t="shared" si="134"/>
        <v>#VALUE!</v>
      </c>
    </row>
    <row r="1226" spans="1:31" x14ac:dyDescent="0.3">
      <c r="A1226">
        <v>13</v>
      </c>
      <c r="B1226">
        <v>4895929</v>
      </c>
      <c r="C1226" t="s">
        <v>240</v>
      </c>
      <c r="D1226">
        <v>1531094</v>
      </c>
      <c r="E1226" t="s">
        <v>567</v>
      </c>
      <c r="F1226" t="s">
        <v>20</v>
      </c>
      <c r="G1226" t="s">
        <v>1726</v>
      </c>
      <c r="H1226" t="s">
        <v>1727</v>
      </c>
      <c r="I1226" t="s">
        <v>3361</v>
      </c>
      <c r="J1226">
        <v>51146826455</v>
      </c>
      <c r="K1226" t="s">
        <v>3209</v>
      </c>
      <c r="L1226" t="s">
        <v>3871</v>
      </c>
      <c r="M1226">
        <v>8000</v>
      </c>
      <c r="N1226" s="10">
        <v>0.1172</v>
      </c>
      <c r="O1226" s="10">
        <f t="shared" si="130"/>
        <v>937.6</v>
      </c>
      <c r="P1226" s="10">
        <v>77.349999999999994</v>
      </c>
      <c r="Q1226" s="10">
        <v>0</v>
      </c>
      <c r="R1226" s="10">
        <f>IF(COUNTIF($J$2:J1226,J1226)=1,SUMIFS($O:$O,$J:$J,J1226)+SUMIFS($P:$P,$J:$J,J1226)+SUMIFS($Q:$Q,$J:$J,J1226),"")</f>
        <v>6585.5400000000009</v>
      </c>
      <c r="S1226" s="10">
        <v>6780.24</v>
      </c>
      <c r="T1226" s="11" t="str">
        <f t="shared" si="133"/>
        <v>Check</v>
      </c>
      <c r="U1226" s="12">
        <v>46163</v>
      </c>
      <c r="V1226" s="10">
        <v>194.7</v>
      </c>
      <c r="W1226" s="10" t="str">
        <f t="shared" si="131"/>
        <v>Short Paid</v>
      </c>
      <c r="X1226" t="s">
        <v>478</v>
      </c>
      <c r="Y1226" t="s">
        <v>28</v>
      </c>
      <c r="Z1226">
        <v>100192</v>
      </c>
      <c r="AA1226" t="s">
        <v>3106</v>
      </c>
      <c r="AB1226" t="s">
        <v>521</v>
      </c>
      <c r="AC1226" s="9">
        <v>2</v>
      </c>
      <c r="AD1226" s="9" t="str">
        <f t="shared" si="132"/>
        <v>Check</v>
      </c>
      <c r="AE1226" s="11">
        <f t="shared" si="134"/>
        <v>-194.69999999999891</v>
      </c>
    </row>
    <row r="1227" spans="1:31" x14ac:dyDescent="0.3">
      <c r="A1227">
        <v>13</v>
      </c>
      <c r="B1227">
        <v>4895929</v>
      </c>
      <c r="C1227" t="s">
        <v>240</v>
      </c>
      <c r="D1227">
        <v>1531094</v>
      </c>
      <c r="E1227" t="s">
        <v>567</v>
      </c>
      <c r="F1227" t="s">
        <v>20</v>
      </c>
      <c r="G1227" t="s">
        <v>1726</v>
      </c>
      <c r="H1227" t="s">
        <v>1727</v>
      </c>
      <c r="I1227" t="s">
        <v>3316</v>
      </c>
      <c r="J1227">
        <v>51146826455</v>
      </c>
      <c r="K1227" t="s">
        <v>3229</v>
      </c>
      <c r="L1227" t="s">
        <v>4168</v>
      </c>
      <c r="M1227">
        <v>500</v>
      </c>
      <c r="N1227" s="10">
        <v>11.14118</v>
      </c>
      <c r="O1227" s="10">
        <f t="shared" si="130"/>
        <v>5570.59</v>
      </c>
      <c r="P1227" s="10" t="s">
        <v>5006</v>
      </c>
      <c r="Q1227" s="10" t="s">
        <v>5006</v>
      </c>
      <c r="R1227" s="10" t="str">
        <f>IF(COUNTIF($J$2:J1227,J1227)=1,SUMIFS($O:$O,$J:$J,J1227)+SUMIFS($P:$P,$J:$J,J1227)+SUMIFS($Q:$Q,$J:$J,J1227),"")</f>
        <v/>
      </c>
      <c r="S1227" s="10" t="s">
        <v>5006</v>
      </c>
      <c r="T1227" s="11" t="str">
        <f t="shared" si="133"/>
        <v>Check</v>
      </c>
      <c r="U1227" s="12">
        <v>46163</v>
      </c>
      <c r="V1227" s="10">
        <v>194.7</v>
      </c>
      <c r="W1227" s="10" t="str">
        <f t="shared" si="131"/>
        <v>N/A</v>
      </c>
      <c r="X1227" t="s">
        <v>478</v>
      </c>
      <c r="Y1227" t="s">
        <v>28</v>
      </c>
      <c r="Z1227">
        <v>100192</v>
      </c>
      <c r="AA1227" t="s">
        <v>3106</v>
      </c>
      <c r="AB1227" t="s">
        <v>521</v>
      </c>
      <c r="AC1227" s="9">
        <v>2</v>
      </c>
      <c r="AD1227" s="9" t="str">
        <f t="shared" si="132"/>
        <v>N/A</v>
      </c>
      <c r="AE1227" s="11" t="e">
        <f t="shared" si="134"/>
        <v>#VALUE!</v>
      </c>
    </row>
    <row r="1228" spans="1:31" x14ac:dyDescent="0.3">
      <c r="A1228">
        <v>42</v>
      </c>
      <c r="B1228">
        <v>4706695</v>
      </c>
      <c r="C1228" t="s">
        <v>38</v>
      </c>
      <c r="D1228">
        <v>1383202</v>
      </c>
      <c r="E1228" t="s">
        <v>541</v>
      </c>
      <c r="F1228" t="s">
        <v>20</v>
      </c>
      <c r="G1228" t="s">
        <v>1142</v>
      </c>
      <c r="H1228" t="s">
        <v>1143</v>
      </c>
      <c r="I1228" t="s">
        <v>3468</v>
      </c>
      <c r="J1228">
        <v>51146845075</v>
      </c>
      <c r="K1228" t="s">
        <v>3246</v>
      </c>
      <c r="L1228" t="s">
        <v>3445</v>
      </c>
      <c r="M1228">
        <v>2000</v>
      </c>
      <c r="N1228" s="10">
        <v>0.34067999999999998</v>
      </c>
      <c r="O1228" s="10">
        <f t="shared" si="130"/>
        <v>681.36</v>
      </c>
      <c r="P1228" s="10">
        <v>0</v>
      </c>
      <c r="Q1228" s="10">
        <v>0</v>
      </c>
      <c r="R1228" s="10">
        <f>IF(COUNTIF($J$2:J1228,J1228)=1,SUMIFS($O:$O,$J:$J,J1228)+SUMIFS($P:$P,$J:$J,J1228)+SUMIFS($Q:$Q,$J:$J,J1228),"")</f>
        <v>8246.36</v>
      </c>
      <c r="S1228" s="10">
        <v>10971.8</v>
      </c>
      <c r="T1228" s="11" t="str">
        <f t="shared" si="133"/>
        <v>Check</v>
      </c>
      <c r="U1228" s="12">
        <v>46121</v>
      </c>
      <c r="V1228" s="10">
        <v>462.5</v>
      </c>
      <c r="W1228" s="10" t="str">
        <f t="shared" si="131"/>
        <v>Short Paid</v>
      </c>
      <c r="X1228" t="s">
        <v>474</v>
      </c>
      <c r="Y1228" t="s">
        <v>28</v>
      </c>
      <c r="Z1228">
        <v>100199</v>
      </c>
      <c r="AA1228" t="s">
        <v>481</v>
      </c>
      <c r="AB1228" t="s">
        <v>521</v>
      </c>
      <c r="AC1228" s="9">
        <v>2</v>
      </c>
      <c r="AD1228" s="9" t="str">
        <f t="shared" si="132"/>
        <v>Check</v>
      </c>
      <c r="AE1228" s="11">
        <f t="shared" si="134"/>
        <v>-2725.4399999999987</v>
      </c>
    </row>
    <row r="1229" spans="1:31" x14ac:dyDescent="0.3">
      <c r="A1229">
        <v>42</v>
      </c>
      <c r="B1229">
        <v>4706695</v>
      </c>
      <c r="C1229" t="s">
        <v>38</v>
      </c>
      <c r="D1229">
        <v>1383202</v>
      </c>
      <c r="E1229" t="s">
        <v>541</v>
      </c>
      <c r="F1229" t="s">
        <v>20</v>
      </c>
      <c r="G1229" t="s">
        <v>1142</v>
      </c>
      <c r="H1229" t="s">
        <v>1143</v>
      </c>
      <c r="I1229" t="s">
        <v>3250</v>
      </c>
      <c r="J1229">
        <v>51146845075</v>
      </c>
      <c r="K1229" t="s">
        <v>3650</v>
      </c>
      <c r="L1229" t="s">
        <v>4169</v>
      </c>
      <c r="M1229">
        <v>250</v>
      </c>
      <c r="N1229" s="10">
        <v>30.26</v>
      </c>
      <c r="O1229" s="10">
        <f t="shared" si="130"/>
        <v>7565</v>
      </c>
      <c r="P1229" s="10" t="s">
        <v>5006</v>
      </c>
      <c r="Q1229" s="10" t="s">
        <v>5006</v>
      </c>
      <c r="R1229" s="10" t="str">
        <f>IF(COUNTIF($J$2:J1229,J1229)=1,SUMIFS($O:$O,$J:$J,J1229)+SUMIFS($P:$P,$J:$J,J1229)+SUMIFS($Q:$Q,$J:$J,J1229),"")</f>
        <v/>
      </c>
      <c r="S1229" s="10" t="s">
        <v>5006</v>
      </c>
      <c r="T1229" s="11" t="str">
        <f t="shared" si="133"/>
        <v>Check</v>
      </c>
      <c r="U1229" s="12">
        <v>46121</v>
      </c>
      <c r="V1229" s="10">
        <v>462.5</v>
      </c>
      <c r="W1229" s="10" t="str">
        <f t="shared" si="131"/>
        <v>N/A</v>
      </c>
      <c r="X1229" t="s">
        <v>474</v>
      </c>
      <c r="Y1229" t="s">
        <v>28</v>
      </c>
      <c r="Z1229">
        <v>100199</v>
      </c>
      <c r="AA1229" t="s">
        <v>481</v>
      </c>
      <c r="AB1229" t="s">
        <v>521</v>
      </c>
      <c r="AC1229" s="9">
        <v>2</v>
      </c>
      <c r="AD1229" s="9" t="str">
        <f t="shared" si="132"/>
        <v>N/A</v>
      </c>
      <c r="AE1229" s="11" t="e">
        <f t="shared" si="134"/>
        <v>#VALUE!</v>
      </c>
    </row>
    <row r="1230" spans="1:31" x14ac:dyDescent="0.3">
      <c r="A1230">
        <v>42</v>
      </c>
      <c r="B1230">
        <v>4703634</v>
      </c>
      <c r="C1230" t="s">
        <v>94</v>
      </c>
      <c r="D1230">
        <v>1470631</v>
      </c>
      <c r="E1230" t="s">
        <v>214</v>
      </c>
      <c r="F1230" t="s">
        <v>20</v>
      </c>
      <c r="G1230" t="s">
        <v>1126</v>
      </c>
      <c r="H1230" t="s">
        <v>1127</v>
      </c>
      <c r="I1230" t="s">
        <v>3596</v>
      </c>
      <c r="J1230">
        <v>51146964316</v>
      </c>
      <c r="K1230" t="s">
        <v>3266</v>
      </c>
      <c r="L1230" t="s">
        <v>4170</v>
      </c>
      <c r="M1230">
        <v>6500</v>
      </c>
      <c r="N1230" s="10">
        <v>0.42541000000000001</v>
      </c>
      <c r="O1230" s="10">
        <f t="shared" si="130"/>
        <v>2765.165</v>
      </c>
      <c r="P1230" s="10">
        <v>0</v>
      </c>
      <c r="Q1230" s="10">
        <v>0</v>
      </c>
      <c r="R1230" s="10">
        <f>IF(COUNTIF($J$2:J1230,J1230)=1,SUMIFS($O:$O,$J:$J,J1230)+SUMIFS($P:$P,$J:$J,J1230)+SUMIFS($Q:$Q,$J:$J,J1230),"")</f>
        <v>3015.165</v>
      </c>
      <c r="S1230" s="10">
        <v>3015.16</v>
      </c>
      <c r="T1230" s="11" t="str">
        <f t="shared" si="133"/>
        <v>Check</v>
      </c>
      <c r="U1230" s="12">
        <v>46027</v>
      </c>
      <c r="V1230" s="10">
        <v>250</v>
      </c>
      <c r="W1230" s="10" t="str">
        <f t="shared" si="131"/>
        <v>Short Paid</v>
      </c>
      <c r="X1230" t="s">
        <v>450</v>
      </c>
      <c r="Y1230" t="s">
        <v>28</v>
      </c>
      <c r="Z1230">
        <v>100167</v>
      </c>
      <c r="AA1230" t="s">
        <v>499</v>
      </c>
      <c r="AB1230" t="s">
        <v>521</v>
      </c>
      <c r="AC1230" s="9">
        <v>2</v>
      </c>
      <c r="AD1230" s="9" t="str">
        <f t="shared" si="132"/>
        <v>Check</v>
      </c>
      <c r="AE1230" s="11">
        <f t="shared" si="134"/>
        <v>5.0000000001091394E-3</v>
      </c>
    </row>
    <row r="1231" spans="1:31" x14ac:dyDescent="0.3">
      <c r="A1231">
        <v>42</v>
      </c>
      <c r="B1231">
        <v>4703634</v>
      </c>
      <c r="C1231" t="s">
        <v>94</v>
      </c>
      <c r="D1231">
        <v>1470631</v>
      </c>
      <c r="E1231" t="s">
        <v>214</v>
      </c>
      <c r="F1231" t="s">
        <v>20</v>
      </c>
      <c r="G1231" t="s">
        <v>1126</v>
      </c>
      <c r="H1231" t="s">
        <v>1127</v>
      </c>
      <c r="I1231" t="s">
        <v>3307</v>
      </c>
      <c r="J1231">
        <v>51146964316</v>
      </c>
      <c r="K1231" t="s">
        <v>3165</v>
      </c>
      <c r="L1231" t="s">
        <v>3457</v>
      </c>
      <c r="M1231">
        <v>1</v>
      </c>
      <c r="N1231" s="10">
        <v>250</v>
      </c>
      <c r="O1231" s="10">
        <f t="shared" si="130"/>
        <v>250</v>
      </c>
      <c r="P1231" s="10" t="s">
        <v>5006</v>
      </c>
      <c r="Q1231" s="10" t="s">
        <v>5006</v>
      </c>
      <c r="R1231" s="10" t="str">
        <f>IF(COUNTIF($J$2:J1231,J1231)=1,SUMIFS($O:$O,$J:$J,J1231)+SUMIFS($P:$P,$J:$J,J1231)+SUMIFS($Q:$Q,$J:$J,J1231),"")</f>
        <v/>
      </c>
      <c r="S1231" s="10" t="s">
        <v>5006</v>
      </c>
      <c r="T1231" s="11" t="str">
        <f t="shared" si="133"/>
        <v>Check</v>
      </c>
      <c r="U1231" s="12">
        <v>46027</v>
      </c>
      <c r="V1231" s="10">
        <v>250</v>
      </c>
      <c r="W1231" s="10" t="str">
        <f t="shared" si="131"/>
        <v>N/A</v>
      </c>
      <c r="X1231" t="s">
        <v>450</v>
      </c>
      <c r="Y1231" t="s">
        <v>28</v>
      </c>
      <c r="Z1231">
        <v>100167</v>
      </c>
      <c r="AA1231" t="s">
        <v>499</v>
      </c>
      <c r="AB1231" t="s">
        <v>521</v>
      </c>
      <c r="AC1231" s="9">
        <v>2</v>
      </c>
      <c r="AD1231" s="9" t="str">
        <f t="shared" si="132"/>
        <v>N/A</v>
      </c>
      <c r="AE1231" s="11" t="e">
        <f t="shared" si="134"/>
        <v>#VALUE!</v>
      </c>
    </row>
    <row r="1232" spans="1:31" x14ac:dyDescent="0.3">
      <c r="A1232">
        <v>57</v>
      </c>
      <c r="B1232">
        <v>4672744</v>
      </c>
      <c r="C1232" t="s">
        <v>167</v>
      </c>
      <c r="D1232">
        <v>1244897</v>
      </c>
      <c r="E1232" t="s">
        <v>4890</v>
      </c>
      <c r="F1232" t="s">
        <v>50</v>
      </c>
      <c r="G1232" t="s">
        <v>1040</v>
      </c>
      <c r="H1232" t="s">
        <v>1041</v>
      </c>
      <c r="I1232" t="s">
        <v>3393</v>
      </c>
      <c r="J1232">
        <v>51146974277</v>
      </c>
      <c r="K1232" t="s">
        <v>3532</v>
      </c>
      <c r="L1232" t="s">
        <v>3534</v>
      </c>
      <c r="M1232">
        <v>18000</v>
      </c>
      <c r="N1232" s="10">
        <v>0.20899999999999999</v>
      </c>
      <c r="O1232" s="10">
        <f t="shared" si="130"/>
        <v>3762</v>
      </c>
      <c r="P1232" s="10">
        <v>0</v>
      </c>
      <c r="Q1232" s="10">
        <v>0</v>
      </c>
      <c r="R1232" s="10">
        <f>IF(COUNTIF($J$2:J1232,J1232)=1,SUMIFS($O:$O,$J:$J,J1232)+SUMIFS($P:$P,$J:$J,J1232)+SUMIFS($Q:$Q,$J:$J,J1232),"")</f>
        <v>70362</v>
      </c>
      <c r="S1232" s="10">
        <v>70941.52</v>
      </c>
      <c r="T1232" s="11" t="str">
        <f t="shared" si="133"/>
        <v>Check</v>
      </c>
      <c r="U1232" s="12">
        <v>46100</v>
      </c>
      <c r="V1232" s="10">
        <v>579.52</v>
      </c>
      <c r="W1232" s="10" t="str">
        <f t="shared" si="131"/>
        <v>Short Paid</v>
      </c>
      <c r="X1232" t="s">
        <v>455</v>
      </c>
      <c r="Y1232" t="s">
        <v>436</v>
      </c>
      <c r="Z1232">
        <v>100170</v>
      </c>
      <c r="AA1232" t="s">
        <v>3073</v>
      </c>
      <c r="AB1232" t="s">
        <v>3042</v>
      </c>
      <c r="AC1232" s="9">
        <v>2</v>
      </c>
      <c r="AD1232" s="9" t="str">
        <f t="shared" si="132"/>
        <v>Check</v>
      </c>
      <c r="AE1232" s="11">
        <f t="shared" si="134"/>
        <v>-579.52000000000407</v>
      </c>
    </row>
    <row r="1233" spans="1:31" x14ac:dyDescent="0.3">
      <c r="A1233">
        <v>57</v>
      </c>
      <c r="B1233">
        <v>4672744</v>
      </c>
      <c r="C1233" t="s">
        <v>167</v>
      </c>
      <c r="D1233">
        <v>1244897</v>
      </c>
      <c r="E1233" t="s">
        <v>4890</v>
      </c>
      <c r="F1233" t="s">
        <v>50</v>
      </c>
      <c r="G1233" t="s">
        <v>1040</v>
      </c>
      <c r="H1233" t="s">
        <v>1041</v>
      </c>
      <c r="I1233" t="s">
        <v>3263</v>
      </c>
      <c r="J1233">
        <v>51146974277</v>
      </c>
      <c r="K1233" t="s">
        <v>3736</v>
      </c>
      <c r="L1233" t="s">
        <v>4171</v>
      </c>
      <c r="M1233">
        <v>300</v>
      </c>
      <c r="N1233" s="10">
        <v>222</v>
      </c>
      <c r="O1233" s="10">
        <f t="shared" si="130"/>
        <v>66600</v>
      </c>
      <c r="P1233" s="10" t="s">
        <v>5006</v>
      </c>
      <c r="Q1233" s="10" t="s">
        <v>5006</v>
      </c>
      <c r="R1233" s="10" t="str">
        <f>IF(COUNTIF($J$2:J1233,J1233)=1,SUMIFS($O:$O,$J:$J,J1233)+SUMIFS($P:$P,$J:$J,J1233)+SUMIFS($Q:$Q,$J:$J,J1233),"")</f>
        <v/>
      </c>
      <c r="S1233" s="10" t="s">
        <v>5006</v>
      </c>
      <c r="T1233" s="11" t="str">
        <f t="shared" si="133"/>
        <v>Check</v>
      </c>
      <c r="U1233" s="12">
        <v>46100</v>
      </c>
      <c r="V1233" s="10">
        <v>579.52</v>
      </c>
      <c r="W1233" s="10" t="str">
        <f t="shared" si="131"/>
        <v>N/A</v>
      </c>
      <c r="X1233" t="s">
        <v>455</v>
      </c>
      <c r="Y1233" t="s">
        <v>436</v>
      </c>
      <c r="Z1233">
        <v>100170</v>
      </c>
      <c r="AA1233" t="s">
        <v>3073</v>
      </c>
      <c r="AB1233" t="s">
        <v>3042</v>
      </c>
      <c r="AC1233" s="9">
        <v>2</v>
      </c>
      <c r="AD1233" s="9" t="str">
        <f t="shared" si="132"/>
        <v>N/A</v>
      </c>
      <c r="AE1233" s="11" t="e">
        <f t="shared" si="134"/>
        <v>#VALUE!</v>
      </c>
    </row>
    <row r="1234" spans="1:31" x14ac:dyDescent="0.3">
      <c r="A1234">
        <v>58</v>
      </c>
      <c r="B1234">
        <v>4670796</v>
      </c>
      <c r="C1234" t="s">
        <v>60</v>
      </c>
      <c r="D1234">
        <v>1006248</v>
      </c>
      <c r="E1234" t="s">
        <v>129</v>
      </c>
      <c r="F1234" t="s">
        <v>20</v>
      </c>
      <c r="G1234" t="s">
        <v>2733</v>
      </c>
      <c r="H1234" t="s">
        <v>1035</v>
      </c>
      <c r="I1234" t="s">
        <v>3419</v>
      </c>
      <c r="J1234">
        <v>51147031524</v>
      </c>
      <c r="K1234" t="s">
        <v>3194</v>
      </c>
      <c r="L1234" t="s">
        <v>4172</v>
      </c>
      <c r="M1234">
        <v>1000</v>
      </c>
      <c r="N1234" s="10">
        <v>8.91</v>
      </c>
      <c r="O1234" s="10">
        <f t="shared" si="130"/>
        <v>8910</v>
      </c>
      <c r="P1234" s="10">
        <v>0</v>
      </c>
      <c r="Q1234" s="10">
        <v>0</v>
      </c>
      <c r="R1234" s="10">
        <f>IF(COUNTIF($J$2:J1234,J1234)=1,SUMIFS($O:$O,$J:$J,J1234)+SUMIFS($P:$P,$J:$J,J1234)+SUMIFS($Q:$Q,$J:$J,J1234),"")</f>
        <v>19460.023520000002</v>
      </c>
      <c r="S1234" s="10">
        <v>19460.02</v>
      </c>
      <c r="T1234" s="11" t="str">
        <f t="shared" si="133"/>
        <v>Check</v>
      </c>
      <c r="U1234" s="12">
        <v>46090</v>
      </c>
      <c r="V1234" s="10">
        <v>8910</v>
      </c>
      <c r="W1234" s="10" t="str">
        <f t="shared" si="131"/>
        <v>Short Paid</v>
      </c>
      <c r="X1234" t="s">
        <v>438</v>
      </c>
      <c r="Y1234" t="s">
        <v>28</v>
      </c>
      <c r="Z1234">
        <v>100203</v>
      </c>
      <c r="AA1234" t="s">
        <v>441</v>
      </c>
      <c r="AB1234" t="s">
        <v>521</v>
      </c>
      <c r="AC1234" s="9">
        <v>2</v>
      </c>
      <c r="AD1234" s="9" t="str">
        <f t="shared" si="132"/>
        <v>Check</v>
      </c>
      <c r="AE1234" s="11">
        <f t="shared" si="134"/>
        <v>3.5200000020267908E-3</v>
      </c>
    </row>
    <row r="1235" spans="1:31" x14ac:dyDescent="0.3">
      <c r="A1235">
        <v>58</v>
      </c>
      <c r="B1235">
        <v>4670796</v>
      </c>
      <c r="C1235" t="s">
        <v>60</v>
      </c>
      <c r="D1235">
        <v>1006248</v>
      </c>
      <c r="E1235" t="s">
        <v>129</v>
      </c>
      <c r="F1235" t="s">
        <v>20</v>
      </c>
      <c r="G1235" t="s">
        <v>2733</v>
      </c>
      <c r="H1235" t="s">
        <v>1035</v>
      </c>
      <c r="I1235" t="s">
        <v>3408</v>
      </c>
      <c r="J1235">
        <v>51147031524</v>
      </c>
      <c r="K1235" t="s">
        <v>3635</v>
      </c>
      <c r="L1235" t="s">
        <v>4173</v>
      </c>
      <c r="M1235">
        <v>8</v>
      </c>
      <c r="N1235" s="10">
        <v>1318.7529400000001</v>
      </c>
      <c r="O1235" s="10">
        <f t="shared" si="130"/>
        <v>10550.023520000001</v>
      </c>
      <c r="P1235" s="10" t="s">
        <v>5006</v>
      </c>
      <c r="Q1235" s="10" t="s">
        <v>5006</v>
      </c>
      <c r="R1235" s="10" t="str">
        <f>IF(COUNTIF($J$2:J1235,J1235)=1,SUMIFS($O:$O,$J:$J,J1235)+SUMIFS($P:$P,$J:$J,J1235)+SUMIFS($Q:$Q,$J:$J,J1235),"")</f>
        <v/>
      </c>
      <c r="S1235" s="10" t="s">
        <v>5006</v>
      </c>
      <c r="T1235" s="11" t="str">
        <f t="shared" si="133"/>
        <v>Check</v>
      </c>
      <c r="U1235" s="12">
        <v>46090</v>
      </c>
      <c r="V1235" s="10">
        <v>8910</v>
      </c>
      <c r="W1235" s="10" t="str">
        <f t="shared" si="131"/>
        <v>N/A</v>
      </c>
      <c r="X1235" t="s">
        <v>438</v>
      </c>
      <c r="Y1235" t="s">
        <v>28</v>
      </c>
      <c r="Z1235">
        <v>100203</v>
      </c>
      <c r="AA1235" t="s">
        <v>441</v>
      </c>
      <c r="AB1235" t="s">
        <v>521</v>
      </c>
      <c r="AC1235" s="9">
        <v>2</v>
      </c>
      <c r="AD1235" s="9" t="str">
        <f t="shared" si="132"/>
        <v>N/A</v>
      </c>
      <c r="AE1235" s="11" t="e">
        <f t="shared" si="134"/>
        <v>#VALUE!</v>
      </c>
    </row>
    <row r="1236" spans="1:31" x14ac:dyDescent="0.3">
      <c r="A1236">
        <v>42</v>
      </c>
      <c r="B1236">
        <v>4708921</v>
      </c>
      <c r="C1236" t="s">
        <v>60</v>
      </c>
      <c r="D1236">
        <v>1588891</v>
      </c>
      <c r="E1236" t="s">
        <v>61</v>
      </c>
      <c r="F1236" t="s">
        <v>18</v>
      </c>
      <c r="G1236" t="s">
        <v>1150</v>
      </c>
      <c r="H1236" t="s">
        <v>1151</v>
      </c>
      <c r="I1236" t="s">
        <v>3260</v>
      </c>
      <c r="J1236">
        <v>51147050457</v>
      </c>
      <c r="K1236" t="s">
        <v>3226</v>
      </c>
      <c r="L1236" t="s">
        <v>4174</v>
      </c>
      <c r="M1236">
        <v>360</v>
      </c>
      <c r="N1236" s="10">
        <v>0.40755000000000002</v>
      </c>
      <c r="O1236" s="10">
        <f t="shared" si="130"/>
        <v>146.71800000000002</v>
      </c>
      <c r="P1236" s="10">
        <v>0</v>
      </c>
      <c r="Q1236" s="10">
        <v>0</v>
      </c>
      <c r="R1236" s="10">
        <f>IF(COUNTIF($J$2:J1236,J1236)=1,SUMIFS($O:$O,$J:$J,J1236)+SUMIFS($P:$P,$J:$J,J1236)+SUMIFS($Q:$Q,$J:$J,J1236),"")</f>
        <v>564.74299999999994</v>
      </c>
      <c r="S1236" s="10">
        <v>982.78</v>
      </c>
      <c r="T1236" s="11" t="str">
        <f t="shared" si="133"/>
        <v>Check</v>
      </c>
      <c r="U1236" s="12">
        <v>45994</v>
      </c>
      <c r="V1236" s="10">
        <v>-63.94</v>
      </c>
      <c r="W1236" s="10" t="str">
        <f t="shared" si="131"/>
        <v>Short Paid</v>
      </c>
      <c r="X1236" t="s">
        <v>438</v>
      </c>
      <c r="Y1236" t="s">
        <v>28</v>
      </c>
      <c r="Z1236">
        <v>100153</v>
      </c>
      <c r="AA1236" t="s">
        <v>445</v>
      </c>
      <c r="AB1236" t="s">
        <v>523</v>
      </c>
      <c r="AC1236" s="9">
        <v>2</v>
      </c>
      <c r="AD1236" s="9" t="str">
        <f t="shared" si="132"/>
        <v>Check</v>
      </c>
      <c r="AE1236" s="11">
        <f t="shared" si="134"/>
        <v>-418.03700000000003</v>
      </c>
    </row>
    <row r="1237" spans="1:31" x14ac:dyDescent="0.3">
      <c r="A1237">
        <v>42</v>
      </c>
      <c r="B1237">
        <v>4708921</v>
      </c>
      <c r="C1237" t="s">
        <v>60</v>
      </c>
      <c r="D1237">
        <v>1588891</v>
      </c>
      <c r="E1237" t="s">
        <v>61</v>
      </c>
      <c r="F1237" t="s">
        <v>18</v>
      </c>
      <c r="G1237" t="s">
        <v>1150</v>
      </c>
      <c r="H1237" t="s">
        <v>1151</v>
      </c>
      <c r="I1237" t="s">
        <v>3412</v>
      </c>
      <c r="J1237">
        <v>51147050457</v>
      </c>
      <c r="K1237" t="s">
        <v>3375</v>
      </c>
      <c r="L1237" t="s">
        <v>4175</v>
      </c>
      <c r="M1237">
        <v>2500</v>
      </c>
      <c r="N1237" s="10">
        <v>0.16721</v>
      </c>
      <c r="O1237" s="10">
        <f t="shared" si="130"/>
        <v>418.02499999999998</v>
      </c>
      <c r="P1237" s="10" t="s">
        <v>5006</v>
      </c>
      <c r="Q1237" s="10" t="s">
        <v>5006</v>
      </c>
      <c r="R1237" s="10" t="str">
        <f>IF(COUNTIF($J$2:J1237,J1237)=1,SUMIFS($O:$O,$J:$J,J1237)+SUMIFS($P:$P,$J:$J,J1237)+SUMIFS($Q:$Q,$J:$J,J1237),"")</f>
        <v/>
      </c>
      <c r="S1237" s="10" t="s">
        <v>5006</v>
      </c>
      <c r="T1237" s="11" t="str">
        <f t="shared" si="133"/>
        <v>Check</v>
      </c>
      <c r="U1237" s="12">
        <v>45994</v>
      </c>
      <c r="V1237" s="10">
        <v>-63.94</v>
      </c>
      <c r="W1237" s="10" t="str">
        <f t="shared" si="131"/>
        <v>N/A</v>
      </c>
      <c r="X1237" t="s">
        <v>438</v>
      </c>
      <c r="Y1237" t="s">
        <v>28</v>
      </c>
      <c r="Z1237">
        <v>100153</v>
      </c>
      <c r="AA1237" t="s">
        <v>445</v>
      </c>
      <c r="AB1237" t="s">
        <v>523</v>
      </c>
      <c r="AC1237" s="9">
        <v>2</v>
      </c>
      <c r="AD1237" s="9" t="str">
        <f t="shared" si="132"/>
        <v>N/A</v>
      </c>
      <c r="AE1237" s="11" t="e">
        <f t="shared" si="134"/>
        <v>#VALUE!</v>
      </c>
    </row>
    <row r="1238" spans="1:31" x14ac:dyDescent="0.3">
      <c r="A1238">
        <v>42</v>
      </c>
      <c r="B1238">
        <v>4710869</v>
      </c>
      <c r="C1238" t="s">
        <v>60</v>
      </c>
      <c r="D1238">
        <v>1588891</v>
      </c>
      <c r="E1238" t="s">
        <v>61</v>
      </c>
      <c r="F1238" t="s">
        <v>18</v>
      </c>
      <c r="G1238" t="s">
        <v>1154</v>
      </c>
      <c r="H1238" t="s">
        <v>1155</v>
      </c>
      <c r="I1238" t="s">
        <v>3524</v>
      </c>
      <c r="J1238">
        <v>51147210100</v>
      </c>
      <c r="K1238" t="s">
        <v>3229</v>
      </c>
      <c r="L1238" t="s">
        <v>3427</v>
      </c>
      <c r="M1238">
        <v>15000</v>
      </c>
      <c r="N1238" s="10">
        <v>1.95E-2</v>
      </c>
      <c r="O1238" s="10">
        <f t="shared" si="130"/>
        <v>292.5</v>
      </c>
      <c r="P1238" s="10">
        <v>0</v>
      </c>
      <c r="Q1238" s="10">
        <v>0</v>
      </c>
      <c r="R1238" s="10">
        <f>IF(COUNTIF($J$2:J1238,J1238)=1,SUMIFS($O:$O,$J:$J,J1238)+SUMIFS($P:$P,$J:$J,J1238)+SUMIFS($Q:$Q,$J:$J,J1238),"")</f>
        <v>548.96103999999991</v>
      </c>
      <c r="S1238" s="10">
        <v>548.96</v>
      </c>
      <c r="T1238" s="11" t="str">
        <f t="shared" si="133"/>
        <v>Check</v>
      </c>
      <c r="U1238" s="12">
        <v>45988</v>
      </c>
      <c r="V1238" s="10">
        <v>-91.42</v>
      </c>
      <c r="W1238" s="10" t="str">
        <f t="shared" si="131"/>
        <v>Short Paid</v>
      </c>
      <c r="X1238" t="s">
        <v>438</v>
      </c>
      <c r="Y1238" t="s">
        <v>28</v>
      </c>
      <c r="Z1238">
        <v>100283</v>
      </c>
      <c r="AA1238" t="s">
        <v>439</v>
      </c>
      <c r="AB1238" t="s">
        <v>523</v>
      </c>
      <c r="AC1238" s="9">
        <v>2</v>
      </c>
      <c r="AD1238" s="9" t="str">
        <f t="shared" si="132"/>
        <v>Check</v>
      </c>
      <c r="AE1238" s="11">
        <f t="shared" si="134"/>
        <v>1.0399999998753628E-3</v>
      </c>
    </row>
    <row r="1239" spans="1:31" x14ac:dyDescent="0.3">
      <c r="A1239">
        <v>42</v>
      </c>
      <c r="B1239">
        <v>4710869</v>
      </c>
      <c r="C1239" t="s">
        <v>60</v>
      </c>
      <c r="D1239">
        <v>1588891</v>
      </c>
      <c r="E1239" t="s">
        <v>61</v>
      </c>
      <c r="F1239" t="s">
        <v>18</v>
      </c>
      <c r="G1239" t="s">
        <v>1154</v>
      </c>
      <c r="H1239" t="s">
        <v>1155</v>
      </c>
      <c r="I1239" t="s">
        <v>3542</v>
      </c>
      <c r="J1239">
        <v>51147210100</v>
      </c>
      <c r="K1239" t="s">
        <v>3289</v>
      </c>
      <c r="L1239" t="s">
        <v>3510</v>
      </c>
      <c r="M1239">
        <v>1012</v>
      </c>
      <c r="N1239" s="10">
        <v>0.25341999999999998</v>
      </c>
      <c r="O1239" s="10">
        <f t="shared" si="130"/>
        <v>256.46103999999997</v>
      </c>
      <c r="P1239" s="10" t="s">
        <v>5006</v>
      </c>
      <c r="Q1239" s="10" t="s">
        <v>5006</v>
      </c>
      <c r="R1239" s="10" t="str">
        <f>IF(COUNTIF($J$2:J1239,J1239)=1,SUMIFS($O:$O,$J:$J,J1239)+SUMIFS($P:$P,$J:$J,J1239)+SUMIFS($Q:$Q,$J:$J,J1239),"")</f>
        <v/>
      </c>
      <c r="S1239" s="10" t="s">
        <v>5006</v>
      </c>
      <c r="T1239" s="11" t="str">
        <f t="shared" si="133"/>
        <v>Check</v>
      </c>
      <c r="U1239" s="12">
        <v>45988</v>
      </c>
      <c r="V1239" s="10">
        <v>-91.42</v>
      </c>
      <c r="W1239" s="10" t="str">
        <f t="shared" si="131"/>
        <v>N/A</v>
      </c>
      <c r="X1239" t="s">
        <v>438</v>
      </c>
      <c r="Y1239" t="s">
        <v>28</v>
      </c>
      <c r="Z1239">
        <v>100283</v>
      </c>
      <c r="AA1239" t="s">
        <v>439</v>
      </c>
      <c r="AB1239" t="s">
        <v>523</v>
      </c>
      <c r="AC1239" s="9">
        <v>2</v>
      </c>
      <c r="AD1239" s="9" t="str">
        <f t="shared" si="132"/>
        <v>N/A</v>
      </c>
      <c r="AE1239" s="11" t="e">
        <f t="shared" si="134"/>
        <v>#VALUE!</v>
      </c>
    </row>
    <row r="1240" spans="1:31" x14ac:dyDescent="0.3">
      <c r="A1240">
        <v>42</v>
      </c>
      <c r="B1240">
        <v>4707808</v>
      </c>
      <c r="C1240" t="s">
        <v>217</v>
      </c>
      <c r="D1240">
        <v>1314292</v>
      </c>
      <c r="E1240" t="s">
        <v>4891</v>
      </c>
      <c r="F1240" t="s">
        <v>18</v>
      </c>
      <c r="G1240" t="s">
        <v>1144</v>
      </c>
      <c r="H1240" t="s">
        <v>1145</v>
      </c>
      <c r="I1240" t="s">
        <v>3477</v>
      </c>
      <c r="J1240">
        <v>51147223841</v>
      </c>
      <c r="K1240" t="s">
        <v>3314</v>
      </c>
      <c r="L1240" t="s">
        <v>4176</v>
      </c>
      <c r="M1240">
        <v>500</v>
      </c>
      <c r="N1240" s="10">
        <v>0.54310000000000003</v>
      </c>
      <c r="O1240" s="10">
        <f t="shared" si="130"/>
        <v>271.55</v>
      </c>
      <c r="P1240" s="10">
        <v>0</v>
      </c>
      <c r="Q1240" s="10">
        <v>0</v>
      </c>
      <c r="R1240" s="10">
        <f>IF(COUNTIF($J$2:J1240,J1240)=1,SUMIFS($O:$O,$J:$J,J1240)+SUMIFS($P:$P,$J:$J,J1240)+SUMIFS($Q:$Q,$J:$J,J1240),"")</f>
        <v>66526.342749999982</v>
      </c>
      <c r="S1240" s="10">
        <v>68816.86</v>
      </c>
      <c r="T1240" s="11" t="str">
        <f t="shared" si="133"/>
        <v>Check</v>
      </c>
      <c r="U1240" s="12">
        <v>46044</v>
      </c>
      <c r="V1240" s="10">
        <v>114.72</v>
      </c>
      <c r="W1240" s="10" t="str">
        <f t="shared" si="131"/>
        <v>Short Paid</v>
      </c>
      <c r="X1240" t="s">
        <v>468</v>
      </c>
      <c r="Y1240" t="s">
        <v>28</v>
      </c>
      <c r="Z1240">
        <v>100276</v>
      </c>
      <c r="AA1240" t="s">
        <v>469</v>
      </c>
      <c r="AB1240" t="s">
        <v>523</v>
      </c>
      <c r="AC1240" s="9">
        <v>6</v>
      </c>
      <c r="AD1240" s="9" t="str">
        <f t="shared" si="132"/>
        <v>Check</v>
      </c>
      <c r="AE1240" s="11">
        <f t="shared" si="134"/>
        <v>-2290.517250000019</v>
      </c>
    </row>
    <row r="1241" spans="1:31" x14ac:dyDescent="0.3">
      <c r="A1241">
        <v>42</v>
      </c>
      <c r="B1241">
        <v>4707808</v>
      </c>
      <c r="C1241" t="s">
        <v>217</v>
      </c>
      <c r="D1241">
        <v>1314292</v>
      </c>
      <c r="E1241" t="s">
        <v>4891</v>
      </c>
      <c r="F1241" t="s">
        <v>18</v>
      </c>
      <c r="G1241" t="s">
        <v>1144</v>
      </c>
      <c r="H1241" t="s">
        <v>1145</v>
      </c>
      <c r="I1241" t="s">
        <v>3477</v>
      </c>
      <c r="J1241">
        <v>51147223841</v>
      </c>
      <c r="K1241" t="s">
        <v>3266</v>
      </c>
      <c r="L1241" t="s">
        <v>4177</v>
      </c>
      <c r="M1241">
        <v>245</v>
      </c>
      <c r="N1241" s="10">
        <v>1.0829500000000001</v>
      </c>
      <c r="O1241" s="10">
        <f t="shared" si="130"/>
        <v>265.32275000000004</v>
      </c>
      <c r="P1241" s="10" t="s">
        <v>5006</v>
      </c>
      <c r="Q1241" s="10" t="s">
        <v>5006</v>
      </c>
      <c r="R1241" s="10" t="str">
        <f>IF(COUNTIF($J$2:J1241,J1241)=1,SUMIFS($O:$O,$J:$J,J1241)+SUMIFS($P:$P,$J:$J,J1241)+SUMIFS($Q:$Q,$J:$J,J1241),"")</f>
        <v/>
      </c>
      <c r="S1241" s="10" t="s">
        <v>5006</v>
      </c>
      <c r="T1241" s="11" t="str">
        <f t="shared" si="133"/>
        <v>Check</v>
      </c>
      <c r="U1241" s="12">
        <v>46044</v>
      </c>
      <c r="V1241" s="10">
        <v>114.72</v>
      </c>
      <c r="W1241" s="10" t="str">
        <f t="shared" si="131"/>
        <v>N/A</v>
      </c>
      <c r="X1241" t="s">
        <v>468</v>
      </c>
      <c r="Y1241" t="s">
        <v>28</v>
      </c>
      <c r="Z1241">
        <v>100276</v>
      </c>
      <c r="AA1241" t="s">
        <v>469</v>
      </c>
      <c r="AB1241" t="s">
        <v>523</v>
      </c>
      <c r="AC1241" s="9">
        <v>6</v>
      </c>
      <c r="AD1241" s="9" t="str">
        <f t="shared" si="132"/>
        <v>N/A</v>
      </c>
      <c r="AE1241" s="11" t="e">
        <f t="shared" si="134"/>
        <v>#VALUE!</v>
      </c>
    </row>
    <row r="1242" spans="1:31" x14ac:dyDescent="0.3">
      <c r="A1242">
        <v>42</v>
      </c>
      <c r="B1242">
        <v>4707808</v>
      </c>
      <c r="C1242" t="s">
        <v>217</v>
      </c>
      <c r="D1242">
        <v>1314292</v>
      </c>
      <c r="E1242" t="s">
        <v>4891</v>
      </c>
      <c r="F1242" t="s">
        <v>18</v>
      </c>
      <c r="G1242" t="s">
        <v>1144</v>
      </c>
      <c r="H1242" t="s">
        <v>1145</v>
      </c>
      <c r="I1242" t="s">
        <v>3477</v>
      </c>
      <c r="J1242">
        <v>51147223841</v>
      </c>
      <c r="K1242" t="s">
        <v>3488</v>
      </c>
      <c r="L1242" t="s">
        <v>4178</v>
      </c>
      <c r="M1242">
        <v>7000</v>
      </c>
      <c r="N1242" s="10">
        <v>0.22209000000000001</v>
      </c>
      <c r="O1242" s="10">
        <f t="shared" si="130"/>
        <v>1554.63</v>
      </c>
      <c r="P1242" s="10" t="s">
        <v>5006</v>
      </c>
      <c r="Q1242" s="10" t="s">
        <v>5006</v>
      </c>
      <c r="R1242" s="10" t="str">
        <f>IF(COUNTIF($J$2:J1242,J1242)=1,SUMIFS($O:$O,$J:$J,J1242)+SUMIFS($P:$P,$J:$J,J1242)+SUMIFS($Q:$Q,$J:$J,J1242),"")</f>
        <v/>
      </c>
      <c r="S1242" s="10" t="s">
        <v>5006</v>
      </c>
      <c r="T1242" s="11" t="str">
        <f t="shared" si="133"/>
        <v>Check</v>
      </c>
      <c r="U1242" s="12">
        <v>46044</v>
      </c>
      <c r="V1242" s="10">
        <v>114.72</v>
      </c>
      <c r="W1242" s="10" t="str">
        <f t="shared" si="131"/>
        <v>N/A</v>
      </c>
      <c r="X1242" t="s">
        <v>468</v>
      </c>
      <c r="Y1242" t="s">
        <v>28</v>
      </c>
      <c r="Z1242">
        <v>100276</v>
      </c>
      <c r="AA1242" t="s">
        <v>469</v>
      </c>
      <c r="AB1242" t="s">
        <v>523</v>
      </c>
      <c r="AC1242" s="9">
        <v>6</v>
      </c>
      <c r="AD1242" s="9" t="str">
        <f t="shared" si="132"/>
        <v>N/A</v>
      </c>
      <c r="AE1242" s="11" t="e">
        <f t="shared" si="134"/>
        <v>#VALUE!</v>
      </c>
    </row>
    <row r="1243" spans="1:31" x14ac:dyDescent="0.3">
      <c r="A1243">
        <v>42</v>
      </c>
      <c r="B1243">
        <v>4707808</v>
      </c>
      <c r="C1243" t="s">
        <v>217</v>
      </c>
      <c r="D1243">
        <v>1314292</v>
      </c>
      <c r="E1243" t="s">
        <v>4891</v>
      </c>
      <c r="F1243" t="s">
        <v>18</v>
      </c>
      <c r="G1243" t="s">
        <v>1144</v>
      </c>
      <c r="H1243" t="s">
        <v>1145</v>
      </c>
      <c r="I1243" t="s">
        <v>3477</v>
      </c>
      <c r="J1243">
        <v>51147223841</v>
      </c>
      <c r="K1243" t="s">
        <v>4180</v>
      </c>
      <c r="L1243" t="s">
        <v>4179</v>
      </c>
      <c r="M1243">
        <v>4</v>
      </c>
      <c r="N1243" s="10">
        <v>387.06</v>
      </c>
      <c r="O1243" s="10">
        <f t="shared" si="130"/>
        <v>1548.24</v>
      </c>
      <c r="P1243" s="10" t="s">
        <v>5006</v>
      </c>
      <c r="Q1243" s="10" t="s">
        <v>5006</v>
      </c>
      <c r="R1243" s="10" t="str">
        <f>IF(COUNTIF($J$2:J1243,J1243)=1,SUMIFS($O:$O,$J:$J,J1243)+SUMIFS($P:$P,$J:$J,J1243)+SUMIFS($Q:$Q,$J:$J,J1243),"")</f>
        <v/>
      </c>
      <c r="S1243" s="10" t="s">
        <v>5006</v>
      </c>
      <c r="T1243" s="11" t="str">
        <f t="shared" si="133"/>
        <v>Check</v>
      </c>
      <c r="U1243" s="12">
        <v>46044</v>
      </c>
      <c r="V1243" s="10">
        <v>114.72</v>
      </c>
      <c r="W1243" s="10" t="str">
        <f t="shared" si="131"/>
        <v>N/A</v>
      </c>
      <c r="X1243" t="s">
        <v>468</v>
      </c>
      <c r="Y1243" t="s">
        <v>28</v>
      </c>
      <c r="Z1243">
        <v>100276</v>
      </c>
      <c r="AA1243" t="s">
        <v>469</v>
      </c>
      <c r="AB1243" t="s">
        <v>523</v>
      </c>
      <c r="AC1243" s="9">
        <v>6</v>
      </c>
      <c r="AD1243" s="9" t="str">
        <f t="shared" si="132"/>
        <v>N/A</v>
      </c>
      <c r="AE1243" s="11" t="e">
        <f t="shared" si="134"/>
        <v>#VALUE!</v>
      </c>
    </row>
    <row r="1244" spans="1:31" x14ac:dyDescent="0.3">
      <c r="A1244">
        <v>42</v>
      </c>
      <c r="B1244">
        <v>4707808</v>
      </c>
      <c r="C1244" t="s">
        <v>217</v>
      </c>
      <c r="D1244">
        <v>1314292</v>
      </c>
      <c r="E1244" t="s">
        <v>4891</v>
      </c>
      <c r="F1244" t="s">
        <v>18</v>
      </c>
      <c r="G1244" t="s">
        <v>1144</v>
      </c>
      <c r="H1244" t="s">
        <v>1145</v>
      </c>
      <c r="I1244" t="s">
        <v>3477</v>
      </c>
      <c r="J1244">
        <v>51147223841</v>
      </c>
      <c r="K1244" t="s">
        <v>3209</v>
      </c>
      <c r="L1244" t="s">
        <v>4181</v>
      </c>
      <c r="M1244">
        <v>10000</v>
      </c>
      <c r="N1244" s="10">
        <v>1.9599999999999999E-3</v>
      </c>
      <c r="O1244" s="10">
        <f t="shared" si="130"/>
        <v>19.599999999999998</v>
      </c>
      <c r="P1244" s="10" t="s">
        <v>5006</v>
      </c>
      <c r="Q1244" s="10" t="s">
        <v>5006</v>
      </c>
      <c r="R1244" s="10" t="str">
        <f>IF(COUNTIF($J$2:J1244,J1244)=1,SUMIFS($O:$O,$J:$J,J1244)+SUMIFS($P:$P,$J:$J,J1244)+SUMIFS($Q:$Q,$J:$J,J1244),"")</f>
        <v/>
      </c>
      <c r="S1244" s="10" t="s">
        <v>5006</v>
      </c>
      <c r="T1244" s="11" t="str">
        <f t="shared" si="133"/>
        <v>Check</v>
      </c>
      <c r="U1244" s="12">
        <v>46044</v>
      </c>
      <c r="V1244" s="10">
        <v>114.72</v>
      </c>
      <c r="W1244" s="10" t="str">
        <f t="shared" si="131"/>
        <v>N/A</v>
      </c>
      <c r="X1244" t="s">
        <v>468</v>
      </c>
      <c r="Y1244" t="s">
        <v>28</v>
      </c>
      <c r="Z1244">
        <v>100276</v>
      </c>
      <c r="AA1244" t="s">
        <v>469</v>
      </c>
      <c r="AB1244" t="s">
        <v>523</v>
      </c>
      <c r="AC1244" s="9">
        <v>6</v>
      </c>
      <c r="AD1244" s="9" t="str">
        <f t="shared" si="132"/>
        <v>N/A</v>
      </c>
      <c r="AE1244" s="11" t="e">
        <f t="shared" si="134"/>
        <v>#VALUE!</v>
      </c>
    </row>
    <row r="1245" spans="1:31" x14ac:dyDescent="0.3">
      <c r="A1245">
        <v>42</v>
      </c>
      <c r="B1245">
        <v>4707808</v>
      </c>
      <c r="C1245" t="s">
        <v>217</v>
      </c>
      <c r="D1245">
        <v>1314292</v>
      </c>
      <c r="E1245" t="s">
        <v>4891</v>
      </c>
      <c r="F1245" t="s">
        <v>18</v>
      </c>
      <c r="G1245" t="s">
        <v>1144</v>
      </c>
      <c r="H1245" t="s">
        <v>1145</v>
      </c>
      <c r="I1245" t="s">
        <v>3412</v>
      </c>
      <c r="J1245">
        <v>51147223841</v>
      </c>
      <c r="K1245" t="s">
        <v>3532</v>
      </c>
      <c r="L1245" t="s">
        <v>3531</v>
      </c>
      <c r="M1245">
        <v>98000</v>
      </c>
      <c r="N1245" s="10">
        <v>0.64149999999999985</v>
      </c>
      <c r="O1245" s="10">
        <f t="shared" si="130"/>
        <v>62866.999999999985</v>
      </c>
      <c r="P1245" s="10" t="s">
        <v>5006</v>
      </c>
      <c r="Q1245" s="10" t="s">
        <v>5006</v>
      </c>
      <c r="R1245" s="10" t="str">
        <f>IF(COUNTIF($J$2:J1245,J1245)=1,SUMIFS($O:$O,$J:$J,J1245)+SUMIFS($P:$P,$J:$J,J1245)+SUMIFS($Q:$Q,$J:$J,J1245),"")</f>
        <v/>
      </c>
      <c r="S1245" s="10" t="s">
        <v>5006</v>
      </c>
      <c r="T1245" s="11" t="str">
        <f t="shared" si="133"/>
        <v>Check</v>
      </c>
      <c r="U1245" s="12">
        <v>46044</v>
      </c>
      <c r="V1245" s="10">
        <v>114.72</v>
      </c>
      <c r="W1245" s="10" t="str">
        <f t="shared" si="131"/>
        <v>N/A</v>
      </c>
      <c r="X1245" t="s">
        <v>468</v>
      </c>
      <c r="Y1245" t="s">
        <v>28</v>
      </c>
      <c r="Z1245">
        <v>100276</v>
      </c>
      <c r="AA1245" t="s">
        <v>469</v>
      </c>
      <c r="AB1245" t="s">
        <v>523</v>
      </c>
      <c r="AC1245" s="9">
        <v>6</v>
      </c>
      <c r="AD1245" s="9" t="str">
        <f t="shared" si="132"/>
        <v>N/A</v>
      </c>
      <c r="AE1245" s="11" t="e">
        <f t="shared" si="134"/>
        <v>#VALUE!</v>
      </c>
    </row>
    <row r="1246" spans="1:31" x14ac:dyDescent="0.3">
      <c r="A1246">
        <v>42</v>
      </c>
      <c r="B1246">
        <v>4707530</v>
      </c>
      <c r="C1246" t="s">
        <v>239</v>
      </c>
      <c r="D1246">
        <v>1981156</v>
      </c>
      <c r="E1246" t="s">
        <v>573</v>
      </c>
      <c r="F1246" t="s">
        <v>49</v>
      </c>
      <c r="G1246" t="s">
        <v>2746</v>
      </c>
      <c r="H1246" t="s">
        <v>2747</v>
      </c>
      <c r="I1246" t="s">
        <v>3181</v>
      </c>
      <c r="J1246">
        <v>51147267952</v>
      </c>
      <c r="K1246" t="s">
        <v>3246</v>
      </c>
      <c r="L1246" t="s">
        <v>4182</v>
      </c>
      <c r="M1246">
        <v>25</v>
      </c>
      <c r="N1246" s="10">
        <v>0.56200000000000006</v>
      </c>
      <c r="O1246" s="10">
        <f t="shared" si="130"/>
        <v>14.05</v>
      </c>
      <c r="P1246" s="10">
        <v>6.78</v>
      </c>
      <c r="Q1246" s="10">
        <v>4.21</v>
      </c>
      <c r="R1246" s="10">
        <f>IF(COUNTIF($J$2:J1246,J1246)=1,SUMIFS($O:$O,$J:$J,J1246)+SUMIFS($P:$P,$J:$J,J1246)+SUMIFS($Q:$Q,$J:$J,J1246),"")</f>
        <v>2198.0800000000004</v>
      </c>
      <c r="S1246" s="10">
        <v>4346.33</v>
      </c>
      <c r="T1246" s="11" t="str">
        <f t="shared" si="133"/>
        <v>Check</v>
      </c>
      <c r="U1246" s="12">
        <v>45967</v>
      </c>
      <c r="V1246" s="10">
        <v>6.78</v>
      </c>
      <c r="W1246" s="10" t="str">
        <f t="shared" si="131"/>
        <v>Short Paid</v>
      </c>
      <c r="X1246" t="s">
        <v>476</v>
      </c>
      <c r="Y1246" t="s">
        <v>29</v>
      </c>
      <c r="Z1246">
        <v>100295</v>
      </c>
      <c r="AA1246" t="s">
        <v>3127</v>
      </c>
      <c r="AB1246" t="s">
        <v>3041</v>
      </c>
      <c r="AC1246" s="9">
        <v>3</v>
      </c>
      <c r="AD1246" s="9" t="str">
        <f t="shared" si="132"/>
        <v>Check</v>
      </c>
      <c r="AE1246" s="11">
        <f t="shared" si="134"/>
        <v>-2148.2499999999995</v>
      </c>
    </row>
    <row r="1247" spans="1:31" x14ac:dyDescent="0.3">
      <c r="A1247">
        <v>42</v>
      </c>
      <c r="B1247">
        <v>4707530</v>
      </c>
      <c r="C1247" t="s">
        <v>239</v>
      </c>
      <c r="D1247">
        <v>1981156</v>
      </c>
      <c r="E1247" t="s">
        <v>573</v>
      </c>
      <c r="F1247" t="s">
        <v>49</v>
      </c>
      <c r="G1247" t="s">
        <v>2746</v>
      </c>
      <c r="H1247" t="s">
        <v>2747</v>
      </c>
      <c r="I1247" t="s">
        <v>3181</v>
      </c>
      <c r="J1247">
        <v>51147267952</v>
      </c>
      <c r="K1247" t="s">
        <v>4184</v>
      </c>
      <c r="L1247" t="s">
        <v>4183</v>
      </c>
      <c r="M1247">
        <v>12</v>
      </c>
      <c r="N1247" s="10">
        <v>3.42</v>
      </c>
      <c r="O1247" s="10">
        <f t="shared" si="130"/>
        <v>41.04</v>
      </c>
      <c r="P1247" s="10" t="s">
        <v>5006</v>
      </c>
      <c r="Q1247" s="10" t="s">
        <v>5006</v>
      </c>
      <c r="R1247" s="10" t="str">
        <f>IF(COUNTIF($J$2:J1247,J1247)=1,SUMIFS($O:$O,$J:$J,J1247)+SUMIFS($P:$P,$J:$J,J1247)+SUMIFS($Q:$Q,$J:$J,J1247),"")</f>
        <v/>
      </c>
      <c r="S1247" s="10" t="s">
        <v>5006</v>
      </c>
      <c r="T1247" s="11" t="str">
        <f t="shared" si="133"/>
        <v>Check</v>
      </c>
      <c r="U1247" s="12">
        <v>45967</v>
      </c>
      <c r="V1247" s="10">
        <v>6.78</v>
      </c>
      <c r="W1247" s="10" t="str">
        <f t="shared" si="131"/>
        <v>N/A</v>
      </c>
      <c r="X1247" t="s">
        <v>476</v>
      </c>
      <c r="Y1247" t="s">
        <v>29</v>
      </c>
      <c r="Z1247">
        <v>100295</v>
      </c>
      <c r="AA1247" t="s">
        <v>3127</v>
      </c>
      <c r="AB1247" t="s">
        <v>3041</v>
      </c>
      <c r="AC1247" s="9">
        <v>3</v>
      </c>
      <c r="AD1247" s="9" t="str">
        <f t="shared" si="132"/>
        <v>N/A</v>
      </c>
      <c r="AE1247" s="11" t="e">
        <f t="shared" si="134"/>
        <v>#VALUE!</v>
      </c>
    </row>
    <row r="1248" spans="1:31" x14ac:dyDescent="0.3">
      <c r="A1248">
        <v>42</v>
      </c>
      <c r="B1248">
        <v>4707530</v>
      </c>
      <c r="C1248" t="s">
        <v>239</v>
      </c>
      <c r="D1248">
        <v>1981156</v>
      </c>
      <c r="E1248" t="s">
        <v>573</v>
      </c>
      <c r="F1248" t="s">
        <v>49</v>
      </c>
      <c r="G1248" t="s">
        <v>2746</v>
      </c>
      <c r="H1248" t="s">
        <v>2747</v>
      </c>
      <c r="I1248" t="s">
        <v>3451</v>
      </c>
      <c r="J1248">
        <v>51147267952</v>
      </c>
      <c r="K1248" t="s">
        <v>3180</v>
      </c>
      <c r="L1248" t="s">
        <v>3179</v>
      </c>
      <c r="M1248">
        <v>2000</v>
      </c>
      <c r="N1248" s="10">
        <v>1.0660000000000001</v>
      </c>
      <c r="O1248" s="10">
        <f t="shared" si="130"/>
        <v>2132</v>
      </c>
      <c r="P1248" s="10" t="s">
        <v>5006</v>
      </c>
      <c r="Q1248" s="10" t="s">
        <v>5006</v>
      </c>
      <c r="R1248" s="10" t="str">
        <f>IF(COUNTIF($J$2:J1248,J1248)=1,SUMIFS($O:$O,$J:$J,J1248)+SUMIFS($P:$P,$J:$J,J1248)+SUMIFS($Q:$Q,$J:$J,J1248),"")</f>
        <v/>
      </c>
      <c r="S1248" s="10" t="s">
        <v>5006</v>
      </c>
      <c r="T1248" s="11" t="str">
        <f t="shared" si="133"/>
        <v>Check</v>
      </c>
      <c r="U1248" s="12">
        <v>45967</v>
      </c>
      <c r="V1248" s="10">
        <v>6.78</v>
      </c>
      <c r="W1248" s="10" t="str">
        <f t="shared" si="131"/>
        <v>N/A</v>
      </c>
      <c r="X1248" t="s">
        <v>476</v>
      </c>
      <c r="Y1248" t="s">
        <v>29</v>
      </c>
      <c r="Z1248">
        <v>100295</v>
      </c>
      <c r="AA1248" t="s">
        <v>3127</v>
      </c>
      <c r="AB1248" t="s">
        <v>3041</v>
      </c>
      <c r="AC1248" s="9">
        <v>3</v>
      </c>
      <c r="AD1248" s="9" t="str">
        <f t="shared" si="132"/>
        <v>N/A</v>
      </c>
      <c r="AE1248" s="11" t="e">
        <f t="shared" si="134"/>
        <v>#VALUE!</v>
      </c>
    </row>
    <row r="1249" spans="1:31" x14ac:dyDescent="0.3">
      <c r="A1249">
        <v>42</v>
      </c>
      <c r="B1249">
        <v>4713931</v>
      </c>
      <c r="C1249" t="s">
        <v>60</v>
      </c>
      <c r="D1249">
        <v>1588891</v>
      </c>
      <c r="E1249" t="s">
        <v>61</v>
      </c>
      <c r="F1249" t="s">
        <v>18</v>
      </c>
      <c r="G1249" t="s">
        <v>1171</v>
      </c>
      <c r="H1249" t="s">
        <v>1172</v>
      </c>
      <c r="I1249" t="s">
        <v>3388</v>
      </c>
      <c r="J1249">
        <v>51147430129</v>
      </c>
      <c r="K1249" t="s">
        <v>3168</v>
      </c>
      <c r="L1249" t="s">
        <v>4185</v>
      </c>
      <c r="M1249">
        <v>60000</v>
      </c>
      <c r="N1249" s="10">
        <v>9.4100000000000003E-2</v>
      </c>
      <c r="O1249" s="10">
        <f t="shared" si="130"/>
        <v>5646</v>
      </c>
      <c r="P1249" s="10">
        <v>0</v>
      </c>
      <c r="Q1249" s="10">
        <v>0</v>
      </c>
      <c r="R1249" s="10">
        <f>IF(COUNTIF($J$2:J1249,J1249)=1,SUMIFS($O:$O,$J:$J,J1249)+SUMIFS($P:$P,$J:$J,J1249)+SUMIFS($Q:$Q,$J:$J,J1249),"")</f>
        <v>6539.4750000000004</v>
      </c>
      <c r="S1249" s="10">
        <v>6539.48</v>
      </c>
      <c r="T1249" s="11" t="str">
        <f t="shared" si="133"/>
        <v>Check</v>
      </c>
      <c r="U1249" s="12">
        <v>45994</v>
      </c>
      <c r="V1249" s="10">
        <v>-124.38</v>
      </c>
      <c r="W1249" s="10" t="str">
        <f t="shared" si="131"/>
        <v>Short Paid</v>
      </c>
      <c r="X1249" t="s">
        <v>438</v>
      </c>
      <c r="Y1249" t="s">
        <v>28</v>
      </c>
      <c r="Z1249">
        <v>100113</v>
      </c>
      <c r="AA1249" t="s">
        <v>449</v>
      </c>
      <c r="AB1249" t="s">
        <v>523</v>
      </c>
      <c r="AC1249" s="9">
        <v>2</v>
      </c>
      <c r="AD1249" s="9" t="str">
        <f t="shared" si="132"/>
        <v>Check</v>
      </c>
      <c r="AE1249" s="11">
        <f t="shared" si="134"/>
        <v>-4.9999999991996447E-3</v>
      </c>
    </row>
    <row r="1250" spans="1:31" x14ac:dyDescent="0.3">
      <c r="A1250">
        <v>42</v>
      </c>
      <c r="B1250">
        <v>4713931</v>
      </c>
      <c r="C1250" t="s">
        <v>60</v>
      </c>
      <c r="D1250">
        <v>1588891</v>
      </c>
      <c r="E1250" t="s">
        <v>61</v>
      </c>
      <c r="F1250" t="s">
        <v>18</v>
      </c>
      <c r="G1250" t="s">
        <v>1171</v>
      </c>
      <c r="H1250" t="s">
        <v>1172</v>
      </c>
      <c r="I1250" t="s">
        <v>3484</v>
      </c>
      <c r="J1250">
        <v>51147430129</v>
      </c>
      <c r="K1250" t="s">
        <v>3401</v>
      </c>
      <c r="L1250" t="s">
        <v>4186</v>
      </c>
      <c r="M1250">
        <v>2250</v>
      </c>
      <c r="N1250" s="10">
        <v>0.39710000000000001</v>
      </c>
      <c r="O1250" s="10">
        <f t="shared" si="130"/>
        <v>893.47500000000002</v>
      </c>
      <c r="P1250" s="10" t="s">
        <v>5006</v>
      </c>
      <c r="Q1250" s="10" t="s">
        <v>5006</v>
      </c>
      <c r="R1250" s="10" t="str">
        <f>IF(COUNTIF($J$2:J1250,J1250)=1,SUMIFS($O:$O,$J:$J,J1250)+SUMIFS($P:$P,$J:$J,J1250)+SUMIFS($Q:$Q,$J:$J,J1250),"")</f>
        <v/>
      </c>
      <c r="S1250" s="10" t="s">
        <v>5006</v>
      </c>
      <c r="T1250" s="11" t="str">
        <f t="shared" si="133"/>
        <v>Check</v>
      </c>
      <c r="U1250" s="12">
        <v>45994</v>
      </c>
      <c r="V1250" s="10">
        <v>-124.38</v>
      </c>
      <c r="W1250" s="10" t="str">
        <f t="shared" si="131"/>
        <v>N/A</v>
      </c>
      <c r="X1250" t="s">
        <v>438</v>
      </c>
      <c r="Y1250" t="s">
        <v>28</v>
      </c>
      <c r="Z1250">
        <v>100113</v>
      </c>
      <c r="AA1250" t="s">
        <v>449</v>
      </c>
      <c r="AB1250" t="s">
        <v>523</v>
      </c>
      <c r="AC1250" s="9">
        <v>2</v>
      </c>
      <c r="AD1250" s="9" t="str">
        <f t="shared" si="132"/>
        <v>N/A</v>
      </c>
      <c r="AE1250" s="11" t="e">
        <f t="shared" si="134"/>
        <v>#VALUE!</v>
      </c>
    </row>
    <row r="1251" spans="1:31" x14ac:dyDescent="0.3">
      <c r="A1251">
        <v>42</v>
      </c>
      <c r="B1251">
        <v>4713096</v>
      </c>
      <c r="C1251" t="s">
        <v>60</v>
      </c>
      <c r="D1251">
        <v>1588891</v>
      </c>
      <c r="E1251" t="s">
        <v>61</v>
      </c>
      <c r="F1251" t="s">
        <v>18</v>
      </c>
      <c r="G1251" t="s">
        <v>1165</v>
      </c>
      <c r="H1251" t="s">
        <v>1166</v>
      </c>
      <c r="I1251" t="s">
        <v>3395</v>
      </c>
      <c r="J1251">
        <v>51147431332</v>
      </c>
      <c r="K1251" t="s">
        <v>3374</v>
      </c>
      <c r="L1251" t="s">
        <v>4187</v>
      </c>
      <c r="M1251">
        <v>7200</v>
      </c>
      <c r="N1251" s="10">
        <v>3.7600000000000001E-2</v>
      </c>
      <c r="O1251" s="10">
        <f t="shared" si="130"/>
        <v>270.72000000000003</v>
      </c>
      <c r="P1251" s="10">
        <v>0</v>
      </c>
      <c r="Q1251" s="10">
        <v>0</v>
      </c>
      <c r="R1251" s="10">
        <f>IF(COUNTIF($J$2:J1251,J1251)=1,SUMIFS($O:$O,$J:$J,J1251)+SUMIFS($P:$P,$J:$J,J1251)+SUMIFS($Q:$Q,$J:$J,J1251),"")</f>
        <v>1194.72</v>
      </c>
      <c r="S1251" s="10">
        <v>1194.72</v>
      </c>
      <c r="T1251" s="11" t="str">
        <f t="shared" si="133"/>
        <v>Ok</v>
      </c>
      <c r="U1251" s="12">
        <v>45994</v>
      </c>
      <c r="V1251" s="10">
        <v>-15.12</v>
      </c>
      <c r="W1251" s="10" t="str">
        <f t="shared" si="131"/>
        <v>Short Paid</v>
      </c>
      <c r="X1251" t="s">
        <v>438</v>
      </c>
      <c r="Y1251" t="s">
        <v>28</v>
      </c>
      <c r="Z1251">
        <v>100243</v>
      </c>
      <c r="AA1251" t="s">
        <v>446</v>
      </c>
      <c r="AB1251" t="s">
        <v>523</v>
      </c>
      <c r="AC1251" s="9">
        <v>2</v>
      </c>
      <c r="AD1251" s="9" t="str">
        <f t="shared" si="132"/>
        <v>Ok</v>
      </c>
      <c r="AE1251" s="11">
        <f t="shared" si="134"/>
        <v>0</v>
      </c>
    </row>
    <row r="1252" spans="1:31" x14ac:dyDescent="0.3">
      <c r="A1252">
        <v>42</v>
      </c>
      <c r="B1252">
        <v>4713096</v>
      </c>
      <c r="C1252" t="s">
        <v>60</v>
      </c>
      <c r="D1252">
        <v>1588891</v>
      </c>
      <c r="E1252" t="s">
        <v>61</v>
      </c>
      <c r="F1252" t="s">
        <v>18</v>
      </c>
      <c r="G1252" t="s">
        <v>1165</v>
      </c>
      <c r="H1252" t="s">
        <v>1166</v>
      </c>
      <c r="I1252" t="s">
        <v>3210</v>
      </c>
      <c r="J1252">
        <v>51147431332</v>
      </c>
      <c r="K1252" t="s">
        <v>3379</v>
      </c>
      <c r="L1252" t="s">
        <v>3504</v>
      </c>
      <c r="M1252">
        <v>280000</v>
      </c>
      <c r="N1252" s="10">
        <v>3.3E-3</v>
      </c>
      <c r="O1252" s="10">
        <f t="shared" si="130"/>
        <v>924</v>
      </c>
      <c r="P1252" s="10" t="s">
        <v>5006</v>
      </c>
      <c r="Q1252" s="10" t="s">
        <v>5006</v>
      </c>
      <c r="R1252" s="10" t="str">
        <f>IF(COUNTIF($J$2:J1252,J1252)=1,SUMIFS($O:$O,$J:$J,J1252)+SUMIFS($P:$P,$J:$J,J1252)+SUMIFS($Q:$Q,$J:$J,J1252),"")</f>
        <v/>
      </c>
      <c r="S1252" s="10" t="s">
        <v>5006</v>
      </c>
      <c r="T1252" s="11" t="str">
        <f t="shared" si="133"/>
        <v>Ok</v>
      </c>
      <c r="U1252" s="12">
        <v>45994</v>
      </c>
      <c r="V1252" s="10">
        <v>-15.12</v>
      </c>
      <c r="W1252" s="10" t="str">
        <f t="shared" si="131"/>
        <v>N/A</v>
      </c>
      <c r="X1252" t="s">
        <v>438</v>
      </c>
      <c r="Y1252" t="s">
        <v>28</v>
      </c>
      <c r="Z1252">
        <v>100243</v>
      </c>
      <c r="AA1252" t="s">
        <v>446</v>
      </c>
      <c r="AB1252" t="s">
        <v>523</v>
      </c>
      <c r="AC1252" s="9">
        <v>2</v>
      </c>
      <c r="AD1252" s="9" t="str">
        <f t="shared" si="132"/>
        <v>N/A</v>
      </c>
      <c r="AE1252" s="11" t="e">
        <f t="shared" si="134"/>
        <v>#VALUE!</v>
      </c>
    </row>
    <row r="1253" spans="1:31" x14ac:dyDescent="0.3">
      <c r="A1253">
        <v>42</v>
      </c>
      <c r="B1253">
        <v>4713652</v>
      </c>
      <c r="C1253" t="s">
        <v>60</v>
      </c>
      <c r="D1253">
        <v>1588891</v>
      </c>
      <c r="E1253" t="s">
        <v>61</v>
      </c>
      <c r="F1253" t="s">
        <v>18</v>
      </c>
      <c r="G1253" t="s">
        <v>1169</v>
      </c>
      <c r="H1253" t="s">
        <v>1170</v>
      </c>
      <c r="I1253" t="s">
        <v>3361</v>
      </c>
      <c r="J1253">
        <v>51147455550</v>
      </c>
      <c r="K1253" t="s">
        <v>3379</v>
      </c>
      <c r="L1253" t="s">
        <v>3504</v>
      </c>
      <c r="M1253">
        <v>700000</v>
      </c>
      <c r="N1253" s="10">
        <v>3.2499999999999999E-3</v>
      </c>
      <c r="O1253" s="10">
        <f t="shared" si="130"/>
        <v>2275</v>
      </c>
      <c r="P1253" s="10">
        <v>0</v>
      </c>
      <c r="Q1253" s="10">
        <v>0</v>
      </c>
      <c r="R1253" s="10">
        <f>IF(COUNTIF($J$2:J1253,J1253)=1,SUMIFS($O:$O,$J:$J,J1253)+SUMIFS($P:$P,$J:$J,J1253)+SUMIFS($Q:$Q,$J:$J,J1253),"")</f>
        <v>2774.06</v>
      </c>
      <c r="S1253" s="10">
        <v>2774.06</v>
      </c>
      <c r="T1253" s="11" t="str">
        <f t="shared" si="133"/>
        <v>Ok</v>
      </c>
      <c r="U1253" s="12">
        <v>45994</v>
      </c>
      <c r="V1253" s="10">
        <v>-29.18</v>
      </c>
      <c r="W1253" s="10" t="str">
        <f t="shared" si="131"/>
        <v>Short Paid</v>
      </c>
      <c r="X1253" t="s">
        <v>438</v>
      </c>
      <c r="Y1253" t="s">
        <v>28</v>
      </c>
      <c r="Z1253">
        <v>100283</v>
      </c>
      <c r="AA1253" t="s">
        <v>439</v>
      </c>
      <c r="AB1253" t="s">
        <v>523</v>
      </c>
      <c r="AC1253" s="9">
        <v>2</v>
      </c>
      <c r="AD1253" s="9" t="str">
        <f t="shared" si="132"/>
        <v>Ok</v>
      </c>
      <c r="AE1253" s="11">
        <f t="shared" si="134"/>
        <v>0</v>
      </c>
    </row>
    <row r="1254" spans="1:31" x14ac:dyDescent="0.3">
      <c r="A1254">
        <v>42</v>
      </c>
      <c r="B1254">
        <v>4713652</v>
      </c>
      <c r="C1254" t="s">
        <v>60</v>
      </c>
      <c r="D1254">
        <v>1588891</v>
      </c>
      <c r="E1254" t="s">
        <v>61</v>
      </c>
      <c r="F1254" t="s">
        <v>18</v>
      </c>
      <c r="G1254" t="s">
        <v>1169</v>
      </c>
      <c r="H1254" t="s">
        <v>1170</v>
      </c>
      <c r="I1254" t="s">
        <v>3410</v>
      </c>
      <c r="J1254">
        <v>51147455550</v>
      </c>
      <c r="K1254" t="s">
        <v>3252</v>
      </c>
      <c r="L1254" t="s">
        <v>4188</v>
      </c>
      <c r="M1254">
        <v>2000</v>
      </c>
      <c r="N1254" s="10">
        <v>0.24953</v>
      </c>
      <c r="O1254" s="10">
        <f t="shared" si="130"/>
        <v>499.06</v>
      </c>
      <c r="P1254" s="10" t="s">
        <v>5006</v>
      </c>
      <c r="Q1254" s="10" t="s">
        <v>5006</v>
      </c>
      <c r="R1254" s="10" t="str">
        <f>IF(COUNTIF($J$2:J1254,J1254)=1,SUMIFS($O:$O,$J:$J,J1254)+SUMIFS($P:$P,$J:$J,J1254)+SUMIFS($Q:$Q,$J:$J,J1254),"")</f>
        <v/>
      </c>
      <c r="S1254" s="10" t="s">
        <v>5006</v>
      </c>
      <c r="T1254" s="11" t="str">
        <f t="shared" si="133"/>
        <v>Ok</v>
      </c>
      <c r="U1254" s="12">
        <v>45994</v>
      </c>
      <c r="V1254" s="10">
        <v>-29.18</v>
      </c>
      <c r="W1254" s="10" t="str">
        <f t="shared" si="131"/>
        <v>N/A</v>
      </c>
      <c r="X1254" t="s">
        <v>438</v>
      </c>
      <c r="Y1254" t="s">
        <v>28</v>
      </c>
      <c r="Z1254">
        <v>100283</v>
      </c>
      <c r="AA1254" t="s">
        <v>439</v>
      </c>
      <c r="AB1254" t="s">
        <v>523</v>
      </c>
      <c r="AC1254" s="9">
        <v>2</v>
      </c>
      <c r="AD1254" s="9" t="str">
        <f t="shared" si="132"/>
        <v>N/A</v>
      </c>
      <c r="AE1254" s="11" t="e">
        <f t="shared" si="134"/>
        <v>#VALUE!</v>
      </c>
    </row>
    <row r="1255" spans="1:31" x14ac:dyDescent="0.3">
      <c r="A1255">
        <v>42</v>
      </c>
      <c r="B1255">
        <v>4702243</v>
      </c>
      <c r="C1255" t="s">
        <v>94</v>
      </c>
      <c r="D1255">
        <v>1470631</v>
      </c>
      <c r="E1255" t="s">
        <v>214</v>
      </c>
      <c r="F1255" t="s">
        <v>20</v>
      </c>
      <c r="G1255" t="s">
        <v>1130</v>
      </c>
      <c r="H1255" t="s">
        <v>1131</v>
      </c>
      <c r="I1255" t="s">
        <v>3462</v>
      </c>
      <c r="J1255">
        <v>51147592701</v>
      </c>
      <c r="K1255" t="s">
        <v>3475</v>
      </c>
      <c r="L1255" t="s">
        <v>3564</v>
      </c>
      <c r="M1255">
        <v>1000</v>
      </c>
      <c r="N1255" s="10">
        <v>7.1377800000000002</v>
      </c>
      <c r="O1255" s="10">
        <f t="shared" si="130"/>
        <v>7137.7800000000007</v>
      </c>
      <c r="P1255" s="10">
        <v>0</v>
      </c>
      <c r="Q1255" s="10">
        <v>0</v>
      </c>
      <c r="R1255" s="10">
        <f>IF(COUNTIF($J$2:J1255,J1255)=1,SUMIFS($O:$O,$J:$J,J1255)+SUMIFS($P:$P,$J:$J,J1255)+SUMIFS($Q:$Q,$J:$J,J1255),"")</f>
        <v>7387.7800000000007</v>
      </c>
      <c r="S1255" s="10">
        <v>7387.78</v>
      </c>
      <c r="T1255" s="11" t="str">
        <f t="shared" si="133"/>
        <v>Ok</v>
      </c>
      <c r="U1255" s="12">
        <v>46020</v>
      </c>
      <c r="V1255" s="10">
        <v>250</v>
      </c>
      <c r="W1255" s="10" t="str">
        <f t="shared" si="131"/>
        <v>Short Paid</v>
      </c>
      <c r="X1255" t="s">
        <v>450</v>
      </c>
      <c r="Y1255" t="s">
        <v>28</v>
      </c>
      <c r="Z1255">
        <v>100277</v>
      </c>
      <c r="AA1255" t="s">
        <v>467</v>
      </c>
      <c r="AB1255" t="s">
        <v>521</v>
      </c>
      <c r="AC1255" s="9">
        <v>2</v>
      </c>
      <c r="AD1255" s="9" t="str">
        <f t="shared" si="132"/>
        <v>Ok</v>
      </c>
      <c r="AE1255" s="11">
        <f t="shared" si="134"/>
        <v>0</v>
      </c>
    </row>
    <row r="1256" spans="1:31" x14ac:dyDescent="0.3">
      <c r="A1256">
        <v>42</v>
      </c>
      <c r="B1256">
        <v>4702243</v>
      </c>
      <c r="C1256" t="s">
        <v>94</v>
      </c>
      <c r="D1256">
        <v>1470631</v>
      </c>
      <c r="E1256" t="s">
        <v>214</v>
      </c>
      <c r="F1256" t="s">
        <v>20</v>
      </c>
      <c r="G1256" t="s">
        <v>1130</v>
      </c>
      <c r="H1256" t="s">
        <v>1131</v>
      </c>
      <c r="I1256" t="s">
        <v>3435</v>
      </c>
      <c r="J1256">
        <v>51147592701</v>
      </c>
      <c r="K1256" t="s">
        <v>3165</v>
      </c>
      <c r="L1256" t="s">
        <v>3457</v>
      </c>
      <c r="M1256">
        <v>1</v>
      </c>
      <c r="N1256" s="10">
        <v>250</v>
      </c>
      <c r="O1256" s="10">
        <f t="shared" si="130"/>
        <v>250</v>
      </c>
      <c r="P1256" s="10" t="s">
        <v>5006</v>
      </c>
      <c r="Q1256" s="10" t="s">
        <v>5006</v>
      </c>
      <c r="R1256" s="10" t="str">
        <f>IF(COUNTIF($J$2:J1256,J1256)=1,SUMIFS($O:$O,$J:$J,J1256)+SUMIFS($P:$P,$J:$J,J1256)+SUMIFS($Q:$Q,$J:$J,J1256),"")</f>
        <v/>
      </c>
      <c r="S1256" s="10" t="s">
        <v>5006</v>
      </c>
      <c r="T1256" s="11" t="str">
        <f t="shared" si="133"/>
        <v>Ok</v>
      </c>
      <c r="U1256" s="12">
        <v>46020</v>
      </c>
      <c r="V1256" s="10">
        <v>250</v>
      </c>
      <c r="W1256" s="10" t="str">
        <f t="shared" si="131"/>
        <v>N/A</v>
      </c>
      <c r="X1256" t="s">
        <v>450</v>
      </c>
      <c r="Y1256" t="s">
        <v>28</v>
      </c>
      <c r="Z1256">
        <v>100277</v>
      </c>
      <c r="AA1256" t="s">
        <v>467</v>
      </c>
      <c r="AB1256" t="s">
        <v>521</v>
      </c>
      <c r="AC1256" s="9">
        <v>2</v>
      </c>
      <c r="AD1256" s="9" t="str">
        <f t="shared" si="132"/>
        <v>N/A</v>
      </c>
      <c r="AE1256" s="11" t="e">
        <f t="shared" si="134"/>
        <v>#VALUE!</v>
      </c>
    </row>
    <row r="1257" spans="1:31" x14ac:dyDescent="0.3">
      <c r="A1257">
        <v>43</v>
      </c>
      <c r="B1257">
        <v>4700573</v>
      </c>
      <c r="C1257" t="s">
        <v>220</v>
      </c>
      <c r="D1257">
        <v>1379208</v>
      </c>
      <c r="E1257" t="s">
        <v>603</v>
      </c>
      <c r="F1257" t="s">
        <v>20</v>
      </c>
      <c r="G1257" t="s">
        <v>1102</v>
      </c>
      <c r="H1257" t="s">
        <v>1103</v>
      </c>
      <c r="I1257" t="s">
        <v>3300</v>
      </c>
      <c r="J1257">
        <v>51147620667</v>
      </c>
      <c r="K1257" s="12">
        <v>46082</v>
      </c>
      <c r="L1257" t="s">
        <v>4133</v>
      </c>
      <c r="M1257">
        <v>1620</v>
      </c>
      <c r="N1257" s="10">
        <v>3.53</v>
      </c>
      <c r="O1257" s="10">
        <f t="shared" si="130"/>
        <v>5718.5999999999995</v>
      </c>
      <c r="P1257" s="10">
        <v>0</v>
      </c>
      <c r="Q1257" s="10">
        <v>0</v>
      </c>
      <c r="R1257" s="10">
        <f>IF(COUNTIF($J$2:J1257,J1257)=1,SUMIFS($O:$O,$J:$J,J1257)+SUMIFS($P:$P,$J:$J,J1257)+SUMIFS($Q:$Q,$J:$J,J1257),"")</f>
        <v>14215.775750000001</v>
      </c>
      <c r="S1257" s="10">
        <v>14215.78</v>
      </c>
      <c r="T1257" s="11" t="str">
        <f t="shared" si="133"/>
        <v>Check</v>
      </c>
      <c r="U1257" s="12">
        <v>46051</v>
      </c>
      <c r="V1257" s="10">
        <v>5718.6</v>
      </c>
      <c r="W1257" s="10" t="str">
        <f t="shared" si="131"/>
        <v>Short Paid</v>
      </c>
      <c r="X1257" t="s">
        <v>470</v>
      </c>
      <c r="Y1257" t="s">
        <v>28</v>
      </c>
      <c r="Z1257">
        <v>100158</v>
      </c>
      <c r="AA1257" t="s">
        <v>510</v>
      </c>
      <c r="AB1257" t="s">
        <v>521</v>
      </c>
      <c r="AC1257" s="9">
        <v>2</v>
      </c>
      <c r="AD1257" s="9" t="str">
        <f t="shared" si="132"/>
        <v>Check</v>
      </c>
      <c r="AE1257" s="11">
        <f t="shared" si="134"/>
        <v>-4.2499999999563443E-3</v>
      </c>
    </row>
    <row r="1258" spans="1:31" x14ac:dyDescent="0.3">
      <c r="A1258">
        <v>43</v>
      </c>
      <c r="B1258">
        <v>4700573</v>
      </c>
      <c r="C1258" t="s">
        <v>220</v>
      </c>
      <c r="D1258">
        <v>1379208</v>
      </c>
      <c r="E1258" t="s">
        <v>603</v>
      </c>
      <c r="F1258" t="s">
        <v>20</v>
      </c>
      <c r="G1258" t="s">
        <v>1102</v>
      </c>
      <c r="H1258" t="s">
        <v>1103</v>
      </c>
      <c r="I1258" t="s">
        <v>3441</v>
      </c>
      <c r="J1258">
        <v>51147620667</v>
      </c>
      <c r="K1258" t="s">
        <v>3443</v>
      </c>
      <c r="L1258" t="s">
        <v>3442</v>
      </c>
      <c r="M1258">
        <v>245</v>
      </c>
      <c r="N1258" s="10">
        <v>34.68235</v>
      </c>
      <c r="O1258" s="10">
        <f t="shared" si="130"/>
        <v>8497.1757500000003</v>
      </c>
      <c r="P1258" s="10" t="s">
        <v>5006</v>
      </c>
      <c r="Q1258" s="10" t="s">
        <v>5006</v>
      </c>
      <c r="R1258" s="10" t="str">
        <f>IF(COUNTIF($J$2:J1258,J1258)=1,SUMIFS($O:$O,$J:$J,J1258)+SUMIFS($P:$P,$J:$J,J1258)+SUMIFS($Q:$Q,$J:$J,J1258),"")</f>
        <v/>
      </c>
      <c r="S1258" s="10" t="s">
        <v>5006</v>
      </c>
      <c r="T1258" s="11" t="str">
        <f t="shared" si="133"/>
        <v>Check</v>
      </c>
      <c r="U1258" s="12">
        <v>46051</v>
      </c>
      <c r="V1258" s="10">
        <v>5718.6</v>
      </c>
      <c r="W1258" s="10" t="str">
        <f t="shared" si="131"/>
        <v>N/A</v>
      </c>
      <c r="X1258" t="s">
        <v>470</v>
      </c>
      <c r="Y1258" t="s">
        <v>28</v>
      </c>
      <c r="Z1258">
        <v>100158</v>
      </c>
      <c r="AA1258" t="s">
        <v>510</v>
      </c>
      <c r="AB1258" t="s">
        <v>521</v>
      </c>
      <c r="AC1258" s="9">
        <v>2</v>
      </c>
      <c r="AD1258" s="9" t="str">
        <f t="shared" si="132"/>
        <v>N/A</v>
      </c>
      <c r="AE1258" s="11" t="e">
        <f t="shared" si="134"/>
        <v>#VALUE!</v>
      </c>
    </row>
    <row r="1259" spans="1:31" x14ac:dyDescent="0.3">
      <c r="A1259">
        <v>37</v>
      </c>
      <c r="B1259">
        <v>4740089</v>
      </c>
      <c r="C1259" t="s">
        <v>239</v>
      </c>
      <c r="D1259">
        <v>1037347</v>
      </c>
      <c r="E1259" t="s">
        <v>291</v>
      </c>
      <c r="F1259" t="s">
        <v>18</v>
      </c>
      <c r="G1259" t="s">
        <v>1263</v>
      </c>
      <c r="H1259" t="s">
        <v>1264</v>
      </c>
      <c r="I1259" t="s">
        <v>3453</v>
      </c>
      <c r="J1259">
        <v>51147657865</v>
      </c>
      <c r="K1259" t="s">
        <v>3370</v>
      </c>
      <c r="L1259" t="s">
        <v>4003</v>
      </c>
      <c r="M1259">
        <v>12000</v>
      </c>
      <c r="N1259" s="10">
        <v>3.2000000000000001E-2</v>
      </c>
      <c r="O1259" s="10">
        <f t="shared" si="130"/>
        <v>384</v>
      </c>
      <c r="P1259" s="10">
        <v>0</v>
      </c>
      <c r="Q1259" s="10">
        <v>218.88</v>
      </c>
      <c r="R1259" s="10">
        <f>IF(COUNTIF($J$2:J1259,J1259)=1,SUMIFS($O:$O,$J:$J,J1259)+SUMIFS($P:$P,$J:$J,J1259)+SUMIFS($Q:$Q,$J:$J,J1259),"")</f>
        <v>1333.13</v>
      </c>
      <c r="S1259" s="10">
        <v>1333.13</v>
      </c>
      <c r="T1259" s="11" t="str">
        <f t="shared" si="133"/>
        <v>Ok</v>
      </c>
      <c r="U1259" s="12">
        <v>46099</v>
      </c>
      <c r="V1259" s="10">
        <v>602.88</v>
      </c>
      <c r="W1259" s="10" t="str">
        <f t="shared" si="131"/>
        <v>Short Paid</v>
      </c>
      <c r="X1259" t="s">
        <v>476</v>
      </c>
      <c r="Y1259" t="s">
        <v>28</v>
      </c>
      <c r="Z1259">
        <v>100195</v>
      </c>
      <c r="AA1259" t="s">
        <v>3070</v>
      </c>
      <c r="AB1259" t="s">
        <v>523</v>
      </c>
      <c r="AC1259" s="9">
        <v>2</v>
      </c>
      <c r="AD1259" s="9" t="str">
        <f t="shared" si="132"/>
        <v>Ok</v>
      </c>
      <c r="AE1259" s="11">
        <f t="shared" si="134"/>
        <v>0</v>
      </c>
    </row>
    <row r="1260" spans="1:31" x14ac:dyDescent="0.3">
      <c r="A1260">
        <v>37</v>
      </c>
      <c r="B1260">
        <v>4740089</v>
      </c>
      <c r="C1260" t="s">
        <v>239</v>
      </c>
      <c r="D1260">
        <v>1037347</v>
      </c>
      <c r="E1260" t="s">
        <v>291</v>
      </c>
      <c r="F1260" t="s">
        <v>18</v>
      </c>
      <c r="G1260" t="s">
        <v>1263</v>
      </c>
      <c r="H1260" t="s">
        <v>1264</v>
      </c>
      <c r="I1260" t="s">
        <v>3250</v>
      </c>
      <c r="J1260">
        <v>51147657865</v>
      </c>
      <c r="K1260" t="s">
        <v>3375</v>
      </c>
      <c r="L1260" t="s">
        <v>4175</v>
      </c>
      <c r="M1260">
        <v>2500</v>
      </c>
      <c r="N1260" s="10">
        <v>0.29210000000000003</v>
      </c>
      <c r="O1260" s="10">
        <f t="shared" si="130"/>
        <v>730.25000000000011</v>
      </c>
      <c r="P1260" s="10" t="s">
        <v>5006</v>
      </c>
      <c r="Q1260" s="10" t="s">
        <v>5006</v>
      </c>
      <c r="R1260" s="10" t="str">
        <f>IF(COUNTIF($J$2:J1260,J1260)=1,SUMIFS($O:$O,$J:$J,J1260)+SUMIFS($P:$P,$J:$J,J1260)+SUMIFS($Q:$Q,$J:$J,J1260),"")</f>
        <v/>
      </c>
      <c r="S1260" s="10" t="s">
        <v>5006</v>
      </c>
      <c r="T1260" s="11" t="str">
        <f t="shared" si="133"/>
        <v>Ok</v>
      </c>
      <c r="U1260" s="12">
        <v>46099</v>
      </c>
      <c r="V1260" s="10">
        <v>602.88</v>
      </c>
      <c r="W1260" s="10" t="str">
        <f t="shared" si="131"/>
        <v>N/A</v>
      </c>
      <c r="X1260" t="s">
        <v>476</v>
      </c>
      <c r="Y1260" t="s">
        <v>28</v>
      </c>
      <c r="Z1260">
        <v>100195</v>
      </c>
      <c r="AA1260" t="s">
        <v>3070</v>
      </c>
      <c r="AB1260" t="s">
        <v>523</v>
      </c>
      <c r="AC1260" s="9">
        <v>2</v>
      </c>
      <c r="AD1260" s="9" t="str">
        <f t="shared" si="132"/>
        <v>N/A</v>
      </c>
      <c r="AE1260" s="11" t="e">
        <f t="shared" si="134"/>
        <v>#VALUE!</v>
      </c>
    </row>
    <row r="1261" spans="1:31" x14ac:dyDescent="0.3">
      <c r="A1261">
        <v>42</v>
      </c>
      <c r="B1261">
        <v>4714487</v>
      </c>
      <c r="C1261" t="s">
        <v>60</v>
      </c>
      <c r="D1261">
        <v>1588891</v>
      </c>
      <c r="E1261" t="s">
        <v>61</v>
      </c>
      <c r="F1261" t="s">
        <v>18</v>
      </c>
      <c r="G1261" t="s">
        <v>1175</v>
      </c>
      <c r="H1261" t="s">
        <v>1176</v>
      </c>
      <c r="I1261" t="s">
        <v>3455</v>
      </c>
      <c r="J1261">
        <v>51147725367</v>
      </c>
      <c r="K1261" t="s">
        <v>3379</v>
      </c>
      <c r="L1261" t="s">
        <v>4189</v>
      </c>
      <c r="M1261">
        <v>2100</v>
      </c>
      <c r="N1261" s="10">
        <v>0.26124999999999998</v>
      </c>
      <c r="O1261" s="10">
        <f t="shared" si="130"/>
        <v>548.625</v>
      </c>
      <c r="P1261" s="10">
        <v>0</v>
      </c>
      <c r="Q1261" s="10">
        <v>0</v>
      </c>
      <c r="R1261" s="10">
        <f>IF(COUNTIF($J$2:J1261,J1261)=1,SUMIFS($O:$O,$J:$J,J1261)+SUMIFS($P:$P,$J:$J,J1261)+SUMIFS($Q:$Q,$J:$J,J1261),"")</f>
        <v>1889.0249999999999</v>
      </c>
      <c r="S1261" s="10">
        <v>2071.91</v>
      </c>
      <c r="T1261" s="11" t="str">
        <f t="shared" si="133"/>
        <v>Check</v>
      </c>
      <c r="U1261" s="12">
        <v>45994</v>
      </c>
      <c r="V1261" s="10">
        <v>-17.489999999999998</v>
      </c>
      <c r="W1261" s="10" t="str">
        <f t="shared" si="131"/>
        <v>Short Paid</v>
      </c>
      <c r="X1261" t="s">
        <v>438</v>
      </c>
      <c r="Y1261" t="s">
        <v>28</v>
      </c>
      <c r="Z1261">
        <v>100153</v>
      </c>
      <c r="AA1261" t="s">
        <v>445</v>
      </c>
      <c r="AB1261" t="s">
        <v>523</v>
      </c>
      <c r="AC1261" s="9">
        <v>2</v>
      </c>
      <c r="AD1261" s="9" t="str">
        <f t="shared" si="132"/>
        <v>Check</v>
      </c>
      <c r="AE1261" s="11">
        <f t="shared" si="134"/>
        <v>-182.88499999999999</v>
      </c>
    </row>
    <row r="1262" spans="1:31" x14ac:dyDescent="0.3">
      <c r="A1262">
        <v>42</v>
      </c>
      <c r="B1262">
        <v>4714487</v>
      </c>
      <c r="C1262" t="s">
        <v>60</v>
      </c>
      <c r="D1262">
        <v>1588891</v>
      </c>
      <c r="E1262" t="s">
        <v>61</v>
      </c>
      <c r="F1262" t="s">
        <v>18</v>
      </c>
      <c r="G1262" t="s">
        <v>1175</v>
      </c>
      <c r="H1262" t="s">
        <v>1176</v>
      </c>
      <c r="I1262" t="s">
        <v>3402</v>
      </c>
      <c r="J1262">
        <v>51147725367</v>
      </c>
      <c r="K1262" t="s">
        <v>3318</v>
      </c>
      <c r="L1262" t="s">
        <v>3317</v>
      </c>
      <c r="M1262">
        <v>12000</v>
      </c>
      <c r="N1262" s="10">
        <v>0.11169999999999999</v>
      </c>
      <c r="O1262" s="10">
        <f t="shared" si="130"/>
        <v>1340.3999999999999</v>
      </c>
      <c r="P1262" s="10" t="s">
        <v>5006</v>
      </c>
      <c r="Q1262" s="10" t="s">
        <v>5006</v>
      </c>
      <c r="R1262" s="10" t="str">
        <f>IF(COUNTIF($J$2:J1262,J1262)=1,SUMIFS($O:$O,$J:$J,J1262)+SUMIFS($P:$P,$J:$J,J1262)+SUMIFS($Q:$Q,$J:$J,J1262),"")</f>
        <v/>
      </c>
      <c r="S1262" s="10" t="s">
        <v>5006</v>
      </c>
      <c r="T1262" s="11" t="str">
        <f t="shared" si="133"/>
        <v>Check</v>
      </c>
      <c r="U1262" s="12">
        <v>45994</v>
      </c>
      <c r="V1262" s="10">
        <v>-17.489999999999998</v>
      </c>
      <c r="W1262" s="10" t="str">
        <f t="shared" si="131"/>
        <v>N/A</v>
      </c>
      <c r="X1262" t="s">
        <v>438</v>
      </c>
      <c r="Y1262" t="s">
        <v>28</v>
      </c>
      <c r="Z1262">
        <v>100153</v>
      </c>
      <c r="AA1262" t="s">
        <v>445</v>
      </c>
      <c r="AB1262" t="s">
        <v>523</v>
      </c>
      <c r="AC1262" s="9">
        <v>2</v>
      </c>
      <c r="AD1262" s="9" t="str">
        <f t="shared" si="132"/>
        <v>N/A</v>
      </c>
      <c r="AE1262" s="11" t="e">
        <f t="shared" si="134"/>
        <v>#VALUE!</v>
      </c>
    </row>
    <row r="1263" spans="1:31" x14ac:dyDescent="0.3">
      <c r="A1263">
        <v>42</v>
      </c>
      <c r="B1263">
        <v>4701408</v>
      </c>
      <c r="C1263" t="s">
        <v>217</v>
      </c>
      <c r="D1263">
        <v>1140119</v>
      </c>
      <c r="E1263" t="s">
        <v>630</v>
      </c>
      <c r="F1263" t="s">
        <v>18</v>
      </c>
      <c r="G1263" t="s">
        <v>2754</v>
      </c>
      <c r="H1263" t="s">
        <v>1101</v>
      </c>
      <c r="I1263" t="s">
        <v>3253</v>
      </c>
      <c r="J1263">
        <v>51147731334</v>
      </c>
      <c r="K1263" t="s">
        <v>3443</v>
      </c>
      <c r="L1263" t="s">
        <v>3442</v>
      </c>
      <c r="M1263">
        <v>50</v>
      </c>
      <c r="N1263" s="10">
        <v>34.68235</v>
      </c>
      <c r="O1263" s="10">
        <f t="shared" si="130"/>
        <v>1734.1175000000001</v>
      </c>
      <c r="P1263" s="10">
        <v>122.21</v>
      </c>
      <c r="Q1263" s="10">
        <v>0</v>
      </c>
      <c r="R1263" s="10">
        <f>IF(COUNTIF($J$2:J1263,J1263)=1,SUMIFS($O:$O,$J:$J,J1263)+SUMIFS($P:$P,$J:$J,J1263)+SUMIFS($Q:$Q,$J:$J,J1263),"")</f>
        <v>2796.4275000000002</v>
      </c>
      <c r="S1263" s="10">
        <v>2796.43</v>
      </c>
      <c r="T1263" s="11" t="str">
        <f t="shared" si="133"/>
        <v>Check</v>
      </c>
      <c r="U1263" s="12">
        <v>46079</v>
      </c>
      <c r="V1263" s="10">
        <v>807.65</v>
      </c>
      <c r="W1263" s="10" t="str">
        <f t="shared" si="131"/>
        <v>Short Paid</v>
      </c>
      <c r="X1263" t="s">
        <v>468</v>
      </c>
      <c r="Y1263" t="s">
        <v>28</v>
      </c>
      <c r="Z1263">
        <v>100206</v>
      </c>
      <c r="AA1263" t="s">
        <v>3058</v>
      </c>
      <c r="AB1263" t="s">
        <v>523</v>
      </c>
      <c r="AC1263" s="9">
        <v>2</v>
      </c>
      <c r="AD1263" s="9" t="str">
        <f t="shared" si="132"/>
        <v>Check</v>
      </c>
      <c r="AE1263" s="11">
        <f t="shared" si="134"/>
        <v>-2.4999999995998223E-3</v>
      </c>
    </row>
    <row r="1264" spans="1:31" x14ac:dyDescent="0.3">
      <c r="A1264">
        <v>42</v>
      </c>
      <c r="B1264">
        <v>4701408</v>
      </c>
      <c r="C1264" t="s">
        <v>217</v>
      </c>
      <c r="D1264">
        <v>1140119</v>
      </c>
      <c r="E1264" t="s">
        <v>630</v>
      </c>
      <c r="F1264" t="s">
        <v>18</v>
      </c>
      <c r="G1264" t="s">
        <v>2754</v>
      </c>
      <c r="H1264" t="s">
        <v>1101</v>
      </c>
      <c r="I1264" t="s">
        <v>3224</v>
      </c>
      <c r="J1264">
        <v>51147731334</v>
      </c>
      <c r="K1264" t="s">
        <v>3183</v>
      </c>
      <c r="L1264" t="s">
        <v>4190</v>
      </c>
      <c r="M1264">
        <v>119000</v>
      </c>
      <c r="N1264" s="10">
        <v>7.9000000000000008E-3</v>
      </c>
      <c r="O1264" s="10">
        <f t="shared" si="130"/>
        <v>940.10000000000014</v>
      </c>
      <c r="P1264" s="10" t="s">
        <v>5006</v>
      </c>
      <c r="Q1264" s="10" t="s">
        <v>5006</v>
      </c>
      <c r="R1264" s="10" t="str">
        <f>IF(COUNTIF($J$2:J1264,J1264)=1,SUMIFS($O:$O,$J:$J,J1264)+SUMIFS($P:$P,$J:$J,J1264)+SUMIFS($Q:$Q,$J:$J,J1264),"")</f>
        <v/>
      </c>
      <c r="S1264" s="10" t="s">
        <v>5006</v>
      </c>
      <c r="T1264" s="11" t="str">
        <f t="shared" si="133"/>
        <v>Check</v>
      </c>
      <c r="U1264" s="12">
        <v>46079</v>
      </c>
      <c r="V1264" s="10">
        <v>807.65</v>
      </c>
      <c r="W1264" s="10" t="str">
        <f t="shared" si="131"/>
        <v>N/A</v>
      </c>
      <c r="X1264" t="s">
        <v>468</v>
      </c>
      <c r="Y1264" t="s">
        <v>28</v>
      </c>
      <c r="Z1264">
        <v>100206</v>
      </c>
      <c r="AA1264" t="s">
        <v>3058</v>
      </c>
      <c r="AB1264" t="s">
        <v>523</v>
      </c>
      <c r="AC1264" s="9">
        <v>2</v>
      </c>
      <c r="AD1264" s="9" t="str">
        <f t="shared" si="132"/>
        <v>N/A</v>
      </c>
      <c r="AE1264" s="11" t="e">
        <f t="shared" si="134"/>
        <v>#VALUE!</v>
      </c>
    </row>
    <row r="1265" spans="1:31" x14ac:dyDescent="0.3">
      <c r="A1265">
        <v>42</v>
      </c>
      <c r="B1265">
        <v>4714209</v>
      </c>
      <c r="C1265" t="s">
        <v>60</v>
      </c>
      <c r="D1265">
        <v>1588891</v>
      </c>
      <c r="E1265" t="s">
        <v>61</v>
      </c>
      <c r="F1265" t="s">
        <v>18</v>
      </c>
      <c r="G1265" t="s">
        <v>1173</v>
      </c>
      <c r="H1265" t="s">
        <v>1174</v>
      </c>
      <c r="I1265" t="s">
        <v>3219</v>
      </c>
      <c r="J1265">
        <v>51147819798</v>
      </c>
      <c r="K1265" t="s">
        <v>3318</v>
      </c>
      <c r="L1265" t="s">
        <v>3317</v>
      </c>
      <c r="M1265">
        <v>10000</v>
      </c>
      <c r="N1265" s="10">
        <v>0.11169999999999999</v>
      </c>
      <c r="O1265" s="10">
        <f t="shared" si="130"/>
        <v>1117</v>
      </c>
      <c r="P1265" s="10">
        <v>0</v>
      </c>
      <c r="Q1265" s="10">
        <v>0</v>
      </c>
      <c r="R1265" s="10">
        <f>IF(COUNTIF($J$2:J1265,J1265)=1,SUMIFS($O:$O,$J:$J,J1265)+SUMIFS($P:$P,$J:$J,J1265)+SUMIFS($Q:$Q,$J:$J,J1265),"")</f>
        <v>5297</v>
      </c>
      <c r="S1265" s="10">
        <v>5297</v>
      </c>
      <c r="T1265" s="11" t="str">
        <f t="shared" si="133"/>
        <v>Ok</v>
      </c>
      <c r="U1265" s="12">
        <v>45994</v>
      </c>
      <c r="V1265" s="10">
        <v>783.62</v>
      </c>
      <c r="W1265" s="10" t="str">
        <f t="shared" si="131"/>
        <v>Short Paid</v>
      </c>
      <c r="X1265" t="s">
        <v>438</v>
      </c>
      <c r="Y1265" t="s">
        <v>28</v>
      </c>
      <c r="Z1265">
        <v>100123</v>
      </c>
      <c r="AA1265" t="s">
        <v>447</v>
      </c>
      <c r="AB1265" t="s">
        <v>523</v>
      </c>
      <c r="AC1265" s="9">
        <v>2</v>
      </c>
      <c r="AD1265" s="9" t="str">
        <f t="shared" si="132"/>
        <v>Ok</v>
      </c>
      <c r="AE1265" s="11">
        <f t="shared" si="134"/>
        <v>0</v>
      </c>
    </row>
    <row r="1266" spans="1:31" x14ac:dyDescent="0.3">
      <c r="A1266">
        <v>42</v>
      </c>
      <c r="B1266">
        <v>4714209</v>
      </c>
      <c r="C1266" t="s">
        <v>60</v>
      </c>
      <c r="D1266">
        <v>1588891</v>
      </c>
      <c r="E1266" t="s">
        <v>61</v>
      </c>
      <c r="F1266" t="s">
        <v>18</v>
      </c>
      <c r="G1266" t="s">
        <v>1173</v>
      </c>
      <c r="H1266" t="s">
        <v>1174</v>
      </c>
      <c r="I1266" t="s">
        <v>3419</v>
      </c>
      <c r="J1266">
        <v>51147819798</v>
      </c>
      <c r="K1266" t="s">
        <v>3194</v>
      </c>
      <c r="L1266" t="s">
        <v>4191</v>
      </c>
      <c r="M1266">
        <v>2500</v>
      </c>
      <c r="N1266" s="10">
        <v>1.6719999999999999</v>
      </c>
      <c r="O1266" s="10">
        <f t="shared" si="130"/>
        <v>4180</v>
      </c>
      <c r="P1266" s="10" t="s">
        <v>5006</v>
      </c>
      <c r="Q1266" s="10" t="s">
        <v>5006</v>
      </c>
      <c r="R1266" s="10" t="str">
        <f>IF(COUNTIF($J$2:J1266,J1266)=1,SUMIFS($O:$O,$J:$J,J1266)+SUMIFS($P:$P,$J:$J,J1266)+SUMIFS($Q:$Q,$J:$J,J1266),"")</f>
        <v/>
      </c>
      <c r="S1266" s="10" t="s">
        <v>5006</v>
      </c>
      <c r="T1266" s="11" t="str">
        <f t="shared" si="133"/>
        <v>Ok</v>
      </c>
      <c r="U1266" s="12">
        <v>45994</v>
      </c>
      <c r="V1266" s="10">
        <v>783.62</v>
      </c>
      <c r="W1266" s="10" t="str">
        <f t="shared" si="131"/>
        <v>N/A</v>
      </c>
      <c r="X1266" t="s">
        <v>438</v>
      </c>
      <c r="Y1266" t="s">
        <v>28</v>
      </c>
      <c r="Z1266">
        <v>100123</v>
      </c>
      <c r="AA1266" t="s">
        <v>447</v>
      </c>
      <c r="AB1266" t="s">
        <v>523</v>
      </c>
      <c r="AC1266" s="9">
        <v>2</v>
      </c>
      <c r="AD1266" s="9" t="str">
        <f t="shared" si="132"/>
        <v>N/A</v>
      </c>
      <c r="AE1266" s="11" t="e">
        <f t="shared" si="134"/>
        <v>#VALUE!</v>
      </c>
    </row>
    <row r="1267" spans="1:31" x14ac:dyDescent="0.3">
      <c r="A1267">
        <v>41</v>
      </c>
      <c r="B1267">
        <v>4716157</v>
      </c>
      <c r="C1267" t="s">
        <v>38</v>
      </c>
      <c r="D1267">
        <v>1253242</v>
      </c>
      <c r="E1267" t="s">
        <v>708</v>
      </c>
      <c r="F1267" t="s">
        <v>49</v>
      </c>
      <c r="G1267" t="s">
        <v>1181</v>
      </c>
      <c r="H1267" t="s">
        <v>1182</v>
      </c>
      <c r="I1267" t="s">
        <v>3305</v>
      </c>
      <c r="J1267">
        <v>51147833741</v>
      </c>
      <c r="K1267" t="s">
        <v>3289</v>
      </c>
      <c r="L1267" t="s">
        <v>4192</v>
      </c>
      <c r="M1267">
        <v>250</v>
      </c>
      <c r="N1267" s="10">
        <v>15</v>
      </c>
      <c r="O1267" s="10">
        <f t="shared" si="130"/>
        <v>3750</v>
      </c>
      <c r="P1267" s="10">
        <v>367.42</v>
      </c>
      <c r="Q1267" s="10">
        <v>0</v>
      </c>
      <c r="R1267" s="10">
        <f>IF(COUNTIF($J$2:J1267,J1267)=1,SUMIFS($O:$O,$J:$J,J1267)+SUMIFS($P:$P,$J:$J,J1267)+SUMIFS($Q:$Q,$J:$J,J1267),"")</f>
        <v>4689.88</v>
      </c>
      <c r="S1267" s="10">
        <v>4708.3</v>
      </c>
      <c r="T1267" s="11" t="str">
        <f t="shared" si="133"/>
        <v>Check</v>
      </c>
      <c r="U1267" s="12">
        <v>46119</v>
      </c>
      <c r="V1267" s="10">
        <v>367.42</v>
      </c>
      <c r="W1267" s="10" t="str">
        <f t="shared" si="131"/>
        <v>Short Paid</v>
      </c>
      <c r="X1267" t="s">
        <v>474</v>
      </c>
      <c r="Y1267" t="s">
        <v>29</v>
      </c>
      <c r="Z1267">
        <v>100299</v>
      </c>
      <c r="AA1267" t="s">
        <v>3142</v>
      </c>
      <c r="AB1267" t="s">
        <v>3041</v>
      </c>
      <c r="AC1267" s="9">
        <v>2</v>
      </c>
      <c r="AD1267" s="9" t="str">
        <f t="shared" si="132"/>
        <v>Check</v>
      </c>
      <c r="AE1267" s="11">
        <f t="shared" si="134"/>
        <v>-18.420000000000073</v>
      </c>
    </row>
    <row r="1268" spans="1:31" x14ac:dyDescent="0.3">
      <c r="A1268">
        <v>41</v>
      </c>
      <c r="B1268">
        <v>4716157</v>
      </c>
      <c r="C1268" t="s">
        <v>38</v>
      </c>
      <c r="D1268">
        <v>1253242</v>
      </c>
      <c r="E1268" t="s">
        <v>708</v>
      </c>
      <c r="F1268" t="s">
        <v>49</v>
      </c>
      <c r="G1268" t="s">
        <v>1181</v>
      </c>
      <c r="H1268" t="s">
        <v>1182</v>
      </c>
      <c r="I1268" t="s">
        <v>3315</v>
      </c>
      <c r="J1268">
        <v>51147833741</v>
      </c>
      <c r="K1268" t="s">
        <v>3473</v>
      </c>
      <c r="L1268" t="s">
        <v>3472</v>
      </c>
      <c r="M1268">
        <v>6000</v>
      </c>
      <c r="N1268" s="10">
        <v>9.5409999999999995E-2</v>
      </c>
      <c r="O1268" s="10">
        <f t="shared" si="130"/>
        <v>572.45999999999992</v>
      </c>
      <c r="P1268" s="10" t="s">
        <v>5006</v>
      </c>
      <c r="Q1268" s="10" t="s">
        <v>5006</v>
      </c>
      <c r="R1268" s="10" t="str">
        <f>IF(COUNTIF($J$2:J1268,J1268)=1,SUMIFS($O:$O,$J:$J,J1268)+SUMIFS($P:$P,$J:$J,J1268)+SUMIFS($Q:$Q,$J:$J,J1268),"")</f>
        <v/>
      </c>
      <c r="S1268" s="10" t="s">
        <v>5006</v>
      </c>
      <c r="T1268" s="11" t="str">
        <f t="shared" si="133"/>
        <v>Check</v>
      </c>
      <c r="U1268" s="12">
        <v>46119</v>
      </c>
      <c r="V1268" s="10">
        <v>367.42</v>
      </c>
      <c r="W1268" s="10" t="str">
        <f t="shared" si="131"/>
        <v>N/A</v>
      </c>
      <c r="X1268" t="s">
        <v>474</v>
      </c>
      <c r="Y1268" t="s">
        <v>29</v>
      </c>
      <c r="Z1268">
        <v>100299</v>
      </c>
      <c r="AA1268" t="s">
        <v>3142</v>
      </c>
      <c r="AB1268" t="s">
        <v>3041</v>
      </c>
      <c r="AC1268" s="9">
        <v>2</v>
      </c>
      <c r="AD1268" s="9" t="str">
        <f t="shared" si="132"/>
        <v>N/A</v>
      </c>
      <c r="AE1268" s="11" t="e">
        <f t="shared" si="134"/>
        <v>#VALUE!</v>
      </c>
    </row>
    <row r="1269" spans="1:31" x14ac:dyDescent="0.3">
      <c r="A1269">
        <v>41</v>
      </c>
      <c r="B1269">
        <v>4716435</v>
      </c>
      <c r="C1269" t="s">
        <v>167</v>
      </c>
      <c r="D1269">
        <v>1224095</v>
      </c>
      <c r="E1269" t="s">
        <v>4892</v>
      </c>
      <c r="F1269" t="s">
        <v>17</v>
      </c>
      <c r="G1269" t="s">
        <v>1183</v>
      </c>
      <c r="H1269" t="s">
        <v>1184</v>
      </c>
      <c r="I1269" t="s">
        <v>3200</v>
      </c>
      <c r="J1269">
        <v>51147840350</v>
      </c>
      <c r="K1269" t="s">
        <v>3574</v>
      </c>
      <c r="L1269" t="s">
        <v>4193</v>
      </c>
      <c r="M1269">
        <v>30000</v>
      </c>
      <c r="N1269" s="10">
        <v>9.2700000000000005E-2</v>
      </c>
      <c r="O1269" s="10">
        <f t="shared" si="130"/>
        <v>2781</v>
      </c>
      <c r="P1269" s="10">
        <v>200.98</v>
      </c>
      <c r="Q1269" s="10">
        <v>0</v>
      </c>
      <c r="R1269" s="10">
        <f>IF(COUNTIF($J$2:J1269,J1269)=1,SUMIFS($O:$O,$J:$J,J1269)+SUMIFS($P:$P,$J:$J,J1269)+SUMIFS($Q:$Q,$J:$J,J1269),"")</f>
        <v>3652.18</v>
      </c>
      <c r="S1269" s="10">
        <v>3742.2700000000004</v>
      </c>
      <c r="T1269" s="11" t="str">
        <f t="shared" si="133"/>
        <v>Check</v>
      </c>
      <c r="U1269" s="12">
        <v>45986</v>
      </c>
      <c r="V1269" s="10">
        <v>948.14</v>
      </c>
      <c r="W1269" s="10" t="str">
        <f t="shared" si="131"/>
        <v>Short Paid</v>
      </c>
      <c r="X1269" t="s">
        <v>455</v>
      </c>
      <c r="Y1269" t="s">
        <v>436</v>
      </c>
      <c r="Z1269">
        <v>100130</v>
      </c>
      <c r="AA1269" t="s">
        <v>3044</v>
      </c>
      <c r="AB1269" t="s">
        <v>528</v>
      </c>
      <c r="AC1269" s="9">
        <v>2</v>
      </c>
      <c r="AD1269" s="9" t="str">
        <f t="shared" si="132"/>
        <v>Check</v>
      </c>
      <c r="AE1269" s="11">
        <f t="shared" si="134"/>
        <v>-90.0900000000006</v>
      </c>
    </row>
    <row r="1270" spans="1:31" x14ac:dyDescent="0.3">
      <c r="A1270">
        <v>41</v>
      </c>
      <c r="B1270">
        <v>4716435</v>
      </c>
      <c r="C1270" t="s">
        <v>167</v>
      </c>
      <c r="D1270">
        <v>1224095</v>
      </c>
      <c r="E1270" t="s">
        <v>4892</v>
      </c>
      <c r="F1270" t="s">
        <v>17</v>
      </c>
      <c r="G1270" t="s">
        <v>1183</v>
      </c>
      <c r="H1270" t="s">
        <v>1184</v>
      </c>
      <c r="I1270" t="s">
        <v>3296</v>
      </c>
      <c r="J1270">
        <v>51147840350</v>
      </c>
      <c r="K1270" t="s">
        <v>3318</v>
      </c>
      <c r="L1270" t="s">
        <v>3317</v>
      </c>
      <c r="M1270">
        <v>6000</v>
      </c>
      <c r="N1270" s="10">
        <v>0.11169999999999999</v>
      </c>
      <c r="O1270" s="10">
        <f t="shared" si="130"/>
        <v>670.19999999999993</v>
      </c>
      <c r="P1270" s="10" t="s">
        <v>5006</v>
      </c>
      <c r="Q1270" s="10" t="s">
        <v>5006</v>
      </c>
      <c r="R1270" s="10" t="str">
        <f>IF(COUNTIF($J$2:J1270,J1270)=1,SUMIFS($O:$O,$J:$J,J1270)+SUMIFS($P:$P,$J:$J,J1270)+SUMIFS($Q:$Q,$J:$J,J1270),"")</f>
        <v/>
      </c>
      <c r="S1270" s="10" t="s">
        <v>5006</v>
      </c>
      <c r="T1270" s="11" t="str">
        <f t="shared" si="133"/>
        <v>Check</v>
      </c>
      <c r="U1270" s="12">
        <v>45986</v>
      </c>
      <c r="V1270" s="10">
        <v>948.14</v>
      </c>
      <c r="W1270" s="10" t="str">
        <f t="shared" si="131"/>
        <v>N/A</v>
      </c>
      <c r="X1270" t="s">
        <v>455</v>
      </c>
      <c r="Y1270" t="s">
        <v>436</v>
      </c>
      <c r="Z1270">
        <v>100130</v>
      </c>
      <c r="AA1270" t="s">
        <v>3044</v>
      </c>
      <c r="AB1270" t="s">
        <v>528</v>
      </c>
      <c r="AC1270" s="9">
        <v>2</v>
      </c>
      <c r="AD1270" s="9" t="str">
        <f t="shared" si="132"/>
        <v>N/A</v>
      </c>
      <c r="AE1270" s="11" t="e">
        <f t="shared" si="134"/>
        <v>#VALUE!</v>
      </c>
    </row>
    <row r="1271" spans="1:31" x14ac:dyDescent="0.3">
      <c r="A1271">
        <v>42</v>
      </c>
      <c r="B1271">
        <v>4701686</v>
      </c>
      <c r="C1271" t="s">
        <v>160</v>
      </c>
      <c r="D1271">
        <v>1262308</v>
      </c>
      <c r="E1271" t="s">
        <v>611</v>
      </c>
      <c r="F1271" t="s">
        <v>20</v>
      </c>
      <c r="G1271" t="s">
        <v>2755</v>
      </c>
      <c r="H1271" t="s">
        <v>2756</v>
      </c>
      <c r="I1271" t="s">
        <v>3453</v>
      </c>
      <c r="J1271">
        <v>51147960163</v>
      </c>
      <c r="K1271" t="s">
        <v>3295</v>
      </c>
      <c r="L1271" t="s">
        <v>4194</v>
      </c>
      <c r="M1271">
        <v>14000</v>
      </c>
      <c r="N1271" s="10">
        <v>0.10059999999999999</v>
      </c>
      <c r="O1271" s="10">
        <f t="shared" si="130"/>
        <v>1408.3999999999999</v>
      </c>
      <c r="P1271" s="10">
        <v>0</v>
      </c>
      <c r="Q1271" s="10">
        <v>267.60000000000002</v>
      </c>
      <c r="R1271" s="10">
        <f>IF(COUNTIF($J$2:J1271,J1271)=1,SUMIFS($O:$O,$J:$J,J1271)+SUMIFS($P:$P,$J:$J,J1271)+SUMIFS($Q:$Q,$J:$J,J1271),"")</f>
        <v>2163.5</v>
      </c>
      <c r="S1271" s="10">
        <v>2651</v>
      </c>
      <c r="T1271" s="11" t="str">
        <f t="shared" si="133"/>
        <v>Check</v>
      </c>
      <c r="U1271" s="12">
        <v>46034</v>
      </c>
      <c r="V1271" s="10">
        <v>1676</v>
      </c>
      <c r="W1271" s="10" t="str">
        <f t="shared" si="131"/>
        <v>Short Paid</v>
      </c>
      <c r="X1271" t="s">
        <v>453</v>
      </c>
      <c r="Y1271" t="s">
        <v>28</v>
      </c>
      <c r="Z1271">
        <v>100234</v>
      </c>
      <c r="AA1271" t="s">
        <v>502</v>
      </c>
      <c r="AB1271" t="s">
        <v>521</v>
      </c>
      <c r="AC1271" s="9">
        <v>2</v>
      </c>
      <c r="AD1271" s="9" t="str">
        <f t="shared" si="132"/>
        <v>Check</v>
      </c>
      <c r="AE1271" s="11">
        <f t="shared" si="134"/>
        <v>-487.5</v>
      </c>
    </row>
    <row r="1272" spans="1:31" x14ac:dyDescent="0.3">
      <c r="A1272">
        <v>42</v>
      </c>
      <c r="B1272">
        <v>4701686</v>
      </c>
      <c r="C1272" t="s">
        <v>160</v>
      </c>
      <c r="D1272">
        <v>1262308</v>
      </c>
      <c r="E1272" t="s">
        <v>611</v>
      </c>
      <c r="F1272" t="s">
        <v>20</v>
      </c>
      <c r="G1272" t="s">
        <v>2755</v>
      </c>
      <c r="H1272" t="s">
        <v>2756</v>
      </c>
      <c r="I1272" t="s">
        <v>3204</v>
      </c>
      <c r="J1272">
        <v>51147960163</v>
      </c>
      <c r="K1272" t="s">
        <v>3226</v>
      </c>
      <c r="L1272" t="s">
        <v>4195</v>
      </c>
      <c r="M1272">
        <v>2500</v>
      </c>
      <c r="N1272" s="10">
        <v>0.19500000000000001</v>
      </c>
      <c r="O1272" s="10">
        <f t="shared" si="130"/>
        <v>487.5</v>
      </c>
      <c r="P1272" s="10" t="s">
        <v>5006</v>
      </c>
      <c r="Q1272" s="10" t="s">
        <v>5006</v>
      </c>
      <c r="R1272" s="10" t="str">
        <f>IF(COUNTIF($J$2:J1272,J1272)=1,SUMIFS($O:$O,$J:$J,J1272)+SUMIFS($P:$P,$J:$J,J1272)+SUMIFS($Q:$Q,$J:$J,J1272),"")</f>
        <v/>
      </c>
      <c r="S1272" s="10" t="s">
        <v>5006</v>
      </c>
      <c r="T1272" s="11" t="str">
        <f t="shared" si="133"/>
        <v>Check</v>
      </c>
      <c r="U1272" s="12">
        <v>46034</v>
      </c>
      <c r="V1272" s="10">
        <v>1676</v>
      </c>
      <c r="W1272" s="10" t="str">
        <f t="shared" si="131"/>
        <v>N/A</v>
      </c>
      <c r="X1272" t="s">
        <v>453</v>
      </c>
      <c r="Y1272" t="s">
        <v>28</v>
      </c>
      <c r="Z1272">
        <v>100234</v>
      </c>
      <c r="AA1272" t="s">
        <v>502</v>
      </c>
      <c r="AB1272" t="s">
        <v>521</v>
      </c>
      <c r="AC1272" s="9">
        <v>2</v>
      </c>
      <c r="AD1272" s="9" t="str">
        <f t="shared" si="132"/>
        <v>N/A</v>
      </c>
      <c r="AE1272" s="11" t="e">
        <f t="shared" si="134"/>
        <v>#VALUE!</v>
      </c>
    </row>
    <row r="1273" spans="1:31" x14ac:dyDescent="0.3">
      <c r="A1273">
        <v>42</v>
      </c>
      <c r="B1273">
        <v>4712261</v>
      </c>
      <c r="C1273" t="s">
        <v>60</v>
      </c>
      <c r="D1273">
        <v>1588891</v>
      </c>
      <c r="E1273" t="s">
        <v>61</v>
      </c>
      <c r="F1273" t="s">
        <v>18</v>
      </c>
      <c r="G1273" t="s">
        <v>1159</v>
      </c>
      <c r="H1273" t="s">
        <v>1160</v>
      </c>
      <c r="I1273" t="s">
        <v>3441</v>
      </c>
      <c r="J1273">
        <v>51147992205</v>
      </c>
      <c r="K1273" t="s">
        <v>3401</v>
      </c>
      <c r="L1273" t="s">
        <v>4157</v>
      </c>
      <c r="M1273">
        <v>151</v>
      </c>
      <c r="N1273" s="10">
        <v>0.34974</v>
      </c>
      <c r="O1273" s="10">
        <f t="shared" si="130"/>
        <v>52.810740000000003</v>
      </c>
      <c r="P1273" s="10">
        <v>0</v>
      </c>
      <c r="Q1273" s="10">
        <v>0</v>
      </c>
      <c r="R1273" s="10">
        <f>IF(COUNTIF($J$2:J1273,J1273)=1,SUMIFS($O:$O,$J:$J,J1273)+SUMIFS($P:$P,$J:$J,J1273)+SUMIFS($Q:$Q,$J:$J,J1273),"")</f>
        <v>799.51074000000006</v>
      </c>
      <c r="S1273" s="10">
        <v>799.51</v>
      </c>
      <c r="T1273" s="11" t="str">
        <f t="shared" si="133"/>
        <v>Check</v>
      </c>
      <c r="U1273" s="12">
        <v>45992</v>
      </c>
      <c r="V1273" s="10">
        <v>-12.12</v>
      </c>
      <c r="W1273" s="10" t="str">
        <f t="shared" si="131"/>
        <v>Short Paid</v>
      </c>
      <c r="X1273" t="s">
        <v>438</v>
      </c>
      <c r="Y1273" t="s">
        <v>28</v>
      </c>
      <c r="Z1273">
        <v>100193</v>
      </c>
      <c r="AA1273" t="s">
        <v>442</v>
      </c>
      <c r="AB1273" t="s">
        <v>523</v>
      </c>
      <c r="AC1273" s="9">
        <v>2</v>
      </c>
      <c r="AD1273" s="9" t="str">
        <f t="shared" si="132"/>
        <v>Check</v>
      </c>
      <c r="AE1273" s="11">
        <f t="shared" si="134"/>
        <v>7.4000000006435585E-4</v>
      </c>
    </row>
    <row r="1274" spans="1:31" x14ac:dyDescent="0.3">
      <c r="A1274">
        <v>42</v>
      </c>
      <c r="B1274">
        <v>4712261</v>
      </c>
      <c r="C1274" t="s">
        <v>60</v>
      </c>
      <c r="D1274">
        <v>1588891</v>
      </c>
      <c r="E1274" t="s">
        <v>61</v>
      </c>
      <c r="F1274" t="s">
        <v>18</v>
      </c>
      <c r="G1274" t="s">
        <v>1159</v>
      </c>
      <c r="H1274" t="s">
        <v>1160</v>
      </c>
      <c r="I1274" t="s">
        <v>3347</v>
      </c>
      <c r="J1274">
        <v>51147992205</v>
      </c>
      <c r="K1274" t="s">
        <v>3246</v>
      </c>
      <c r="L1274" t="s">
        <v>3458</v>
      </c>
      <c r="M1274">
        <v>3000</v>
      </c>
      <c r="N1274" s="10">
        <v>0.24890000000000001</v>
      </c>
      <c r="O1274" s="10">
        <f t="shared" si="130"/>
        <v>746.7</v>
      </c>
      <c r="P1274" s="10" t="s">
        <v>5006</v>
      </c>
      <c r="Q1274" s="10" t="s">
        <v>5006</v>
      </c>
      <c r="R1274" s="10" t="str">
        <f>IF(COUNTIF($J$2:J1274,J1274)=1,SUMIFS($O:$O,$J:$J,J1274)+SUMIFS($P:$P,$J:$J,J1274)+SUMIFS($Q:$Q,$J:$J,J1274),"")</f>
        <v/>
      </c>
      <c r="S1274" s="10" t="s">
        <v>5006</v>
      </c>
      <c r="T1274" s="11" t="str">
        <f t="shared" si="133"/>
        <v>Check</v>
      </c>
      <c r="U1274" s="12">
        <v>45992</v>
      </c>
      <c r="V1274" s="10">
        <v>-12.12</v>
      </c>
      <c r="W1274" s="10" t="str">
        <f t="shared" si="131"/>
        <v>N/A</v>
      </c>
      <c r="X1274" t="s">
        <v>438</v>
      </c>
      <c r="Y1274" t="s">
        <v>28</v>
      </c>
      <c r="Z1274">
        <v>100193</v>
      </c>
      <c r="AA1274" t="s">
        <v>442</v>
      </c>
      <c r="AB1274" t="s">
        <v>523</v>
      </c>
      <c r="AC1274" s="9">
        <v>2</v>
      </c>
      <c r="AD1274" s="9" t="str">
        <f t="shared" si="132"/>
        <v>N/A</v>
      </c>
      <c r="AE1274" s="11" t="e">
        <f t="shared" si="134"/>
        <v>#VALUE!</v>
      </c>
    </row>
    <row r="1275" spans="1:31" x14ac:dyDescent="0.3">
      <c r="A1275">
        <v>42</v>
      </c>
      <c r="B1275">
        <v>4712539</v>
      </c>
      <c r="C1275" t="s">
        <v>60</v>
      </c>
      <c r="D1275">
        <v>1588891</v>
      </c>
      <c r="E1275" t="s">
        <v>61</v>
      </c>
      <c r="F1275" t="s">
        <v>18</v>
      </c>
      <c r="G1275" t="s">
        <v>1161</v>
      </c>
      <c r="H1275" t="s">
        <v>1162</v>
      </c>
      <c r="I1275" t="s">
        <v>3344</v>
      </c>
      <c r="J1275">
        <v>51148019434</v>
      </c>
      <c r="K1275" t="s">
        <v>3374</v>
      </c>
      <c r="L1275" t="s">
        <v>3438</v>
      </c>
      <c r="M1275">
        <v>75000</v>
      </c>
      <c r="N1275" s="10">
        <v>1.619E-2</v>
      </c>
      <c r="O1275" s="10">
        <f t="shared" si="130"/>
        <v>1214.25</v>
      </c>
      <c r="P1275" s="10">
        <v>0</v>
      </c>
      <c r="Q1275" s="10">
        <v>0</v>
      </c>
      <c r="R1275" s="10">
        <f>IF(COUNTIF($J$2:J1275,J1275)=1,SUMIFS($O:$O,$J:$J,J1275)+SUMIFS($P:$P,$J:$J,J1275)+SUMIFS($Q:$Q,$J:$J,J1275),"")</f>
        <v>1713.31</v>
      </c>
      <c r="S1275" s="10">
        <v>1713.31</v>
      </c>
      <c r="T1275" s="11" t="str">
        <f t="shared" si="133"/>
        <v>Ok</v>
      </c>
      <c r="U1275" s="12">
        <v>45987</v>
      </c>
      <c r="V1275" s="10">
        <v>-29.18</v>
      </c>
      <c r="W1275" s="10" t="str">
        <f t="shared" si="131"/>
        <v>Short Paid</v>
      </c>
      <c r="X1275" t="s">
        <v>438</v>
      </c>
      <c r="Y1275" t="s">
        <v>28</v>
      </c>
      <c r="Z1275">
        <v>100203</v>
      </c>
      <c r="AA1275" t="s">
        <v>441</v>
      </c>
      <c r="AB1275" t="s">
        <v>523</v>
      </c>
      <c r="AC1275" s="9">
        <v>2</v>
      </c>
      <c r="AD1275" s="9" t="str">
        <f t="shared" si="132"/>
        <v>Ok</v>
      </c>
      <c r="AE1275" s="11">
        <f t="shared" si="134"/>
        <v>0</v>
      </c>
    </row>
    <row r="1276" spans="1:31" x14ac:dyDescent="0.3">
      <c r="A1276">
        <v>42</v>
      </c>
      <c r="B1276">
        <v>4712539</v>
      </c>
      <c r="C1276" t="s">
        <v>60</v>
      </c>
      <c r="D1276">
        <v>1588891</v>
      </c>
      <c r="E1276" t="s">
        <v>61</v>
      </c>
      <c r="F1276" t="s">
        <v>18</v>
      </c>
      <c r="G1276" t="s">
        <v>1161</v>
      </c>
      <c r="H1276" t="s">
        <v>1162</v>
      </c>
      <c r="I1276" t="s">
        <v>3210</v>
      </c>
      <c r="J1276">
        <v>51148019434</v>
      </c>
      <c r="K1276" t="s">
        <v>3252</v>
      </c>
      <c r="L1276" t="s">
        <v>4188</v>
      </c>
      <c r="M1276">
        <v>2000</v>
      </c>
      <c r="N1276" s="10">
        <v>0.24953</v>
      </c>
      <c r="O1276" s="10">
        <f t="shared" si="130"/>
        <v>499.06</v>
      </c>
      <c r="P1276" s="10" t="s">
        <v>5006</v>
      </c>
      <c r="Q1276" s="10" t="s">
        <v>5006</v>
      </c>
      <c r="R1276" s="10" t="str">
        <f>IF(COUNTIF($J$2:J1276,J1276)=1,SUMIFS($O:$O,$J:$J,J1276)+SUMIFS($P:$P,$J:$J,J1276)+SUMIFS($Q:$Q,$J:$J,J1276),"")</f>
        <v/>
      </c>
      <c r="S1276" s="10" t="s">
        <v>5006</v>
      </c>
      <c r="T1276" s="11" t="str">
        <f t="shared" si="133"/>
        <v>Ok</v>
      </c>
      <c r="U1276" s="12">
        <v>45987</v>
      </c>
      <c r="V1276" s="10">
        <v>-29.18</v>
      </c>
      <c r="W1276" s="10" t="str">
        <f t="shared" si="131"/>
        <v>N/A</v>
      </c>
      <c r="X1276" t="s">
        <v>438</v>
      </c>
      <c r="Y1276" t="s">
        <v>28</v>
      </c>
      <c r="Z1276">
        <v>100203</v>
      </c>
      <c r="AA1276" t="s">
        <v>441</v>
      </c>
      <c r="AB1276" t="s">
        <v>523</v>
      </c>
      <c r="AC1276" s="9">
        <v>2</v>
      </c>
      <c r="AD1276" s="9" t="str">
        <f t="shared" si="132"/>
        <v>N/A</v>
      </c>
      <c r="AE1276" s="11" t="e">
        <f t="shared" si="134"/>
        <v>#VALUE!</v>
      </c>
    </row>
    <row r="1277" spans="1:31" x14ac:dyDescent="0.3">
      <c r="A1277">
        <v>42</v>
      </c>
      <c r="B1277">
        <v>4711983</v>
      </c>
      <c r="C1277" t="s">
        <v>60</v>
      </c>
      <c r="D1277">
        <v>1588891</v>
      </c>
      <c r="E1277" t="s">
        <v>61</v>
      </c>
      <c r="F1277" t="s">
        <v>18</v>
      </c>
      <c r="G1277" t="s">
        <v>1157</v>
      </c>
      <c r="H1277" t="s">
        <v>1158</v>
      </c>
      <c r="I1277" t="s">
        <v>3260</v>
      </c>
      <c r="J1277">
        <v>51148019476</v>
      </c>
      <c r="K1277" t="s">
        <v>3177</v>
      </c>
      <c r="L1277" t="s">
        <v>4164</v>
      </c>
      <c r="M1277">
        <v>16000</v>
      </c>
      <c r="N1277" s="10">
        <v>1.2540000000000001E-2</v>
      </c>
      <c r="O1277" s="10">
        <f t="shared" si="130"/>
        <v>200.64000000000001</v>
      </c>
      <c r="P1277" s="10">
        <v>0</v>
      </c>
      <c r="Q1277" s="10">
        <v>0</v>
      </c>
      <c r="R1277" s="10">
        <f>IF(COUNTIF($J$2:J1277,J1277)=1,SUMIFS($O:$O,$J:$J,J1277)+SUMIFS($P:$P,$J:$J,J1277)+SUMIFS($Q:$Q,$J:$J,J1277),"")</f>
        <v>698.44</v>
      </c>
      <c r="S1277" s="10">
        <v>698.44</v>
      </c>
      <c r="T1277" s="11" t="str">
        <f t="shared" si="133"/>
        <v>Ok</v>
      </c>
      <c r="U1277" s="12">
        <v>45986</v>
      </c>
      <c r="V1277" s="10">
        <v>-684.16</v>
      </c>
      <c r="W1277" s="10" t="str">
        <f t="shared" si="131"/>
        <v>Short Paid</v>
      </c>
      <c r="X1277" t="s">
        <v>438</v>
      </c>
      <c r="Y1277" t="s">
        <v>28</v>
      </c>
      <c r="Z1277">
        <v>100163</v>
      </c>
      <c r="AA1277" t="s">
        <v>443</v>
      </c>
      <c r="AB1277" t="s">
        <v>523</v>
      </c>
      <c r="AC1277" s="9">
        <v>2</v>
      </c>
      <c r="AD1277" s="9" t="str">
        <f t="shared" si="132"/>
        <v>Ok</v>
      </c>
      <c r="AE1277" s="11">
        <f t="shared" si="134"/>
        <v>0</v>
      </c>
    </row>
    <row r="1278" spans="1:31" x14ac:dyDescent="0.3">
      <c r="A1278">
        <v>42</v>
      </c>
      <c r="B1278">
        <v>4711983</v>
      </c>
      <c r="C1278" t="s">
        <v>60</v>
      </c>
      <c r="D1278">
        <v>1588891</v>
      </c>
      <c r="E1278" t="s">
        <v>61</v>
      </c>
      <c r="F1278" t="s">
        <v>18</v>
      </c>
      <c r="G1278" t="s">
        <v>1157</v>
      </c>
      <c r="H1278" t="s">
        <v>1158</v>
      </c>
      <c r="I1278" t="s">
        <v>3232</v>
      </c>
      <c r="J1278">
        <v>51148019476</v>
      </c>
      <c r="K1278" t="s">
        <v>3246</v>
      </c>
      <c r="L1278" t="s">
        <v>3458</v>
      </c>
      <c r="M1278">
        <v>2000</v>
      </c>
      <c r="N1278" s="10">
        <v>0.24890000000000001</v>
      </c>
      <c r="O1278" s="10">
        <f t="shared" si="130"/>
        <v>497.8</v>
      </c>
      <c r="P1278" s="10" t="s">
        <v>5006</v>
      </c>
      <c r="Q1278" s="10" t="s">
        <v>5006</v>
      </c>
      <c r="R1278" s="10" t="str">
        <f>IF(COUNTIF($J$2:J1278,J1278)=1,SUMIFS($O:$O,$J:$J,J1278)+SUMIFS($P:$P,$J:$J,J1278)+SUMIFS($Q:$Q,$J:$J,J1278),"")</f>
        <v/>
      </c>
      <c r="S1278" s="10" t="s">
        <v>5006</v>
      </c>
      <c r="T1278" s="11" t="str">
        <f t="shared" si="133"/>
        <v>Ok</v>
      </c>
      <c r="U1278" s="12">
        <v>45986</v>
      </c>
      <c r="V1278" s="10">
        <v>-684.16</v>
      </c>
      <c r="W1278" s="10" t="str">
        <f t="shared" si="131"/>
        <v>N/A</v>
      </c>
      <c r="X1278" t="s">
        <v>438</v>
      </c>
      <c r="Y1278" t="s">
        <v>28</v>
      </c>
      <c r="Z1278">
        <v>100163</v>
      </c>
      <c r="AA1278" t="s">
        <v>443</v>
      </c>
      <c r="AB1278" t="s">
        <v>523</v>
      </c>
      <c r="AC1278" s="9">
        <v>2</v>
      </c>
      <c r="AD1278" s="9" t="str">
        <f t="shared" si="132"/>
        <v>N/A</v>
      </c>
      <c r="AE1278" s="11" t="e">
        <f t="shared" si="134"/>
        <v>#VALUE!</v>
      </c>
    </row>
    <row r="1279" spans="1:31" x14ac:dyDescent="0.3">
      <c r="A1279">
        <v>42</v>
      </c>
      <c r="B1279">
        <v>4712817</v>
      </c>
      <c r="C1279" t="s">
        <v>60</v>
      </c>
      <c r="D1279">
        <v>1588891</v>
      </c>
      <c r="E1279" t="s">
        <v>61</v>
      </c>
      <c r="F1279" t="s">
        <v>18</v>
      </c>
      <c r="G1279" t="s">
        <v>1163</v>
      </c>
      <c r="H1279" t="s">
        <v>1164</v>
      </c>
      <c r="I1279" t="s">
        <v>3236</v>
      </c>
      <c r="J1279">
        <v>51148051813</v>
      </c>
      <c r="K1279" t="s">
        <v>3401</v>
      </c>
      <c r="L1279" t="s">
        <v>4196</v>
      </c>
      <c r="M1279">
        <v>325</v>
      </c>
      <c r="N1279" s="10">
        <v>0.19894999999999999</v>
      </c>
      <c r="O1279" s="10">
        <f t="shared" si="130"/>
        <v>64.658749999999998</v>
      </c>
      <c r="P1279" s="10">
        <v>0</v>
      </c>
      <c r="Q1279" s="10">
        <v>0</v>
      </c>
      <c r="R1279" s="10">
        <f>IF(COUNTIF($J$2:J1279,J1279)=1,SUMIFS($O:$O,$J:$J,J1279)+SUMIFS($P:$P,$J:$J,J1279)+SUMIFS($Q:$Q,$J:$J,J1279),"")</f>
        <v>8533.6587500000005</v>
      </c>
      <c r="S1279" s="10">
        <v>8533.66</v>
      </c>
      <c r="T1279" s="11" t="str">
        <f t="shared" si="133"/>
        <v>Check</v>
      </c>
      <c r="U1279" s="12">
        <v>45993</v>
      </c>
      <c r="V1279" s="10">
        <v>-27.04</v>
      </c>
      <c r="W1279" s="10" t="str">
        <f t="shared" si="131"/>
        <v>Short Paid</v>
      </c>
      <c r="X1279" t="s">
        <v>438</v>
      </c>
      <c r="Y1279" t="s">
        <v>28</v>
      </c>
      <c r="Z1279">
        <v>100233</v>
      </c>
      <c r="AA1279" t="s">
        <v>448</v>
      </c>
      <c r="AB1279" t="s">
        <v>523</v>
      </c>
      <c r="AC1279" s="9">
        <v>2</v>
      </c>
      <c r="AD1279" s="9" t="str">
        <f t="shared" si="132"/>
        <v>Check</v>
      </c>
      <c r="AE1279" s="11">
        <f t="shared" si="134"/>
        <v>-1.2499999993451638E-3</v>
      </c>
    </row>
    <row r="1280" spans="1:31" x14ac:dyDescent="0.3">
      <c r="A1280">
        <v>42</v>
      </c>
      <c r="B1280">
        <v>4712817</v>
      </c>
      <c r="C1280" t="s">
        <v>60</v>
      </c>
      <c r="D1280">
        <v>1588891</v>
      </c>
      <c r="E1280" t="s">
        <v>61</v>
      </c>
      <c r="F1280" t="s">
        <v>18</v>
      </c>
      <c r="G1280" t="s">
        <v>1163</v>
      </c>
      <c r="H1280" t="s">
        <v>1164</v>
      </c>
      <c r="I1280" t="s">
        <v>3432</v>
      </c>
      <c r="J1280">
        <v>51148051813</v>
      </c>
      <c r="K1280" t="s">
        <v>3168</v>
      </c>
      <c r="L1280" t="s">
        <v>4185</v>
      </c>
      <c r="M1280">
        <v>90000</v>
      </c>
      <c r="N1280" s="10">
        <v>9.4100000000000003E-2</v>
      </c>
      <c r="O1280" s="10">
        <f t="shared" si="130"/>
        <v>8469</v>
      </c>
      <c r="P1280" s="10" t="s">
        <v>5006</v>
      </c>
      <c r="Q1280" s="10" t="s">
        <v>5006</v>
      </c>
      <c r="R1280" s="10" t="str">
        <f>IF(COUNTIF($J$2:J1280,J1280)=1,SUMIFS($O:$O,$J:$J,J1280)+SUMIFS($P:$P,$J:$J,J1280)+SUMIFS($Q:$Q,$J:$J,J1280),"")</f>
        <v/>
      </c>
      <c r="S1280" s="10" t="s">
        <v>5006</v>
      </c>
      <c r="T1280" s="11" t="str">
        <f t="shared" si="133"/>
        <v>Check</v>
      </c>
      <c r="U1280" s="12">
        <v>45993</v>
      </c>
      <c r="V1280" s="10">
        <v>-27.04</v>
      </c>
      <c r="W1280" s="10" t="str">
        <f t="shared" si="131"/>
        <v>N/A</v>
      </c>
      <c r="X1280" t="s">
        <v>438</v>
      </c>
      <c r="Y1280" t="s">
        <v>28</v>
      </c>
      <c r="Z1280">
        <v>100233</v>
      </c>
      <c r="AA1280" t="s">
        <v>448</v>
      </c>
      <c r="AB1280" t="s">
        <v>523</v>
      </c>
      <c r="AC1280" s="9">
        <v>2</v>
      </c>
      <c r="AD1280" s="9" t="str">
        <f t="shared" si="132"/>
        <v>N/A</v>
      </c>
      <c r="AE1280" s="11" t="e">
        <f t="shared" si="134"/>
        <v>#VALUE!</v>
      </c>
    </row>
    <row r="1281" spans="1:31" x14ac:dyDescent="0.3">
      <c r="A1281">
        <v>42</v>
      </c>
      <c r="B1281">
        <v>4715044</v>
      </c>
      <c r="C1281" t="s">
        <v>60</v>
      </c>
      <c r="D1281">
        <v>1588891</v>
      </c>
      <c r="E1281" t="s">
        <v>61</v>
      </c>
      <c r="F1281" t="s">
        <v>18</v>
      </c>
      <c r="G1281" t="s">
        <v>1179</v>
      </c>
      <c r="H1281" t="s">
        <v>1180</v>
      </c>
      <c r="I1281" t="s">
        <v>3349</v>
      </c>
      <c r="J1281">
        <v>51148058545</v>
      </c>
      <c r="K1281" t="s">
        <v>3379</v>
      </c>
      <c r="L1281" t="s">
        <v>4197</v>
      </c>
      <c r="M1281">
        <v>44000</v>
      </c>
      <c r="N1281" s="10">
        <v>9.6100000000000005E-3</v>
      </c>
      <c r="O1281" s="10">
        <f t="shared" si="130"/>
        <v>422.84000000000003</v>
      </c>
      <c r="P1281" s="10">
        <v>0</v>
      </c>
      <c r="Q1281" s="10">
        <v>0</v>
      </c>
      <c r="R1281" s="10">
        <f>IF(COUNTIF($J$2:J1281,J1281)=1,SUMIFS($O:$O,$J:$J,J1281)+SUMIFS($P:$P,$J:$J,J1281)+SUMIFS($Q:$Q,$J:$J,J1281),"")</f>
        <v>1567.7599999999998</v>
      </c>
      <c r="S1281" s="10">
        <v>1567.76</v>
      </c>
      <c r="T1281" s="11" t="str">
        <f t="shared" si="133"/>
        <v>Ok</v>
      </c>
      <c r="U1281" s="12">
        <v>45994</v>
      </c>
      <c r="V1281" s="10">
        <v>-361.68</v>
      </c>
      <c r="W1281" s="10" t="str">
        <f t="shared" si="131"/>
        <v>Short Paid</v>
      </c>
      <c r="X1281" t="s">
        <v>438</v>
      </c>
      <c r="Y1281" t="s">
        <v>28</v>
      </c>
      <c r="Z1281">
        <v>100193</v>
      </c>
      <c r="AA1281" t="s">
        <v>442</v>
      </c>
      <c r="AB1281" t="s">
        <v>523</v>
      </c>
      <c r="AC1281" s="9">
        <v>2</v>
      </c>
      <c r="AD1281" s="9" t="str">
        <f t="shared" si="132"/>
        <v>Ok</v>
      </c>
      <c r="AE1281" s="11">
        <f t="shared" si="134"/>
        <v>0</v>
      </c>
    </row>
    <row r="1282" spans="1:31" x14ac:dyDescent="0.3">
      <c r="A1282">
        <v>42</v>
      </c>
      <c r="B1282">
        <v>4715044</v>
      </c>
      <c r="C1282" t="s">
        <v>60</v>
      </c>
      <c r="D1282">
        <v>1588891</v>
      </c>
      <c r="E1282" t="s">
        <v>61</v>
      </c>
      <c r="F1282" t="s">
        <v>18</v>
      </c>
      <c r="G1282" t="s">
        <v>1179</v>
      </c>
      <c r="H1282" t="s">
        <v>1180</v>
      </c>
      <c r="I1282" t="s">
        <v>3322</v>
      </c>
      <c r="J1282">
        <v>51148058545</v>
      </c>
      <c r="K1282" t="s">
        <v>3473</v>
      </c>
      <c r="L1282" t="s">
        <v>3472</v>
      </c>
      <c r="M1282">
        <v>12000</v>
      </c>
      <c r="N1282" s="10">
        <v>9.5409999999999995E-2</v>
      </c>
      <c r="O1282" s="10">
        <f t="shared" ref="O1282:O1345" si="135">M1282*N1282</f>
        <v>1144.9199999999998</v>
      </c>
      <c r="P1282" s="10" t="s">
        <v>5006</v>
      </c>
      <c r="Q1282" s="10" t="s">
        <v>5006</v>
      </c>
      <c r="R1282" s="10" t="str">
        <f>IF(COUNTIF($J$2:J1282,J1282)=1,SUMIFS($O:$O,$J:$J,J1282)+SUMIFS($P:$P,$J:$J,J1282)+SUMIFS($Q:$Q,$J:$J,J1282),"")</f>
        <v/>
      </c>
      <c r="S1282" s="10" t="s">
        <v>5006</v>
      </c>
      <c r="T1282" s="11" t="str">
        <f t="shared" si="133"/>
        <v>Ok</v>
      </c>
      <c r="U1282" s="12">
        <v>45994</v>
      </c>
      <c r="V1282" s="10">
        <v>-361.68</v>
      </c>
      <c r="W1282" s="10" t="str">
        <f t="shared" ref="W1282:W1345" si="136">IF(OR(S1282="",V1282=""),"N/A",IF(S1282&lt;&gt;V1282,"Short Paid","Not Paid"))</f>
        <v>N/A</v>
      </c>
      <c r="X1282" t="s">
        <v>438</v>
      </c>
      <c r="Y1282" t="s">
        <v>28</v>
      </c>
      <c r="Z1282">
        <v>100193</v>
      </c>
      <c r="AA1282" t="s">
        <v>442</v>
      </c>
      <c r="AB1282" t="s">
        <v>523</v>
      </c>
      <c r="AC1282" s="9">
        <v>2</v>
      </c>
      <c r="AD1282" s="9" t="str">
        <f t="shared" ref="AD1282:AD1345" si="137">IF(AND(R1282="",S1282=""),"N/A",IF(R1282=S1282,"Ok","Check"))</f>
        <v>N/A</v>
      </c>
      <c r="AE1282" s="11" t="e">
        <f t="shared" si="134"/>
        <v>#VALUE!</v>
      </c>
    </row>
    <row r="1283" spans="1:31" x14ac:dyDescent="0.3">
      <c r="A1283">
        <v>38</v>
      </c>
      <c r="B1283">
        <v>4728958</v>
      </c>
      <c r="C1283" t="s">
        <v>220</v>
      </c>
      <c r="D1283">
        <v>1309220</v>
      </c>
      <c r="E1283" t="s">
        <v>638</v>
      </c>
      <c r="F1283" t="s">
        <v>49</v>
      </c>
      <c r="G1283" t="s">
        <v>1216</v>
      </c>
      <c r="H1283" t="s">
        <v>1217</v>
      </c>
      <c r="I1283" t="s">
        <v>3277</v>
      </c>
      <c r="J1283">
        <v>51148181015</v>
      </c>
      <c r="K1283" t="s">
        <v>3229</v>
      </c>
      <c r="L1283" t="s">
        <v>3409</v>
      </c>
      <c r="M1283">
        <v>40000</v>
      </c>
      <c r="N1283" s="10">
        <v>1.8200000000000001E-2</v>
      </c>
      <c r="O1283" s="10">
        <f t="shared" si="135"/>
        <v>728</v>
      </c>
      <c r="P1283" s="10">
        <v>5.81</v>
      </c>
      <c r="Q1283" s="10">
        <v>8.49</v>
      </c>
      <c r="R1283" s="10">
        <f>IF(COUNTIF($J$2:J1283,J1283)=1,SUMIFS($O:$O,$J:$J,J1283)+SUMIFS($P:$P,$J:$J,J1283)+SUMIFS($Q:$Q,$J:$J,J1283),"")</f>
        <v>787</v>
      </c>
      <c r="S1283" s="10">
        <v>787</v>
      </c>
      <c r="T1283" s="11" t="str">
        <f t="shared" ref="T1283:T1346" si="138">IFERROR(INDEX(AD:AD,MATCH(J1283,J:J,0)),"")</f>
        <v>Ok</v>
      </c>
      <c r="U1283" s="12">
        <v>45832</v>
      </c>
      <c r="V1283" s="10">
        <v>576.9</v>
      </c>
      <c r="W1283" s="10" t="str">
        <f t="shared" si="136"/>
        <v>Short Paid</v>
      </c>
      <c r="X1283" t="s">
        <v>470</v>
      </c>
      <c r="Y1283" t="s">
        <v>29</v>
      </c>
      <c r="Z1283">
        <v>100298</v>
      </c>
      <c r="AA1283" t="s">
        <v>3105</v>
      </c>
      <c r="AB1283" t="s">
        <v>3041</v>
      </c>
      <c r="AC1283" s="9">
        <v>2</v>
      </c>
      <c r="AD1283" s="9" t="str">
        <f t="shared" si="137"/>
        <v>Ok</v>
      </c>
      <c r="AE1283" s="11">
        <f t="shared" si="134"/>
        <v>0</v>
      </c>
    </row>
    <row r="1284" spans="1:31" x14ac:dyDescent="0.3">
      <c r="A1284">
        <v>38</v>
      </c>
      <c r="B1284">
        <v>4728958</v>
      </c>
      <c r="C1284" t="s">
        <v>220</v>
      </c>
      <c r="D1284">
        <v>1309220</v>
      </c>
      <c r="E1284" t="s">
        <v>638</v>
      </c>
      <c r="F1284" t="s">
        <v>49</v>
      </c>
      <c r="G1284" t="s">
        <v>1216</v>
      </c>
      <c r="H1284" t="s">
        <v>1217</v>
      </c>
      <c r="I1284" t="s">
        <v>3312</v>
      </c>
      <c r="J1284">
        <v>51148181015</v>
      </c>
      <c r="K1284" t="s">
        <v>3168</v>
      </c>
      <c r="L1284" t="s">
        <v>3677</v>
      </c>
      <c r="M1284">
        <v>3000</v>
      </c>
      <c r="N1284" s="10">
        <v>1.49E-2</v>
      </c>
      <c r="O1284" s="10">
        <f t="shared" si="135"/>
        <v>44.7</v>
      </c>
      <c r="P1284" s="10" t="s">
        <v>5006</v>
      </c>
      <c r="Q1284" s="10" t="s">
        <v>5006</v>
      </c>
      <c r="R1284" s="10" t="str">
        <f>IF(COUNTIF($J$2:J1284,J1284)=1,SUMIFS($O:$O,$J:$J,J1284)+SUMIFS($P:$P,$J:$J,J1284)+SUMIFS($Q:$Q,$J:$J,J1284),"")</f>
        <v/>
      </c>
      <c r="S1284" s="10" t="s">
        <v>5006</v>
      </c>
      <c r="T1284" s="11" t="str">
        <f t="shared" si="138"/>
        <v>Ok</v>
      </c>
      <c r="U1284" s="12">
        <v>45832</v>
      </c>
      <c r="V1284" s="10">
        <v>576.9</v>
      </c>
      <c r="W1284" s="10" t="str">
        <f t="shared" si="136"/>
        <v>N/A</v>
      </c>
      <c r="X1284" t="s">
        <v>470</v>
      </c>
      <c r="Y1284" t="s">
        <v>29</v>
      </c>
      <c r="Z1284">
        <v>100298</v>
      </c>
      <c r="AA1284" t="s">
        <v>3105</v>
      </c>
      <c r="AB1284" t="s">
        <v>3041</v>
      </c>
      <c r="AC1284" s="9">
        <v>2</v>
      </c>
      <c r="AD1284" s="9" t="str">
        <f t="shared" si="137"/>
        <v>N/A</v>
      </c>
      <c r="AE1284" s="11" t="e">
        <f t="shared" si="134"/>
        <v>#VALUE!</v>
      </c>
    </row>
    <row r="1285" spans="1:31" x14ac:dyDescent="0.3">
      <c r="A1285">
        <v>39</v>
      </c>
      <c r="B1285">
        <v>4720331</v>
      </c>
      <c r="C1285" t="s">
        <v>239</v>
      </c>
      <c r="D1285">
        <v>1079286</v>
      </c>
      <c r="E1285" t="s">
        <v>629</v>
      </c>
      <c r="F1285" t="s">
        <v>20</v>
      </c>
      <c r="G1285" t="s">
        <v>1196</v>
      </c>
      <c r="H1285" t="s">
        <v>1197</v>
      </c>
      <c r="I1285" t="s">
        <v>3551</v>
      </c>
      <c r="J1285">
        <v>51148239166</v>
      </c>
      <c r="K1285" t="s">
        <v>3168</v>
      </c>
      <c r="L1285" t="s">
        <v>4198</v>
      </c>
      <c r="M1285">
        <v>1</v>
      </c>
      <c r="N1285" s="10">
        <v>91760</v>
      </c>
      <c r="O1285" s="10">
        <f t="shared" si="135"/>
        <v>91760</v>
      </c>
      <c r="P1285" s="10">
        <v>0</v>
      </c>
      <c r="Q1285" s="10">
        <v>0</v>
      </c>
      <c r="R1285" s="10">
        <f>IF(COUNTIF($J$2:J1285,J1285)=1,SUMIFS($O:$O,$J:$J,J1285)+SUMIFS($P:$P,$J:$J,J1285)+SUMIFS($Q:$Q,$J:$J,J1285),"")</f>
        <v>93970</v>
      </c>
      <c r="S1285" s="10">
        <v>93970</v>
      </c>
      <c r="T1285" s="11" t="str">
        <f t="shared" si="138"/>
        <v>Ok</v>
      </c>
      <c r="U1285" s="12">
        <v>45965</v>
      </c>
      <c r="V1285" s="10">
        <v>2210</v>
      </c>
      <c r="W1285" s="10" t="str">
        <f t="shared" si="136"/>
        <v>Short Paid</v>
      </c>
      <c r="X1285" t="s">
        <v>476</v>
      </c>
      <c r="Y1285" t="s">
        <v>28</v>
      </c>
      <c r="Z1285">
        <v>100165</v>
      </c>
      <c r="AA1285" t="s">
        <v>3100</v>
      </c>
      <c r="AB1285" t="s">
        <v>521</v>
      </c>
      <c r="AC1285" s="9">
        <v>2</v>
      </c>
      <c r="AD1285" s="9" t="str">
        <f t="shared" si="137"/>
        <v>Ok</v>
      </c>
      <c r="AE1285" s="11">
        <f t="shared" si="134"/>
        <v>0</v>
      </c>
    </row>
    <row r="1286" spans="1:31" x14ac:dyDescent="0.3">
      <c r="A1286">
        <v>39</v>
      </c>
      <c r="B1286">
        <v>4720331</v>
      </c>
      <c r="C1286" t="s">
        <v>239</v>
      </c>
      <c r="D1286">
        <v>1079286</v>
      </c>
      <c r="E1286" t="s">
        <v>629</v>
      </c>
      <c r="F1286" t="s">
        <v>20</v>
      </c>
      <c r="G1286" t="s">
        <v>1196</v>
      </c>
      <c r="H1286" t="s">
        <v>1197</v>
      </c>
      <c r="I1286" t="s">
        <v>3350</v>
      </c>
      <c r="J1286">
        <v>51148239166</v>
      </c>
      <c r="K1286" t="s">
        <v>3212</v>
      </c>
      <c r="L1286" t="s">
        <v>4199</v>
      </c>
      <c r="M1286">
        <v>170000</v>
      </c>
      <c r="N1286" s="10">
        <v>1.3000000000000001E-2</v>
      </c>
      <c r="O1286" s="10">
        <f t="shared" si="135"/>
        <v>2210</v>
      </c>
      <c r="P1286" s="10" t="s">
        <v>5006</v>
      </c>
      <c r="Q1286" s="10" t="s">
        <v>5006</v>
      </c>
      <c r="R1286" s="10" t="str">
        <f>IF(COUNTIF($J$2:J1286,J1286)=1,SUMIFS($O:$O,$J:$J,J1286)+SUMIFS($P:$P,$J:$J,J1286)+SUMIFS($Q:$Q,$J:$J,J1286),"")</f>
        <v/>
      </c>
      <c r="S1286" s="10" t="s">
        <v>5006</v>
      </c>
      <c r="T1286" s="11" t="str">
        <f t="shared" si="138"/>
        <v>Ok</v>
      </c>
      <c r="U1286" s="12">
        <v>45965</v>
      </c>
      <c r="V1286" s="10">
        <v>2210</v>
      </c>
      <c r="W1286" s="10" t="str">
        <f t="shared" si="136"/>
        <v>N/A</v>
      </c>
      <c r="X1286" t="s">
        <v>476</v>
      </c>
      <c r="Y1286" t="s">
        <v>28</v>
      </c>
      <c r="Z1286">
        <v>100165</v>
      </c>
      <c r="AA1286" t="s">
        <v>3100</v>
      </c>
      <c r="AB1286" t="s">
        <v>521</v>
      </c>
      <c r="AC1286" s="9">
        <v>2</v>
      </c>
      <c r="AD1286" s="9" t="str">
        <f t="shared" si="137"/>
        <v>N/A</v>
      </c>
      <c r="AE1286" s="11" t="e">
        <f t="shared" si="134"/>
        <v>#VALUE!</v>
      </c>
    </row>
    <row r="1287" spans="1:31" x14ac:dyDescent="0.3">
      <c r="A1287">
        <v>38</v>
      </c>
      <c r="B1287">
        <v>4729236</v>
      </c>
      <c r="C1287" t="s">
        <v>217</v>
      </c>
      <c r="D1287">
        <v>1409411</v>
      </c>
      <c r="E1287" t="s">
        <v>635</v>
      </c>
      <c r="F1287" t="s">
        <v>20</v>
      </c>
      <c r="G1287" t="s">
        <v>1218</v>
      </c>
      <c r="H1287" t="s">
        <v>1219</v>
      </c>
      <c r="I1287" t="s">
        <v>3421</v>
      </c>
      <c r="J1287">
        <v>51148396324</v>
      </c>
      <c r="K1287" t="s">
        <v>3177</v>
      </c>
      <c r="L1287" t="s">
        <v>4200</v>
      </c>
      <c r="M1287">
        <v>68000</v>
      </c>
      <c r="N1287" s="10">
        <v>9.7299999999999998E-2</v>
      </c>
      <c r="O1287" s="10">
        <f t="shared" si="135"/>
        <v>6616.4</v>
      </c>
      <c r="P1287" s="10">
        <v>0</v>
      </c>
      <c r="Q1287" s="10">
        <v>2831.82</v>
      </c>
      <c r="R1287" s="10">
        <f>IF(COUNTIF($J$2:J1287,J1287)=1,SUMIFS($O:$O,$J:$J,J1287)+SUMIFS($P:$P,$J:$J,J1287)+SUMIFS($Q:$Q,$J:$J,J1287),"")</f>
        <v>11682.22</v>
      </c>
      <c r="S1287" s="10">
        <v>11682.22</v>
      </c>
      <c r="T1287" s="11" t="str">
        <f t="shared" si="138"/>
        <v>Ok</v>
      </c>
      <c r="U1287" s="12">
        <v>46044</v>
      </c>
      <c r="V1287" s="10">
        <v>9448.2199999999993</v>
      </c>
      <c r="W1287" s="10" t="str">
        <f t="shared" si="136"/>
        <v>Short Paid</v>
      </c>
      <c r="X1287" t="s">
        <v>468</v>
      </c>
      <c r="Y1287" t="s">
        <v>28</v>
      </c>
      <c r="Z1287">
        <v>100206</v>
      </c>
      <c r="AA1287" t="s">
        <v>3058</v>
      </c>
      <c r="AB1287" t="s">
        <v>521</v>
      </c>
      <c r="AC1287" s="9">
        <v>2</v>
      </c>
      <c r="AD1287" s="9" t="str">
        <f t="shared" si="137"/>
        <v>Ok</v>
      </c>
      <c r="AE1287" s="11">
        <f t="shared" ref="AE1287:AE1350" si="139">R1287-S1287</f>
        <v>0</v>
      </c>
    </row>
    <row r="1288" spans="1:31" x14ac:dyDescent="0.3">
      <c r="A1288">
        <v>38</v>
      </c>
      <c r="B1288">
        <v>4729236</v>
      </c>
      <c r="C1288" t="s">
        <v>217</v>
      </c>
      <c r="D1288">
        <v>1409411</v>
      </c>
      <c r="E1288" t="s">
        <v>635</v>
      </c>
      <c r="F1288" t="s">
        <v>20</v>
      </c>
      <c r="G1288" t="s">
        <v>1218</v>
      </c>
      <c r="H1288" t="s">
        <v>1219</v>
      </c>
      <c r="I1288" t="s">
        <v>3410</v>
      </c>
      <c r="J1288">
        <v>51148396324</v>
      </c>
      <c r="K1288" t="s">
        <v>3318</v>
      </c>
      <c r="L1288" t="s">
        <v>3317</v>
      </c>
      <c r="M1288">
        <v>20000</v>
      </c>
      <c r="N1288" s="10">
        <v>0.11169999999999999</v>
      </c>
      <c r="O1288" s="10">
        <f t="shared" si="135"/>
        <v>2234</v>
      </c>
      <c r="P1288" s="10" t="s">
        <v>5006</v>
      </c>
      <c r="Q1288" s="10" t="s">
        <v>5006</v>
      </c>
      <c r="R1288" s="10" t="str">
        <f>IF(COUNTIF($J$2:J1288,J1288)=1,SUMIFS($O:$O,$J:$J,J1288)+SUMIFS($P:$P,$J:$J,J1288)+SUMIFS($Q:$Q,$J:$J,J1288),"")</f>
        <v/>
      </c>
      <c r="S1288" s="10" t="s">
        <v>5006</v>
      </c>
      <c r="T1288" s="11" t="str">
        <f t="shared" si="138"/>
        <v>Ok</v>
      </c>
      <c r="U1288" s="12">
        <v>46044</v>
      </c>
      <c r="V1288" s="10">
        <v>9448.2199999999993</v>
      </c>
      <c r="W1288" s="10" t="str">
        <f t="shared" si="136"/>
        <v>N/A</v>
      </c>
      <c r="X1288" t="s">
        <v>468</v>
      </c>
      <c r="Y1288" t="s">
        <v>28</v>
      </c>
      <c r="Z1288">
        <v>100206</v>
      </c>
      <c r="AA1288" t="s">
        <v>3058</v>
      </c>
      <c r="AB1288" t="s">
        <v>521</v>
      </c>
      <c r="AC1288" s="9">
        <v>2</v>
      </c>
      <c r="AD1288" s="9" t="str">
        <f t="shared" si="137"/>
        <v>N/A</v>
      </c>
      <c r="AE1288" s="11" t="e">
        <f t="shared" si="139"/>
        <v>#VALUE!</v>
      </c>
    </row>
    <row r="1289" spans="1:31" x14ac:dyDescent="0.3">
      <c r="A1289">
        <v>25</v>
      </c>
      <c r="B1289">
        <v>4795746</v>
      </c>
      <c r="C1289" t="s">
        <v>239</v>
      </c>
      <c r="D1289">
        <v>1079286</v>
      </c>
      <c r="E1289" t="s">
        <v>629</v>
      </c>
      <c r="F1289" t="s">
        <v>20</v>
      </c>
      <c r="G1289" t="s">
        <v>1386</v>
      </c>
      <c r="H1289" t="s">
        <v>1387</v>
      </c>
      <c r="I1289" t="s">
        <v>3260</v>
      </c>
      <c r="J1289">
        <v>51148426305</v>
      </c>
      <c r="K1289" t="s">
        <v>3177</v>
      </c>
      <c r="L1289" t="s">
        <v>4201</v>
      </c>
      <c r="M1289">
        <v>2</v>
      </c>
      <c r="N1289" s="10">
        <v>53.19</v>
      </c>
      <c r="O1289" s="10">
        <f t="shared" si="135"/>
        <v>106.38</v>
      </c>
      <c r="P1289" s="10">
        <v>0</v>
      </c>
      <c r="Q1289" s="10">
        <v>26.98</v>
      </c>
      <c r="R1289" s="10">
        <f>IF(COUNTIF($J$2:J1289,J1289)=1,SUMIFS($O:$O,$J:$J,J1289)+SUMIFS($P:$P,$J:$J,J1289)+SUMIFS($Q:$Q,$J:$J,J1289),"")</f>
        <v>39332.94</v>
      </c>
      <c r="S1289" s="10">
        <v>40006.86</v>
      </c>
      <c r="T1289" s="11" t="str">
        <f t="shared" si="138"/>
        <v>Check</v>
      </c>
      <c r="U1289" s="12">
        <v>45912</v>
      </c>
      <c r="V1289" s="10">
        <v>168.98</v>
      </c>
      <c r="W1289" s="10" t="str">
        <f t="shared" si="136"/>
        <v>Short Paid</v>
      </c>
      <c r="X1289" t="s">
        <v>476</v>
      </c>
      <c r="Y1289" t="s">
        <v>28</v>
      </c>
      <c r="Z1289">
        <v>100195</v>
      </c>
      <c r="AA1289" t="s">
        <v>3070</v>
      </c>
      <c r="AB1289" t="s">
        <v>521</v>
      </c>
      <c r="AC1289" s="9">
        <v>3</v>
      </c>
      <c r="AD1289" s="9" t="str">
        <f t="shared" si="137"/>
        <v>Check</v>
      </c>
      <c r="AE1289" s="11">
        <f t="shared" si="139"/>
        <v>-673.91999999999825</v>
      </c>
    </row>
    <row r="1290" spans="1:31" x14ac:dyDescent="0.3">
      <c r="A1290">
        <v>25</v>
      </c>
      <c r="B1290">
        <v>4795746</v>
      </c>
      <c r="C1290" t="s">
        <v>239</v>
      </c>
      <c r="D1290">
        <v>1079286</v>
      </c>
      <c r="E1290" t="s">
        <v>629</v>
      </c>
      <c r="F1290" t="s">
        <v>20</v>
      </c>
      <c r="G1290" t="s">
        <v>1386</v>
      </c>
      <c r="H1290" t="s">
        <v>1387</v>
      </c>
      <c r="I1290" t="s">
        <v>3260</v>
      </c>
      <c r="J1290">
        <v>51148426305</v>
      </c>
      <c r="K1290" t="s">
        <v>3177</v>
      </c>
      <c r="L1290" t="s">
        <v>4202</v>
      </c>
      <c r="M1290">
        <v>70</v>
      </c>
      <c r="N1290" s="10">
        <v>92.89</v>
      </c>
      <c r="O1290" s="10">
        <f t="shared" si="135"/>
        <v>6502.3</v>
      </c>
      <c r="P1290" s="10" t="s">
        <v>5006</v>
      </c>
      <c r="Q1290" s="10" t="s">
        <v>5006</v>
      </c>
      <c r="R1290" s="10" t="str">
        <f>IF(COUNTIF($J$2:J1290,J1290)=1,SUMIFS($O:$O,$J:$J,J1290)+SUMIFS($P:$P,$J:$J,J1290)+SUMIFS($Q:$Q,$J:$J,J1290),"")</f>
        <v/>
      </c>
      <c r="S1290" s="10" t="s">
        <v>5006</v>
      </c>
      <c r="T1290" s="11" t="str">
        <f t="shared" si="138"/>
        <v>Check</v>
      </c>
      <c r="U1290" s="12">
        <v>45912</v>
      </c>
      <c r="V1290" s="10">
        <v>168.98</v>
      </c>
      <c r="W1290" s="10" t="str">
        <f t="shared" si="136"/>
        <v>N/A</v>
      </c>
      <c r="X1290" t="s">
        <v>476</v>
      </c>
      <c r="Y1290" t="s">
        <v>28</v>
      </c>
      <c r="Z1290">
        <v>100195</v>
      </c>
      <c r="AA1290" t="s">
        <v>3070</v>
      </c>
      <c r="AB1290" t="s">
        <v>521</v>
      </c>
      <c r="AC1290" s="9">
        <v>3</v>
      </c>
      <c r="AD1290" s="9" t="str">
        <f t="shared" si="137"/>
        <v>N/A</v>
      </c>
      <c r="AE1290" s="11" t="e">
        <f t="shared" si="139"/>
        <v>#VALUE!</v>
      </c>
    </row>
    <row r="1291" spans="1:31" x14ac:dyDescent="0.3">
      <c r="A1291">
        <v>25</v>
      </c>
      <c r="B1291">
        <v>4795746</v>
      </c>
      <c r="C1291" t="s">
        <v>239</v>
      </c>
      <c r="D1291">
        <v>1079286</v>
      </c>
      <c r="E1291" t="s">
        <v>629</v>
      </c>
      <c r="F1291" t="s">
        <v>20</v>
      </c>
      <c r="G1291" t="s">
        <v>1386</v>
      </c>
      <c r="H1291" t="s">
        <v>1387</v>
      </c>
      <c r="I1291" t="s">
        <v>3260</v>
      </c>
      <c r="J1291">
        <v>51148426305</v>
      </c>
      <c r="K1291" t="s">
        <v>3177</v>
      </c>
      <c r="L1291" t="s">
        <v>4203</v>
      </c>
      <c r="M1291">
        <v>352</v>
      </c>
      <c r="N1291" s="10">
        <v>92.89</v>
      </c>
      <c r="O1291" s="10">
        <f t="shared" si="135"/>
        <v>32697.279999999999</v>
      </c>
      <c r="P1291" s="10" t="s">
        <v>5006</v>
      </c>
      <c r="Q1291" s="10" t="s">
        <v>5006</v>
      </c>
      <c r="R1291" s="10" t="str">
        <f>IF(COUNTIF($J$2:J1291,J1291)=1,SUMIFS($O:$O,$J:$J,J1291)+SUMIFS($P:$P,$J:$J,J1291)+SUMIFS($Q:$Q,$J:$J,J1291),"")</f>
        <v/>
      </c>
      <c r="S1291" s="10" t="s">
        <v>5006</v>
      </c>
      <c r="T1291" s="11" t="str">
        <f t="shared" si="138"/>
        <v>Check</v>
      </c>
      <c r="U1291" s="12">
        <v>45912</v>
      </c>
      <c r="V1291" s="10">
        <v>168.98</v>
      </c>
      <c r="W1291" s="10" t="str">
        <f t="shared" si="136"/>
        <v>N/A</v>
      </c>
      <c r="X1291" t="s">
        <v>476</v>
      </c>
      <c r="Y1291" t="s">
        <v>28</v>
      </c>
      <c r="Z1291">
        <v>100195</v>
      </c>
      <c r="AA1291" t="s">
        <v>3070</v>
      </c>
      <c r="AB1291" t="s">
        <v>521</v>
      </c>
      <c r="AC1291" s="9">
        <v>3</v>
      </c>
      <c r="AD1291" s="9" t="str">
        <f t="shared" si="137"/>
        <v>N/A</v>
      </c>
      <c r="AE1291" s="11" t="e">
        <f t="shared" si="139"/>
        <v>#VALUE!</v>
      </c>
    </row>
    <row r="1292" spans="1:31" x14ac:dyDescent="0.3">
      <c r="A1292">
        <v>39</v>
      </c>
      <c r="B1292">
        <v>4724227</v>
      </c>
      <c r="C1292" t="s">
        <v>239</v>
      </c>
      <c r="D1292">
        <v>1079286</v>
      </c>
      <c r="E1292" t="s">
        <v>629</v>
      </c>
      <c r="F1292" t="s">
        <v>20</v>
      </c>
      <c r="G1292" t="s">
        <v>1214</v>
      </c>
      <c r="H1292" t="s">
        <v>1215</v>
      </c>
      <c r="I1292" t="s">
        <v>3285</v>
      </c>
      <c r="J1292">
        <v>51148471662</v>
      </c>
      <c r="K1292" t="s">
        <v>3611</v>
      </c>
      <c r="L1292" t="s">
        <v>4204</v>
      </c>
      <c r="M1292">
        <v>5000</v>
      </c>
      <c r="N1292" s="10">
        <v>0.78</v>
      </c>
      <c r="O1292" s="10">
        <f t="shared" si="135"/>
        <v>3900</v>
      </c>
      <c r="P1292" s="10">
        <v>0</v>
      </c>
      <c r="Q1292" s="10">
        <v>0</v>
      </c>
      <c r="R1292" s="10">
        <f>IF(COUNTIF($J$2:J1292,J1292)=1,SUMIFS($O:$O,$J:$J,J1292)+SUMIFS($P:$P,$J:$J,J1292)+SUMIFS($Q:$Q,$J:$J,J1292),"")</f>
        <v>4540.46</v>
      </c>
      <c r="S1292" s="10">
        <v>4540.46</v>
      </c>
      <c r="T1292" s="11" t="str">
        <f t="shared" si="138"/>
        <v>Ok</v>
      </c>
      <c r="U1292" s="12">
        <v>46056</v>
      </c>
      <c r="V1292" s="10">
        <v>3900</v>
      </c>
      <c r="W1292" s="10" t="str">
        <f t="shared" si="136"/>
        <v>Short Paid</v>
      </c>
      <c r="X1292" t="s">
        <v>476</v>
      </c>
      <c r="Y1292" t="s">
        <v>28</v>
      </c>
      <c r="Z1292">
        <v>100245</v>
      </c>
      <c r="AA1292" t="s">
        <v>507</v>
      </c>
      <c r="AB1292" t="s">
        <v>521</v>
      </c>
      <c r="AC1292" s="9">
        <v>2</v>
      </c>
      <c r="AD1292" s="9" t="str">
        <f t="shared" si="137"/>
        <v>Ok</v>
      </c>
      <c r="AE1292" s="11">
        <f t="shared" si="139"/>
        <v>0</v>
      </c>
    </row>
    <row r="1293" spans="1:31" x14ac:dyDescent="0.3">
      <c r="A1293">
        <v>39</v>
      </c>
      <c r="B1293">
        <v>4724227</v>
      </c>
      <c r="C1293" t="s">
        <v>239</v>
      </c>
      <c r="D1293">
        <v>1079286</v>
      </c>
      <c r="E1293" t="s">
        <v>629</v>
      </c>
      <c r="F1293" t="s">
        <v>20</v>
      </c>
      <c r="G1293" t="s">
        <v>1214</v>
      </c>
      <c r="H1293" t="s">
        <v>1215</v>
      </c>
      <c r="I1293" t="s">
        <v>3390</v>
      </c>
      <c r="J1293">
        <v>51148471662</v>
      </c>
      <c r="K1293" t="s">
        <v>3266</v>
      </c>
      <c r="L1293" t="s">
        <v>4205</v>
      </c>
      <c r="M1293">
        <v>248</v>
      </c>
      <c r="N1293" s="10">
        <v>2.5825</v>
      </c>
      <c r="O1293" s="10">
        <f t="shared" si="135"/>
        <v>640.46</v>
      </c>
      <c r="P1293" s="10" t="s">
        <v>5006</v>
      </c>
      <c r="Q1293" s="10" t="s">
        <v>5006</v>
      </c>
      <c r="R1293" s="10" t="str">
        <f>IF(COUNTIF($J$2:J1293,J1293)=1,SUMIFS($O:$O,$J:$J,J1293)+SUMIFS($P:$P,$J:$J,J1293)+SUMIFS($Q:$Q,$J:$J,J1293),"")</f>
        <v/>
      </c>
      <c r="S1293" s="10" t="s">
        <v>5006</v>
      </c>
      <c r="T1293" s="11" t="str">
        <f t="shared" si="138"/>
        <v>Ok</v>
      </c>
      <c r="U1293" s="12">
        <v>46056</v>
      </c>
      <c r="V1293" s="10">
        <v>3900</v>
      </c>
      <c r="W1293" s="10" t="str">
        <f t="shared" si="136"/>
        <v>N/A</v>
      </c>
      <c r="X1293" t="s">
        <v>476</v>
      </c>
      <c r="Y1293" t="s">
        <v>28</v>
      </c>
      <c r="Z1293">
        <v>100245</v>
      </c>
      <c r="AA1293" t="s">
        <v>507</v>
      </c>
      <c r="AB1293" t="s">
        <v>521</v>
      </c>
      <c r="AC1293" s="9">
        <v>2</v>
      </c>
      <c r="AD1293" s="9" t="str">
        <f t="shared" si="137"/>
        <v>N/A</v>
      </c>
      <c r="AE1293" s="11" t="e">
        <f t="shared" si="139"/>
        <v>#VALUE!</v>
      </c>
    </row>
    <row r="1294" spans="1:31" x14ac:dyDescent="0.3">
      <c r="A1294">
        <v>39</v>
      </c>
      <c r="B1294">
        <v>4723949</v>
      </c>
      <c r="C1294" t="s">
        <v>239</v>
      </c>
      <c r="D1294">
        <v>1079286</v>
      </c>
      <c r="E1294" t="s">
        <v>629</v>
      </c>
      <c r="F1294" t="s">
        <v>20</v>
      </c>
      <c r="G1294" t="s">
        <v>1212</v>
      </c>
      <c r="H1294" t="s">
        <v>1213</v>
      </c>
      <c r="I1294" t="s">
        <v>3296</v>
      </c>
      <c r="J1294">
        <v>51148472863</v>
      </c>
      <c r="K1294" t="s">
        <v>3479</v>
      </c>
      <c r="L1294" t="s">
        <v>4206</v>
      </c>
      <c r="M1294">
        <v>16000</v>
      </c>
      <c r="N1294" s="10">
        <v>5.8999999999999997E-2</v>
      </c>
      <c r="O1294" s="10">
        <f t="shared" si="135"/>
        <v>944</v>
      </c>
      <c r="P1294" s="10">
        <v>0</v>
      </c>
      <c r="Q1294" s="10">
        <v>0</v>
      </c>
      <c r="R1294" s="10">
        <f>IF(COUNTIF($J$2:J1294,J1294)=1,SUMIFS($O:$O,$J:$J,J1294)+SUMIFS($P:$P,$J:$J,J1294)+SUMIFS($Q:$Q,$J:$J,J1294),"")</f>
        <v>1154</v>
      </c>
      <c r="S1294" s="10">
        <v>1154</v>
      </c>
      <c r="T1294" s="11" t="str">
        <f t="shared" si="138"/>
        <v>Ok</v>
      </c>
      <c r="U1294" s="12">
        <v>45881</v>
      </c>
      <c r="V1294" s="10">
        <v>210</v>
      </c>
      <c r="W1294" s="10" t="str">
        <f t="shared" si="136"/>
        <v>Short Paid</v>
      </c>
      <c r="X1294" t="s">
        <v>476</v>
      </c>
      <c r="Y1294" t="s">
        <v>28</v>
      </c>
      <c r="Z1294">
        <v>100235</v>
      </c>
      <c r="AA1294" t="s">
        <v>509</v>
      </c>
      <c r="AB1294" t="s">
        <v>521</v>
      </c>
      <c r="AC1294" s="9">
        <v>2</v>
      </c>
      <c r="AD1294" s="9" t="str">
        <f t="shared" si="137"/>
        <v>Ok</v>
      </c>
      <c r="AE1294" s="11">
        <f t="shared" si="139"/>
        <v>0</v>
      </c>
    </row>
    <row r="1295" spans="1:31" x14ac:dyDescent="0.3">
      <c r="A1295">
        <v>39</v>
      </c>
      <c r="B1295">
        <v>4723949</v>
      </c>
      <c r="C1295" t="s">
        <v>239</v>
      </c>
      <c r="D1295">
        <v>1079286</v>
      </c>
      <c r="E1295" t="s">
        <v>629</v>
      </c>
      <c r="F1295" t="s">
        <v>20</v>
      </c>
      <c r="G1295" t="s">
        <v>1212</v>
      </c>
      <c r="H1295" t="s">
        <v>1213</v>
      </c>
      <c r="I1295" t="s">
        <v>3551</v>
      </c>
      <c r="J1295">
        <v>51148472863</v>
      </c>
      <c r="K1295" t="s">
        <v>3241</v>
      </c>
      <c r="L1295" t="s">
        <v>4207</v>
      </c>
      <c r="M1295">
        <v>350000</v>
      </c>
      <c r="N1295" s="10">
        <v>5.9999999999999995E-4</v>
      </c>
      <c r="O1295" s="10">
        <f t="shared" si="135"/>
        <v>209.99999999999997</v>
      </c>
      <c r="P1295" s="10" t="s">
        <v>5006</v>
      </c>
      <c r="Q1295" s="10" t="s">
        <v>5006</v>
      </c>
      <c r="R1295" s="10" t="str">
        <f>IF(COUNTIF($J$2:J1295,J1295)=1,SUMIFS($O:$O,$J:$J,J1295)+SUMIFS($P:$P,$J:$J,J1295)+SUMIFS($Q:$Q,$J:$J,J1295),"")</f>
        <v/>
      </c>
      <c r="S1295" s="10" t="s">
        <v>5006</v>
      </c>
      <c r="T1295" s="11" t="str">
        <f t="shared" si="138"/>
        <v>Ok</v>
      </c>
      <c r="U1295" s="12">
        <v>45881</v>
      </c>
      <c r="V1295" s="10">
        <v>210</v>
      </c>
      <c r="W1295" s="10" t="str">
        <f t="shared" si="136"/>
        <v>N/A</v>
      </c>
      <c r="X1295" t="s">
        <v>476</v>
      </c>
      <c r="Y1295" t="s">
        <v>28</v>
      </c>
      <c r="Z1295">
        <v>100235</v>
      </c>
      <c r="AA1295" t="s">
        <v>509</v>
      </c>
      <c r="AB1295" t="s">
        <v>521</v>
      </c>
      <c r="AC1295" s="9">
        <v>2</v>
      </c>
      <c r="AD1295" s="9" t="str">
        <f t="shared" si="137"/>
        <v>N/A</v>
      </c>
      <c r="AE1295" s="11" t="e">
        <f t="shared" si="139"/>
        <v>#VALUE!</v>
      </c>
    </row>
    <row r="1296" spans="1:31" x14ac:dyDescent="0.3">
      <c r="A1296">
        <v>39</v>
      </c>
      <c r="B1296">
        <v>4723671</v>
      </c>
      <c r="C1296" t="s">
        <v>239</v>
      </c>
      <c r="D1296">
        <v>1079286</v>
      </c>
      <c r="E1296" t="s">
        <v>629</v>
      </c>
      <c r="F1296" t="s">
        <v>20</v>
      </c>
      <c r="G1296" t="s">
        <v>1208</v>
      </c>
      <c r="H1296" t="s">
        <v>1209</v>
      </c>
      <c r="I1296" t="s">
        <v>3496</v>
      </c>
      <c r="J1296">
        <v>51148591474</v>
      </c>
      <c r="K1296" t="s">
        <v>3229</v>
      </c>
      <c r="L1296" t="s">
        <v>4208</v>
      </c>
      <c r="M1296">
        <v>52500</v>
      </c>
      <c r="N1296" s="10">
        <v>8.3000000000000004E-2</v>
      </c>
      <c r="O1296" s="10">
        <f t="shared" si="135"/>
        <v>4357.5</v>
      </c>
      <c r="P1296" s="10">
        <v>0</v>
      </c>
      <c r="Q1296" s="10">
        <v>0</v>
      </c>
      <c r="R1296" s="10">
        <f>IF(COUNTIF($J$2:J1296,J1296)=1,SUMIFS($O:$O,$J:$J,J1296)+SUMIFS($P:$P,$J:$J,J1296)+SUMIFS($Q:$Q,$J:$J,J1296),"")</f>
        <v>4906.125</v>
      </c>
      <c r="S1296" s="10">
        <v>4906.13</v>
      </c>
      <c r="T1296" s="11" t="str">
        <f t="shared" si="138"/>
        <v>Check</v>
      </c>
      <c r="U1296" s="12">
        <v>45831</v>
      </c>
      <c r="V1296" s="10">
        <v>4357.5</v>
      </c>
      <c r="W1296" s="10" t="str">
        <f t="shared" si="136"/>
        <v>Short Paid</v>
      </c>
      <c r="X1296" t="s">
        <v>476</v>
      </c>
      <c r="Y1296" t="s">
        <v>28</v>
      </c>
      <c r="Z1296">
        <v>100205</v>
      </c>
      <c r="AA1296" t="s">
        <v>3075</v>
      </c>
      <c r="AB1296" t="s">
        <v>521</v>
      </c>
      <c r="AC1296" s="9">
        <v>2</v>
      </c>
      <c r="AD1296" s="9" t="str">
        <f t="shared" si="137"/>
        <v>Check</v>
      </c>
      <c r="AE1296" s="11">
        <f t="shared" si="139"/>
        <v>-5.0000000001091394E-3</v>
      </c>
    </row>
    <row r="1297" spans="1:31" x14ac:dyDescent="0.3">
      <c r="A1297">
        <v>39</v>
      </c>
      <c r="B1297">
        <v>4723671</v>
      </c>
      <c r="C1297" t="s">
        <v>239</v>
      </c>
      <c r="D1297">
        <v>1079286</v>
      </c>
      <c r="E1297" t="s">
        <v>629</v>
      </c>
      <c r="F1297" t="s">
        <v>20</v>
      </c>
      <c r="G1297" t="s">
        <v>1208</v>
      </c>
      <c r="H1297" t="s">
        <v>1209</v>
      </c>
      <c r="I1297" t="s">
        <v>3462</v>
      </c>
      <c r="J1297">
        <v>51148591474</v>
      </c>
      <c r="K1297" t="s">
        <v>3201</v>
      </c>
      <c r="L1297" t="s">
        <v>4209</v>
      </c>
      <c r="M1297">
        <v>1500</v>
      </c>
      <c r="N1297" s="10">
        <v>0.36575000000000002</v>
      </c>
      <c r="O1297" s="10">
        <f t="shared" si="135"/>
        <v>548.625</v>
      </c>
      <c r="P1297" s="10" t="s">
        <v>5006</v>
      </c>
      <c r="Q1297" s="10" t="s">
        <v>5006</v>
      </c>
      <c r="R1297" s="10" t="str">
        <f>IF(COUNTIF($J$2:J1297,J1297)=1,SUMIFS($O:$O,$J:$J,J1297)+SUMIFS($P:$P,$J:$J,J1297)+SUMIFS($Q:$Q,$J:$J,J1297),"")</f>
        <v/>
      </c>
      <c r="S1297" s="10" t="s">
        <v>5006</v>
      </c>
      <c r="T1297" s="11" t="str">
        <f t="shared" si="138"/>
        <v>Check</v>
      </c>
      <c r="U1297" s="12">
        <v>45831</v>
      </c>
      <c r="V1297" s="10">
        <v>4357.5</v>
      </c>
      <c r="W1297" s="10" t="str">
        <f t="shared" si="136"/>
        <v>N/A</v>
      </c>
      <c r="X1297" t="s">
        <v>476</v>
      </c>
      <c r="Y1297" t="s">
        <v>28</v>
      </c>
      <c r="Z1297">
        <v>100205</v>
      </c>
      <c r="AA1297" t="s">
        <v>3075</v>
      </c>
      <c r="AB1297" t="s">
        <v>521</v>
      </c>
      <c r="AC1297" s="9">
        <v>2</v>
      </c>
      <c r="AD1297" s="9" t="str">
        <f t="shared" si="137"/>
        <v>N/A</v>
      </c>
      <c r="AE1297" s="11" t="e">
        <f t="shared" si="139"/>
        <v>#VALUE!</v>
      </c>
    </row>
    <row r="1298" spans="1:31" x14ac:dyDescent="0.3">
      <c r="A1298">
        <v>37</v>
      </c>
      <c r="B1298">
        <v>4735637</v>
      </c>
      <c r="C1298" t="s">
        <v>220</v>
      </c>
      <c r="D1298">
        <v>1309220</v>
      </c>
      <c r="E1298" t="s">
        <v>638</v>
      </c>
      <c r="F1298" t="s">
        <v>49</v>
      </c>
      <c r="G1298" t="s">
        <v>1237</v>
      </c>
      <c r="H1298" t="s">
        <v>1238</v>
      </c>
      <c r="I1298" t="s">
        <v>3219</v>
      </c>
      <c r="J1298">
        <v>51148607591</v>
      </c>
      <c r="K1298" t="s">
        <v>3168</v>
      </c>
      <c r="L1298" t="s">
        <v>3633</v>
      </c>
      <c r="M1298">
        <v>10000</v>
      </c>
      <c r="N1298" s="10">
        <v>3.3500000000000002E-2</v>
      </c>
      <c r="O1298" s="10">
        <f t="shared" si="135"/>
        <v>335</v>
      </c>
      <c r="P1298" s="10">
        <v>43.55</v>
      </c>
      <c r="Q1298" s="10">
        <v>0</v>
      </c>
      <c r="R1298" s="10">
        <f>IF(COUNTIF($J$2:J1298,J1298)=1,SUMIFS($O:$O,$J:$J,J1298)+SUMIFS($P:$P,$J:$J,J1298)+SUMIFS($Q:$Q,$J:$J,J1298),"")</f>
        <v>27454.55</v>
      </c>
      <c r="S1298" s="10">
        <v>27454.55</v>
      </c>
      <c r="T1298" s="11" t="str">
        <f t="shared" si="138"/>
        <v>Ok</v>
      </c>
      <c r="U1298" s="12">
        <v>45832</v>
      </c>
      <c r="V1298" s="10">
        <v>43.55</v>
      </c>
      <c r="W1298" s="10" t="str">
        <f t="shared" si="136"/>
        <v>Short Paid</v>
      </c>
      <c r="X1298" t="s">
        <v>470</v>
      </c>
      <c r="Y1298" t="s">
        <v>29</v>
      </c>
      <c r="Z1298">
        <v>100298</v>
      </c>
      <c r="AA1298" t="s">
        <v>3105</v>
      </c>
      <c r="AB1298" t="s">
        <v>3041</v>
      </c>
      <c r="AC1298" s="9">
        <v>2</v>
      </c>
      <c r="AD1298" s="9" t="str">
        <f t="shared" si="137"/>
        <v>Ok</v>
      </c>
      <c r="AE1298" s="11">
        <f t="shared" si="139"/>
        <v>0</v>
      </c>
    </row>
    <row r="1299" spans="1:31" x14ac:dyDescent="0.3">
      <c r="A1299">
        <v>37</v>
      </c>
      <c r="B1299">
        <v>4735637</v>
      </c>
      <c r="C1299" t="s">
        <v>220</v>
      </c>
      <c r="D1299">
        <v>1309220</v>
      </c>
      <c r="E1299" t="s">
        <v>638</v>
      </c>
      <c r="F1299" t="s">
        <v>49</v>
      </c>
      <c r="G1299" t="s">
        <v>1237</v>
      </c>
      <c r="H1299" t="s">
        <v>1238</v>
      </c>
      <c r="I1299" t="s">
        <v>3581</v>
      </c>
      <c r="J1299">
        <v>51148607591</v>
      </c>
      <c r="K1299" t="s">
        <v>3351</v>
      </c>
      <c r="L1299" t="s">
        <v>3450</v>
      </c>
      <c r="M1299">
        <v>7000</v>
      </c>
      <c r="N1299" s="10">
        <v>3.8679999999999999</v>
      </c>
      <c r="O1299" s="10">
        <f t="shared" si="135"/>
        <v>27076</v>
      </c>
      <c r="P1299" s="10" t="s">
        <v>5006</v>
      </c>
      <c r="Q1299" s="10" t="s">
        <v>5006</v>
      </c>
      <c r="R1299" s="10" t="str">
        <f>IF(COUNTIF($J$2:J1299,J1299)=1,SUMIFS($O:$O,$J:$J,J1299)+SUMIFS($P:$P,$J:$J,J1299)+SUMIFS($Q:$Q,$J:$J,J1299),"")</f>
        <v/>
      </c>
      <c r="S1299" s="10" t="s">
        <v>5006</v>
      </c>
      <c r="T1299" s="11" t="str">
        <f t="shared" si="138"/>
        <v>Ok</v>
      </c>
      <c r="U1299" s="12">
        <v>45832</v>
      </c>
      <c r="V1299" s="10">
        <v>43.55</v>
      </c>
      <c r="W1299" s="10" t="str">
        <f t="shared" si="136"/>
        <v>N/A</v>
      </c>
      <c r="X1299" t="s">
        <v>470</v>
      </c>
      <c r="Y1299" t="s">
        <v>29</v>
      </c>
      <c r="Z1299">
        <v>100298</v>
      </c>
      <c r="AA1299" t="s">
        <v>3105</v>
      </c>
      <c r="AB1299" t="s">
        <v>3041</v>
      </c>
      <c r="AC1299" s="9">
        <v>2</v>
      </c>
      <c r="AD1299" s="9" t="str">
        <f t="shared" si="137"/>
        <v>N/A</v>
      </c>
      <c r="AE1299" s="11" t="e">
        <f t="shared" si="139"/>
        <v>#VALUE!</v>
      </c>
    </row>
    <row r="1300" spans="1:31" x14ac:dyDescent="0.3">
      <c r="A1300">
        <v>42</v>
      </c>
      <c r="B1300">
        <v>4714765</v>
      </c>
      <c r="C1300" t="s">
        <v>60</v>
      </c>
      <c r="D1300">
        <v>1588891</v>
      </c>
      <c r="E1300" t="s">
        <v>61</v>
      </c>
      <c r="F1300" t="s">
        <v>18</v>
      </c>
      <c r="G1300" t="s">
        <v>1177</v>
      </c>
      <c r="H1300" t="s">
        <v>1178</v>
      </c>
      <c r="I1300" t="s">
        <v>3596</v>
      </c>
      <c r="J1300">
        <v>51148607916</v>
      </c>
      <c r="K1300" t="s">
        <v>3229</v>
      </c>
      <c r="L1300" t="s">
        <v>3409</v>
      </c>
      <c r="M1300">
        <v>16000</v>
      </c>
      <c r="N1300" s="10">
        <v>1.8200000000000001E-2</v>
      </c>
      <c r="O1300" s="10">
        <f t="shared" si="135"/>
        <v>291.2</v>
      </c>
      <c r="P1300" s="10">
        <v>0</v>
      </c>
      <c r="Q1300" s="10">
        <v>0</v>
      </c>
      <c r="R1300" s="10">
        <f>IF(COUNTIF($J$2:J1300,J1300)=1,SUMIFS($O:$O,$J:$J,J1300)+SUMIFS($P:$P,$J:$J,J1300)+SUMIFS($Q:$Q,$J:$J,J1300),"")</f>
        <v>716</v>
      </c>
      <c r="S1300" s="10">
        <v>716</v>
      </c>
      <c r="T1300" s="11" t="str">
        <f t="shared" si="138"/>
        <v>Ok</v>
      </c>
      <c r="U1300" s="12">
        <v>45994</v>
      </c>
      <c r="V1300" s="10">
        <v>-20.16</v>
      </c>
      <c r="W1300" s="10" t="str">
        <f t="shared" si="136"/>
        <v>Short Paid</v>
      </c>
      <c r="X1300" t="s">
        <v>438</v>
      </c>
      <c r="Y1300" t="s">
        <v>28</v>
      </c>
      <c r="Z1300">
        <v>100163</v>
      </c>
      <c r="AA1300" t="s">
        <v>443</v>
      </c>
      <c r="AB1300" t="s">
        <v>523</v>
      </c>
      <c r="AC1300" s="9">
        <v>2</v>
      </c>
      <c r="AD1300" s="9" t="str">
        <f t="shared" si="137"/>
        <v>Ok</v>
      </c>
      <c r="AE1300" s="11">
        <f t="shared" si="139"/>
        <v>0</v>
      </c>
    </row>
    <row r="1301" spans="1:31" x14ac:dyDescent="0.3">
      <c r="A1301">
        <v>42</v>
      </c>
      <c r="B1301">
        <v>4714765</v>
      </c>
      <c r="C1301" t="s">
        <v>60</v>
      </c>
      <c r="D1301">
        <v>1588891</v>
      </c>
      <c r="E1301" t="s">
        <v>61</v>
      </c>
      <c r="F1301" t="s">
        <v>18</v>
      </c>
      <c r="G1301" t="s">
        <v>1177</v>
      </c>
      <c r="H1301" t="s">
        <v>1178</v>
      </c>
      <c r="I1301" t="s">
        <v>3312</v>
      </c>
      <c r="J1301">
        <v>51148607916</v>
      </c>
      <c r="K1301" t="s">
        <v>3537</v>
      </c>
      <c r="L1301" t="s">
        <v>4210</v>
      </c>
      <c r="M1301">
        <v>2000</v>
      </c>
      <c r="N1301" s="10">
        <v>0.21240000000000001</v>
      </c>
      <c r="O1301" s="10">
        <f t="shared" si="135"/>
        <v>424.8</v>
      </c>
      <c r="P1301" s="10" t="s">
        <v>5006</v>
      </c>
      <c r="Q1301" s="10" t="s">
        <v>5006</v>
      </c>
      <c r="R1301" s="10" t="str">
        <f>IF(COUNTIF($J$2:J1301,J1301)=1,SUMIFS($O:$O,$J:$J,J1301)+SUMIFS($P:$P,$J:$J,J1301)+SUMIFS($Q:$Q,$J:$J,J1301),"")</f>
        <v/>
      </c>
      <c r="S1301" s="10" t="s">
        <v>5006</v>
      </c>
      <c r="T1301" s="11" t="str">
        <f t="shared" si="138"/>
        <v>Ok</v>
      </c>
      <c r="U1301" s="12">
        <v>45994</v>
      </c>
      <c r="V1301" s="10">
        <v>-20.16</v>
      </c>
      <c r="W1301" s="10" t="str">
        <f t="shared" si="136"/>
        <v>N/A</v>
      </c>
      <c r="X1301" t="s">
        <v>438</v>
      </c>
      <c r="Y1301" t="s">
        <v>28</v>
      </c>
      <c r="Z1301">
        <v>100163</v>
      </c>
      <c r="AA1301" t="s">
        <v>443</v>
      </c>
      <c r="AB1301" t="s">
        <v>523</v>
      </c>
      <c r="AC1301" s="9">
        <v>2</v>
      </c>
      <c r="AD1301" s="9" t="str">
        <f t="shared" si="137"/>
        <v>N/A</v>
      </c>
      <c r="AE1301" s="11" t="e">
        <f t="shared" si="139"/>
        <v>#VALUE!</v>
      </c>
    </row>
    <row r="1302" spans="1:31" x14ac:dyDescent="0.3">
      <c r="A1302">
        <v>39</v>
      </c>
      <c r="B1302">
        <v>4719775</v>
      </c>
      <c r="C1302" t="s">
        <v>239</v>
      </c>
      <c r="D1302">
        <v>1079286</v>
      </c>
      <c r="E1302" t="s">
        <v>629</v>
      </c>
      <c r="F1302" t="s">
        <v>20</v>
      </c>
      <c r="G1302" t="s">
        <v>2773</v>
      </c>
      <c r="H1302" t="s">
        <v>2774</v>
      </c>
      <c r="I1302" t="s">
        <v>3175</v>
      </c>
      <c r="J1302">
        <v>51148680068</v>
      </c>
      <c r="K1302" t="s">
        <v>3223</v>
      </c>
      <c r="L1302" t="s">
        <v>4066</v>
      </c>
      <c r="M1302">
        <v>25000</v>
      </c>
      <c r="N1302" s="10">
        <v>0.38300000000000001</v>
      </c>
      <c r="O1302" s="10">
        <f t="shared" si="135"/>
        <v>9575</v>
      </c>
      <c r="P1302" s="10">
        <v>0</v>
      </c>
      <c r="Q1302" s="10">
        <v>0</v>
      </c>
      <c r="R1302" s="10">
        <f>IF(COUNTIF($J$2:J1302,J1302)=1,SUMIFS($O:$O,$J:$J,J1302)+SUMIFS($P:$P,$J:$J,J1302)+SUMIFS($Q:$Q,$J:$J,J1302),"")</f>
        <v>11154.9</v>
      </c>
      <c r="S1302" s="10">
        <v>11647</v>
      </c>
      <c r="T1302" s="11" t="str">
        <f t="shared" si="138"/>
        <v>Check</v>
      </c>
      <c r="U1302" s="12">
        <v>45804</v>
      </c>
      <c r="V1302" s="10">
        <v>9575</v>
      </c>
      <c r="W1302" s="10" t="str">
        <f t="shared" si="136"/>
        <v>Short Paid</v>
      </c>
      <c r="X1302" t="s">
        <v>476</v>
      </c>
      <c r="Y1302" t="s">
        <v>28</v>
      </c>
      <c r="Z1302">
        <v>100125</v>
      </c>
      <c r="AA1302" t="s">
        <v>477</v>
      </c>
      <c r="AB1302" t="s">
        <v>521</v>
      </c>
      <c r="AC1302" s="9">
        <v>2</v>
      </c>
      <c r="AD1302" s="9" t="str">
        <f t="shared" si="137"/>
        <v>Check</v>
      </c>
      <c r="AE1302" s="11">
        <f t="shared" si="139"/>
        <v>-492.10000000000036</v>
      </c>
    </row>
    <row r="1303" spans="1:31" x14ac:dyDescent="0.3">
      <c r="A1303">
        <v>39</v>
      </c>
      <c r="B1303">
        <v>4719775</v>
      </c>
      <c r="C1303" t="s">
        <v>239</v>
      </c>
      <c r="D1303">
        <v>1079286</v>
      </c>
      <c r="E1303" t="s">
        <v>629</v>
      </c>
      <c r="F1303" t="s">
        <v>20</v>
      </c>
      <c r="G1303" t="s">
        <v>2773</v>
      </c>
      <c r="H1303" t="s">
        <v>2774</v>
      </c>
      <c r="I1303" t="s">
        <v>3327</v>
      </c>
      <c r="J1303">
        <v>51148680068</v>
      </c>
      <c r="K1303" t="s">
        <v>3177</v>
      </c>
      <c r="L1303" t="s">
        <v>4211</v>
      </c>
      <c r="M1303">
        <v>70</v>
      </c>
      <c r="N1303" s="10">
        <v>22.57</v>
      </c>
      <c r="O1303" s="10">
        <f t="shared" si="135"/>
        <v>1579.9</v>
      </c>
      <c r="P1303" s="10" t="s">
        <v>5006</v>
      </c>
      <c r="Q1303" s="10" t="s">
        <v>5006</v>
      </c>
      <c r="R1303" s="10" t="str">
        <f>IF(COUNTIF($J$2:J1303,J1303)=1,SUMIFS($O:$O,$J:$J,J1303)+SUMIFS($P:$P,$J:$J,J1303)+SUMIFS($Q:$Q,$J:$J,J1303),"")</f>
        <v/>
      </c>
      <c r="S1303" s="10" t="s">
        <v>5006</v>
      </c>
      <c r="T1303" s="11" t="str">
        <f t="shared" si="138"/>
        <v>Check</v>
      </c>
      <c r="U1303" s="12">
        <v>45804</v>
      </c>
      <c r="V1303" s="10">
        <v>9575</v>
      </c>
      <c r="W1303" s="10" t="str">
        <f t="shared" si="136"/>
        <v>N/A</v>
      </c>
      <c r="X1303" t="s">
        <v>476</v>
      </c>
      <c r="Y1303" t="s">
        <v>28</v>
      </c>
      <c r="Z1303">
        <v>100125</v>
      </c>
      <c r="AA1303" t="s">
        <v>477</v>
      </c>
      <c r="AB1303" t="s">
        <v>521</v>
      </c>
      <c r="AC1303" s="9">
        <v>2</v>
      </c>
      <c r="AD1303" s="9" t="str">
        <f t="shared" si="137"/>
        <v>N/A</v>
      </c>
      <c r="AE1303" s="11" t="e">
        <f t="shared" si="139"/>
        <v>#VALUE!</v>
      </c>
    </row>
    <row r="1304" spans="1:31" x14ac:dyDescent="0.3">
      <c r="A1304">
        <v>38</v>
      </c>
      <c r="B1304">
        <v>4729793</v>
      </c>
      <c r="C1304" t="s">
        <v>160</v>
      </c>
      <c r="D1304">
        <v>1099677</v>
      </c>
      <c r="E1304" t="s">
        <v>710</v>
      </c>
      <c r="F1304" t="s">
        <v>20</v>
      </c>
      <c r="G1304" t="s">
        <v>1222</v>
      </c>
      <c r="H1304" t="s">
        <v>1223</v>
      </c>
      <c r="I1304" t="s">
        <v>3350</v>
      </c>
      <c r="J1304">
        <v>51148683842</v>
      </c>
      <c r="K1304" t="s">
        <v>3201</v>
      </c>
      <c r="L1304" t="s">
        <v>4212</v>
      </c>
      <c r="M1304">
        <v>400</v>
      </c>
      <c r="N1304" s="10">
        <v>11.11</v>
      </c>
      <c r="O1304" s="10">
        <f t="shared" si="135"/>
        <v>4444</v>
      </c>
      <c r="P1304" s="10">
        <v>259.43</v>
      </c>
      <c r="Q1304" s="10">
        <v>0</v>
      </c>
      <c r="R1304" s="10">
        <f>IF(COUNTIF($J$2:J1304,J1304)=1,SUMIFS($O:$O,$J:$J,J1304)+SUMIFS($P:$P,$J:$J,J1304)+SUMIFS($Q:$Q,$J:$J,J1304),"")</f>
        <v>7272.5300000000007</v>
      </c>
      <c r="S1304" s="10">
        <v>7291.84</v>
      </c>
      <c r="T1304" s="11" t="str">
        <f t="shared" si="138"/>
        <v>Check</v>
      </c>
      <c r="U1304" s="12">
        <v>46129</v>
      </c>
      <c r="V1304" s="10">
        <v>4722.74</v>
      </c>
      <c r="W1304" s="10" t="str">
        <f t="shared" si="136"/>
        <v>Short Paid</v>
      </c>
      <c r="X1304" t="s">
        <v>453</v>
      </c>
      <c r="Y1304" t="s">
        <v>28</v>
      </c>
      <c r="Z1304">
        <v>100244</v>
      </c>
      <c r="AA1304" t="s">
        <v>466</v>
      </c>
      <c r="AB1304" t="s">
        <v>521</v>
      </c>
      <c r="AC1304" s="9">
        <v>2</v>
      </c>
      <c r="AD1304" s="9" t="str">
        <f t="shared" si="137"/>
        <v>Check</v>
      </c>
      <c r="AE1304" s="11">
        <f t="shared" si="139"/>
        <v>-19.309999999999491</v>
      </c>
    </row>
    <row r="1305" spans="1:31" x14ac:dyDescent="0.3">
      <c r="A1305">
        <v>38</v>
      </c>
      <c r="B1305">
        <v>4729793</v>
      </c>
      <c r="C1305" t="s">
        <v>160</v>
      </c>
      <c r="D1305">
        <v>1099677</v>
      </c>
      <c r="E1305" t="s">
        <v>710</v>
      </c>
      <c r="F1305" t="s">
        <v>20</v>
      </c>
      <c r="G1305" t="s">
        <v>1222</v>
      </c>
      <c r="H1305" t="s">
        <v>1223</v>
      </c>
      <c r="I1305" t="s">
        <v>3399</v>
      </c>
      <c r="J1305">
        <v>51148683842</v>
      </c>
      <c r="K1305" t="s">
        <v>3318</v>
      </c>
      <c r="L1305" t="s">
        <v>3317</v>
      </c>
      <c r="M1305">
        <v>23000</v>
      </c>
      <c r="N1305" s="10">
        <v>0.11169999999999999</v>
      </c>
      <c r="O1305" s="10">
        <f t="shared" si="135"/>
        <v>2569.1</v>
      </c>
      <c r="P1305" s="10" t="s">
        <v>5006</v>
      </c>
      <c r="Q1305" s="10" t="s">
        <v>5006</v>
      </c>
      <c r="R1305" s="10" t="str">
        <f>IF(COUNTIF($J$2:J1305,J1305)=1,SUMIFS($O:$O,$J:$J,J1305)+SUMIFS($P:$P,$J:$J,J1305)+SUMIFS($Q:$Q,$J:$J,J1305),"")</f>
        <v/>
      </c>
      <c r="S1305" s="10" t="s">
        <v>5006</v>
      </c>
      <c r="T1305" s="11" t="str">
        <f t="shared" si="138"/>
        <v>Check</v>
      </c>
      <c r="U1305" s="12">
        <v>46129</v>
      </c>
      <c r="V1305" s="10">
        <v>4722.74</v>
      </c>
      <c r="W1305" s="10" t="str">
        <f t="shared" si="136"/>
        <v>N/A</v>
      </c>
      <c r="X1305" t="s">
        <v>453</v>
      </c>
      <c r="Y1305" t="s">
        <v>28</v>
      </c>
      <c r="Z1305">
        <v>100244</v>
      </c>
      <c r="AA1305" t="s">
        <v>466</v>
      </c>
      <c r="AB1305" t="s">
        <v>521</v>
      </c>
      <c r="AC1305" s="9">
        <v>2</v>
      </c>
      <c r="AD1305" s="9" t="str">
        <f t="shared" si="137"/>
        <v>N/A</v>
      </c>
      <c r="AE1305" s="11" t="e">
        <f t="shared" si="139"/>
        <v>#VALUE!</v>
      </c>
    </row>
    <row r="1306" spans="1:31" x14ac:dyDescent="0.3">
      <c r="A1306">
        <v>38</v>
      </c>
      <c r="B1306">
        <v>4729515</v>
      </c>
      <c r="C1306" t="s">
        <v>160</v>
      </c>
      <c r="D1306">
        <v>1099677</v>
      </c>
      <c r="E1306" t="s">
        <v>710</v>
      </c>
      <c r="F1306" t="s">
        <v>20</v>
      </c>
      <c r="G1306" t="s">
        <v>1220</v>
      </c>
      <c r="H1306" t="s">
        <v>1221</v>
      </c>
      <c r="I1306" t="s">
        <v>3357</v>
      </c>
      <c r="J1306">
        <v>51148710043</v>
      </c>
      <c r="K1306" t="s">
        <v>3229</v>
      </c>
      <c r="L1306" t="s">
        <v>3409</v>
      </c>
      <c r="M1306">
        <v>16000</v>
      </c>
      <c r="N1306" s="10">
        <v>1.8200000000000001E-2</v>
      </c>
      <c r="O1306" s="10">
        <f t="shared" si="135"/>
        <v>291.2</v>
      </c>
      <c r="P1306" s="10">
        <v>316.47000000000003</v>
      </c>
      <c r="Q1306" s="10">
        <v>0</v>
      </c>
      <c r="R1306" s="10">
        <f>IF(COUNTIF($J$2:J1306,J1306)=1,SUMIFS($O:$O,$J:$J,J1306)+SUMIFS($P:$P,$J:$J,J1306)+SUMIFS($Q:$Q,$J:$J,J1306),"")</f>
        <v>6042.67</v>
      </c>
      <c r="S1306" s="10">
        <v>6052.33</v>
      </c>
      <c r="T1306" s="11" t="str">
        <f t="shared" si="138"/>
        <v>Check</v>
      </c>
      <c r="U1306" s="12">
        <v>46129</v>
      </c>
      <c r="V1306" s="10">
        <v>5761.13</v>
      </c>
      <c r="W1306" s="10" t="str">
        <f t="shared" si="136"/>
        <v>Short Paid</v>
      </c>
      <c r="X1306" t="s">
        <v>453</v>
      </c>
      <c r="Y1306" t="s">
        <v>28</v>
      </c>
      <c r="Z1306">
        <v>100234</v>
      </c>
      <c r="AA1306" t="s">
        <v>502</v>
      </c>
      <c r="AB1306" t="s">
        <v>521</v>
      </c>
      <c r="AC1306" s="9">
        <v>2</v>
      </c>
      <c r="AD1306" s="9" t="str">
        <f t="shared" si="137"/>
        <v>Check</v>
      </c>
      <c r="AE1306" s="11">
        <f t="shared" si="139"/>
        <v>-9.6599999999998545</v>
      </c>
    </row>
    <row r="1307" spans="1:31" x14ac:dyDescent="0.3">
      <c r="A1307">
        <v>38</v>
      </c>
      <c r="B1307">
        <v>4729515</v>
      </c>
      <c r="C1307" t="s">
        <v>160</v>
      </c>
      <c r="D1307">
        <v>1099677</v>
      </c>
      <c r="E1307" t="s">
        <v>710</v>
      </c>
      <c r="F1307" t="s">
        <v>20</v>
      </c>
      <c r="G1307" t="s">
        <v>1220</v>
      </c>
      <c r="H1307" t="s">
        <v>1221</v>
      </c>
      <c r="I1307" t="s">
        <v>3307</v>
      </c>
      <c r="J1307">
        <v>51148710043</v>
      </c>
      <c r="K1307" t="s">
        <v>3201</v>
      </c>
      <c r="L1307" t="s">
        <v>4213</v>
      </c>
      <c r="M1307">
        <v>500</v>
      </c>
      <c r="N1307" s="10">
        <v>10.87</v>
      </c>
      <c r="O1307" s="10">
        <f t="shared" si="135"/>
        <v>5435</v>
      </c>
      <c r="P1307" s="10" t="s">
        <v>5006</v>
      </c>
      <c r="Q1307" s="10" t="s">
        <v>5006</v>
      </c>
      <c r="R1307" s="10" t="str">
        <f>IF(COUNTIF($J$2:J1307,J1307)=1,SUMIFS($O:$O,$J:$J,J1307)+SUMIFS($P:$P,$J:$J,J1307)+SUMIFS($Q:$Q,$J:$J,J1307),"")</f>
        <v/>
      </c>
      <c r="S1307" s="10" t="s">
        <v>5006</v>
      </c>
      <c r="T1307" s="11" t="str">
        <f t="shared" si="138"/>
        <v>Check</v>
      </c>
      <c r="U1307" s="12">
        <v>46129</v>
      </c>
      <c r="V1307" s="10">
        <v>5761.13</v>
      </c>
      <c r="W1307" s="10" t="str">
        <f t="shared" si="136"/>
        <v>N/A</v>
      </c>
      <c r="X1307" t="s">
        <v>453</v>
      </c>
      <c r="Y1307" t="s">
        <v>28</v>
      </c>
      <c r="Z1307">
        <v>100234</v>
      </c>
      <c r="AA1307" t="s">
        <v>502</v>
      </c>
      <c r="AB1307" t="s">
        <v>521</v>
      </c>
      <c r="AC1307" s="9">
        <v>2</v>
      </c>
      <c r="AD1307" s="9" t="str">
        <f t="shared" si="137"/>
        <v>N/A</v>
      </c>
      <c r="AE1307" s="11" t="e">
        <f t="shared" si="139"/>
        <v>#VALUE!</v>
      </c>
    </row>
    <row r="1308" spans="1:31" x14ac:dyDescent="0.3">
      <c r="A1308">
        <v>38</v>
      </c>
      <c r="B1308">
        <v>4730628</v>
      </c>
      <c r="C1308" t="s">
        <v>94</v>
      </c>
      <c r="D1308">
        <v>1200599</v>
      </c>
      <c r="E1308" t="s">
        <v>656</v>
      </c>
      <c r="F1308" t="s">
        <v>19</v>
      </c>
      <c r="G1308" t="s">
        <v>2789</v>
      </c>
      <c r="H1308" t="s">
        <v>1207</v>
      </c>
      <c r="I1308" t="s">
        <v>3169</v>
      </c>
      <c r="J1308">
        <v>51148737029</v>
      </c>
      <c r="K1308" t="s">
        <v>3572</v>
      </c>
      <c r="L1308" t="s">
        <v>3571</v>
      </c>
      <c r="M1308">
        <v>1</v>
      </c>
      <c r="N1308" s="10">
        <v>220.13</v>
      </c>
      <c r="O1308" s="10">
        <f t="shared" si="135"/>
        <v>220.13</v>
      </c>
      <c r="P1308" s="10">
        <v>0</v>
      </c>
      <c r="Q1308" s="10">
        <v>0</v>
      </c>
      <c r="R1308" s="10">
        <f>IF(COUNTIF($J$2:J1308,J1308)=1,SUMIFS($O:$O,$J:$J,J1308)+SUMIFS($P:$P,$J:$J,J1308)+SUMIFS($Q:$Q,$J:$J,J1308),"")</f>
        <v>763.88031999999998</v>
      </c>
      <c r="S1308" s="10">
        <v>1204.1399999999999</v>
      </c>
      <c r="T1308" s="11" t="str">
        <f t="shared" si="138"/>
        <v>Check</v>
      </c>
      <c r="U1308" s="12">
        <v>46086</v>
      </c>
      <c r="V1308" s="10">
        <v>660.39</v>
      </c>
      <c r="W1308" s="10" t="str">
        <f t="shared" si="136"/>
        <v>Short Paid</v>
      </c>
      <c r="X1308" t="s">
        <v>450</v>
      </c>
      <c r="Y1308" t="s">
        <v>28</v>
      </c>
      <c r="Z1308">
        <v>100117</v>
      </c>
      <c r="AA1308" t="s">
        <v>451</v>
      </c>
      <c r="AB1308" t="s">
        <v>524</v>
      </c>
      <c r="AC1308" s="9">
        <v>2</v>
      </c>
      <c r="AD1308" s="9" t="str">
        <f t="shared" si="137"/>
        <v>Check</v>
      </c>
      <c r="AE1308" s="11">
        <f t="shared" si="139"/>
        <v>-440.25967999999989</v>
      </c>
    </row>
    <row r="1309" spans="1:31" x14ac:dyDescent="0.3">
      <c r="A1309">
        <v>38</v>
      </c>
      <c r="B1309">
        <v>4730628</v>
      </c>
      <c r="C1309" t="s">
        <v>94</v>
      </c>
      <c r="D1309">
        <v>1200599</v>
      </c>
      <c r="E1309" t="s">
        <v>656</v>
      </c>
      <c r="F1309" t="s">
        <v>19</v>
      </c>
      <c r="G1309" t="s">
        <v>2789</v>
      </c>
      <c r="H1309" t="s">
        <v>1207</v>
      </c>
      <c r="I1309" t="s">
        <v>3285</v>
      </c>
      <c r="J1309">
        <v>51148737029</v>
      </c>
      <c r="K1309" t="s">
        <v>3266</v>
      </c>
      <c r="L1309" t="s">
        <v>3490</v>
      </c>
      <c r="M1309">
        <v>1028</v>
      </c>
      <c r="N1309" s="10">
        <v>0.52893999999999997</v>
      </c>
      <c r="O1309" s="10">
        <f t="shared" si="135"/>
        <v>543.75031999999999</v>
      </c>
      <c r="P1309" s="10" t="s">
        <v>5006</v>
      </c>
      <c r="Q1309" s="10" t="s">
        <v>5006</v>
      </c>
      <c r="R1309" s="10" t="str">
        <f>IF(COUNTIF($J$2:J1309,J1309)=1,SUMIFS($O:$O,$J:$J,J1309)+SUMIFS($P:$P,$J:$J,J1309)+SUMIFS($Q:$Q,$J:$J,J1309),"")</f>
        <v/>
      </c>
      <c r="S1309" s="10" t="s">
        <v>5006</v>
      </c>
      <c r="T1309" s="11" t="str">
        <f t="shared" si="138"/>
        <v>Check</v>
      </c>
      <c r="U1309" s="12">
        <v>46086</v>
      </c>
      <c r="V1309" s="10">
        <v>660.39</v>
      </c>
      <c r="W1309" s="10" t="str">
        <f t="shared" si="136"/>
        <v>N/A</v>
      </c>
      <c r="X1309" t="s">
        <v>450</v>
      </c>
      <c r="Y1309" t="s">
        <v>28</v>
      </c>
      <c r="Z1309">
        <v>100117</v>
      </c>
      <c r="AA1309" t="s">
        <v>451</v>
      </c>
      <c r="AB1309" t="s">
        <v>524</v>
      </c>
      <c r="AC1309" s="9">
        <v>2</v>
      </c>
      <c r="AD1309" s="9" t="str">
        <f t="shared" si="137"/>
        <v>N/A</v>
      </c>
      <c r="AE1309" s="11" t="e">
        <f t="shared" si="139"/>
        <v>#VALUE!</v>
      </c>
    </row>
    <row r="1310" spans="1:31" x14ac:dyDescent="0.3">
      <c r="A1310">
        <v>39</v>
      </c>
      <c r="B1310">
        <v>4722557</v>
      </c>
      <c r="C1310" t="s">
        <v>239</v>
      </c>
      <c r="D1310">
        <v>1079286</v>
      </c>
      <c r="E1310" t="s">
        <v>629</v>
      </c>
      <c r="F1310" t="s">
        <v>20</v>
      </c>
      <c r="G1310" t="s">
        <v>1200</v>
      </c>
      <c r="H1310" t="s">
        <v>1201</v>
      </c>
      <c r="I1310" t="s">
        <v>3402</v>
      </c>
      <c r="J1310">
        <v>51148760788</v>
      </c>
      <c r="K1310" t="s">
        <v>3351</v>
      </c>
      <c r="L1310" t="s">
        <v>3482</v>
      </c>
      <c r="M1310">
        <v>24000</v>
      </c>
      <c r="N1310" s="10">
        <v>8.3000000000000004E-2</v>
      </c>
      <c r="O1310" s="10">
        <f t="shared" si="135"/>
        <v>1992</v>
      </c>
      <c r="P1310" s="10">
        <v>0</v>
      </c>
      <c r="Q1310" s="10">
        <v>0</v>
      </c>
      <c r="R1310" s="10">
        <f>IF(COUNTIF($J$2:J1310,J1310)=1,SUMIFS($O:$O,$J:$J,J1310)+SUMIFS($P:$P,$J:$J,J1310)+SUMIFS($Q:$Q,$J:$J,J1310),"")</f>
        <v>436747.23000000004</v>
      </c>
      <c r="S1310" s="10">
        <v>436747.23</v>
      </c>
      <c r="T1310" s="11" t="str">
        <f t="shared" si="138"/>
        <v>Ok</v>
      </c>
      <c r="U1310" s="12">
        <v>46076</v>
      </c>
      <c r="V1310" s="10">
        <v>1992</v>
      </c>
      <c r="W1310" s="10" t="str">
        <f t="shared" si="136"/>
        <v>Short Paid</v>
      </c>
      <c r="X1310" t="s">
        <v>476</v>
      </c>
      <c r="Y1310" t="s">
        <v>28</v>
      </c>
      <c r="Z1310">
        <v>100125</v>
      </c>
      <c r="AA1310" t="s">
        <v>477</v>
      </c>
      <c r="AB1310" t="s">
        <v>521</v>
      </c>
      <c r="AC1310" s="9">
        <v>2</v>
      </c>
      <c r="AD1310" s="9" t="str">
        <f t="shared" si="137"/>
        <v>Ok</v>
      </c>
      <c r="AE1310" s="11">
        <f t="shared" si="139"/>
        <v>0</v>
      </c>
    </row>
    <row r="1311" spans="1:31" x14ac:dyDescent="0.3">
      <c r="A1311">
        <v>39</v>
      </c>
      <c r="B1311">
        <v>4722557</v>
      </c>
      <c r="C1311" t="s">
        <v>239</v>
      </c>
      <c r="D1311">
        <v>1079286</v>
      </c>
      <c r="E1311" t="s">
        <v>629</v>
      </c>
      <c r="F1311" t="s">
        <v>20</v>
      </c>
      <c r="G1311" t="s">
        <v>1200</v>
      </c>
      <c r="H1311" t="s">
        <v>1201</v>
      </c>
      <c r="I1311" t="s">
        <v>3347</v>
      </c>
      <c r="J1311">
        <v>51148760788</v>
      </c>
      <c r="K1311" t="s">
        <v>3351</v>
      </c>
      <c r="L1311" t="s">
        <v>4214</v>
      </c>
      <c r="M1311">
        <v>3423</v>
      </c>
      <c r="N1311" s="10">
        <v>127.01</v>
      </c>
      <c r="O1311" s="10">
        <f t="shared" si="135"/>
        <v>434755.23000000004</v>
      </c>
      <c r="P1311" s="10" t="s">
        <v>5006</v>
      </c>
      <c r="Q1311" s="10" t="s">
        <v>5006</v>
      </c>
      <c r="R1311" s="10" t="str">
        <f>IF(COUNTIF($J$2:J1311,J1311)=1,SUMIFS($O:$O,$J:$J,J1311)+SUMIFS($P:$P,$J:$J,J1311)+SUMIFS($Q:$Q,$J:$J,J1311),"")</f>
        <v/>
      </c>
      <c r="S1311" s="10" t="s">
        <v>5006</v>
      </c>
      <c r="T1311" s="11" t="str">
        <f t="shared" si="138"/>
        <v>Ok</v>
      </c>
      <c r="U1311" s="12">
        <v>46076</v>
      </c>
      <c r="V1311" s="10">
        <v>1992</v>
      </c>
      <c r="W1311" s="10" t="str">
        <f t="shared" si="136"/>
        <v>N/A</v>
      </c>
      <c r="X1311" t="s">
        <v>476</v>
      </c>
      <c r="Y1311" t="s">
        <v>28</v>
      </c>
      <c r="Z1311">
        <v>100125</v>
      </c>
      <c r="AA1311" t="s">
        <v>477</v>
      </c>
      <c r="AB1311" t="s">
        <v>521</v>
      </c>
      <c r="AC1311" s="9">
        <v>2</v>
      </c>
      <c r="AD1311" s="9" t="str">
        <f t="shared" si="137"/>
        <v>N/A</v>
      </c>
      <c r="AE1311" s="11" t="e">
        <f t="shared" si="139"/>
        <v>#VALUE!</v>
      </c>
    </row>
    <row r="1312" spans="1:31" x14ac:dyDescent="0.3">
      <c r="A1312">
        <v>25</v>
      </c>
      <c r="B1312">
        <v>4793242</v>
      </c>
      <c r="C1312" t="s">
        <v>94</v>
      </c>
      <c r="D1312">
        <v>1499103</v>
      </c>
      <c r="E1312" t="s">
        <v>576</v>
      </c>
      <c r="F1312" t="s">
        <v>17</v>
      </c>
      <c r="G1312" t="s">
        <v>2805</v>
      </c>
      <c r="H1312" t="s">
        <v>1383</v>
      </c>
      <c r="I1312" t="s">
        <v>3543</v>
      </c>
      <c r="J1312">
        <v>51148797884</v>
      </c>
      <c r="K1312" t="s">
        <v>4216</v>
      </c>
      <c r="L1312" t="s">
        <v>4215</v>
      </c>
      <c r="M1312">
        <v>10</v>
      </c>
      <c r="N1312" s="10">
        <v>277.99</v>
      </c>
      <c r="O1312" s="10">
        <f t="shared" si="135"/>
        <v>2779.9</v>
      </c>
      <c r="P1312" s="10">
        <v>0</v>
      </c>
      <c r="Q1312" s="10">
        <v>0</v>
      </c>
      <c r="R1312" s="10">
        <f>IF(COUNTIF($J$2:J1312,J1312)=1,SUMIFS($O:$O,$J:$J,J1312)+SUMIFS($P:$P,$J:$J,J1312)+SUMIFS($Q:$Q,$J:$J,J1312),"")</f>
        <v>34639.9</v>
      </c>
      <c r="S1312" s="10">
        <v>34639.9</v>
      </c>
      <c r="T1312" s="11" t="str">
        <f t="shared" si="138"/>
        <v>Ok</v>
      </c>
      <c r="U1312" s="12">
        <v>46134</v>
      </c>
      <c r="V1312" s="10">
        <v>31860</v>
      </c>
      <c r="W1312" s="10" t="str">
        <f t="shared" si="136"/>
        <v>Short Paid</v>
      </c>
      <c r="X1312" t="s">
        <v>450</v>
      </c>
      <c r="Y1312" t="s">
        <v>436</v>
      </c>
      <c r="Z1312">
        <v>100217</v>
      </c>
      <c r="AA1312" t="s">
        <v>3144</v>
      </c>
      <c r="AB1312" t="s">
        <v>528</v>
      </c>
      <c r="AC1312" s="9">
        <v>3</v>
      </c>
      <c r="AD1312" s="9" t="str">
        <f t="shared" si="137"/>
        <v>Ok</v>
      </c>
      <c r="AE1312" s="11">
        <f t="shared" si="139"/>
        <v>0</v>
      </c>
    </row>
    <row r="1313" spans="1:31" x14ac:dyDescent="0.3">
      <c r="A1313">
        <v>25</v>
      </c>
      <c r="B1313">
        <v>4793242</v>
      </c>
      <c r="C1313" t="s">
        <v>94</v>
      </c>
      <c r="D1313">
        <v>1499103</v>
      </c>
      <c r="E1313" t="s">
        <v>576</v>
      </c>
      <c r="F1313" t="s">
        <v>17</v>
      </c>
      <c r="G1313" t="s">
        <v>2805</v>
      </c>
      <c r="H1313" t="s">
        <v>1383</v>
      </c>
      <c r="I1313" t="s">
        <v>3424</v>
      </c>
      <c r="J1313">
        <v>51148797884</v>
      </c>
      <c r="K1313" t="s">
        <v>3356</v>
      </c>
      <c r="L1313" t="s">
        <v>4217</v>
      </c>
      <c r="M1313">
        <v>60000</v>
      </c>
      <c r="N1313" s="10">
        <v>0.14099999999999999</v>
      </c>
      <c r="O1313" s="10">
        <f t="shared" si="135"/>
        <v>8460</v>
      </c>
      <c r="P1313" s="10" t="s">
        <v>5006</v>
      </c>
      <c r="Q1313" s="10" t="s">
        <v>5006</v>
      </c>
      <c r="R1313" s="10" t="str">
        <f>IF(COUNTIF($J$2:J1313,J1313)=1,SUMIFS($O:$O,$J:$J,J1313)+SUMIFS($P:$P,$J:$J,J1313)+SUMIFS($Q:$Q,$J:$J,J1313),"")</f>
        <v/>
      </c>
      <c r="S1313" s="10" t="s">
        <v>5006</v>
      </c>
      <c r="T1313" s="11" t="str">
        <f t="shared" si="138"/>
        <v>Ok</v>
      </c>
      <c r="U1313" s="12">
        <v>46134</v>
      </c>
      <c r="V1313" s="10">
        <v>31860</v>
      </c>
      <c r="W1313" s="10" t="str">
        <f t="shared" si="136"/>
        <v>N/A</v>
      </c>
      <c r="X1313" t="s">
        <v>450</v>
      </c>
      <c r="Y1313" t="s">
        <v>436</v>
      </c>
      <c r="Z1313">
        <v>100217</v>
      </c>
      <c r="AA1313" t="s">
        <v>3144</v>
      </c>
      <c r="AB1313" t="s">
        <v>528</v>
      </c>
      <c r="AC1313" s="9">
        <v>3</v>
      </c>
      <c r="AD1313" s="9" t="str">
        <f t="shared" si="137"/>
        <v>N/A</v>
      </c>
      <c r="AE1313" s="11" t="e">
        <f t="shared" si="139"/>
        <v>#VALUE!</v>
      </c>
    </row>
    <row r="1314" spans="1:31" x14ac:dyDescent="0.3">
      <c r="A1314">
        <v>25</v>
      </c>
      <c r="B1314">
        <v>4793242</v>
      </c>
      <c r="C1314" t="s">
        <v>94</v>
      </c>
      <c r="D1314">
        <v>1499103</v>
      </c>
      <c r="E1314" t="s">
        <v>576</v>
      </c>
      <c r="F1314" t="s">
        <v>17</v>
      </c>
      <c r="G1314" t="s">
        <v>2805</v>
      </c>
      <c r="H1314" t="s">
        <v>1383</v>
      </c>
      <c r="I1314" t="s">
        <v>3424</v>
      </c>
      <c r="J1314">
        <v>51148797884</v>
      </c>
      <c r="K1314" t="s">
        <v>3356</v>
      </c>
      <c r="L1314" t="s">
        <v>4218</v>
      </c>
      <c r="M1314">
        <v>60000</v>
      </c>
      <c r="N1314" s="10">
        <v>0.39</v>
      </c>
      <c r="O1314" s="10">
        <f t="shared" si="135"/>
        <v>23400</v>
      </c>
      <c r="P1314" s="10" t="s">
        <v>5006</v>
      </c>
      <c r="Q1314" s="10" t="s">
        <v>5006</v>
      </c>
      <c r="R1314" s="10" t="str">
        <f>IF(COUNTIF($J$2:J1314,J1314)=1,SUMIFS($O:$O,$J:$J,J1314)+SUMIFS($P:$P,$J:$J,J1314)+SUMIFS($Q:$Q,$J:$J,J1314),"")</f>
        <v/>
      </c>
      <c r="S1314" s="10" t="s">
        <v>5006</v>
      </c>
      <c r="T1314" s="11" t="str">
        <f t="shared" si="138"/>
        <v>Ok</v>
      </c>
      <c r="U1314" s="12">
        <v>46134</v>
      </c>
      <c r="V1314" s="10">
        <v>31860</v>
      </c>
      <c r="W1314" s="10" t="str">
        <f t="shared" si="136"/>
        <v>N/A</v>
      </c>
      <c r="X1314" t="s">
        <v>450</v>
      </c>
      <c r="Y1314" t="s">
        <v>436</v>
      </c>
      <c r="Z1314">
        <v>100217</v>
      </c>
      <c r="AA1314" t="s">
        <v>3144</v>
      </c>
      <c r="AB1314" t="s">
        <v>528</v>
      </c>
      <c r="AC1314" s="9">
        <v>3</v>
      </c>
      <c r="AD1314" s="9" t="str">
        <f t="shared" si="137"/>
        <v>N/A</v>
      </c>
      <c r="AE1314" s="11" t="e">
        <f t="shared" si="139"/>
        <v>#VALUE!</v>
      </c>
    </row>
    <row r="1315" spans="1:31" x14ac:dyDescent="0.3">
      <c r="A1315">
        <v>32</v>
      </c>
      <c r="B1315">
        <v>4750386</v>
      </c>
      <c r="C1315" t="s">
        <v>240</v>
      </c>
      <c r="D1315">
        <v>1648238</v>
      </c>
      <c r="E1315" t="s">
        <v>4893</v>
      </c>
      <c r="F1315" t="s">
        <v>20</v>
      </c>
      <c r="G1315" t="s">
        <v>1282</v>
      </c>
      <c r="H1315" t="s">
        <v>1283</v>
      </c>
      <c r="I1315" t="s">
        <v>3296</v>
      </c>
      <c r="J1315">
        <v>51148864328</v>
      </c>
      <c r="K1315" t="s">
        <v>3190</v>
      </c>
      <c r="L1315" t="s">
        <v>3211</v>
      </c>
      <c r="M1315">
        <v>12000</v>
      </c>
      <c r="N1315" s="10">
        <v>0.53</v>
      </c>
      <c r="O1315" s="10">
        <f t="shared" si="135"/>
        <v>6360</v>
      </c>
      <c r="P1315" s="10">
        <v>546.96</v>
      </c>
      <c r="Q1315" s="10">
        <v>0</v>
      </c>
      <c r="R1315" s="10">
        <f>IF(COUNTIF($J$2:J1315,J1315)=1,SUMIFS($O:$O,$J:$J,J1315)+SUMIFS($P:$P,$J:$J,J1315)+SUMIFS($Q:$Q,$J:$J,J1315),"")</f>
        <v>9406.9599999999991</v>
      </c>
      <c r="S1315" s="10">
        <v>9425.02</v>
      </c>
      <c r="T1315" s="11" t="str">
        <f t="shared" si="138"/>
        <v>Check</v>
      </c>
      <c r="U1315" s="12">
        <v>46104</v>
      </c>
      <c r="V1315" s="10">
        <v>2518.06</v>
      </c>
      <c r="W1315" s="10" t="str">
        <f t="shared" si="136"/>
        <v>Short Paid</v>
      </c>
      <c r="X1315" t="s">
        <v>478</v>
      </c>
      <c r="Y1315" t="s">
        <v>28</v>
      </c>
      <c r="Z1315">
        <v>100122</v>
      </c>
      <c r="AA1315" t="s">
        <v>516</v>
      </c>
      <c r="AB1315" t="s">
        <v>521</v>
      </c>
      <c r="AC1315" s="9">
        <v>2</v>
      </c>
      <c r="AD1315" s="9" t="str">
        <f t="shared" si="137"/>
        <v>Check</v>
      </c>
      <c r="AE1315" s="11">
        <f t="shared" si="139"/>
        <v>-18.06000000000131</v>
      </c>
    </row>
    <row r="1316" spans="1:31" x14ac:dyDescent="0.3">
      <c r="A1316">
        <v>32</v>
      </c>
      <c r="B1316">
        <v>4750386</v>
      </c>
      <c r="C1316" t="s">
        <v>240</v>
      </c>
      <c r="D1316">
        <v>1648238</v>
      </c>
      <c r="E1316" t="s">
        <v>4893</v>
      </c>
      <c r="F1316" t="s">
        <v>20</v>
      </c>
      <c r="G1316" t="s">
        <v>1282</v>
      </c>
      <c r="H1316" t="s">
        <v>1283</v>
      </c>
      <c r="I1316" t="s">
        <v>3420</v>
      </c>
      <c r="J1316">
        <v>51148864328</v>
      </c>
      <c r="K1316" t="s">
        <v>3209</v>
      </c>
      <c r="L1316" t="s">
        <v>4219</v>
      </c>
      <c r="M1316">
        <v>1</v>
      </c>
      <c r="N1316" s="10">
        <v>2500</v>
      </c>
      <c r="O1316" s="10">
        <f t="shared" si="135"/>
        <v>2500</v>
      </c>
      <c r="P1316" s="10" t="s">
        <v>5006</v>
      </c>
      <c r="Q1316" s="10" t="s">
        <v>5006</v>
      </c>
      <c r="R1316" s="10" t="str">
        <f>IF(COUNTIF($J$2:J1316,J1316)=1,SUMIFS($O:$O,$J:$J,J1316)+SUMIFS($P:$P,$J:$J,J1316)+SUMIFS($Q:$Q,$J:$J,J1316),"")</f>
        <v/>
      </c>
      <c r="S1316" s="10" t="s">
        <v>5006</v>
      </c>
      <c r="T1316" s="11" t="str">
        <f t="shared" si="138"/>
        <v>Check</v>
      </c>
      <c r="U1316" s="12">
        <v>46104</v>
      </c>
      <c r="V1316" s="10">
        <v>2518.06</v>
      </c>
      <c r="W1316" s="10" t="str">
        <f t="shared" si="136"/>
        <v>N/A</v>
      </c>
      <c r="X1316" t="s">
        <v>478</v>
      </c>
      <c r="Y1316" t="s">
        <v>28</v>
      </c>
      <c r="Z1316">
        <v>100122</v>
      </c>
      <c r="AA1316" t="s">
        <v>516</v>
      </c>
      <c r="AB1316" t="s">
        <v>521</v>
      </c>
      <c r="AC1316" s="9">
        <v>2</v>
      </c>
      <c r="AD1316" s="9" t="str">
        <f t="shared" si="137"/>
        <v>N/A</v>
      </c>
      <c r="AE1316" s="11" t="e">
        <f t="shared" si="139"/>
        <v>#VALUE!</v>
      </c>
    </row>
    <row r="1317" spans="1:31" x14ac:dyDescent="0.3">
      <c r="A1317">
        <v>38</v>
      </c>
      <c r="B1317">
        <v>4730906</v>
      </c>
      <c r="C1317" t="s">
        <v>94</v>
      </c>
      <c r="D1317">
        <v>1200599</v>
      </c>
      <c r="E1317" t="s">
        <v>656</v>
      </c>
      <c r="F1317" t="s">
        <v>19</v>
      </c>
      <c r="G1317" t="s">
        <v>2790</v>
      </c>
      <c r="H1317" t="s">
        <v>1224</v>
      </c>
      <c r="I1317" t="s">
        <v>3462</v>
      </c>
      <c r="J1317">
        <v>51148871718</v>
      </c>
      <c r="K1317" t="s">
        <v>3229</v>
      </c>
      <c r="L1317" t="s">
        <v>3409</v>
      </c>
      <c r="M1317">
        <v>0</v>
      </c>
      <c r="N1317" s="10">
        <v>1.8200000000000001E-2</v>
      </c>
      <c r="O1317" s="10">
        <f t="shared" si="135"/>
        <v>0</v>
      </c>
      <c r="P1317" s="10">
        <v>0</v>
      </c>
      <c r="Q1317" s="10">
        <v>157.93</v>
      </c>
      <c r="R1317" s="10">
        <f>IF(COUNTIF($J$2:J1317,J1317)=1,SUMIFS($O:$O,$J:$J,J1317)+SUMIFS($P:$P,$J:$J,J1317)+SUMIFS($Q:$Q,$J:$J,J1317),"")</f>
        <v>989.13000000000011</v>
      </c>
      <c r="S1317" s="10">
        <v>1280.33</v>
      </c>
      <c r="T1317" s="11" t="str">
        <f t="shared" si="138"/>
        <v>Check</v>
      </c>
      <c r="U1317" s="12">
        <v>46087</v>
      </c>
      <c r="V1317" s="10">
        <v>989.13</v>
      </c>
      <c r="W1317" s="10" t="str">
        <f t="shared" si="136"/>
        <v>Short Paid</v>
      </c>
      <c r="X1317" t="s">
        <v>450</v>
      </c>
      <c r="Y1317" t="s">
        <v>28</v>
      </c>
      <c r="Z1317">
        <v>100127</v>
      </c>
      <c r="AA1317" t="s">
        <v>3090</v>
      </c>
      <c r="AB1317" t="s">
        <v>524</v>
      </c>
      <c r="AC1317" s="9">
        <v>2</v>
      </c>
      <c r="AD1317" s="9" t="str">
        <f t="shared" si="137"/>
        <v>Check</v>
      </c>
      <c r="AE1317" s="11">
        <f t="shared" si="139"/>
        <v>-291.19999999999982</v>
      </c>
    </row>
    <row r="1318" spans="1:31" x14ac:dyDescent="0.3">
      <c r="A1318">
        <v>38</v>
      </c>
      <c r="B1318">
        <v>4730906</v>
      </c>
      <c r="C1318" t="s">
        <v>94</v>
      </c>
      <c r="D1318">
        <v>1200599</v>
      </c>
      <c r="E1318" t="s">
        <v>656</v>
      </c>
      <c r="F1318" t="s">
        <v>19</v>
      </c>
      <c r="G1318" t="s">
        <v>2790</v>
      </c>
      <c r="H1318" t="s">
        <v>1224</v>
      </c>
      <c r="I1318" t="s">
        <v>3232</v>
      </c>
      <c r="J1318">
        <v>51148871718</v>
      </c>
      <c r="K1318" t="s">
        <v>4221</v>
      </c>
      <c r="L1318" t="s">
        <v>4220</v>
      </c>
      <c r="M1318">
        <v>16000</v>
      </c>
      <c r="N1318" s="10">
        <v>5.1950000000000003E-2</v>
      </c>
      <c r="O1318" s="10">
        <f t="shared" si="135"/>
        <v>831.2</v>
      </c>
      <c r="P1318" s="10" t="s">
        <v>5006</v>
      </c>
      <c r="Q1318" s="10" t="s">
        <v>5006</v>
      </c>
      <c r="R1318" s="10" t="str">
        <f>IF(COUNTIF($J$2:J1318,J1318)=1,SUMIFS($O:$O,$J:$J,J1318)+SUMIFS($P:$P,$J:$J,J1318)+SUMIFS($Q:$Q,$J:$J,J1318),"")</f>
        <v/>
      </c>
      <c r="S1318" s="10" t="s">
        <v>5006</v>
      </c>
      <c r="T1318" s="11" t="str">
        <f t="shared" si="138"/>
        <v>Check</v>
      </c>
      <c r="U1318" s="12">
        <v>46087</v>
      </c>
      <c r="V1318" s="10">
        <v>989.13</v>
      </c>
      <c r="W1318" s="10" t="str">
        <f t="shared" si="136"/>
        <v>N/A</v>
      </c>
      <c r="X1318" t="s">
        <v>450</v>
      </c>
      <c r="Y1318" t="s">
        <v>28</v>
      </c>
      <c r="Z1318">
        <v>100127</v>
      </c>
      <c r="AA1318" t="s">
        <v>3090</v>
      </c>
      <c r="AB1318" t="s">
        <v>524</v>
      </c>
      <c r="AC1318" s="9">
        <v>2</v>
      </c>
      <c r="AD1318" s="9" t="str">
        <f t="shared" si="137"/>
        <v>N/A</v>
      </c>
      <c r="AE1318" s="11" t="e">
        <f t="shared" si="139"/>
        <v>#VALUE!</v>
      </c>
    </row>
    <row r="1319" spans="1:31" x14ac:dyDescent="0.3">
      <c r="A1319">
        <v>39</v>
      </c>
      <c r="B1319">
        <v>4720053</v>
      </c>
      <c r="C1319" t="s">
        <v>239</v>
      </c>
      <c r="D1319">
        <v>1079286</v>
      </c>
      <c r="E1319" t="s">
        <v>629</v>
      </c>
      <c r="F1319" t="s">
        <v>20</v>
      </c>
      <c r="G1319" t="s">
        <v>1194</v>
      </c>
      <c r="H1319" t="s">
        <v>1195</v>
      </c>
      <c r="I1319" t="s">
        <v>3361</v>
      </c>
      <c r="J1319">
        <v>51148887177</v>
      </c>
      <c r="K1319" t="s">
        <v>3223</v>
      </c>
      <c r="L1319" t="s">
        <v>4222</v>
      </c>
      <c r="M1319">
        <v>20000</v>
      </c>
      <c r="N1319" s="10">
        <v>0.25219999999999998</v>
      </c>
      <c r="O1319" s="10">
        <f t="shared" si="135"/>
        <v>5044</v>
      </c>
      <c r="P1319" s="10">
        <v>0</v>
      </c>
      <c r="Q1319" s="10">
        <v>0</v>
      </c>
      <c r="R1319" s="10">
        <f>IF(COUNTIF($J$2:J1319,J1319)=1,SUMIFS($O:$O,$J:$J,J1319)+SUMIFS($P:$P,$J:$J,J1319)+SUMIFS($Q:$Q,$J:$J,J1319),"")</f>
        <v>12291.5</v>
      </c>
      <c r="S1319" s="10">
        <v>12291.5</v>
      </c>
      <c r="T1319" s="11" t="str">
        <f t="shared" si="138"/>
        <v>Ok</v>
      </c>
      <c r="U1319" s="12">
        <v>45815</v>
      </c>
      <c r="V1319" s="10">
        <v>5044</v>
      </c>
      <c r="W1319" s="10" t="str">
        <f t="shared" si="136"/>
        <v>Short Paid</v>
      </c>
      <c r="X1319" t="s">
        <v>476</v>
      </c>
      <c r="Y1319" t="s">
        <v>28</v>
      </c>
      <c r="Z1319">
        <v>100155</v>
      </c>
      <c r="AA1319" t="s">
        <v>3072</v>
      </c>
      <c r="AB1319" t="s">
        <v>521</v>
      </c>
      <c r="AC1319" s="9">
        <v>2</v>
      </c>
      <c r="AD1319" s="9" t="str">
        <f t="shared" si="137"/>
        <v>Ok</v>
      </c>
      <c r="AE1319" s="11">
        <f t="shared" si="139"/>
        <v>0</v>
      </c>
    </row>
    <row r="1320" spans="1:31" x14ac:dyDescent="0.3">
      <c r="A1320">
        <v>39</v>
      </c>
      <c r="B1320">
        <v>4720053</v>
      </c>
      <c r="C1320" t="s">
        <v>239</v>
      </c>
      <c r="D1320">
        <v>1079286</v>
      </c>
      <c r="E1320" t="s">
        <v>629</v>
      </c>
      <c r="F1320" t="s">
        <v>20</v>
      </c>
      <c r="G1320" t="s">
        <v>1194</v>
      </c>
      <c r="H1320" t="s">
        <v>1195</v>
      </c>
      <c r="I1320" t="s">
        <v>3303</v>
      </c>
      <c r="J1320">
        <v>51148887177</v>
      </c>
      <c r="K1320" t="s">
        <v>3837</v>
      </c>
      <c r="L1320" t="s">
        <v>3836</v>
      </c>
      <c r="M1320">
        <v>2500</v>
      </c>
      <c r="N1320" s="10">
        <v>2.899</v>
      </c>
      <c r="O1320" s="10">
        <f t="shared" si="135"/>
        <v>7247.5</v>
      </c>
      <c r="P1320" s="10" t="s">
        <v>5006</v>
      </c>
      <c r="Q1320" s="10" t="s">
        <v>5006</v>
      </c>
      <c r="R1320" s="10" t="str">
        <f>IF(COUNTIF($J$2:J1320,J1320)=1,SUMIFS($O:$O,$J:$J,J1320)+SUMIFS($P:$P,$J:$J,J1320)+SUMIFS($Q:$Q,$J:$J,J1320),"")</f>
        <v/>
      </c>
      <c r="S1320" s="10" t="s">
        <v>5006</v>
      </c>
      <c r="T1320" s="11" t="str">
        <f t="shared" si="138"/>
        <v>Ok</v>
      </c>
      <c r="U1320" s="12">
        <v>45815</v>
      </c>
      <c r="V1320" s="10">
        <v>5044</v>
      </c>
      <c r="W1320" s="10" t="str">
        <f t="shared" si="136"/>
        <v>N/A</v>
      </c>
      <c r="X1320" t="s">
        <v>476</v>
      </c>
      <c r="Y1320" t="s">
        <v>28</v>
      </c>
      <c r="Z1320">
        <v>100155</v>
      </c>
      <c r="AA1320" t="s">
        <v>3072</v>
      </c>
      <c r="AB1320" t="s">
        <v>521</v>
      </c>
      <c r="AC1320" s="9">
        <v>2</v>
      </c>
      <c r="AD1320" s="9" t="str">
        <f t="shared" si="137"/>
        <v>N/A</v>
      </c>
      <c r="AE1320" s="11" t="e">
        <f t="shared" si="139"/>
        <v>#VALUE!</v>
      </c>
    </row>
    <row r="1321" spans="1:31" x14ac:dyDescent="0.3">
      <c r="A1321">
        <v>39</v>
      </c>
      <c r="B1321">
        <v>4721444</v>
      </c>
      <c r="C1321" t="s">
        <v>239</v>
      </c>
      <c r="D1321">
        <v>1079286</v>
      </c>
      <c r="E1321" t="s">
        <v>629</v>
      </c>
      <c r="F1321" t="s">
        <v>20</v>
      </c>
      <c r="G1321" t="s">
        <v>1198</v>
      </c>
      <c r="H1321" t="s">
        <v>1199</v>
      </c>
      <c r="I1321" t="s">
        <v>3315</v>
      </c>
      <c r="J1321">
        <v>51148893502</v>
      </c>
      <c r="K1321" t="s">
        <v>3203</v>
      </c>
      <c r="L1321" t="s">
        <v>4223</v>
      </c>
      <c r="M1321">
        <v>50</v>
      </c>
      <c r="N1321" s="10">
        <v>3.85</v>
      </c>
      <c r="O1321" s="10">
        <f t="shared" si="135"/>
        <v>192.5</v>
      </c>
      <c r="P1321" s="10">
        <v>0</v>
      </c>
      <c r="Q1321" s="10">
        <v>0</v>
      </c>
      <c r="R1321" s="10">
        <f>IF(COUNTIF($J$2:J1321,J1321)=1,SUMIFS($O:$O,$J:$J,J1321)+SUMIFS($P:$P,$J:$J,J1321)+SUMIFS($Q:$Q,$J:$J,J1321),"")</f>
        <v>1497.5</v>
      </c>
      <c r="S1321" s="10">
        <v>2802.5</v>
      </c>
      <c r="T1321" s="11" t="str">
        <f t="shared" si="138"/>
        <v>Check</v>
      </c>
      <c r="U1321" s="12">
        <v>46036</v>
      </c>
      <c r="V1321" s="10">
        <v>2610</v>
      </c>
      <c r="W1321" s="10" t="str">
        <f t="shared" si="136"/>
        <v>Short Paid</v>
      </c>
      <c r="X1321" t="s">
        <v>476</v>
      </c>
      <c r="Y1321" t="s">
        <v>28</v>
      </c>
      <c r="Z1321">
        <v>100245</v>
      </c>
      <c r="AA1321" t="s">
        <v>507</v>
      </c>
      <c r="AB1321" t="s">
        <v>521</v>
      </c>
      <c r="AC1321" s="9">
        <v>2</v>
      </c>
      <c r="AD1321" s="9" t="str">
        <f t="shared" si="137"/>
        <v>Check</v>
      </c>
      <c r="AE1321" s="11">
        <f t="shared" si="139"/>
        <v>-1305</v>
      </c>
    </row>
    <row r="1322" spans="1:31" x14ac:dyDescent="0.3">
      <c r="A1322">
        <v>39</v>
      </c>
      <c r="B1322">
        <v>4721444</v>
      </c>
      <c r="C1322" t="s">
        <v>239</v>
      </c>
      <c r="D1322">
        <v>1079286</v>
      </c>
      <c r="E1322" t="s">
        <v>629</v>
      </c>
      <c r="F1322" t="s">
        <v>20</v>
      </c>
      <c r="G1322" t="s">
        <v>1198</v>
      </c>
      <c r="H1322" t="s">
        <v>1199</v>
      </c>
      <c r="I1322" t="s">
        <v>3359</v>
      </c>
      <c r="J1322">
        <v>51148893502</v>
      </c>
      <c r="K1322" t="s">
        <v>3370</v>
      </c>
      <c r="L1322" t="s">
        <v>4224</v>
      </c>
      <c r="M1322">
        <v>45000</v>
      </c>
      <c r="N1322" s="10">
        <v>2.9000000000000001E-2</v>
      </c>
      <c r="O1322" s="10">
        <f t="shared" si="135"/>
        <v>1305</v>
      </c>
      <c r="P1322" s="10" t="s">
        <v>5006</v>
      </c>
      <c r="Q1322" s="10" t="s">
        <v>5006</v>
      </c>
      <c r="R1322" s="10" t="str">
        <f>IF(COUNTIF($J$2:J1322,J1322)=1,SUMIFS($O:$O,$J:$J,J1322)+SUMIFS($P:$P,$J:$J,J1322)+SUMIFS($Q:$Q,$J:$J,J1322),"")</f>
        <v/>
      </c>
      <c r="S1322" s="10" t="s">
        <v>5006</v>
      </c>
      <c r="T1322" s="11" t="str">
        <f t="shared" si="138"/>
        <v>Check</v>
      </c>
      <c r="U1322" s="12">
        <v>46036</v>
      </c>
      <c r="V1322" s="10">
        <v>2610</v>
      </c>
      <c r="W1322" s="10" t="str">
        <f t="shared" si="136"/>
        <v>N/A</v>
      </c>
      <c r="X1322" t="s">
        <v>476</v>
      </c>
      <c r="Y1322" t="s">
        <v>28</v>
      </c>
      <c r="Z1322">
        <v>100245</v>
      </c>
      <c r="AA1322" t="s">
        <v>507</v>
      </c>
      <c r="AB1322" t="s">
        <v>521</v>
      </c>
      <c r="AC1322" s="9">
        <v>2</v>
      </c>
      <c r="AD1322" s="9" t="str">
        <f t="shared" si="137"/>
        <v>N/A</v>
      </c>
      <c r="AE1322" s="11" t="e">
        <f t="shared" si="139"/>
        <v>#VALUE!</v>
      </c>
    </row>
    <row r="1323" spans="1:31" x14ac:dyDescent="0.3">
      <c r="A1323">
        <v>25</v>
      </c>
      <c r="B1323">
        <v>4796303</v>
      </c>
      <c r="C1323" t="s">
        <v>239</v>
      </c>
      <c r="D1323">
        <v>1079286</v>
      </c>
      <c r="E1323" t="s">
        <v>629</v>
      </c>
      <c r="F1323" t="s">
        <v>20</v>
      </c>
      <c r="G1323" t="s">
        <v>1388</v>
      </c>
      <c r="H1323" t="s">
        <v>1389</v>
      </c>
      <c r="I1323" t="s">
        <v>3303</v>
      </c>
      <c r="J1323">
        <v>51148925863</v>
      </c>
      <c r="K1323" t="s">
        <v>3168</v>
      </c>
      <c r="L1323" t="s">
        <v>3205</v>
      </c>
      <c r="M1323">
        <v>36000</v>
      </c>
      <c r="N1323" s="10">
        <v>6.4649999999999999E-2</v>
      </c>
      <c r="O1323" s="10">
        <f t="shared" si="135"/>
        <v>2327.4</v>
      </c>
      <c r="P1323" s="10">
        <v>0</v>
      </c>
      <c r="Q1323" s="10">
        <v>0</v>
      </c>
      <c r="R1323" s="10">
        <f>IF(COUNTIF($J$2:J1323,J1323)=1,SUMIFS($O:$O,$J:$J,J1323)+SUMIFS($P:$P,$J:$J,J1323)+SUMIFS($Q:$Q,$J:$J,J1323),"")</f>
        <v>2367</v>
      </c>
      <c r="S1323" s="10">
        <v>2367</v>
      </c>
      <c r="T1323" s="11" t="str">
        <f t="shared" si="138"/>
        <v>Ok</v>
      </c>
      <c r="U1323" s="12">
        <v>45912</v>
      </c>
      <c r="V1323" s="10">
        <v>39.6</v>
      </c>
      <c r="W1323" s="10" t="str">
        <f t="shared" si="136"/>
        <v>Short Paid</v>
      </c>
      <c r="X1323" t="s">
        <v>476</v>
      </c>
      <c r="Y1323" t="s">
        <v>28</v>
      </c>
      <c r="Z1323">
        <v>100235</v>
      </c>
      <c r="AA1323" t="s">
        <v>509</v>
      </c>
      <c r="AB1323" t="s">
        <v>521</v>
      </c>
      <c r="AC1323" s="9">
        <v>2</v>
      </c>
      <c r="AD1323" s="9" t="str">
        <f t="shared" si="137"/>
        <v>Ok</v>
      </c>
      <c r="AE1323" s="11">
        <f t="shared" si="139"/>
        <v>0</v>
      </c>
    </row>
    <row r="1324" spans="1:31" x14ac:dyDescent="0.3">
      <c r="A1324">
        <v>25</v>
      </c>
      <c r="B1324">
        <v>4796303</v>
      </c>
      <c r="C1324" t="s">
        <v>239</v>
      </c>
      <c r="D1324">
        <v>1079286</v>
      </c>
      <c r="E1324" t="s">
        <v>629</v>
      </c>
      <c r="F1324" t="s">
        <v>20</v>
      </c>
      <c r="G1324" t="s">
        <v>1388</v>
      </c>
      <c r="H1324" t="s">
        <v>1389</v>
      </c>
      <c r="I1324" t="s">
        <v>3444</v>
      </c>
      <c r="J1324">
        <v>51148925863</v>
      </c>
      <c r="K1324" t="s">
        <v>3241</v>
      </c>
      <c r="L1324" t="s">
        <v>4225</v>
      </c>
      <c r="M1324">
        <v>60000</v>
      </c>
      <c r="N1324" s="10">
        <v>6.6E-4</v>
      </c>
      <c r="O1324" s="10">
        <f t="shared" si="135"/>
        <v>39.6</v>
      </c>
      <c r="P1324" s="10" t="s">
        <v>5006</v>
      </c>
      <c r="Q1324" s="10" t="s">
        <v>5006</v>
      </c>
      <c r="R1324" s="10" t="str">
        <f>IF(COUNTIF($J$2:J1324,J1324)=1,SUMIFS($O:$O,$J:$J,J1324)+SUMIFS($P:$P,$J:$J,J1324)+SUMIFS($Q:$Q,$J:$J,J1324),"")</f>
        <v/>
      </c>
      <c r="S1324" s="10" t="s">
        <v>5006</v>
      </c>
      <c r="T1324" s="11" t="str">
        <f t="shared" si="138"/>
        <v>Ok</v>
      </c>
      <c r="U1324" s="12">
        <v>45912</v>
      </c>
      <c r="V1324" s="10">
        <v>39.6</v>
      </c>
      <c r="W1324" s="10" t="str">
        <f t="shared" si="136"/>
        <v>N/A</v>
      </c>
      <c r="X1324" t="s">
        <v>476</v>
      </c>
      <c r="Y1324" t="s">
        <v>28</v>
      </c>
      <c r="Z1324">
        <v>100235</v>
      </c>
      <c r="AA1324" t="s">
        <v>509</v>
      </c>
      <c r="AB1324" t="s">
        <v>521</v>
      </c>
      <c r="AC1324" s="9">
        <v>2</v>
      </c>
      <c r="AD1324" s="9" t="str">
        <f t="shared" si="137"/>
        <v>N/A</v>
      </c>
      <c r="AE1324" s="11" t="e">
        <f t="shared" si="139"/>
        <v>#VALUE!</v>
      </c>
    </row>
    <row r="1325" spans="1:31" x14ac:dyDescent="0.3">
      <c r="A1325">
        <v>25</v>
      </c>
      <c r="B1325">
        <v>4796581</v>
      </c>
      <c r="C1325" t="s">
        <v>239</v>
      </c>
      <c r="D1325">
        <v>1079286</v>
      </c>
      <c r="E1325" t="s">
        <v>629</v>
      </c>
      <c r="F1325" t="s">
        <v>20</v>
      </c>
      <c r="G1325" t="s">
        <v>1390</v>
      </c>
      <c r="H1325" t="s">
        <v>1391</v>
      </c>
      <c r="I1325" t="s">
        <v>3163</v>
      </c>
      <c r="J1325">
        <v>51148925882</v>
      </c>
      <c r="K1325" t="s">
        <v>3168</v>
      </c>
      <c r="L1325" t="s">
        <v>3205</v>
      </c>
      <c r="M1325">
        <v>6000</v>
      </c>
      <c r="N1325" s="10">
        <v>6.4649999999999999E-2</v>
      </c>
      <c r="O1325" s="10">
        <f t="shared" si="135"/>
        <v>387.9</v>
      </c>
      <c r="P1325" s="10">
        <v>0</v>
      </c>
      <c r="Q1325" s="10">
        <v>1113.21</v>
      </c>
      <c r="R1325" s="10">
        <f>IF(COUNTIF($J$2:J1325,J1325)=1,SUMIFS($O:$O,$J:$J,J1325)+SUMIFS($P:$P,$J:$J,J1325)+SUMIFS($Q:$Q,$J:$J,J1325),"")</f>
        <v>7360.11</v>
      </c>
      <c r="S1325" s="10">
        <v>7360.11</v>
      </c>
      <c r="T1325" s="11" t="str">
        <f t="shared" si="138"/>
        <v>Ok</v>
      </c>
      <c r="U1325" s="12">
        <v>45912</v>
      </c>
      <c r="V1325" s="10">
        <v>6972.21</v>
      </c>
      <c r="W1325" s="10" t="str">
        <f t="shared" si="136"/>
        <v>Short Paid</v>
      </c>
      <c r="X1325" t="s">
        <v>476</v>
      </c>
      <c r="Y1325" t="s">
        <v>28</v>
      </c>
      <c r="Z1325">
        <v>100245</v>
      </c>
      <c r="AA1325" t="s">
        <v>507</v>
      </c>
      <c r="AB1325" t="s">
        <v>521</v>
      </c>
      <c r="AC1325" s="9">
        <v>2</v>
      </c>
      <c r="AD1325" s="9" t="str">
        <f t="shared" si="137"/>
        <v>Ok</v>
      </c>
      <c r="AE1325" s="11">
        <f t="shared" si="139"/>
        <v>0</v>
      </c>
    </row>
    <row r="1326" spans="1:31" x14ac:dyDescent="0.3">
      <c r="A1326">
        <v>25</v>
      </c>
      <c r="B1326">
        <v>4796581</v>
      </c>
      <c r="C1326" t="s">
        <v>239</v>
      </c>
      <c r="D1326">
        <v>1079286</v>
      </c>
      <c r="E1326" t="s">
        <v>629</v>
      </c>
      <c r="F1326" t="s">
        <v>20</v>
      </c>
      <c r="G1326" t="s">
        <v>1390</v>
      </c>
      <c r="H1326" t="s">
        <v>1391</v>
      </c>
      <c r="I1326" t="s">
        <v>3484</v>
      </c>
      <c r="J1326">
        <v>51148925882</v>
      </c>
      <c r="K1326" t="s">
        <v>3370</v>
      </c>
      <c r="L1326" t="s">
        <v>4226</v>
      </c>
      <c r="M1326">
        <v>70000</v>
      </c>
      <c r="N1326" s="10">
        <v>8.3699999999999997E-2</v>
      </c>
      <c r="O1326" s="10">
        <f t="shared" si="135"/>
        <v>5859</v>
      </c>
      <c r="P1326" s="10" t="s">
        <v>5006</v>
      </c>
      <c r="Q1326" s="10" t="s">
        <v>5006</v>
      </c>
      <c r="R1326" s="10" t="str">
        <f>IF(COUNTIF($J$2:J1326,J1326)=1,SUMIFS($O:$O,$J:$J,J1326)+SUMIFS($P:$P,$J:$J,J1326)+SUMIFS($Q:$Q,$J:$J,J1326),"")</f>
        <v/>
      </c>
      <c r="S1326" s="10" t="s">
        <v>5006</v>
      </c>
      <c r="T1326" s="11" t="str">
        <f t="shared" si="138"/>
        <v>Ok</v>
      </c>
      <c r="U1326" s="12">
        <v>45912</v>
      </c>
      <c r="V1326" s="10">
        <v>6972.21</v>
      </c>
      <c r="W1326" s="10" t="str">
        <f t="shared" si="136"/>
        <v>N/A</v>
      </c>
      <c r="X1326" t="s">
        <v>476</v>
      </c>
      <c r="Y1326" t="s">
        <v>28</v>
      </c>
      <c r="Z1326">
        <v>100245</v>
      </c>
      <c r="AA1326" t="s">
        <v>507</v>
      </c>
      <c r="AB1326" t="s">
        <v>521</v>
      </c>
      <c r="AC1326" s="9">
        <v>2</v>
      </c>
      <c r="AD1326" s="9" t="str">
        <f t="shared" si="137"/>
        <v>N/A</v>
      </c>
      <c r="AE1326" s="11" t="e">
        <f t="shared" si="139"/>
        <v>#VALUE!</v>
      </c>
    </row>
    <row r="1327" spans="1:31" x14ac:dyDescent="0.3">
      <c r="A1327">
        <v>37</v>
      </c>
      <c r="B1327">
        <v>4736750</v>
      </c>
      <c r="C1327" t="s">
        <v>239</v>
      </c>
      <c r="D1327">
        <v>1101569</v>
      </c>
      <c r="E1327" t="s">
        <v>631</v>
      </c>
      <c r="F1327" t="s">
        <v>20</v>
      </c>
      <c r="G1327" t="s">
        <v>1245</v>
      </c>
      <c r="H1327" t="s">
        <v>1246</v>
      </c>
      <c r="I1327" t="s">
        <v>3305</v>
      </c>
      <c r="J1327">
        <v>51148946607</v>
      </c>
      <c r="K1327" t="s">
        <v>3266</v>
      </c>
      <c r="L1327" t="s">
        <v>4227</v>
      </c>
      <c r="M1327">
        <v>3</v>
      </c>
      <c r="N1327" s="10">
        <v>498.28</v>
      </c>
      <c r="O1327" s="10">
        <f t="shared" si="135"/>
        <v>1494.84</v>
      </c>
      <c r="P1327" s="10">
        <v>0</v>
      </c>
      <c r="Q1327" s="10">
        <v>1165.98</v>
      </c>
      <c r="R1327" s="10">
        <f>IF(COUNTIF($J$2:J1327,J1327)=1,SUMIFS($O:$O,$J:$J,J1327)+SUMIFS($P:$P,$J:$J,J1327)+SUMIFS($Q:$Q,$J:$J,J1327),"")</f>
        <v>3200.8199999999997</v>
      </c>
      <c r="S1327" s="10">
        <v>4695.66</v>
      </c>
      <c r="T1327" s="11" t="str">
        <f t="shared" si="138"/>
        <v>Check</v>
      </c>
      <c r="U1327" s="12">
        <v>45919</v>
      </c>
      <c r="V1327" s="10">
        <v>2989.68</v>
      </c>
      <c r="W1327" s="10" t="str">
        <f t="shared" si="136"/>
        <v>Short Paid</v>
      </c>
      <c r="X1327" t="s">
        <v>476</v>
      </c>
      <c r="Y1327" t="s">
        <v>28</v>
      </c>
      <c r="Z1327">
        <v>100155</v>
      </c>
      <c r="AA1327" t="s">
        <v>3072</v>
      </c>
      <c r="AB1327" t="s">
        <v>521</v>
      </c>
      <c r="AC1327" s="9">
        <v>2</v>
      </c>
      <c r="AD1327" s="9" t="str">
        <f t="shared" si="137"/>
        <v>Check</v>
      </c>
      <c r="AE1327" s="11">
        <f t="shared" si="139"/>
        <v>-1494.8400000000001</v>
      </c>
    </row>
    <row r="1328" spans="1:31" x14ac:dyDescent="0.3">
      <c r="A1328">
        <v>37</v>
      </c>
      <c r="B1328">
        <v>4736750</v>
      </c>
      <c r="C1328" t="s">
        <v>239</v>
      </c>
      <c r="D1328">
        <v>1101569</v>
      </c>
      <c r="E1328" t="s">
        <v>631</v>
      </c>
      <c r="F1328" t="s">
        <v>20</v>
      </c>
      <c r="G1328" t="s">
        <v>1245</v>
      </c>
      <c r="H1328" t="s">
        <v>1246</v>
      </c>
      <c r="I1328" t="s">
        <v>3349</v>
      </c>
      <c r="J1328">
        <v>51148946607</v>
      </c>
      <c r="K1328" t="s">
        <v>3177</v>
      </c>
      <c r="L1328" t="s">
        <v>4228</v>
      </c>
      <c r="M1328">
        <v>40000</v>
      </c>
      <c r="N1328" s="10">
        <v>1.35E-2</v>
      </c>
      <c r="O1328" s="10">
        <f t="shared" si="135"/>
        <v>540</v>
      </c>
      <c r="P1328" s="10" t="s">
        <v>5006</v>
      </c>
      <c r="Q1328" s="10" t="s">
        <v>5006</v>
      </c>
      <c r="R1328" s="10" t="str">
        <f>IF(COUNTIF($J$2:J1328,J1328)=1,SUMIFS($O:$O,$J:$J,J1328)+SUMIFS($P:$P,$J:$J,J1328)+SUMIFS($Q:$Q,$J:$J,J1328),"")</f>
        <v/>
      </c>
      <c r="S1328" s="10" t="s">
        <v>5006</v>
      </c>
      <c r="T1328" s="11" t="str">
        <f t="shared" si="138"/>
        <v>Check</v>
      </c>
      <c r="U1328" s="12">
        <v>45919</v>
      </c>
      <c r="V1328" s="10">
        <v>2989.68</v>
      </c>
      <c r="W1328" s="10" t="str">
        <f t="shared" si="136"/>
        <v>N/A</v>
      </c>
      <c r="X1328" t="s">
        <v>476</v>
      </c>
      <c r="Y1328" t="s">
        <v>28</v>
      </c>
      <c r="Z1328">
        <v>100155</v>
      </c>
      <c r="AA1328" t="s">
        <v>3072</v>
      </c>
      <c r="AB1328" t="s">
        <v>521</v>
      </c>
      <c r="AC1328" s="9">
        <v>2</v>
      </c>
      <c r="AD1328" s="9" t="str">
        <f t="shared" si="137"/>
        <v>N/A</v>
      </c>
      <c r="AE1328" s="11" t="e">
        <f t="shared" si="139"/>
        <v>#VALUE!</v>
      </c>
    </row>
    <row r="1329" spans="1:31" x14ac:dyDescent="0.3">
      <c r="A1329">
        <v>37</v>
      </c>
      <c r="B1329">
        <v>4736472</v>
      </c>
      <c r="C1329" t="s">
        <v>94</v>
      </c>
      <c r="D1329">
        <v>1002612</v>
      </c>
      <c r="E1329" t="s">
        <v>575</v>
      </c>
      <c r="F1329" t="s">
        <v>23</v>
      </c>
      <c r="G1329" t="s">
        <v>1243</v>
      </c>
      <c r="H1329" t="s">
        <v>1244</v>
      </c>
      <c r="I1329" t="s">
        <v>3206</v>
      </c>
      <c r="J1329">
        <v>51148946638</v>
      </c>
      <c r="K1329" t="s">
        <v>3492</v>
      </c>
      <c r="L1329" t="s">
        <v>3491</v>
      </c>
      <c r="M1329">
        <v>18000</v>
      </c>
      <c r="N1329" s="10">
        <v>0.13600000000000001</v>
      </c>
      <c r="O1329" s="10">
        <f t="shared" si="135"/>
        <v>2448</v>
      </c>
      <c r="P1329" s="10">
        <v>0</v>
      </c>
      <c r="Q1329" s="10">
        <v>219.07000000000002</v>
      </c>
      <c r="R1329" s="10">
        <f>IF(COUNTIF($J$2:J1329,J1329)=1,SUMIFS($O:$O,$J:$J,J1329)+SUMIFS($P:$P,$J:$J,J1329)+SUMIFS($Q:$Q,$J:$J,J1329),"")</f>
        <v>4973.0619999999999</v>
      </c>
      <c r="S1329" s="10">
        <v>4973.0599999999995</v>
      </c>
      <c r="T1329" s="11" t="str">
        <f t="shared" si="138"/>
        <v>Check</v>
      </c>
      <c r="U1329" s="12">
        <v>46128</v>
      </c>
      <c r="V1329" s="10">
        <v>339.24</v>
      </c>
      <c r="W1329" s="10" t="str">
        <f t="shared" si="136"/>
        <v>Short Paid</v>
      </c>
      <c r="X1329" t="s">
        <v>450</v>
      </c>
      <c r="Y1329" t="s">
        <v>436</v>
      </c>
      <c r="Z1329">
        <v>100177</v>
      </c>
      <c r="AA1329" t="s">
        <v>3110</v>
      </c>
      <c r="AB1329" t="s">
        <v>520</v>
      </c>
      <c r="AC1329" s="9">
        <v>2</v>
      </c>
      <c r="AD1329" s="9" t="str">
        <f t="shared" si="137"/>
        <v>Check</v>
      </c>
      <c r="AE1329" s="11">
        <f t="shared" si="139"/>
        <v>2.0000000004074536E-3</v>
      </c>
    </row>
    <row r="1330" spans="1:31" x14ac:dyDescent="0.3">
      <c r="A1330">
        <v>37</v>
      </c>
      <c r="B1330">
        <v>4736472</v>
      </c>
      <c r="C1330" t="s">
        <v>94</v>
      </c>
      <c r="D1330">
        <v>1002612</v>
      </c>
      <c r="E1330" t="s">
        <v>575</v>
      </c>
      <c r="F1330" t="s">
        <v>23</v>
      </c>
      <c r="G1330" t="s">
        <v>1243</v>
      </c>
      <c r="H1330" t="s">
        <v>1244</v>
      </c>
      <c r="I1330" t="s">
        <v>3300</v>
      </c>
      <c r="J1330">
        <v>51148946638</v>
      </c>
      <c r="K1330" t="s">
        <v>4230</v>
      </c>
      <c r="L1330" t="s">
        <v>4229</v>
      </c>
      <c r="M1330">
        <v>3120</v>
      </c>
      <c r="N1330" s="10">
        <v>0.73909999999999998</v>
      </c>
      <c r="O1330" s="10">
        <f t="shared" si="135"/>
        <v>2305.9919999999997</v>
      </c>
      <c r="P1330" s="10" t="s">
        <v>5006</v>
      </c>
      <c r="Q1330" s="10" t="s">
        <v>5006</v>
      </c>
      <c r="R1330" s="10" t="str">
        <f>IF(COUNTIF($J$2:J1330,J1330)=1,SUMIFS($O:$O,$J:$J,J1330)+SUMIFS($P:$P,$J:$J,J1330)+SUMIFS($Q:$Q,$J:$J,J1330),"")</f>
        <v/>
      </c>
      <c r="S1330" s="10" t="s">
        <v>5006</v>
      </c>
      <c r="T1330" s="11" t="str">
        <f t="shared" si="138"/>
        <v>Check</v>
      </c>
      <c r="U1330" s="12">
        <v>46128</v>
      </c>
      <c r="V1330" s="10">
        <v>339.24</v>
      </c>
      <c r="W1330" s="10" t="str">
        <f t="shared" si="136"/>
        <v>N/A</v>
      </c>
      <c r="X1330" t="s">
        <v>450</v>
      </c>
      <c r="Y1330" t="s">
        <v>436</v>
      </c>
      <c r="Z1330">
        <v>100177</v>
      </c>
      <c r="AA1330" t="s">
        <v>3110</v>
      </c>
      <c r="AB1330" t="s">
        <v>520</v>
      </c>
      <c r="AC1330" s="9">
        <v>2</v>
      </c>
      <c r="AD1330" s="9" t="str">
        <f t="shared" si="137"/>
        <v>N/A</v>
      </c>
      <c r="AE1330" s="11" t="e">
        <f t="shared" si="139"/>
        <v>#VALUE!</v>
      </c>
    </row>
    <row r="1331" spans="1:31" x14ac:dyDescent="0.3">
      <c r="A1331">
        <v>37</v>
      </c>
      <c r="B1331">
        <v>4740368</v>
      </c>
      <c r="C1331" t="s">
        <v>94</v>
      </c>
      <c r="D1331">
        <v>1198320</v>
      </c>
      <c r="E1331" t="s">
        <v>712</v>
      </c>
      <c r="F1331" t="s">
        <v>18</v>
      </c>
      <c r="G1331" t="s">
        <v>1265</v>
      </c>
      <c r="H1331" t="s">
        <v>1266</v>
      </c>
      <c r="I1331" t="s">
        <v>3263</v>
      </c>
      <c r="J1331">
        <v>51148950324</v>
      </c>
      <c r="K1331" t="s">
        <v>3324</v>
      </c>
      <c r="L1331" t="s">
        <v>4231</v>
      </c>
      <c r="M1331">
        <v>30000</v>
      </c>
      <c r="N1331" s="10">
        <v>0.31590000000000001</v>
      </c>
      <c r="O1331" s="10">
        <f t="shared" si="135"/>
        <v>9477</v>
      </c>
      <c r="P1331" s="10">
        <v>0</v>
      </c>
      <c r="Q1331" s="10">
        <v>0</v>
      </c>
      <c r="R1331" s="10">
        <f>IF(COUNTIF($J$2:J1331,J1331)=1,SUMIFS($O:$O,$J:$J,J1331)+SUMIFS($P:$P,$J:$J,J1331)+SUMIFS($Q:$Q,$J:$J,J1331),"")</f>
        <v>11026.5</v>
      </c>
      <c r="S1331" s="10">
        <v>11026.5</v>
      </c>
      <c r="T1331" s="11" t="str">
        <f t="shared" si="138"/>
        <v>Ok</v>
      </c>
      <c r="U1331" s="12">
        <v>46126</v>
      </c>
      <c r="V1331" s="10">
        <v>9477</v>
      </c>
      <c r="W1331" s="10" t="str">
        <f t="shared" si="136"/>
        <v>Short Paid</v>
      </c>
      <c r="X1331" t="s">
        <v>450</v>
      </c>
      <c r="Y1331" t="s">
        <v>28</v>
      </c>
      <c r="Z1331">
        <v>100207</v>
      </c>
      <c r="AA1331" t="s">
        <v>519</v>
      </c>
      <c r="AB1331" t="s">
        <v>523</v>
      </c>
      <c r="AC1331" s="9">
        <v>2</v>
      </c>
      <c r="AD1331" s="9" t="str">
        <f t="shared" si="137"/>
        <v>Ok</v>
      </c>
      <c r="AE1331" s="11">
        <f t="shared" si="139"/>
        <v>0</v>
      </c>
    </row>
    <row r="1332" spans="1:31" x14ac:dyDescent="0.3">
      <c r="A1332">
        <v>37</v>
      </c>
      <c r="B1332">
        <v>4740368</v>
      </c>
      <c r="C1332" t="s">
        <v>94</v>
      </c>
      <c r="D1332">
        <v>1198320</v>
      </c>
      <c r="E1332" t="s">
        <v>712</v>
      </c>
      <c r="F1332" t="s">
        <v>18</v>
      </c>
      <c r="G1332" t="s">
        <v>1265</v>
      </c>
      <c r="H1332" t="s">
        <v>1266</v>
      </c>
      <c r="I1332" t="s">
        <v>3387</v>
      </c>
      <c r="J1332">
        <v>51148950324</v>
      </c>
      <c r="K1332" t="s">
        <v>3266</v>
      </c>
      <c r="L1332" t="s">
        <v>4205</v>
      </c>
      <c r="M1332">
        <v>600</v>
      </c>
      <c r="N1332" s="10">
        <v>2.5825</v>
      </c>
      <c r="O1332" s="10">
        <f t="shared" si="135"/>
        <v>1549.5</v>
      </c>
      <c r="P1332" s="10" t="s">
        <v>5006</v>
      </c>
      <c r="Q1332" s="10" t="s">
        <v>5006</v>
      </c>
      <c r="R1332" s="10" t="str">
        <f>IF(COUNTIF($J$2:J1332,J1332)=1,SUMIFS($O:$O,$J:$J,J1332)+SUMIFS($P:$P,$J:$J,J1332)+SUMIFS($Q:$Q,$J:$J,J1332),"")</f>
        <v/>
      </c>
      <c r="S1332" s="10" t="s">
        <v>5006</v>
      </c>
      <c r="T1332" s="11" t="str">
        <f t="shared" si="138"/>
        <v>Ok</v>
      </c>
      <c r="U1332" s="12">
        <v>46126</v>
      </c>
      <c r="V1332" s="10">
        <v>9477</v>
      </c>
      <c r="W1332" s="10" t="str">
        <f t="shared" si="136"/>
        <v>N/A</v>
      </c>
      <c r="X1332" t="s">
        <v>450</v>
      </c>
      <c r="Y1332" t="s">
        <v>28</v>
      </c>
      <c r="Z1332">
        <v>100207</v>
      </c>
      <c r="AA1332" t="s">
        <v>519</v>
      </c>
      <c r="AB1332" t="s">
        <v>523</v>
      </c>
      <c r="AC1332" s="9">
        <v>2</v>
      </c>
      <c r="AD1332" s="9" t="str">
        <f t="shared" si="137"/>
        <v>N/A</v>
      </c>
      <c r="AE1332" s="11" t="e">
        <f t="shared" si="139"/>
        <v>#VALUE!</v>
      </c>
    </row>
    <row r="1333" spans="1:31" x14ac:dyDescent="0.3">
      <c r="A1333">
        <v>30</v>
      </c>
      <c r="B1333">
        <v>4757900</v>
      </c>
      <c r="C1333" t="s">
        <v>94</v>
      </c>
      <c r="D1333">
        <v>1965820</v>
      </c>
      <c r="E1333" t="s">
        <v>714</v>
      </c>
      <c r="F1333" t="s">
        <v>47</v>
      </c>
      <c r="G1333" t="s">
        <v>1294</v>
      </c>
      <c r="H1333" t="s">
        <v>1295</v>
      </c>
      <c r="I1333" t="s">
        <v>3525</v>
      </c>
      <c r="J1333">
        <v>51148955791</v>
      </c>
      <c r="K1333" t="s">
        <v>4094</v>
      </c>
      <c r="L1333" t="s">
        <v>4232</v>
      </c>
      <c r="M1333">
        <v>250</v>
      </c>
      <c r="N1333" s="10">
        <v>34.78</v>
      </c>
      <c r="O1333" s="10">
        <f t="shared" si="135"/>
        <v>8695</v>
      </c>
      <c r="P1333" s="10">
        <v>1611.97</v>
      </c>
      <c r="Q1333" s="10">
        <v>2069.41</v>
      </c>
      <c r="R1333" s="10">
        <f>IF(COUNTIF($J$2:J1333,J1333)=1,SUMIFS($O:$O,$J:$J,J1333)+SUMIFS($P:$P,$J:$J,J1333)+SUMIFS($Q:$Q,$J:$J,J1333),"")</f>
        <v>13257.106</v>
      </c>
      <c r="S1333" s="10">
        <v>13257.099999999999</v>
      </c>
      <c r="T1333" s="11" t="str">
        <f t="shared" si="138"/>
        <v>Check</v>
      </c>
      <c r="U1333" s="12">
        <v>46077</v>
      </c>
      <c r="V1333" s="10">
        <v>12376.38</v>
      </c>
      <c r="W1333" s="10" t="str">
        <f t="shared" si="136"/>
        <v>Short Paid</v>
      </c>
      <c r="X1333" t="s">
        <v>450</v>
      </c>
      <c r="Y1333" t="s">
        <v>28</v>
      </c>
      <c r="Z1333">
        <v>100277</v>
      </c>
      <c r="AA1333" t="s">
        <v>467</v>
      </c>
      <c r="AB1333" t="s">
        <v>3039</v>
      </c>
      <c r="AC1333" s="9">
        <v>2</v>
      </c>
      <c r="AD1333" s="9" t="str">
        <f t="shared" si="137"/>
        <v>Check</v>
      </c>
      <c r="AE1333" s="11">
        <f t="shared" si="139"/>
        <v>6.0000000012223609E-3</v>
      </c>
    </row>
    <row r="1334" spans="1:31" x14ac:dyDescent="0.3">
      <c r="A1334">
        <v>30</v>
      </c>
      <c r="B1334">
        <v>4757900</v>
      </c>
      <c r="C1334" t="s">
        <v>94</v>
      </c>
      <c r="D1334">
        <v>1965820</v>
      </c>
      <c r="E1334" t="s">
        <v>714</v>
      </c>
      <c r="F1334" t="s">
        <v>47</v>
      </c>
      <c r="G1334" t="s">
        <v>1294</v>
      </c>
      <c r="H1334" t="s">
        <v>1295</v>
      </c>
      <c r="I1334" t="s">
        <v>3505</v>
      </c>
      <c r="J1334">
        <v>51148955791</v>
      </c>
      <c r="K1334" t="s">
        <v>3379</v>
      </c>
      <c r="L1334" t="s">
        <v>4233</v>
      </c>
      <c r="M1334">
        <v>98</v>
      </c>
      <c r="N1334" s="10">
        <v>8.9870000000000001</v>
      </c>
      <c r="O1334" s="10">
        <f t="shared" si="135"/>
        <v>880.726</v>
      </c>
      <c r="P1334" s="10" t="s">
        <v>5006</v>
      </c>
      <c r="Q1334" s="10" t="s">
        <v>5006</v>
      </c>
      <c r="R1334" s="10" t="str">
        <f>IF(COUNTIF($J$2:J1334,J1334)=1,SUMIFS($O:$O,$J:$J,J1334)+SUMIFS($P:$P,$J:$J,J1334)+SUMIFS($Q:$Q,$J:$J,J1334),"")</f>
        <v/>
      </c>
      <c r="S1334" s="10" t="s">
        <v>5006</v>
      </c>
      <c r="T1334" s="11" t="str">
        <f t="shared" si="138"/>
        <v>Check</v>
      </c>
      <c r="U1334" s="12">
        <v>46077</v>
      </c>
      <c r="V1334" s="10">
        <v>12376.38</v>
      </c>
      <c r="W1334" s="10" t="str">
        <f t="shared" si="136"/>
        <v>N/A</v>
      </c>
      <c r="X1334" t="s">
        <v>450</v>
      </c>
      <c r="Y1334" t="s">
        <v>28</v>
      </c>
      <c r="Z1334">
        <v>100277</v>
      </c>
      <c r="AA1334" t="s">
        <v>467</v>
      </c>
      <c r="AB1334" t="s">
        <v>3039</v>
      </c>
      <c r="AC1334" s="9">
        <v>2</v>
      </c>
      <c r="AD1334" s="9" t="str">
        <f t="shared" si="137"/>
        <v>N/A</v>
      </c>
      <c r="AE1334" s="11" t="e">
        <f t="shared" si="139"/>
        <v>#VALUE!</v>
      </c>
    </row>
    <row r="1335" spans="1:31" x14ac:dyDescent="0.3">
      <c r="A1335">
        <v>25</v>
      </c>
      <c r="B1335">
        <v>4796025</v>
      </c>
      <c r="C1335" t="s">
        <v>239</v>
      </c>
      <c r="D1335">
        <v>1079286</v>
      </c>
      <c r="E1335" t="s">
        <v>629</v>
      </c>
      <c r="F1335" t="s">
        <v>20</v>
      </c>
      <c r="G1335" t="s">
        <v>1384</v>
      </c>
      <c r="H1335" t="s">
        <v>1385</v>
      </c>
      <c r="I1335" t="s">
        <v>3275</v>
      </c>
      <c r="J1335">
        <v>51148976114</v>
      </c>
      <c r="K1335" t="s">
        <v>3177</v>
      </c>
      <c r="L1335" t="s">
        <v>4234</v>
      </c>
      <c r="M1335">
        <v>1</v>
      </c>
      <c r="N1335" s="10">
        <v>53.19</v>
      </c>
      <c r="O1335" s="10">
        <f t="shared" si="135"/>
        <v>53.19</v>
      </c>
      <c r="P1335" s="10">
        <v>0</v>
      </c>
      <c r="Q1335" s="10">
        <v>0</v>
      </c>
      <c r="R1335" s="10">
        <f>IF(COUNTIF($J$2:J1335,J1335)=1,SUMIFS($O:$O,$J:$J,J1335)+SUMIFS($P:$P,$J:$J,J1335)+SUMIFS($Q:$Q,$J:$J,J1335),"")</f>
        <v>7348.23</v>
      </c>
      <c r="S1335" s="10">
        <v>8038.9400000000005</v>
      </c>
      <c r="T1335" s="11" t="str">
        <f t="shared" si="138"/>
        <v>Check</v>
      </c>
      <c r="U1335" s="12">
        <v>45912</v>
      </c>
      <c r="V1335" s="10">
        <v>105.6</v>
      </c>
      <c r="W1335" s="10" t="str">
        <f t="shared" si="136"/>
        <v>Short Paid</v>
      </c>
      <c r="X1335" t="s">
        <v>476</v>
      </c>
      <c r="Y1335" t="s">
        <v>28</v>
      </c>
      <c r="Z1335">
        <v>100205</v>
      </c>
      <c r="AA1335" t="s">
        <v>3075</v>
      </c>
      <c r="AB1335" t="s">
        <v>521</v>
      </c>
      <c r="AC1335" s="9">
        <v>2</v>
      </c>
      <c r="AD1335" s="9" t="str">
        <f t="shared" si="137"/>
        <v>Check</v>
      </c>
      <c r="AE1335" s="11">
        <f t="shared" si="139"/>
        <v>-690.71000000000095</v>
      </c>
    </row>
    <row r="1336" spans="1:31" x14ac:dyDescent="0.3">
      <c r="A1336">
        <v>25</v>
      </c>
      <c r="B1336">
        <v>4796025</v>
      </c>
      <c r="C1336" t="s">
        <v>239</v>
      </c>
      <c r="D1336">
        <v>1079286</v>
      </c>
      <c r="E1336" t="s">
        <v>629</v>
      </c>
      <c r="F1336" t="s">
        <v>20</v>
      </c>
      <c r="G1336" t="s">
        <v>1384</v>
      </c>
      <c r="H1336" t="s">
        <v>1385</v>
      </c>
      <c r="I1336" t="s">
        <v>3275</v>
      </c>
      <c r="J1336">
        <v>51148976114</v>
      </c>
      <c r="K1336" t="s">
        <v>3177</v>
      </c>
      <c r="L1336" t="s">
        <v>4235</v>
      </c>
      <c r="M1336">
        <v>102</v>
      </c>
      <c r="N1336" s="10">
        <v>71.52</v>
      </c>
      <c r="O1336" s="10">
        <f t="shared" si="135"/>
        <v>7295.04</v>
      </c>
      <c r="P1336" s="10" t="s">
        <v>5006</v>
      </c>
      <c r="Q1336" s="10" t="s">
        <v>5006</v>
      </c>
      <c r="R1336" s="10" t="str">
        <f>IF(COUNTIF($J$2:J1336,J1336)=1,SUMIFS($O:$O,$J:$J,J1336)+SUMIFS($P:$P,$J:$J,J1336)+SUMIFS($Q:$Q,$J:$J,J1336),"")</f>
        <v/>
      </c>
      <c r="S1336" s="10" t="s">
        <v>5006</v>
      </c>
      <c r="T1336" s="11" t="str">
        <f t="shared" si="138"/>
        <v>Check</v>
      </c>
      <c r="U1336" s="12">
        <v>45912</v>
      </c>
      <c r="V1336" s="10">
        <v>105.6</v>
      </c>
      <c r="W1336" s="10" t="str">
        <f t="shared" si="136"/>
        <v>N/A</v>
      </c>
      <c r="X1336" t="s">
        <v>476</v>
      </c>
      <c r="Y1336" t="s">
        <v>28</v>
      </c>
      <c r="Z1336">
        <v>100205</v>
      </c>
      <c r="AA1336" t="s">
        <v>3075</v>
      </c>
      <c r="AB1336" t="s">
        <v>521</v>
      </c>
      <c r="AC1336" s="9">
        <v>2</v>
      </c>
      <c r="AD1336" s="9" t="str">
        <f t="shared" si="137"/>
        <v>N/A</v>
      </c>
      <c r="AE1336" s="11" t="e">
        <f t="shared" si="139"/>
        <v>#VALUE!</v>
      </c>
    </row>
    <row r="1337" spans="1:31" x14ac:dyDescent="0.3">
      <c r="A1337">
        <v>37</v>
      </c>
      <c r="B1337">
        <v>4740646</v>
      </c>
      <c r="C1337" t="s">
        <v>94</v>
      </c>
      <c r="D1337">
        <v>1198320</v>
      </c>
      <c r="E1337" t="s">
        <v>712</v>
      </c>
      <c r="F1337" t="s">
        <v>18</v>
      </c>
      <c r="G1337" t="s">
        <v>1267</v>
      </c>
      <c r="H1337" t="s">
        <v>1268</v>
      </c>
      <c r="I1337" t="s">
        <v>3432</v>
      </c>
      <c r="J1337">
        <v>51148981973</v>
      </c>
      <c r="K1337" t="s">
        <v>3479</v>
      </c>
      <c r="L1337" t="s">
        <v>4206</v>
      </c>
      <c r="M1337">
        <v>20000</v>
      </c>
      <c r="N1337" s="10">
        <v>5.8999999999999997E-2</v>
      </c>
      <c r="O1337" s="10">
        <f t="shared" si="135"/>
        <v>1180</v>
      </c>
      <c r="P1337" s="10">
        <v>0</v>
      </c>
      <c r="Q1337" s="10">
        <v>0</v>
      </c>
      <c r="R1337" s="10">
        <f>IF(COUNTIF($J$2:J1337,J1337)=1,SUMIFS($O:$O,$J:$J,J1337)+SUMIFS($P:$P,$J:$J,J1337)+SUMIFS($Q:$Q,$J:$J,J1337),"")</f>
        <v>1615</v>
      </c>
      <c r="S1337" s="10">
        <v>1615</v>
      </c>
      <c r="T1337" s="11" t="str">
        <f t="shared" si="138"/>
        <v>Ok</v>
      </c>
      <c r="U1337" s="12">
        <v>46140</v>
      </c>
      <c r="V1337" s="10">
        <v>435</v>
      </c>
      <c r="W1337" s="10" t="str">
        <f t="shared" si="136"/>
        <v>Short Paid</v>
      </c>
      <c r="X1337" t="s">
        <v>450</v>
      </c>
      <c r="Y1337" t="s">
        <v>28</v>
      </c>
      <c r="Z1337">
        <v>100237</v>
      </c>
      <c r="AA1337" t="s">
        <v>3094</v>
      </c>
      <c r="AB1337" t="s">
        <v>523</v>
      </c>
      <c r="AC1337" s="9">
        <v>2</v>
      </c>
      <c r="AD1337" s="9" t="str">
        <f t="shared" si="137"/>
        <v>Ok</v>
      </c>
      <c r="AE1337" s="11">
        <f t="shared" si="139"/>
        <v>0</v>
      </c>
    </row>
    <row r="1338" spans="1:31" x14ac:dyDescent="0.3">
      <c r="A1338">
        <v>37</v>
      </c>
      <c r="B1338">
        <v>4740646</v>
      </c>
      <c r="C1338" t="s">
        <v>94</v>
      </c>
      <c r="D1338">
        <v>1198320</v>
      </c>
      <c r="E1338" t="s">
        <v>712</v>
      </c>
      <c r="F1338" t="s">
        <v>18</v>
      </c>
      <c r="G1338" t="s">
        <v>1267</v>
      </c>
      <c r="H1338" t="s">
        <v>1268</v>
      </c>
      <c r="I1338" t="s">
        <v>3316</v>
      </c>
      <c r="J1338">
        <v>51148981973</v>
      </c>
      <c r="K1338" t="s">
        <v>3168</v>
      </c>
      <c r="L1338" t="s">
        <v>3677</v>
      </c>
      <c r="M1338">
        <v>3000</v>
      </c>
      <c r="N1338" s="10">
        <v>0.14499999999999999</v>
      </c>
      <c r="O1338" s="10">
        <f t="shared" si="135"/>
        <v>434.99999999999994</v>
      </c>
      <c r="P1338" s="10" t="s">
        <v>5006</v>
      </c>
      <c r="Q1338" s="10" t="s">
        <v>5006</v>
      </c>
      <c r="R1338" s="10" t="str">
        <f>IF(COUNTIF($J$2:J1338,J1338)=1,SUMIFS($O:$O,$J:$J,J1338)+SUMIFS($P:$P,$J:$J,J1338)+SUMIFS($Q:$Q,$J:$J,J1338),"")</f>
        <v/>
      </c>
      <c r="S1338" s="10" t="s">
        <v>5006</v>
      </c>
      <c r="T1338" s="11" t="str">
        <f t="shared" si="138"/>
        <v>Ok</v>
      </c>
      <c r="U1338" s="12">
        <v>46140</v>
      </c>
      <c r="V1338" s="10">
        <v>435</v>
      </c>
      <c r="W1338" s="10" t="str">
        <f t="shared" si="136"/>
        <v>N/A</v>
      </c>
      <c r="X1338" t="s">
        <v>450</v>
      </c>
      <c r="Y1338" t="s">
        <v>28</v>
      </c>
      <c r="Z1338">
        <v>100237</v>
      </c>
      <c r="AA1338" t="s">
        <v>3094</v>
      </c>
      <c r="AB1338" t="s">
        <v>523</v>
      </c>
      <c r="AC1338" s="9">
        <v>2</v>
      </c>
      <c r="AD1338" s="9" t="str">
        <f t="shared" si="137"/>
        <v>N/A</v>
      </c>
      <c r="AE1338" s="11" t="e">
        <f t="shared" si="139"/>
        <v>#VALUE!</v>
      </c>
    </row>
    <row r="1339" spans="1:31" x14ac:dyDescent="0.3">
      <c r="A1339">
        <v>25</v>
      </c>
      <c r="B1339">
        <v>4797138</v>
      </c>
      <c r="C1339" t="s">
        <v>239</v>
      </c>
      <c r="D1339">
        <v>1079286</v>
      </c>
      <c r="E1339" t="s">
        <v>629</v>
      </c>
      <c r="F1339" t="s">
        <v>20</v>
      </c>
      <c r="G1339" t="s">
        <v>2827</v>
      </c>
      <c r="H1339" t="s">
        <v>1392</v>
      </c>
      <c r="I1339" t="s">
        <v>3188</v>
      </c>
      <c r="J1339">
        <v>51148987570</v>
      </c>
      <c r="K1339" t="s">
        <v>3229</v>
      </c>
      <c r="L1339" t="s">
        <v>4236</v>
      </c>
      <c r="M1339">
        <v>63600</v>
      </c>
      <c r="N1339" s="10">
        <v>0.14999999999999997</v>
      </c>
      <c r="O1339" s="10">
        <f t="shared" si="135"/>
        <v>9539.9999999999982</v>
      </c>
      <c r="P1339" s="10">
        <v>0</v>
      </c>
      <c r="Q1339" s="10">
        <v>1504.7999999999997</v>
      </c>
      <c r="R1339" s="10">
        <f>IF(COUNTIF($J$2:J1339,J1339)=1,SUMIFS($O:$O,$J:$J,J1339)+SUMIFS($P:$P,$J:$J,J1339)+SUMIFS($Q:$Q,$J:$J,J1339),"")</f>
        <v>13372.199999999997</v>
      </c>
      <c r="S1339" s="10">
        <v>13732.199999999999</v>
      </c>
      <c r="T1339" s="11" t="str">
        <f t="shared" si="138"/>
        <v>Check</v>
      </c>
      <c r="U1339" s="12">
        <v>45916</v>
      </c>
      <c r="V1339" s="10">
        <v>11404.8</v>
      </c>
      <c r="W1339" s="10" t="str">
        <f t="shared" si="136"/>
        <v>Short Paid</v>
      </c>
      <c r="X1339" t="s">
        <v>476</v>
      </c>
      <c r="Y1339" t="s">
        <v>28</v>
      </c>
      <c r="Z1339">
        <v>100285</v>
      </c>
      <c r="AA1339" t="s">
        <v>501</v>
      </c>
      <c r="AB1339" t="s">
        <v>521</v>
      </c>
      <c r="AC1339" s="9">
        <v>2</v>
      </c>
      <c r="AD1339" s="9" t="str">
        <f t="shared" si="137"/>
        <v>Check</v>
      </c>
      <c r="AE1339" s="11">
        <f t="shared" si="139"/>
        <v>-360.00000000000182</v>
      </c>
    </row>
    <row r="1340" spans="1:31" x14ac:dyDescent="0.3">
      <c r="A1340">
        <v>25</v>
      </c>
      <c r="B1340">
        <v>4797138</v>
      </c>
      <c r="C1340" t="s">
        <v>239</v>
      </c>
      <c r="D1340">
        <v>1079286</v>
      </c>
      <c r="E1340" t="s">
        <v>629</v>
      </c>
      <c r="F1340" t="s">
        <v>20</v>
      </c>
      <c r="G1340" t="s">
        <v>2827</v>
      </c>
      <c r="H1340" t="s">
        <v>1392</v>
      </c>
      <c r="I1340" t="s">
        <v>3323</v>
      </c>
      <c r="J1340">
        <v>51148987570</v>
      </c>
      <c r="K1340" t="s">
        <v>3168</v>
      </c>
      <c r="L1340" t="s">
        <v>3205</v>
      </c>
      <c r="M1340">
        <v>36000</v>
      </c>
      <c r="N1340" s="10">
        <v>6.4649999999999999E-2</v>
      </c>
      <c r="O1340" s="10">
        <f t="shared" si="135"/>
        <v>2327.4</v>
      </c>
      <c r="P1340" s="10" t="s">
        <v>5006</v>
      </c>
      <c r="Q1340" s="10" t="s">
        <v>5006</v>
      </c>
      <c r="R1340" s="10" t="str">
        <f>IF(COUNTIF($J$2:J1340,J1340)=1,SUMIFS($O:$O,$J:$J,J1340)+SUMIFS($P:$P,$J:$J,J1340)+SUMIFS($Q:$Q,$J:$J,J1340),"")</f>
        <v/>
      </c>
      <c r="S1340" s="10" t="s">
        <v>5006</v>
      </c>
      <c r="T1340" s="11" t="str">
        <f t="shared" si="138"/>
        <v>Check</v>
      </c>
      <c r="U1340" s="12">
        <v>45916</v>
      </c>
      <c r="V1340" s="10">
        <v>11404.8</v>
      </c>
      <c r="W1340" s="10" t="str">
        <f t="shared" si="136"/>
        <v>N/A</v>
      </c>
      <c r="X1340" t="s">
        <v>476</v>
      </c>
      <c r="Y1340" t="s">
        <v>28</v>
      </c>
      <c r="Z1340">
        <v>100285</v>
      </c>
      <c r="AA1340" t="s">
        <v>501</v>
      </c>
      <c r="AB1340" t="s">
        <v>521</v>
      </c>
      <c r="AC1340" s="9">
        <v>2</v>
      </c>
      <c r="AD1340" s="9" t="str">
        <f t="shared" si="137"/>
        <v>N/A</v>
      </c>
      <c r="AE1340" s="11" t="e">
        <f t="shared" si="139"/>
        <v>#VALUE!</v>
      </c>
    </row>
    <row r="1341" spans="1:31" x14ac:dyDescent="0.3">
      <c r="A1341">
        <v>37</v>
      </c>
      <c r="B1341">
        <v>4736193</v>
      </c>
      <c r="C1341" t="s">
        <v>220</v>
      </c>
      <c r="D1341">
        <v>1309220</v>
      </c>
      <c r="E1341" t="s">
        <v>638</v>
      </c>
      <c r="F1341" t="s">
        <v>49</v>
      </c>
      <c r="G1341" t="s">
        <v>1241</v>
      </c>
      <c r="H1341" t="s">
        <v>1242</v>
      </c>
      <c r="I1341" t="s">
        <v>3291</v>
      </c>
      <c r="J1341">
        <v>51149017859</v>
      </c>
      <c r="K1341" t="s">
        <v>3351</v>
      </c>
      <c r="L1341" t="s">
        <v>3450</v>
      </c>
      <c r="M1341">
        <v>3000</v>
      </c>
      <c r="N1341" s="10">
        <v>3.8679999999999999</v>
      </c>
      <c r="O1341" s="10">
        <f t="shared" si="135"/>
        <v>11604</v>
      </c>
      <c r="P1341" s="10">
        <v>6.67</v>
      </c>
      <c r="Q1341" s="10">
        <v>0</v>
      </c>
      <c r="R1341" s="10">
        <f>IF(COUNTIF($J$2:J1341,J1341)=1,SUMIFS($O:$O,$J:$J,J1341)+SUMIFS($P:$P,$J:$J,J1341)+SUMIFS($Q:$Q,$J:$J,J1341),"")</f>
        <v>11610.67</v>
      </c>
      <c r="S1341" s="10">
        <v>11661.97</v>
      </c>
      <c r="T1341" s="11" t="str">
        <f t="shared" si="138"/>
        <v>Check</v>
      </c>
      <c r="U1341" s="12">
        <v>45792</v>
      </c>
      <c r="V1341" s="10">
        <v>6.67</v>
      </c>
      <c r="W1341" s="10" t="str">
        <f t="shared" si="136"/>
        <v>Short Paid</v>
      </c>
      <c r="X1341" t="s">
        <v>470</v>
      </c>
      <c r="Y1341" t="s">
        <v>29</v>
      </c>
      <c r="Z1341">
        <v>100298</v>
      </c>
      <c r="AA1341" t="s">
        <v>3105</v>
      </c>
      <c r="AB1341" t="s">
        <v>3041</v>
      </c>
      <c r="AC1341" s="9">
        <v>2</v>
      </c>
      <c r="AD1341" s="9" t="str">
        <f t="shared" si="137"/>
        <v>Check</v>
      </c>
      <c r="AE1341" s="11">
        <f t="shared" si="139"/>
        <v>-51.299999999999272</v>
      </c>
    </row>
    <row r="1342" spans="1:31" x14ac:dyDescent="0.3">
      <c r="A1342">
        <v>37</v>
      </c>
      <c r="B1342">
        <v>4736193</v>
      </c>
      <c r="C1342" t="s">
        <v>220</v>
      </c>
      <c r="D1342">
        <v>1309220</v>
      </c>
      <c r="E1342" t="s">
        <v>638</v>
      </c>
      <c r="F1342" t="s">
        <v>49</v>
      </c>
      <c r="G1342" t="s">
        <v>1241</v>
      </c>
      <c r="H1342" t="s">
        <v>1242</v>
      </c>
      <c r="I1342" t="s">
        <v>3285</v>
      </c>
      <c r="J1342">
        <v>51149017859</v>
      </c>
      <c r="K1342" t="s">
        <v>3168</v>
      </c>
      <c r="L1342" t="s">
        <v>3625</v>
      </c>
      <c r="M1342">
        <v>0</v>
      </c>
      <c r="N1342" s="10">
        <v>1.7100000000000001E-2</v>
      </c>
      <c r="O1342" s="10">
        <f t="shared" si="135"/>
        <v>0</v>
      </c>
      <c r="P1342" s="10" t="s">
        <v>5006</v>
      </c>
      <c r="Q1342" s="10" t="s">
        <v>5006</v>
      </c>
      <c r="R1342" s="10" t="str">
        <f>IF(COUNTIF($J$2:J1342,J1342)=1,SUMIFS($O:$O,$J:$J,J1342)+SUMIFS($P:$P,$J:$J,J1342)+SUMIFS($Q:$Q,$J:$J,J1342),"")</f>
        <v/>
      </c>
      <c r="S1342" s="10" t="s">
        <v>5006</v>
      </c>
      <c r="T1342" s="11" t="str">
        <f t="shared" si="138"/>
        <v>Check</v>
      </c>
      <c r="U1342" s="12">
        <v>45792</v>
      </c>
      <c r="V1342" s="10">
        <v>6.67</v>
      </c>
      <c r="W1342" s="10" t="str">
        <f t="shared" si="136"/>
        <v>N/A</v>
      </c>
      <c r="X1342" t="s">
        <v>470</v>
      </c>
      <c r="Y1342" t="s">
        <v>29</v>
      </c>
      <c r="Z1342">
        <v>100298</v>
      </c>
      <c r="AA1342" t="s">
        <v>3105</v>
      </c>
      <c r="AB1342" t="s">
        <v>3041</v>
      </c>
      <c r="AC1342" s="9">
        <v>2</v>
      </c>
      <c r="AD1342" s="9" t="str">
        <f t="shared" si="137"/>
        <v>N/A</v>
      </c>
      <c r="AE1342" s="11" t="e">
        <f t="shared" si="139"/>
        <v>#VALUE!</v>
      </c>
    </row>
    <row r="1343" spans="1:31" x14ac:dyDescent="0.3">
      <c r="A1343">
        <v>36</v>
      </c>
      <c r="B1343">
        <v>4743707</v>
      </c>
      <c r="C1343" t="s">
        <v>167</v>
      </c>
      <c r="D1343">
        <v>1139721</v>
      </c>
      <c r="E1343" t="s">
        <v>547</v>
      </c>
      <c r="F1343" t="s">
        <v>18</v>
      </c>
      <c r="G1343" t="s">
        <v>1273</v>
      </c>
      <c r="H1343" t="s">
        <v>1274</v>
      </c>
      <c r="I1343" t="s">
        <v>3322</v>
      </c>
      <c r="J1343">
        <v>51149071192</v>
      </c>
      <c r="K1343" t="s">
        <v>3177</v>
      </c>
      <c r="L1343" t="s">
        <v>4237</v>
      </c>
      <c r="M1343">
        <v>500</v>
      </c>
      <c r="N1343" s="10">
        <v>0.27700000000000002</v>
      </c>
      <c r="O1343" s="10">
        <f t="shared" si="135"/>
        <v>138.5</v>
      </c>
      <c r="P1343" s="10">
        <v>0</v>
      </c>
      <c r="Q1343" s="10">
        <v>26.32</v>
      </c>
      <c r="R1343" s="10">
        <f>IF(COUNTIF($J$2:J1343,J1343)=1,SUMIFS($O:$O,$J:$J,J1343)+SUMIFS($P:$P,$J:$J,J1343)+SUMIFS($Q:$Q,$J:$J,J1343),"")</f>
        <v>4796.82</v>
      </c>
      <c r="S1343" s="10">
        <v>4796.82</v>
      </c>
      <c r="T1343" s="11" t="str">
        <f t="shared" si="138"/>
        <v>Ok</v>
      </c>
      <c r="U1343" s="12">
        <v>46055</v>
      </c>
      <c r="V1343" s="10">
        <v>17.3</v>
      </c>
      <c r="W1343" s="10" t="str">
        <f t="shared" si="136"/>
        <v>Short Paid</v>
      </c>
      <c r="X1343" t="s">
        <v>455</v>
      </c>
      <c r="Y1343" t="s">
        <v>28</v>
      </c>
      <c r="Z1343">
        <v>100240</v>
      </c>
      <c r="AA1343" t="s">
        <v>459</v>
      </c>
      <c r="AB1343" t="s">
        <v>523</v>
      </c>
      <c r="AC1343" s="9">
        <v>2</v>
      </c>
      <c r="AD1343" s="9" t="str">
        <f t="shared" si="137"/>
        <v>Ok</v>
      </c>
      <c r="AE1343" s="11">
        <f t="shared" si="139"/>
        <v>0</v>
      </c>
    </row>
    <row r="1344" spans="1:31" x14ac:dyDescent="0.3">
      <c r="A1344">
        <v>36</v>
      </c>
      <c r="B1344">
        <v>4743707</v>
      </c>
      <c r="C1344" t="s">
        <v>167</v>
      </c>
      <c r="D1344">
        <v>1139721</v>
      </c>
      <c r="E1344" t="s">
        <v>547</v>
      </c>
      <c r="F1344" t="s">
        <v>18</v>
      </c>
      <c r="G1344" t="s">
        <v>1273</v>
      </c>
      <c r="H1344" t="s">
        <v>1274</v>
      </c>
      <c r="I1344" t="s">
        <v>3477</v>
      </c>
      <c r="J1344">
        <v>51149071192</v>
      </c>
      <c r="K1344" t="s">
        <v>3177</v>
      </c>
      <c r="L1344" t="s">
        <v>4084</v>
      </c>
      <c r="M1344">
        <v>600000</v>
      </c>
      <c r="N1344" s="10">
        <v>7.7200000000000003E-3</v>
      </c>
      <c r="O1344" s="10">
        <f t="shared" si="135"/>
        <v>4632</v>
      </c>
      <c r="P1344" s="10" t="s">
        <v>5006</v>
      </c>
      <c r="Q1344" s="10" t="s">
        <v>5006</v>
      </c>
      <c r="R1344" s="10" t="str">
        <f>IF(COUNTIF($J$2:J1344,J1344)=1,SUMIFS($O:$O,$J:$J,J1344)+SUMIFS($P:$P,$J:$J,J1344)+SUMIFS($Q:$Q,$J:$J,J1344),"")</f>
        <v/>
      </c>
      <c r="S1344" s="10" t="s">
        <v>5006</v>
      </c>
      <c r="T1344" s="11" t="str">
        <f t="shared" si="138"/>
        <v>Ok</v>
      </c>
      <c r="U1344" s="12">
        <v>46055</v>
      </c>
      <c r="V1344" s="10">
        <v>17.3</v>
      </c>
      <c r="W1344" s="10" t="str">
        <f t="shared" si="136"/>
        <v>N/A</v>
      </c>
      <c r="X1344" t="s">
        <v>455</v>
      </c>
      <c r="Y1344" t="s">
        <v>28</v>
      </c>
      <c r="Z1344">
        <v>100240</v>
      </c>
      <c r="AA1344" t="s">
        <v>459</v>
      </c>
      <c r="AB1344" t="s">
        <v>523</v>
      </c>
      <c r="AC1344" s="9">
        <v>2</v>
      </c>
      <c r="AD1344" s="9" t="str">
        <f t="shared" si="137"/>
        <v>N/A</v>
      </c>
      <c r="AE1344" s="11" t="e">
        <f t="shared" si="139"/>
        <v>#VALUE!</v>
      </c>
    </row>
    <row r="1345" spans="1:31" x14ac:dyDescent="0.3">
      <c r="A1345">
        <v>38</v>
      </c>
      <c r="B1345">
        <v>4730349</v>
      </c>
      <c r="C1345" t="s">
        <v>94</v>
      </c>
      <c r="D1345">
        <v>1200599</v>
      </c>
      <c r="E1345" t="s">
        <v>656</v>
      </c>
      <c r="F1345" t="s">
        <v>19</v>
      </c>
      <c r="G1345" t="s">
        <v>2787</v>
      </c>
      <c r="H1345" t="s">
        <v>2788</v>
      </c>
      <c r="I1345" t="s">
        <v>3425</v>
      </c>
      <c r="J1345">
        <v>51149071600</v>
      </c>
      <c r="K1345" t="s">
        <v>3177</v>
      </c>
      <c r="L1345" t="s">
        <v>3561</v>
      </c>
      <c r="M1345">
        <v>20000</v>
      </c>
      <c r="N1345" s="10">
        <v>4.3800000000000002E-3</v>
      </c>
      <c r="O1345" s="10">
        <f t="shared" si="135"/>
        <v>87.600000000000009</v>
      </c>
      <c r="P1345" s="10">
        <v>0</v>
      </c>
      <c r="Q1345" s="10">
        <v>0</v>
      </c>
      <c r="R1345" s="10">
        <f>IF(COUNTIF($J$2:J1345,J1345)=1,SUMIFS($O:$O,$J:$J,J1345)+SUMIFS($P:$P,$J:$J,J1345)+SUMIFS($Q:$Q,$J:$J,J1345),"")</f>
        <v>527.85</v>
      </c>
      <c r="S1345" s="10">
        <v>835.57999999999993</v>
      </c>
      <c r="T1345" s="11" t="str">
        <f t="shared" si="138"/>
        <v>Check</v>
      </c>
      <c r="U1345" s="12">
        <v>46086</v>
      </c>
      <c r="V1345" s="10">
        <v>660.38</v>
      </c>
      <c r="W1345" s="10" t="str">
        <f t="shared" si="136"/>
        <v>Short Paid</v>
      </c>
      <c r="X1345" t="s">
        <v>450</v>
      </c>
      <c r="Y1345" t="s">
        <v>28</v>
      </c>
      <c r="Z1345">
        <v>100287</v>
      </c>
      <c r="AA1345" t="s">
        <v>503</v>
      </c>
      <c r="AB1345" t="s">
        <v>524</v>
      </c>
      <c r="AC1345" s="9">
        <v>2</v>
      </c>
      <c r="AD1345" s="9" t="str">
        <f t="shared" si="137"/>
        <v>Check</v>
      </c>
      <c r="AE1345" s="11">
        <f t="shared" si="139"/>
        <v>-307.7299999999999</v>
      </c>
    </row>
    <row r="1346" spans="1:31" x14ac:dyDescent="0.3">
      <c r="A1346">
        <v>38</v>
      </c>
      <c r="B1346">
        <v>4730349</v>
      </c>
      <c r="C1346" t="s">
        <v>94</v>
      </c>
      <c r="D1346">
        <v>1200599</v>
      </c>
      <c r="E1346" t="s">
        <v>656</v>
      </c>
      <c r="F1346" t="s">
        <v>19</v>
      </c>
      <c r="G1346" t="s">
        <v>2787</v>
      </c>
      <c r="H1346" t="s">
        <v>2788</v>
      </c>
      <c r="I1346" t="s">
        <v>3256</v>
      </c>
      <c r="J1346">
        <v>51149071600</v>
      </c>
      <c r="K1346" t="s">
        <v>3572</v>
      </c>
      <c r="L1346" t="s">
        <v>3571</v>
      </c>
      <c r="M1346">
        <v>1</v>
      </c>
      <c r="N1346" s="10">
        <v>440.25</v>
      </c>
      <c r="O1346" s="10">
        <f t="shared" ref="O1346:O1409" si="140">M1346*N1346</f>
        <v>440.25</v>
      </c>
      <c r="P1346" s="10" t="s">
        <v>5006</v>
      </c>
      <c r="Q1346" s="10" t="s">
        <v>5006</v>
      </c>
      <c r="R1346" s="10" t="str">
        <f>IF(COUNTIF($J$2:J1346,J1346)=1,SUMIFS($O:$O,$J:$J,J1346)+SUMIFS($P:$P,$J:$J,J1346)+SUMIFS($Q:$Q,$J:$J,J1346),"")</f>
        <v/>
      </c>
      <c r="S1346" s="10" t="s">
        <v>5006</v>
      </c>
      <c r="T1346" s="11" t="str">
        <f t="shared" si="138"/>
        <v>Check</v>
      </c>
      <c r="U1346" s="12">
        <v>46086</v>
      </c>
      <c r="V1346" s="10">
        <v>660.38</v>
      </c>
      <c r="W1346" s="10" t="str">
        <f t="shared" ref="W1346:W1409" si="141">IF(OR(S1346="",V1346=""),"N/A",IF(S1346&lt;&gt;V1346,"Short Paid","Not Paid"))</f>
        <v>N/A</v>
      </c>
      <c r="X1346" t="s">
        <v>450</v>
      </c>
      <c r="Y1346" t="s">
        <v>28</v>
      </c>
      <c r="Z1346">
        <v>100287</v>
      </c>
      <c r="AA1346" t="s">
        <v>503</v>
      </c>
      <c r="AB1346" t="s">
        <v>524</v>
      </c>
      <c r="AC1346" s="9">
        <v>2</v>
      </c>
      <c r="AD1346" s="9" t="str">
        <f t="shared" ref="AD1346:AD1409" si="142">IF(AND(R1346="",S1346=""),"N/A",IF(R1346=S1346,"Ok","Check"))</f>
        <v>N/A</v>
      </c>
      <c r="AE1346" s="11" t="e">
        <f t="shared" si="139"/>
        <v>#VALUE!</v>
      </c>
    </row>
    <row r="1347" spans="1:31" x14ac:dyDescent="0.3">
      <c r="A1347">
        <v>35</v>
      </c>
      <c r="B1347">
        <v>4745655</v>
      </c>
      <c r="C1347" t="s">
        <v>160</v>
      </c>
      <c r="D1347">
        <v>1262308</v>
      </c>
      <c r="E1347" t="s">
        <v>611</v>
      </c>
      <c r="F1347" t="s">
        <v>18</v>
      </c>
      <c r="G1347" t="s">
        <v>1277</v>
      </c>
      <c r="H1347" t="s">
        <v>1278</v>
      </c>
      <c r="I1347" t="s">
        <v>3328</v>
      </c>
      <c r="J1347">
        <v>51149102505</v>
      </c>
      <c r="K1347" t="s">
        <v>3650</v>
      </c>
      <c r="L1347" t="s">
        <v>4238</v>
      </c>
      <c r="M1347">
        <v>35</v>
      </c>
      <c r="N1347" s="10">
        <v>71.39</v>
      </c>
      <c r="O1347" s="10">
        <f t="shared" si="140"/>
        <v>2498.65</v>
      </c>
      <c r="P1347" s="10">
        <v>174.91</v>
      </c>
      <c r="Q1347" s="10">
        <v>0</v>
      </c>
      <c r="R1347" s="10">
        <f>IF(COUNTIF($J$2:J1347,J1347)=1,SUMIFS($O:$O,$J:$J,J1347)+SUMIFS($P:$P,$J:$J,J1347)+SUMIFS($Q:$Q,$J:$J,J1347),"")</f>
        <v>9765.56</v>
      </c>
      <c r="S1347" s="10">
        <v>9765.56</v>
      </c>
      <c r="T1347" s="11" t="str">
        <f t="shared" ref="T1347:T1410" si="143">IFERROR(INDEX(AD:AD,MATCH(J1347,J:J,0)),"")</f>
        <v>Ok</v>
      </c>
      <c r="U1347" s="12">
        <v>46063</v>
      </c>
      <c r="V1347" s="10">
        <v>1120.6099999999999</v>
      </c>
      <c r="W1347" s="10" t="str">
        <f t="shared" si="141"/>
        <v>Short Paid</v>
      </c>
      <c r="X1347" t="s">
        <v>453</v>
      </c>
      <c r="Y1347" t="s">
        <v>28</v>
      </c>
      <c r="Z1347">
        <v>100194</v>
      </c>
      <c r="AA1347" t="s">
        <v>487</v>
      </c>
      <c r="AB1347" t="s">
        <v>523</v>
      </c>
      <c r="AC1347" s="9">
        <v>2</v>
      </c>
      <c r="AD1347" s="9" t="str">
        <f t="shared" si="142"/>
        <v>Ok</v>
      </c>
      <c r="AE1347" s="11">
        <f t="shared" si="139"/>
        <v>0</v>
      </c>
    </row>
    <row r="1348" spans="1:31" x14ac:dyDescent="0.3">
      <c r="A1348">
        <v>35</v>
      </c>
      <c r="B1348">
        <v>4745655</v>
      </c>
      <c r="C1348" t="s">
        <v>160</v>
      </c>
      <c r="D1348">
        <v>1262308</v>
      </c>
      <c r="E1348" t="s">
        <v>611</v>
      </c>
      <c r="F1348" t="s">
        <v>18</v>
      </c>
      <c r="G1348" t="s">
        <v>1277</v>
      </c>
      <c r="H1348" t="s">
        <v>1278</v>
      </c>
      <c r="I1348" t="s">
        <v>3185</v>
      </c>
      <c r="J1348">
        <v>51149102505</v>
      </c>
      <c r="K1348" t="s">
        <v>3266</v>
      </c>
      <c r="L1348" t="s">
        <v>4239</v>
      </c>
      <c r="M1348">
        <v>6000</v>
      </c>
      <c r="N1348" s="10">
        <v>1.1819999999999999</v>
      </c>
      <c r="O1348" s="10">
        <f t="shared" si="140"/>
        <v>7092</v>
      </c>
      <c r="P1348" s="10" t="s">
        <v>5006</v>
      </c>
      <c r="Q1348" s="10" t="s">
        <v>5006</v>
      </c>
      <c r="R1348" s="10" t="str">
        <f>IF(COUNTIF($J$2:J1348,J1348)=1,SUMIFS($O:$O,$J:$J,J1348)+SUMIFS($P:$P,$J:$J,J1348)+SUMIFS($Q:$Q,$J:$J,J1348),"")</f>
        <v/>
      </c>
      <c r="S1348" s="10" t="s">
        <v>5006</v>
      </c>
      <c r="T1348" s="11" t="str">
        <f t="shared" si="143"/>
        <v>Ok</v>
      </c>
      <c r="U1348" s="12">
        <v>46063</v>
      </c>
      <c r="V1348" s="10">
        <v>1120.6099999999999</v>
      </c>
      <c r="W1348" s="10" t="str">
        <f t="shared" si="141"/>
        <v>N/A</v>
      </c>
      <c r="X1348" t="s">
        <v>453</v>
      </c>
      <c r="Y1348" t="s">
        <v>28</v>
      </c>
      <c r="Z1348">
        <v>100194</v>
      </c>
      <c r="AA1348" t="s">
        <v>487</v>
      </c>
      <c r="AB1348" t="s">
        <v>523</v>
      </c>
      <c r="AC1348" s="9">
        <v>2</v>
      </c>
      <c r="AD1348" s="9" t="str">
        <f t="shared" si="142"/>
        <v>N/A</v>
      </c>
      <c r="AE1348" s="11" t="e">
        <f t="shared" si="139"/>
        <v>#VALUE!</v>
      </c>
    </row>
    <row r="1349" spans="1:31" x14ac:dyDescent="0.3">
      <c r="A1349">
        <v>34</v>
      </c>
      <c r="B1349">
        <v>4750108</v>
      </c>
      <c r="C1349" t="s">
        <v>56</v>
      </c>
      <c r="D1349">
        <v>1129814</v>
      </c>
      <c r="E1349" t="s">
        <v>3811</v>
      </c>
      <c r="F1349" t="s">
        <v>50</v>
      </c>
      <c r="G1349" t="s">
        <v>4240</v>
      </c>
      <c r="H1349" t="s">
        <v>4241</v>
      </c>
      <c r="I1349" t="s">
        <v>3347</v>
      </c>
      <c r="J1349">
        <v>51149183499</v>
      </c>
      <c r="K1349" t="s">
        <v>3216</v>
      </c>
      <c r="L1349" t="s">
        <v>4242</v>
      </c>
      <c r="M1349">
        <v>1000</v>
      </c>
      <c r="N1349" s="10">
        <v>7.8E-2</v>
      </c>
      <c r="O1349" s="10">
        <f t="shared" si="140"/>
        <v>78</v>
      </c>
      <c r="P1349" s="10">
        <v>0</v>
      </c>
      <c r="Q1349" s="10">
        <v>0</v>
      </c>
      <c r="R1349" s="10">
        <f>IF(COUNTIF($J$2:J1349,J1349)=1,SUMIFS($O:$O,$J:$J,J1349)+SUMIFS($P:$P,$J:$J,J1349)+SUMIFS($Q:$Q,$J:$J,J1349),"")</f>
        <v>4838.3885</v>
      </c>
      <c r="S1349" s="10">
        <v>5034</v>
      </c>
      <c r="T1349" s="11" t="str">
        <f t="shared" si="143"/>
        <v>Check</v>
      </c>
      <c r="U1349" s="12">
        <v>46038</v>
      </c>
      <c r="V1349" s="10">
        <v>195.61</v>
      </c>
      <c r="W1349" s="10" t="str">
        <f t="shared" si="141"/>
        <v>Short Paid</v>
      </c>
      <c r="X1349" t="s">
        <v>435</v>
      </c>
      <c r="Y1349" t="s">
        <v>436</v>
      </c>
      <c r="Z1349">
        <v>100251</v>
      </c>
      <c r="AA1349" t="s">
        <v>3125</v>
      </c>
      <c r="AB1349" t="s">
        <v>3042</v>
      </c>
      <c r="AC1349" s="9">
        <v>2</v>
      </c>
      <c r="AD1349" s="9" t="str">
        <f t="shared" si="142"/>
        <v>Check</v>
      </c>
      <c r="AE1349" s="11">
        <f t="shared" si="139"/>
        <v>-195.61149999999998</v>
      </c>
    </row>
    <row r="1350" spans="1:31" x14ac:dyDescent="0.3">
      <c r="A1350">
        <v>34</v>
      </c>
      <c r="B1350">
        <v>4750108</v>
      </c>
      <c r="C1350" t="s">
        <v>56</v>
      </c>
      <c r="D1350">
        <v>1129814</v>
      </c>
      <c r="E1350" t="s">
        <v>3811</v>
      </c>
      <c r="F1350" t="s">
        <v>50</v>
      </c>
      <c r="G1350" t="s">
        <v>4240</v>
      </c>
      <c r="H1350" t="s">
        <v>4241</v>
      </c>
      <c r="I1350" t="s">
        <v>3347</v>
      </c>
      <c r="J1350">
        <v>51149183499</v>
      </c>
      <c r="K1350" t="s">
        <v>3630</v>
      </c>
      <c r="L1350" t="s">
        <v>4243</v>
      </c>
      <c r="M1350">
        <v>6685</v>
      </c>
      <c r="N1350" s="10">
        <v>0.71209999999999996</v>
      </c>
      <c r="O1350" s="10">
        <f t="shared" si="140"/>
        <v>4760.3885</v>
      </c>
      <c r="P1350" s="10" t="s">
        <v>5006</v>
      </c>
      <c r="Q1350" s="10" t="s">
        <v>5006</v>
      </c>
      <c r="R1350" s="10" t="str">
        <f>IF(COUNTIF($J$2:J1350,J1350)=1,SUMIFS($O:$O,$J:$J,J1350)+SUMIFS($P:$P,$J:$J,J1350)+SUMIFS($Q:$Q,$J:$J,J1350),"")</f>
        <v/>
      </c>
      <c r="S1350" s="10" t="s">
        <v>5006</v>
      </c>
      <c r="T1350" s="11" t="str">
        <f t="shared" si="143"/>
        <v>Check</v>
      </c>
      <c r="U1350" s="12">
        <v>46038</v>
      </c>
      <c r="V1350" s="10">
        <v>195.61</v>
      </c>
      <c r="W1350" s="10" t="str">
        <f t="shared" si="141"/>
        <v>N/A</v>
      </c>
      <c r="X1350" t="s">
        <v>435</v>
      </c>
      <c r="Y1350" t="s">
        <v>436</v>
      </c>
      <c r="Z1350">
        <v>100251</v>
      </c>
      <c r="AA1350" t="s">
        <v>3125</v>
      </c>
      <c r="AB1350" t="s">
        <v>3042</v>
      </c>
      <c r="AC1350" s="9">
        <v>2</v>
      </c>
      <c r="AD1350" s="9" t="str">
        <f t="shared" si="142"/>
        <v>N/A</v>
      </c>
      <c r="AE1350" s="11" t="e">
        <f t="shared" si="139"/>
        <v>#VALUE!</v>
      </c>
    </row>
    <row r="1351" spans="1:31" x14ac:dyDescent="0.3">
      <c r="A1351">
        <v>30</v>
      </c>
      <c r="B1351">
        <v>4759291</v>
      </c>
      <c r="C1351" t="s">
        <v>160</v>
      </c>
      <c r="D1351">
        <v>1187239</v>
      </c>
      <c r="E1351" t="s">
        <v>663</v>
      </c>
      <c r="F1351" t="s">
        <v>20</v>
      </c>
      <c r="G1351" t="s">
        <v>1304</v>
      </c>
      <c r="H1351" t="s">
        <v>1305</v>
      </c>
      <c r="I1351" t="s">
        <v>3435</v>
      </c>
      <c r="J1351">
        <v>51149229286</v>
      </c>
      <c r="K1351" t="s">
        <v>3379</v>
      </c>
      <c r="L1351" t="s">
        <v>4244</v>
      </c>
      <c r="M1351">
        <v>5000</v>
      </c>
      <c r="N1351" s="10">
        <v>0.38080000000000003</v>
      </c>
      <c r="O1351" s="10">
        <f t="shared" si="140"/>
        <v>1904.0000000000002</v>
      </c>
      <c r="P1351" s="10">
        <v>0</v>
      </c>
      <c r="Q1351" s="10">
        <v>180.88</v>
      </c>
      <c r="R1351" s="10">
        <f>IF(COUNTIF($J$2:J1351,J1351)=1,SUMIFS($O:$O,$J:$J,J1351)+SUMIFS($P:$P,$J:$J,J1351)+SUMIFS($Q:$Q,$J:$J,J1351),"")</f>
        <v>110297.88000000002</v>
      </c>
      <c r="S1351" s="10">
        <v>110297.88</v>
      </c>
      <c r="T1351" s="11" t="str">
        <f t="shared" si="143"/>
        <v>Ok</v>
      </c>
      <c r="U1351" s="12">
        <v>45993</v>
      </c>
      <c r="V1351" s="10">
        <v>2084.88</v>
      </c>
      <c r="W1351" s="10" t="str">
        <f t="shared" si="141"/>
        <v>Short Paid</v>
      </c>
      <c r="X1351" t="s">
        <v>453</v>
      </c>
      <c r="Y1351" t="s">
        <v>28</v>
      </c>
      <c r="Z1351">
        <v>100164</v>
      </c>
      <c r="AA1351" t="s">
        <v>490</v>
      </c>
      <c r="AB1351" t="s">
        <v>521</v>
      </c>
      <c r="AC1351" s="9">
        <v>2</v>
      </c>
      <c r="AD1351" s="9" t="str">
        <f t="shared" si="142"/>
        <v>Ok</v>
      </c>
      <c r="AE1351" s="11">
        <f t="shared" ref="AE1351:AE1414" si="144">R1351-S1351</f>
        <v>0</v>
      </c>
    </row>
    <row r="1352" spans="1:31" x14ac:dyDescent="0.3">
      <c r="A1352">
        <v>30</v>
      </c>
      <c r="B1352">
        <v>4759291</v>
      </c>
      <c r="C1352" t="s">
        <v>160</v>
      </c>
      <c r="D1352">
        <v>1187239</v>
      </c>
      <c r="E1352" t="s">
        <v>663</v>
      </c>
      <c r="F1352" t="s">
        <v>20</v>
      </c>
      <c r="G1352" t="s">
        <v>1304</v>
      </c>
      <c r="H1352" t="s">
        <v>1305</v>
      </c>
      <c r="I1352" t="s">
        <v>3542</v>
      </c>
      <c r="J1352">
        <v>51149229286</v>
      </c>
      <c r="K1352" t="s">
        <v>3168</v>
      </c>
      <c r="L1352" t="s">
        <v>3536</v>
      </c>
      <c r="M1352">
        <v>50</v>
      </c>
      <c r="N1352" s="10">
        <v>2164.2600000000002</v>
      </c>
      <c r="O1352" s="10">
        <f t="shared" si="140"/>
        <v>108213.00000000001</v>
      </c>
      <c r="P1352" s="10" t="s">
        <v>5006</v>
      </c>
      <c r="Q1352" s="10" t="s">
        <v>5006</v>
      </c>
      <c r="R1352" s="10" t="str">
        <f>IF(COUNTIF($J$2:J1352,J1352)=1,SUMIFS($O:$O,$J:$J,J1352)+SUMIFS($P:$P,$J:$J,J1352)+SUMIFS($Q:$Q,$J:$J,J1352),"")</f>
        <v/>
      </c>
      <c r="S1352" s="10" t="s">
        <v>5006</v>
      </c>
      <c r="T1352" s="11" t="str">
        <f t="shared" si="143"/>
        <v>Ok</v>
      </c>
      <c r="U1352" s="12">
        <v>45993</v>
      </c>
      <c r="V1352" s="10">
        <v>2084.88</v>
      </c>
      <c r="W1352" s="10" t="str">
        <f t="shared" si="141"/>
        <v>N/A</v>
      </c>
      <c r="X1352" t="s">
        <v>453</v>
      </c>
      <c r="Y1352" t="s">
        <v>28</v>
      </c>
      <c r="Z1352">
        <v>100164</v>
      </c>
      <c r="AA1352" t="s">
        <v>490</v>
      </c>
      <c r="AB1352" t="s">
        <v>521</v>
      </c>
      <c r="AC1352" s="9">
        <v>2</v>
      </c>
      <c r="AD1352" s="9" t="str">
        <f t="shared" si="142"/>
        <v>N/A</v>
      </c>
      <c r="AE1352" s="11" t="e">
        <f t="shared" si="144"/>
        <v>#VALUE!</v>
      </c>
    </row>
    <row r="1353" spans="1:31" x14ac:dyDescent="0.3">
      <c r="A1353">
        <v>38</v>
      </c>
      <c r="B1353">
        <v>4732019</v>
      </c>
      <c r="C1353" t="s">
        <v>94</v>
      </c>
      <c r="D1353">
        <v>1200599</v>
      </c>
      <c r="E1353" t="s">
        <v>656</v>
      </c>
      <c r="F1353" t="s">
        <v>19</v>
      </c>
      <c r="G1353" t="s">
        <v>2793</v>
      </c>
      <c r="H1353" t="s">
        <v>1229</v>
      </c>
      <c r="I1353" t="s">
        <v>3227</v>
      </c>
      <c r="J1353">
        <v>51149309784</v>
      </c>
      <c r="K1353" t="s">
        <v>3473</v>
      </c>
      <c r="L1353" t="s">
        <v>3472</v>
      </c>
      <c r="M1353">
        <v>12000</v>
      </c>
      <c r="N1353" s="10">
        <v>9.5409999999999995E-2</v>
      </c>
      <c r="O1353" s="10">
        <f t="shared" si="140"/>
        <v>1144.9199999999998</v>
      </c>
      <c r="P1353" s="10">
        <v>0</v>
      </c>
      <c r="Q1353" s="10">
        <v>0</v>
      </c>
      <c r="R1353" s="10">
        <f>IF(COUNTIF($J$2:J1353,J1353)=1,SUMIFS($O:$O,$J:$J,J1353)+SUMIFS($P:$P,$J:$J,J1353)+SUMIFS($Q:$Q,$J:$J,J1353),"")</f>
        <v>4114.92</v>
      </c>
      <c r="S1353" s="10">
        <v>7084.92</v>
      </c>
      <c r="T1353" s="11" t="str">
        <f t="shared" si="143"/>
        <v>Check</v>
      </c>
      <c r="U1353" s="12">
        <v>46098</v>
      </c>
      <c r="V1353" s="10">
        <v>5940</v>
      </c>
      <c r="W1353" s="10" t="str">
        <f t="shared" si="141"/>
        <v>Short Paid</v>
      </c>
      <c r="X1353" t="s">
        <v>450</v>
      </c>
      <c r="Y1353" t="s">
        <v>28</v>
      </c>
      <c r="Z1353">
        <v>100207</v>
      </c>
      <c r="AA1353" t="s">
        <v>519</v>
      </c>
      <c r="AB1353" t="s">
        <v>524</v>
      </c>
      <c r="AC1353" s="9">
        <v>2</v>
      </c>
      <c r="AD1353" s="9" t="str">
        <f t="shared" si="142"/>
        <v>Check</v>
      </c>
      <c r="AE1353" s="11">
        <f t="shared" si="144"/>
        <v>-2970</v>
      </c>
    </row>
    <row r="1354" spans="1:31" x14ac:dyDescent="0.3">
      <c r="A1354">
        <v>38</v>
      </c>
      <c r="B1354">
        <v>4732019</v>
      </c>
      <c r="C1354" t="s">
        <v>94</v>
      </c>
      <c r="D1354">
        <v>1200599</v>
      </c>
      <c r="E1354" t="s">
        <v>656</v>
      </c>
      <c r="F1354" t="s">
        <v>19</v>
      </c>
      <c r="G1354" t="s">
        <v>2793</v>
      </c>
      <c r="H1354" t="s">
        <v>1229</v>
      </c>
      <c r="I1354" t="s">
        <v>3326</v>
      </c>
      <c r="J1354">
        <v>51149309784</v>
      </c>
      <c r="K1354" t="s">
        <v>3572</v>
      </c>
      <c r="L1354" t="s">
        <v>3571</v>
      </c>
      <c r="M1354">
        <v>1</v>
      </c>
      <c r="N1354" s="10">
        <v>2970</v>
      </c>
      <c r="O1354" s="10">
        <f t="shared" si="140"/>
        <v>2970</v>
      </c>
      <c r="P1354" s="10" t="s">
        <v>5006</v>
      </c>
      <c r="Q1354" s="10" t="s">
        <v>5006</v>
      </c>
      <c r="R1354" s="10" t="str">
        <f>IF(COUNTIF($J$2:J1354,J1354)=1,SUMIFS($O:$O,$J:$J,J1354)+SUMIFS($P:$P,$J:$J,J1354)+SUMIFS($Q:$Q,$J:$J,J1354),"")</f>
        <v/>
      </c>
      <c r="S1354" s="10" t="s">
        <v>5006</v>
      </c>
      <c r="T1354" s="11" t="str">
        <f t="shared" si="143"/>
        <v>Check</v>
      </c>
      <c r="U1354" s="12">
        <v>46098</v>
      </c>
      <c r="V1354" s="10">
        <v>5940</v>
      </c>
      <c r="W1354" s="10" t="str">
        <f t="shared" si="141"/>
        <v>N/A</v>
      </c>
      <c r="X1354" t="s">
        <v>450</v>
      </c>
      <c r="Y1354" t="s">
        <v>28</v>
      </c>
      <c r="Z1354">
        <v>100207</v>
      </c>
      <c r="AA1354" t="s">
        <v>519</v>
      </c>
      <c r="AB1354" t="s">
        <v>524</v>
      </c>
      <c r="AC1354" s="9">
        <v>2</v>
      </c>
      <c r="AD1354" s="9" t="str">
        <f t="shared" si="142"/>
        <v>N/A</v>
      </c>
      <c r="AE1354" s="11" t="e">
        <f t="shared" si="144"/>
        <v>#VALUE!</v>
      </c>
    </row>
    <row r="1355" spans="1:31" x14ac:dyDescent="0.3">
      <c r="A1355">
        <v>37</v>
      </c>
      <c r="B1355">
        <v>4735915</v>
      </c>
      <c r="C1355" t="s">
        <v>220</v>
      </c>
      <c r="D1355">
        <v>1309220</v>
      </c>
      <c r="E1355" t="s">
        <v>638</v>
      </c>
      <c r="F1355" t="s">
        <v>49</v>
      </c>
      <c r="G1355" t="s">
        <v>1239</v>
      </c>
      <c r="H1355" t="s">
        <v>1240</v>
      </c>
      <c r="I1355" t="s">
        <v>3329</v>
      </c>
      <c r="J1355">
        <v>51149344790</v>
      </c>
      <c r="K1355" t="s">
        <v>3168</v>
      </c>
      <c r="L1355" t="s">
        <v>3633</v>
      </c>
      <c r="M1355">
        <v>10000</v>
      </c>
      <c r="N1355" s="10">
        <v>3.3500000000000002E-2</v>
      </c>
      <c r="O1355" s="10">
        <f t="shared" si="140"/>
        <v>335</v>
      </c>
      <c r="P1355" s="10">
        <v>43.55</v>
      </c>
      <c r="Q1355" s="10">
        <v>0</v>
      </c>
      <c r="R1355" s="10">
        <f>IF(COUNTIF($J$2:J1355,J1355)=1,SUMIFS($O:$O,$J:$J,J1355)+SUMIFS($P:$P,$J:$J,J1355)+SUMIFS($Q:$Q,$J:$J,J1355),"")</f>
        <v>23586.55</v>
      </c>
      <c r="S1355" s="10">
        <v>23586.55</v>
      </c>
      <c r="T1355" s="11" t="str">
        <f t="shared" si="143"/>
        <v>Ok</v>
      </c>
      <c r="U1355" s="12">
        <v>45854</v>
      </c>
      <c r="V1355" s="10">
        <v>43.55</v>
      </c>
      <c r="W1355" s="10" t="str">
        <f t="shared" si="141"/>
        <v>Short Paid</v>
      </c>
      <c r="X1355" t="s">
        <v>470</v>
      </c>
      <c r="Y1355" t="s">
        <v>29</v>
      </c>
      <c r="Z1355">
        <v>100298</v>
      </c>
      <c r="AA1355" t="s">
        <v>3105</v>
      </c>
      <c r="AB1355" t="s">
        <v>3041</v>
      </c>
      <c r="AC1355" s="9">
        <v>2</v>
      </c>
      <c r="AD1355" s="9" t="str">
        <f t="shared" si="142"/>
        <v>Ok</v>
      </c>
      <c r="AE1355" s="11">
        <f t="shared" si="144"/>
        <v>0</v>
      </c>
    </row>
    <row r="1356" spans="1:31" x14ac:dyDescent="0.3">
      <c r="A1356">
        <v>37</v>
      </c>
      <c r="B1356">
        <v>4735915</v>
      </c>
      <c r="C1356" t="s">
        <v>220</v>
      </c>
      <c r="D1356">
        <v>1309220</v>
      </c>
      <c r="E1356" t="s">
        <v>638</v>
      </c>
      <c r="F1356" t="s">
        <v>49</v>
      </c>
      <c r="G1356" t="s">
        <v>1239</v>
      </c>
      <c r="H1356" t="s">
        <v>1240</v>
      </c>
      <c r="I1356" t="s">
        <v>3213</v>
      </c>
      <c r="J1356">
        <v>51149344790</v>
      </c>
      <c r="K1356" t="s">
        <v>3351</v>
      </c>
      <c r="L1356" t="s">
        <v>3450</v>
      </c>
      <c r="M1356">
        <v>6000</v>
      </c>
      <c r="N1356" s="10">
        <v>3.8679999999999999</v>
      </c>
      <c r="O1356" s="10">
        <f t="shared" si="140"/>
        <v>23208</v>
      </c>
      <c r="P1356" s="10" t="s">
        <v>5006</v>
      </c>
      <c r="Q1356" s="10" t="s">
        <v>5006</v>
      </c>
      <c r="R1356" s="10" t="str">
        <f>IF(COUNTIF($J$2:J1356,J1356)=1,SUMIFS($O:$O,$J:$J,J1356)+SUMIFS($P:$P,$J:$J,J1356)+SUMIFS($Q:$Q,$J:$J,J1356),"")</f>
        <v/>
      </c>
      <c r="S1356" s="10" t="s">
        <v>5006</v>
      </c>
      <c r="T1356" s="11" t="str">
        <f t="shared" si="143"/>
        <v>Ok</v>
      </c>
      <c r="U1356" s="12">
        <v>45854</v>
      </c>
      <c r="V1356" s="10">
        <v>43.55</v>
      </c>
      <c r="W1356" s="10" t="str">
        <f t="shared" si="141"/>
        <v>N/A</v>
      </c>
      <c r="X1356" t="s">
        <v>470</v>
      </c>
      <c r="Y1356" t="s">
        <v>29</v>
      </c>
      <c r="Z1356">
        <v>100298</v>
      </c>
      <c r="AA1356" t="s">
        <v>3105</v>
      </c>
      <c r="AB1356" t="s">
        <v>3041</v>
      </c>
      <c r="AC1356" s="9">
        <v>2</v>
      </c>
      <c r="AD1356" s="9" t="str">
        <f t="shared" si="142"/>
        <v>N/A</v>
      </c>
      <c r="AE1356" s="11" t="e">
        <f t="shared" si="144"/>
        <v>#VALUE!</v>
      </c>
    </row>
    <row r="1357" spans="1:31" x14ac:dyDescent="0.3">
      <c r="A1357">
        <v>43</v>
      </c>
      <c r="B1357">
        <v>4700295</v>
      </c>
      <c r="C1357" t="s">
        <v>94</v>
      </c>
      <c r="D1357">
        <v>1923884</v>
      </c>
      <c r="E1357" t="s">
        <v>704</v>
      </c>
      <c r="F1357" t="s">
        <v>22</v>
      </c>
      <c r="G1357" t="s">
        <v>2752</v>
      </c>
      <c r="H1357" t="s">
        <v>1121</v>
      </c>
      <c r="I1357" t="s">
        <v>3476</v>
      </c>
      <c r="J1357">
        <v>51149353248</v>
      </c>
      <c r="K1357" t="s">
        <v>3209</v>
      </c>
      <c r="L1357" t="s">
        <v>4134</v>
      </c>
      <c r="M1357">
        <v>50</v>
      </c>
      <c r="N1357" s="10">
        <v>1.246</v>
      </c>
      <c r="O1357" s="10">
        <f t="shared" si="140"/>
        <v>62.3</v>
      </c>
      <c r="P1357" s="10">
        <v>0</v>
      </c>
      <c r="Q1357" s="10">
        <v>0</v>
      </c>
      <c r="R1357" s="10">
        <f>IF(COUNTIF($J$2:J1357,J1357)=1,SUMIFS($O:$O,$J:$J,J1357)+SUMIFS($P:$P,$J:$J,J1357)+SUMIFS($Q:$Q,$J:$J,J1357),"")</f>
        <v>25671.26</v>
      </c>
      <c r="S1357" s="10">
        <v>25681.25</v>
      </c>
      <c r="T1357" s="11" t="str">
        <f t="shared" si="143"/>
        <v>Check</v>
      </c>
      <c r="U1357" s="12">
        <v>45015</v>
      </c>
      <c r="V1357" s="10">
        <v>72.290000000000006</v>
      </c>
      <c r="W1357" s="10" t="str">
        <f t="shared" si="141"/>
        <v>Short Paid</v>
      </c>
      <c r="X1357" t="s">
        <v>450</v>
      </c>
      <c r="Y1357" t="s">
        <v>28</v>
      </c>
      <c r="Z1357">
        <v>100127</v>
      </c>
      <c r="AA1357" t="s">
        <v>3090</v>
      </c>
      <c r="AB1357" t="s">
        <v>3035</v>
      </c>
      <c r="AC1357" s="9">
        <v>2</v>
      </c>
      <c r="AD1357" s="9" t="str">
        <f t="shared" si="142"/>
        <v>Check</v>
      </c>
      <c r="AE1357" s="11">
        <f t="shared" si="144"/>
        <v>-9.9900000000016007</v>
      </c>
    </row>
    <row r="1358" spans="1:31" x14ac:dyDescent="0.3">
      <c r="A1358">
        <v>43</v>
      </c>
      <c r="B1358">
        <v>4700295</v>
      </c>
      <c r="C1358" t="s">
        <v>94</v>
      </c>
      <c r="D1358">
        <v>1923884</v>
      </c>
      <c r="E1358" t="s">
        <v>704</v>
      </c>
      <c r="F1358" t="s">
        <v>22</v>
      </c>
      <c r="G1358" t="s">
        <v>2752</v>
      </c>
      <c r="H1358" t="s">
        <v>1121</v>
      </c>
      <c r="I1358" t="s">
        <v>3357</v>
      </c>
      <c r="J1358">
        <v>51149353248</v>
      </c>
      <c r="K1358" t="s">
        <v>3379</v>
      </c>
      <c r="L1358" t="s">
        <v>4245</v>
      </c>
      <c r="M1358">
        <v>384</v>
      </c>
      <c r="N1358" s="10">
        <v>66.69</v>
      </c>
      <c r="O1358" s="10">
        <f t="shared" si="140"/>
        <v>25608.959999999999</v>
      </c>
      <c r="P1358" s="10" t="s">
        <v>5006</v>
      </c>
      <c r="Q1358" s="10" t="s">
        <v>5006</v>
      </c>
      <c r="R1358" s="10" t="str">
        <f>IF(COUNTIF($J$2:J1358,J1358)=1,SUMIFS($O:$O,$J:$J,J1358)+SUMIFS($P:$P,$J:$J,J1358)+SUMIFS($Q:$Q,$J:$J,J1358),"")</f>
        <v/>
      </c>
      <c r="S1358" s="10" t="s">
        <v>5006</v>
      </c>
      <c r="T1358" s="11" t="str">
        <f t="shared" si="143"/>
        <v>Check</v>
      </c>
      <c r="U1358" s="12">
        <v>45015</v>
      </c>
      <c r="V1358" s="10">
        <v>72.290000000000006</v>
      </c>
      <c r="W1358" s="10" t="str">
        <f t="shared" si="141"/>
        <v>N/A</v>
      </c>
      <c r="X1358" t="s">
        <v>450</v>
      </c>
      <c r="Y1358" t="s">
        <v>28</v>
      </c>
      <c r="Z1358">
        <v>100127</v>
      </c>
      <c r="AA1358" t="s">
        <v>3090</v>
      </c>
      <c r="AB1358" t="s">
        <v>3035</v>
      </c>
      <c r="AC1358" s="9">
        <v>2</v>
      </c>
      <c r="AD1358" s="9" t="str">
        <f t="shared" si="142"/>
        <v>N/A</v>
      </c>
      <c r="AE1358" s="11" t="e">
        <f t="shared" si="144"/>
        <v>#VALUE!</v>
      </c>
    </row>
    <row r="1359" spans="1:31" x14ac:dyDescent="0.3">
      <c r="A1359">
        <v>37</v>
      </c>
      <c r="B1359">
        <v>4737585</v>
      </c>
      <c r="C1359" t="s">
        <v>167</v>
      </c>
      <c r="D1359">
        <v>1452935</v>
      </c>
      <c r="E1359" t="s">
        <v>534</v>
      </c>
      <c r="F1359" t="s">
        <v>20</v>
      </c>
      <c r="G1359" t="s">
        <v>1249</v>
      </c>
      <c r="H1359" t="s">
        <v>1250</v>
      </c>
      <c r="I1359" t="s">
        <v>3242</v>
      </c>
      <c r="J1359">
        <v>51149650104</v>
      </c>
      <c r="K1359" t="s">
        <v>3434</v>
      </c>
      <c r="L1359" t="s">
        <v>3433</v>
      </c>
      <c r="M1359">
        <v>400</v>
      </c>
      <c r="N1359" s="10">
        <v>6.8540000000000001</v>
      </c>
      <c r="O1359" s="10">
        <f t="shared" si="140"/>
        <v>2741.6</v>
      </c>
      <c r="P1359" s="10">
        <v>0</v>
      </c>
      <c r="Q1359" s="10">
        <v>0</v>
      </c>
      <c r="R1359" s="10">
        <f>IF(COUNTIF($J$2:J1359,J1359)=1,SUMIFS($O:$O,$J:$J,J1359)+SUMIFS($P:$P,$J:$J,J1359)+SUMIFS($Q:$Q,$J:$J,J1359),"")</f>
        <v>5491.6</v>
      </c>
      <c r="S1359" s="10">
        <v>5491.6</v>
      </c>
      <c r="T1359" s="11" t="str">
        <f t="shared" si="143"/>
        <v>Ok</v>
      </c>
      <c r="U1359" s="12">
        <v>46056</v>
      </c>
      <c r="V1359" s="10">
        <v>2750</v>
      </c>
      <c r="W1359" s="10" t="str">
        <f t="shared" si="141"/>
        <v>Short Paid</v>
      </c>
      <c r="X1359" t="s">
        <v>455</v>
      </c>
      <c r="Y1359" t="s">
        <v>28</v>
      </c>
      <c r="Z1359">
        <v>100200</v>
      </c>
      <c r="AA1359" t="s">
        <v>461</v>
      </c>
      <c r="AB1359" t="s">
        <v>521</v>
      </c>
      <c r="AC1359" s="9">
        <v>2</v>
      </c>
      <c r="AD1359" s="9" t="str">
        <f t="shared" si="142"/>
        <v>Ok</v>
      </c>
      <c r="AE1359" s="11">
        <f t="shared" si="144"/>
        <v>0</v>
      </c>
    </row>
    <row r="1360" spans="1:31" x14ac:dyDescent="0.3">
      <c r="A1360">
        <v>37</v>
      </c>
      <c r="B1360">
        <v>4737585</v>
      </c>
      <c r="C1360" t="s">
        <v>167</v>
      </c>
      <c r="D1360">
        <v>1452935</v>
      </c>
      <c r="E1360" t="s">
        <v>534</v>
      </c>
      <c r="F1360" t="s">
        <v>20</v>
      </c>
      <c r="G1360" t="s">
        <v>1249</v>
      </c>
      <c r="H1360" t="s">
        <v>1250</v>
      </c>
      <c r="I1360" t="s">
        <v>3468</v>
      </c>
      <c r="J1360">
        <v>51149650104</v>
      </c>
      <c r="K1360" t="s">
        <v>3171</v>
      </c>
      <c r="L1360" t="s">
        <v>4246</v>
      </c>
      <c r="M1360">
        <v>1</v>
      </c>
      <c r="N1360" s="10">
        <v>2750</v>
      </c>
      <c r="O1360" s="10">
        <f t="shared" si="140"/>
        <v>2750</v>
      </c>
      <c r="P1360" s="10" t="s">
        <v>5006</v>
      </c>
      <c r="Q1360" s="10" t="s">
        <v>5006</v>
      </c>
      <c r="R1360" s="10" t="str">
        <f>IF(COUNTIF($J$2:J1360,J1360)=1,SUMIFS($O:$O,$J:$J,J1360)+SUMIFS($P:$P,$J:$J,J1360)+SUMIFS($Q:$Q,$J:$J,J1360),"")</f>
        <v/>
      </c>
      <c r="S1360" s="10" t="s">
        <v>5006</v>
      </c>
      <c r="T1360" s="11" t="str">
        <f t="shared" si="143"/>
        <v>Ok</v>
      </c>
      <c r="U1360" s="12">
        <v>46056</v>
      </c>
      <c r="V1360" s="10">
        <v>2750</v>
      </c>
      <c r="W1360" s="10" t="str">
        <f t="shared" si="141"/>
        <v>N/A</v>
      </c>
      <c r="X1360" t="s">
        <v>455</v>
      </c>
      <c r="Y1360" t="s">
        <v>28</v>
      </c>
      <c r="Z1360">
        <v>100200</v>
      </c>
      <c r="AA1360" t="s">
        <v>461</v>
      </c>
      <c r="AB1360" t="s">
        <v>521</v>
      </c>
      <c r="AC1360" s="9">
        <v>2</v>
      </c>
      <c r="AD1360" s="9" t="str">
        <f t="shared" si="142"/>
        <v>N/A</v>
      </c>
      <c r="AE1360" s="11" t="e">
        <f t="shared" si="144"/>
        <v>#VALUE!</v>
      </c>
    </row>
    <row r="1361" spans="1:31" x14ac:dyDescent="0.3">
      <c r="A1361">
        <v>37</v>
      </c>
      <c r="B1361">
        <v>4737307</v>
      </c>
      <c r="C1361" t="s">
        <v>94</v>
      </c>
      <c r="D1361">
        <v>1470631</v>
      </c>
      <c r="E1361" t="s">
        <v>214</v>
      </c>
      <c r="F1361" t="s">
        <v>20</v>
      </c>
      <c r="G1361" t="s">
        <v>1210</v>
      </c>
      <c r="H1361" t="s">
        <v>1211</v>
      </c>
      <c r="I1361" t="s">
        <v>3236</v>
      </c>
      <c r="J1361">
        <v>51149655835</v>
      </c>
      <c r="K1361" t="s">
        <v>3401</v>
      </c>
      <c r="L1361" t="s">
        <v>3459</v>
      </c>
      <c r="M1361">
        <v>190</v>
      </c>
      <c r="N1361" s="10">
        <v>37.278000000000006</v>
      </c>
      <c r="O1361" s="10">
        <f t="shared" si="140"/>
        <v>7082.8200000000015</v>
      </c>
      <c r="P1361" s="10">
        <v>0</v>
      </c>
      <c r="Q1361" s="10">
        <v>0</v>
      </c>
      <c r="R1361" s="10">
        <f>IF(COUNTIF($J$2:J1361,J1361)=1,SUMIFS($O:$O,$J:$J,J1361)+SUMIFS($P:$P,$J:$J,J1361)+SUMIFS($Q:$Q,$J:$J,J1361),"")</f>
        <v>7132.8200000000015</v>
      </c>
      <c r="S1361" s="10">
        <v>7505.61</v>
      </c>
      <c r="T1361" s="11" t="str">
        <f t="shared" si="143"/>
        <v>Check</v>
      </c>
      <c r="U1361" s="12">
        <v>46038</v>
      </c>
      <c r="V1361" s="10">
        <v>50</v>
      </c>
      <c r="W1361" s="10" t="str">
        <f t="shared" si="141"/>
        <v>Short Paid</v>
      </c>
      <c r="X1361" t="s">
        <v>450</v>
      </c>
      <c r="Y1361" t="s">
        <v>28</v>
      </c>
      <c r="Z1361">
        <v>100197</v>
      </c>
      <c r="AA1361" t="s">
        <v>493</v>
      </c>
      <c r="AB1361" t="s">
        <v>521</v>
      </c>
      <c r="AC1361" s="9">
        <v>2</v>
      </c>
      <c r="AD1361" s="9" t="str">
        <f t="shared" si="142"/>
        <v>Check</v>
      </c>
      <c r="AE1361" s="11">
        <f t="shared" si="144"/>
        <v>-372.78999999999814</v>
      </c>
    </row>
    <row r="1362" spans="1:31" x14ac:dyDescent="0.3">
      <c r="A1362">
        <v>37</v>
      </c>
      <c r="B1362">
        <v>4737307</v>
      </c>
      <c r="C1362" t="s">
        <v>94</v>
      </c>
      <c r="D1362">
        <v>1470631</v>
      </c>
      <c r="E1362" t="s">
        <v>214</v>
      </c>
      <c r="F1362" t="s">
        <v>20</v>
      </c>
      <c r="G1362" t="s">
        <v>1210</v>
      </c>
      <c r="H1362" t="s">
        <v>1211</v>
      </c>
      <c r="I1362" t="s">
        <v>3247</v>
      </c>
      <c r="J1362">
        <v>51149655835</v>
      </c>
      <c r="K1362" t="s">
        <v>3177</v>
      </c>
      <c r="L1362" t="s">
        <v>4247</v>
      </c>
      <c r="M1362">
        <v>1</v>
      </c>
      <c r="N1362" s="10">
        <v>50</v>
      </c>
      <c r="O1362" s="10">
        <f t="shared" si="140"/>
        <v>50</v>
      </c>
      <c r="P1362" s="10" t="s">
        <v>5006</v>
      </c>
      <c r="Q1362" s="10" t="s">
        <v>5006</v>
      </c>
      <c r="R1362" s="10" t="str">
        <f>IF(COUNTIF($J$2:J1362,J1362)=1,SUMIFS($O:$O,$J:$J,J1362)+SUMIFS($P:$P,$J:$J,J1362)+SUMIFS($Q:$Q,$J:$J,J1362),"")</f>
        <v/>
      </c>
      <c r="S1362" s="10" t="s">
        <v>5006</v>
      </c>
      <c r="T1362" s="11" t="str">
        <f t="shared" si="143"/>
        <v>Check</v>
      </c>
      <c r="U1362" s="12">
        <v>46038</v>
      </c>
      <c r="V1362" s="10">
        <v>50</v>
      </c>
      <c r="W1362" s="10" t="str">
        <f t="shared" si="141"/>
        <v>N/A</v>
      </c>
      <c r="X1362" t="s">
        <v>450</v>
      </c>
      <c r="Y1362" t="s">
        <v>28</v>
      </c>
      <c r="Z1362">
        <v>100197</v>
      </c>
      <c r="AA1362" t="s">
        <v>493</v>
      </c>
      <c r="AB1362" t="s">
        <v>521</v>
      </c>
      <c r="AC1362" s="9">
        <v>2</v>
      </c>
      <c r="AD1362" s="9" t="str">
        <f t="shared" si="142"/>
        <v>N/A</v>
      </c>
      <c r="AE1362" s="11" t="e">
        <f t="shared" si="144"/>
        <v>#VALUE!</v>
      </c>
    </row>
    <row r="1363" spans="1:31" x14ac:dyDescent="0.3">
      <c r="A1363">
        <v>37</v>
      </c>
      <c r="B1363">
        <v>4740924</v>
      </c>
      <c r="C1363" t="s">
        <v>167</v>
      </c>
      <c r="D1363">
        <v>1212379</v>
      </c>
      <c r="E1363" t="s">
        <v>535</v>
      </c>
      <c r="F1363" t="s">
        <v>19</v>
      </c>
      <c r="G1363" t="s">
        <v>1269</v>
      </c>
      <c r="H1363" t="s">
        <v>1270</v>
      </c>
      <c r="I1363" t="s">
        <v>3397</v>
      </c>
      <c r="J1363">
        <v>51149663012</v>
      </c>
      <c r="K1363" t="s">
        <v>3168</v>
      </c>
      <c r="L1363" t="s">
        <v>3541</v>
      </c>
      <c r="M1363">
        <v>27000</v>
      </c>
      <c r="N1363" s="10">
        <v>6.88E-2</v>
      </c>
      <c r="O1363" s="10">
        <f t="shared" si="140"/>
        <v>1857.6</v>
      </c>
      <c r="P1363" s="10">
        <v>0</v>
      </c>
      <c r="Q1363" s="10">
        <v>0</v>
      </c>
      <c r="R1363" s="10">
        <f>IF(COUNTIF($J$2:J1363,J1363)=1,SUMIFS($O:$O,$J:$J,J1363)+SUMIFS($P:$P,$J:$J,J1363)+SUMIFS($Q:$Q,$J:$J,J1363),"")</f>
        <v>2124.3599999999997</v>
      </c>
      <c r="S1363" s="10">
        <v>2124.3599999999997</v>
      </c>
      <c r="T1363" s="11" t="str">
        <f t="shared" si="143"/>
        <v>Ok</v>
      </c>
      <c r="U1363" s="12">
        <v>46100</v>
      </c>
      <c r="V1363" s="10">
        <v>266.76</v>
      </c>
      <c r="W1363" s="10" t="str">
        <f t="shared" si="141"/>
        <v>Short Paid</v>
      </c>
      <c r="X1363" t="s">
        <v>455</v>
      </c>
      <c r="Y1363" t="s">
        <v>28</v>
      </c>
      <c r="Z1363">
        <v>100240</v>
      </c>
      <c r="AA1363" t="s">
        <v>459</v>
      </c>
      <c r="AB1363" t="s">
        <v>524</v>
      </c>
      <c r="AC1363" s="9">
        <v>2</v>
      </c>
      <c r="AD1363" s="9" t="str">
        <f t="shared" si="142"/>
        <v>Ok</v>
      </c>
      <c r="AE1363" s="11">
        <f t="shared" si="144"/>
        <v>0</v>
      </c>
    </row>
    <row r="1364" spans="1:31" x14ac:dyDescent="0.3">
      <c r="A1364">
        <v>37</v>
      </c>
      <c r="B1364">
        <v>4740924</v>
      </c>
      <c r="C1364" t="s">
        <v>167</v>
      </c>
      <c r="D1364">
        <v>1212379</v>
      </c>
      <c r="E1364" t="s">
        <v>535</v>
      </c>
      <c r="F1364" t="s">
        <v>19</v>
      </c>
      <c r="G1364" t="s">
        <v>1269</v>
      </c>
      <c r="H1364" t="s">
        <v>1270</v>
      </c>
      <c r="I1364" t="s">
        <v>3451</v>
      </c>
      <c r="J1364">
        <v>51149663012</v>
      </c>
      <c r="K1364" t="s">
        <v>3183</v>
      </c>
      <c r="L1364" t="s">
        <v>4248</v>
      </c>
      <c r="M1364">
        <v>3</v>
      </c>
      <c r="N1364" s="10">
        <v>88.92</v>
      </c>
      <c r="O1364" s="10">
        <f t="shared" si="140"/>
        <v>266.76</v>
      </c>
      <c r="P1364" s="10" t="s">
        <v>5006</v>
      </c>
      <c r="Q1364" s="10" t="s">
        <v>5006</v>
      </c>
      <c r="R1364" s="10" t="str">
        <f>IF(COUNTIF($J$2:J1364,J1364)=1,SUMIFS($O:$O,$J:$J,J1364)+SUMIFS($P:$P,$J:$J,J1364)+SUMIFS($Q:$Q,$J:$J,J1364),"")</f>
        <v/>
      </c>
      <c r="S1364" s="10" t="s">
        <v>5006</v>
      </c>
      <c r="T1364" s="11" t="str">
        <f t="shared" si="143"/>
        <v>Ok</v>
      </c>
      <c r="U1364" s="12">
        <v>46100</v>
      </c>
      <c r="V1364" s="10">
        <v>266.76</v>
      </c>
      <c r="W1364" s="10" t="str">
        <f t="shared" si="141"/>
        <v>N/A</v>
      </c>
      <c r="X1364" t="s">
        <v>455</v>
      </c>
      <c r="Y1364" t="s">
        <v>28</v>
      </c>
      <c r="Z1364">
        <v>100240</v>
      </c>
      <c r="AA1364" t="s">
        <v>459</v>
      </c>
      <c r="AB1364" t="s">
        <v>524</v>
      </c>
      <c r="AC1364" s="9">
        <v>2</v>
      </c>
      <c r="AD1364" s="9" t="str">
        <f t="shared" si="142"/>
        <v>N/A</v>
      </c>
      <c r="AE1364" s="11" t="e">
        <f t="shared" si="144"/>
        <v>#VALUE!</v>
      </c>
    </row>
    <row r="1365" spans="1:31" x14ac:dyDescent="0.3">
      <c r="A1365">
        <v>37</v>
      </c>
      <c r="B1365">
        <v>4738420</v>
      </c>
      <c r="C1365" t="s">
        <v>220</v>
      </c>
      <c r="D1365">
        <v>1433618</v>
      </c>
      <c r="E1365" t="s">
        <v>711</v>
      </c>
      <c r="F1365" t="s">
        <v>20</v>
      </c>
      <c r="G1365" t="s">
        <v>1253</v>
      </c>
      <c r="H1365" t="s">
        <v>1254</v>
      </c>
      <c r="I1365" t="s">
        <v>3300</v>
      </c>
      <c r="J1365">
        <v>51149695891</v>
      </c>
      <c r="K1365" t="s">
        <v>3289</v>
      </c>
      <c r="L1365" t="s">
        <v>4249</v>
      </c>
      <c r="M1365">
        <v>2500</v>
      </c>
      <c r="N1365" s="10">
        <v>1.4035</v>
      </c>
      <c r="O1365" s="10">
        <f t="shared" si="140"/>
        <v>3508.75</v>
      </c>
      <c r="P1365" s="10">
        <v>0</v>
      </c>
      <c r="Q1365" s="10">
        <v>0</v>
      </c>
      <c r="R1365" s="10">
        <f>IF(COUNTIF($J$2:J1365,J1365)=1,SUMIFS($O:$O,$J:$J,J1365)+SUMIFS($P:$P,$J:$J,J1365)+SUMIFS($Q:$Q,$J:$J,J1365),"")</f>
        <v>4142.3500000000004</v>
      </c>
      <c r="S1365" s="10">
        <v>4142.3500000000004</v>
      </c>
      <c r="T1365" s="11" t="str">
        <f t="shared" si="143"/>
        <v>Ok</v>
      </c>
      <c r="U1365" s="12">
        <v>46077</v>
      </c>
      <c r="V1365" s="10">
        <v>633.6</v>
      </c>
      <c r="W1365" s="10" t="str">
        <f t="shared" si="141"/>
        <v>Short Paid</v>
      </c>
      <c r="X1365" t="s">
        <v>470</v>
      </c>
      <c r="Y1365" t="s">
        <v>28</v>
      </c>
      <c r="Z1365">
        <v>100278</v>
      </c>
      <c r="AA1365" t="s">
        <v>3114</v>
      </c>
      <c r="AB1365" t="s">
        <v>521</v>
      </c>
      <c r="AC1365" s="9">
        <v>2</v>
      </c>
      <c r="AD1365" s="9" t="str">
        <f t="shared" si="142"/>
        <v>Ok</v>
      </c>
      <c r="AE1365" s="11">
        <f t="shared" si="144"/>
        <v>0</v>
      </c>
    </row>
    <row r="1366" spans="1:31" x14ac:dyDescent="0.3">
      <c r="A1366">
        <v>37</v>
      </c>
      <c r="B1366">
        <v>4738420</v>
      </c>
      <c r="C1366" t="s">
        <v>220</v>
      </c>
      <c r="D1366">
        <v>1433618</v>
      </c>
      <c r="E1366" t="s">
        <v>711</v>
      </c>
      <c r="F1366" t="s">
        <v>20</v>
      </c>
      <c r="G1366" t="s">
        <v>1253</v>
      </c>
      <c r="H1366" t="s">
        <v>1254</v>
      </c>
      <c r="I1366" t="s">
        <v>3435</v>
      </c>
      <c r="J1366">
        <v>51149695891</v>
      </c>
      <c r="K1366" t="s">
        <v>3289</v>
      </c>
      <c r="L1366" t="s">
        <v>4250</v>
      </c>
      <c r="M1366">
        <v>90</v>
      </c>
      <c r="N1366" s="10">
        <v>7.04</v>
      </c>
      <c r="O1366" s="10">
        <f t="shared" si="140"/>
        <v>633.6</v>
      </c>
      <c r="P1366" s="10" t="s">
        <v>5006</v>
      </c>
      <c r="Q1366" s="10" t="s">
        <v>5006</v>
      </c>
      <c r="R1366" s="10" t="str">
        <f>IF(COUNTIF($J$2:J1366,J1366)=1,SUMIFS($O:$O,$J:$J,J1366)+SUMIFS($P:$P,$J:$J,J1366)+SUMIFS($Q:$Q,$J:$J,J1366),"")</f>
        <v/>
      </c>
      <c r="S1366" s="10" t="s">
        <v>5006</v>
      </c>
      <c r="T1366" s="11" t="str">
        <f t="shared" si="143"/>
        <v>Ok</v>
      </c>
      <c r="U1366" s="12">
        <v>46077</v>
      </c>
      <c r="V1366" s="10">
        <v>633.6</v>
      </c>
      <c r="W1366" s="10" t="str">
        <f t="shared" si="141"/>
        <v>N/A</v>
      </c>
      <c r="X1366" t="s">
        <v>470</v>
      </c>
      <c r="Y1366" t="s">
        <v>28</v>
      </c>
      <c r="Z1366">
        <v>100278</v>
      </c>
      <c r="AA1366" t="s">
        <v>3114</v>
      </c>
      <c r="AB1366" t="s">
        <v>521</v>
      </c>
      <c r="AC1366" s="9">
        <v>2</v>
      </c>
      <c r="AD1366" s="9" t="str">
        <f t="shared" si="142"/>
        <v>N/A</v>
      </c>
      <c r="AE1366" s="11" t="e">
        <f t="shared" si="144"/>
        <v>#VALUE!</v>
      </c>
    </row>
    <row r="1367" spans="1:31" x14ac:dyDescent="0.3">
      <c r="A1367">
        <v>18</v>
      </c>
      <c r="B1367">
        <v>4858082</v>
      </c>
      <c r="C1367" t="s">
        <v>38</v>
      </c>
      <c r="D1367">
        <v>1383202</v>
      </c>
      <c r="E1367" t="s">
        <v>541</v>
      </c>
      <c r="F1367" t="s">
        <v>20</v>
      </c>
      <c r="G1367" t="s">
        <v>1577</v>
      </c>
      <c r="H1367" t="s">
        <v>1578</v>
      </c>
      <c r="I1367" t="s">
        <v>3410</v>
      </c>
      <c r="J1367">
        <v>51149726301</v>
      </c>
      <c r="K1367" t="s">
        <v>3165</v>
      </c>
      <c r="L1367" t="s">
        <v>4251</v>
      </c>
      <c r="M1367">
        <v>1</v>
      </c>
      <c r="N1367" s="10">
        <v>1200</v>
      </c>
      <c r="O1367" s="10">
        <f t="shared" si="140"/>
        <v>1200</v>
      </c>
      <c r="P1367" s="10">
        <v>101.85</v>
      </c>
      <c r="Q1367" s="10">
        <v>0</v>
      </c>
      <c r="R1367" s="10">
        <f>IF(COUNTIF($J$2:J1367,J1367)=1,SUMIFS($O:$O,$J:$J,J1367)+SUMIFS($P:$P,$J:$J,J1367)+SUMIFS($Q:$Q,$J:$J,J1367),"")</f>
        <v>2503.35</v>
      </c>
      <c r="S1367" s="10">
        <v>2507.2200000000003</v>
      </c>
      <c r="T1367" s="11" t="str">
        <f t="shared" si="143"/>
        <v>Check</v>
      </c>
      <c r="U1367" s="12">
        <v>46162</v>
      </c>
      <c r="V1367" s="10">
        <v>1307.22</v>
      </c>
      <c r="W1367" s="10" t="str">
        <f t="shared" si="141"/>
        <v>Short Paid</v>
      </c>
      <c r="X1367" t="s">
        <v>474</v>
      </c>
      <c r="Y1367" t="s">
        <v>28</v>
      </c>
      <c r="Z1367">
        <v>100279</v>
      </c>
      <c r="AA1367" t="s">
        <v>485</v>
      </c>
      <c r="AB1367" t="s">
        <v>521</v>
      </c>
      <c r="AC1367" s="9">
        <v>2</v>
      </c>
      <c r="AD1367" s="9" t="str">
        <f t="shared" si="142"/>
        <v>Check</v>
      </c>
      <c r="AE1367" s="11">
        <f t="shared" si="144"/>
        <v>-3.8700000000003456</v>
      </c>
    </row>
    <row r="1368" spans="1:31" x14ac:dyDescent="0.3">
      <c r="A1368">
        <v>18</v>
      </c>
      <c r="B1368">
        <v>4858082</v>
      </c>
      <c r="C1368" t="s">
        <v>38</v>
      </c>
      <c r="D1368">
        <v>1383202</v>
      </c>
      <c r="E1368" t="s">
        <v>541</v>
      </c>
      <c r="F1368" t="s">
        <v>20</v>
      </c>
      <c r="G1368" t="s">
        <v>1577</v>
      </c>
      <c r="H1368" t="s">
        <v>1578</v>
      </c>
      <c r="I1368" t="s">
        <v>3355</v>
      </c>
      <c r="J1368">
        <v>51149726301</v>
      </c>
      <c r="K1368" t="s">
        <v>3295</v>
      </c>
      <c r="L1368" t="s">
        <v>4252</v>
      </c>
      <c r="M1368">
        <v>50</v>
      </c>
      <c r="N1368" s="10">
        <v>24.03</v>
      </c>
      <c r="O1368" s="10">
        <f t="shared" si="140"/>
        <v>1201.5</v>
      </c>
      <c r="P1368" s="10" t="s">
        <v>5006</v>
      </c>
      <c r="Q1368" s="10" t="s">
        <v>5006</v>
      </c>
      <c r="R1368" s="10" t="str">
        <f>IF(COUNTIF($J$2:J1368,J1368)=1,SUMIFS($O:$O,$J:$J,J1368)+SUMIFS($P:$P,$J:$J,J1368)+SUMIFS($Q:$Q,$J:$J,J1368),"")</f>
        <v/>
      </c>
      <c r="S1368" s="10" t="s">
        <v>5006</v>
      </c>
      <c r="T1368" s="11" t="str">
        <f t="shared" si="143"/>
        <v>Check</v>
      </c>
      <c r="U1368" s="12">
        <v>46162</v>
      </c>
      <c r="V1368" s="10">
        <v>1307.22</v>
      </c>
      <c r="W1368" s="10" t="str">
        <f t="shared" si="141"/>
        <v>N/A</v>
      </c>
      <c r="X1368" t="s">
        <v>474</v>
      </c>
      <c r="Y1368" t="s">
        <v>28</v>
      </c>
      <c r="Z1368">
        <v>100279</v>
      </c>
      <c r="AA1368" t="s">
        <v>485</v>
      </c>
      <c r="AB1368" t="s">
        <v>521</v>
      </c>
      <c r="AC1368" s="9">
        <v>2</v>
      </c>
      <c r="AD1368" s="9" t="str">
        <f t="shared" si="142"/>
        <v>N/A</v>
      </c>
      <c r="AE1368" s="11" t="e">
        <f t="shared" si="144"/>
        <v>#VALUE!</v>
      </c>
    </row>
    <row r="1369" spans="1:31" x14ac:dyDescent="0.3">
      <c r="A1369">
        <v>36</v>
      </c>
      <c r="B1369">
        <v>4743150</v>
      </c>
      <c r="C1369" t="s">
        <v>167</v>
      </c>
      <c r="D1369">
        <v>1241713</v>
      </c>
      <c r="E1369" t="s">
        <v>614</v>
      </c>
      <c r="F1369" t="s">
        <v>19</v>
      </c>
      <c r="G1369" t="s">
        <v>1261</v>
      </c>
      <c r="H1369" t="s">
        <v>1262</v>
      </c>
      <c r="I1369" t="s">
        <v>3467</v>
      </c>
      <c r="J1369">
        <v>51149752094</v>
      </c>
      <c r="K1369" t="s">
        <v>3229</v>
      </c>
      <c r="L1369" t="s">
        <v>4253</v>
      </c>
      <c r="M1369">
        <v>67500</v>
      </c>
      <c r="N1369" s="10">
        <v>4.0809999999999999E-2</v>
      </c>
      <c r="O1369" s="10">
        <f t="shared" si="140"/>
        <v>2754.6749999999997</v>
      </c>
      <c r="P1369" s="10">
        <v>0</v>
      </c>
      <c r="Q1369" s="10">
        <v>0</v>
      </c>
      <c r="R1369" s="10">
        <f>IF(COUNTIF($J$2:J1369,J1369)=1,SUMIFS($O:$O,$J:$J,J1369)+SUMIFS($P:$P,$J:$J,J1369)+SUMIFS($Q:$Q,$J:$J,J1369),"")</f>
        <v>88451.475000000006</v>
      </c>
      <c r="S1369" s="10">
        <v>174148.28</v>
      </c>
      <c r="T1369" s="11" t="str">
        <f t="shared" si="143"/>
        <v>Check</v>
      </c>
      <c r="U1369" s="12">
        <v>46140</v>
      </c>
      <c r="V1369" s="10">
        <v>171393.6</v>
      </c>
      <c r="W1369" s="10" t="str">
        <f t="shared" si="141"/>
        <v>Short Paid</v>
      </c>
      <c r="X1369" t="s">
        <v>455</v>
      </c>
      <c r="Y1369" t="s">
        <v>28</v>
      </c>
      <c r="Z1369">
        <v>100200</v>
      </c>
      <c r="AA1369" t="s">
        <v>461</v>
      </c>
      <c r="AB1369" t="s">
        <v>524</v>
      </c>
      <c r="AC1369" s="9">
        <v>2</v>
      </c>
      <c r="AD1369" s="9" t="str">
        <f t="shared" si="142"/>
        <v>Check</v>
      </c>
      <c r="AE1369" s="11">
        <f t="shared" si="144"/>
        <v>-85696.804999999993</v>
      </c>
    </row>
    <row r="1370" spans="1:31" x14ac:dyDescent="0.3">
      <c r="A1370">
        <v>36</v>
      </c>
      <c r="B1370">
        <v>4743150</v>
      </c>
      <c r="C1370" t="s">
        <v>167</v>
      </c>
      <c r="D1370">
        <v>1241713</v>
      </c>
      <c r="E1370" t="s">
        <v>614</v>
      </c>
      <c r="F1370" t="s">
        <v>19</v>
      </c>
      <c r="G1370" t="s">
        <v>1261</v>
      </c>
      <c r="H1370" t="s">
        <v>1262</v>
      </c>
      <c r="I1370" t="s">
        <v>3543</v>
      </c>
      <c r="J1370">
        <v>51149752094</v>
      </c>
      <c r="K1370" t="s">
        <v>3351</v>
      </c>
      <c r="L1370" t="s">
        <v>4102</v>
      </c>
      <c r="M1370">
        <v>150</v>
      </c>
      <c r="N1370" s="10">
        <v>571.31200000000001</v>
      </c>
      <c r="O1370" s="10">
        <f t="shared" si="140"/>
        <v>85696.8</v>
      </c>
      <c r="P1370" s="10" t="s">
        <v>5006</v>
      </c>
      <c r="Q1370" s="10" t="s">
        <v>5006</v>
      </c>
      <c r="R1370" s="10" t="str">
        <f>IF(COUNTIF($J$2:J1370,J1370)=1,SUMIFS($O:$O,$J:$J,J1370)+SUMIFS($P:$P,$J:$J,J1370)+SUMIFS($Q:$Q,$J:$J,J1370),"")</f>
        <v/>
      </c>
      <c r="S1370" s="10" t="s">
        <v>5006</v>
      </c>
      <c r="T1370" s="11" t="str">
        <f t="shared" si="143"/>
        <v>Check</v>
      </c>
      <c r="U1370" s="12">
        <v>46140</v>
      </c>
      <c r="V1370" s="10">
        <v>171393.6</v>
      </c>
      <c r="W1370" s="10" t="str">
        <f t="shared" si="141"/>
        <v>N/A</v>
      </c>
      <c r="X1370" t="s">
        <v>455</v>
      </c>
      <c r="Y1370" t="s">
        <v>28</v>
      </c>
      <c r="Z1370">
        <v>100200</v>
      </c>
      <c r="AA1370" t="s">
        <v>461</v>
      </c>
      <c r="AB1370" t="s">
        <v>524</v>
      </c>
      <c r="AC1370" s="9">
        <v>2</v>
      </c>
      <c r="AD1370" s="9" t="str">
        <f t="shared" si="142"/>
        <v>N/A</v>
      </c>
      <c r="AE1370" s="11" t="e">
        <f t="shared" si="144"/>
        <v>#VALUE!</v>
      </c>
    </row>
    <row r="1371" spans="1:31" x14ac:dyDescent="0.3">
      <c r="A1371">
        <v>36</v>
      </c>
      <c r="B1371">
        <v>4743429</v>
      </c>
      <c r="C1371" t="s">
        <v>167</v>
      </c>
      <c r="D1371">
        <v>1241713</v>
      </c>
      <c r="E1371" t="s">
        <v>614</v>
      </c>
      <c r="F1371" t="s">
        <v>19</v>
      </c>
      <c r="G1371" t="s">
        <v>1271</v>
      </c>
      <c r="H1371" t="s">
        <v>1272</v>
      </c>
      <c r="I1371" t="s">
        <v>3420</v>
      </c>
      <c r="J1371">
        <v>51149752113</v>
      </c>
      <c r="K1371" t="s">
        <v>3168</v>
      </c>
      <c r="L1371" t="s">
        <v>3541</v>
      </c>
      <c r="M1371">
        <v>48000</v>
      </c>
      <c r="N1371" s="10">
        <v>6.88E-2</v>
      </c>
      <c r="O1371" s="10">
        <f t="shared" si="140"/>
        <v>3302.4</v>
      </c>
      <c r="P1371" s="10">
        <v>0</v>
      </c>
      <c r="Q1371" s="10">
        <v>0</v>
      </c>
      <c r="R1371" s="10">
        <f>IF(COUNTIF($J$2:J1371,J1371)=1,SUMIFS($O:$O,$J:$J,J1371)+SUMIFS($P:$P,$J:$J,J1371)+SUMIFS($Q:$Q,$J:$J,J1371),"")</f>
        <v>90810.4</v>
      </c>
      <c r="S1371" s="10">
        <v>145502.9</v>
      </c>
      <c r="T1371" s="11" t="str">
        <f t="shared" si="143"/>
        <v>Check</v>
      </c>
      <c r="U1371" s="12">
        <v>46141</v>
      </c>
      <c r="V1371" s="10">
        <v>142200.5</v>
      </c>
      <c r="W1371" s="10" t="str">
        <f t="shared" si="141"/>
        <v>Short Paid</v>
      </c>
      <c r="X1371" t="s">
        <v>455</v>
      </c>
      <c r="Y1371" t="s">
        <v>28</v>
      </c>
      <c r="Z1371">
        <v>100230</v>
      </c>
      <c r="AA1371" t="s">
        <v>462</v>
      </c>
      <c r="AB1371" t="s">
        <v>524</v>
      </c>
      <c r="AC1371" s="9">
        <v>2</v>
      </c>
      <c r="AD1371" s="9" t="str">
        <f t="shared" si="142"/>
        <v>Check</v>
      </c>
      <c r="AE1371" s="11">
        <f t="shared" si="144"/>
        <v>-54692.5</v>
      </c>
    </row>
    <row r="1372" spans="1:31" x14ac:dyDescent="0.3">
      <c r="A1372">
        <v>36</v>
      </c>
      <c r="B1372">
        <v>4743429</v>
      </c>
      <c r="C1372" t="s">
        <v>167</v>
      </c>
      <c r="D1372">
        <v>1241713</v>
      </c>
      <c r="E1372" t="s">
        <v>614</v>
      </c>
      <c r="F1372" t="s">
        <v>19</v>
      </c>
      <c r="G1372" t="s">
        <v>1271</v>
      </c>
      <c r="H1372" t="s">
        <v>1272</v>
      </c>
      <c r="I1372" t="s">
        <v>3381</v>
      </c>
      <c r="J1372">
        <v>51149752113</v>
      </c>
      <c r="K1372" t="s">
        <v>3351</v>
      </c>
      <c r="L1372" t="s">
        <v>4254</v>
      </c>
      <c r="M1372">
        <v>400</v>
      </c>
      <c r="N1372" s="10">
        <v>218.77</v>
      </c>
      <c r="O1372" s="10">
        <f t="shared" si="140"/>
        <v>87508</v>
      </c>
      <c r="P1372" s="10" t="s">
        <v>5006</v>
      </c>
      <c r="Q1372" s="10" t="s">
        <v>5006</v>
      </c>
      <c r="R1372" s="10" t="str">
        <f>IF(COUNTIF($J$2:J1372,J1372)=1,SUMIFS($O:$O,$J:$J,J1372)+SUMIFS($P:$P,$J:$J,J1372)+SUMIFS($Q:$Q,$J:$J,J1372),"")</f>
        <v/>
      </c>
      <c r="S1372" s="10" t="s">
        <v>5006</v>
      </c>
      <c r="T1372" s="11" t="str">
        <f t="shared" si="143"/>
        <v>Check</v>
      </c>
      <c r="U1372" s="12">
        <v>46141</v>
      </c>
      <c r="V1372" s="10">
        <v>142200.5</v>
      </c>
      <c r="W1372" s="10" t="str">
        <f t="shared" si="141"/>
        <v>N/A</v>
      </c>
      <c r="X1372" t="s">
        <v>455</v>
      </c>
      <c r="Y1372" t="s">
        <v>28</v>
      </c>
      <c r="Z1372">
        <v>100230</v>
      </c>
      <c r="AA1372" t="s">
        <v>462</v>
      </c>
      <c r="AB1372" t="s">
        <v>524</v>
      </c>
      <c r="AC1372" s="9">
        <v>2</v>
      </c>
      <c r="AD1372" s="9" t="str">
        <f t="shared" si="142"/>
        <v>N/A</v>
      </c>
      <c r="AE1372" s="11" t="e">
        <f t="shared" si="144"/>
        <v>#VALUE!</v>
      </c>
    </row>
    <row r="1373" spans="1:31" x14ac:dyDescent="0.3">
      <c r="A1373">
        <v>37</v>
      </c>
      <c r="B1373">
        <v>4737863</v>
      </c>
      <c r="C1373" t="s">
        <v>167</v>
      </c>
      <c r="D1373">
        <v>1462348</v>
      </c>
      <c r="E1373" t="s">
        <v>394</v>
      </c>
      <c r="F1373" t="s">
        <v>25</v>
      </c>
      <c r="G1373" t="s">
        <v>1251</v>
      </c>
      <c r="H1373" t="s">
        <v>1252</v>
      </c>
      <c r="I1373" t="s">
        <v>3596</v>
      </c>
      <c r="J1373">
        <v>51149810573</v>
      </c>
      <c r="K1373" t="s">
        <v>3229</v>
      </c>
      <c r="L1373" t="s">
        <v>4255</v>
      </c>
      <c r="M1373">
        <v>934</v>
      </c>
      <c r="N1373" s="10">
        <v>10.54</v>
      </c>
      <c r="O1373" s="10">
        <f t="shared" si="140"/>
        <v>9844.3599999999988</v>
      </c>
      <c r="P1373" s="10">
        <v>0</v>
      </c>
      <c r="Q1373" s="10">
        <v>0</v>
      </c>
      <c r="R1373" s="10">
        <f>IF(COUNTIF($J$2:J1373,J1373)=1,SUMIFS($O:$O,$J:$J,J1373)+SUMIFS($P:$P,$J:$J,J1373)+SUMIFS($Q:$Q,$J:$J,J1373),"")</f>
        <v>11484.359999999999</v>
      </c>
      <c r="S1373" s="10">
        <v>11484.36</v>
      </c>
      <c r="T1373" s="11" t="str">
        <f t="shared" si="143"/>
        <v>Ok</v>
      </c>
      <c r="U1373" s="12">
        <v>46099</v>
      </c>
      <c r="V1373" s="10">
        <v>9844.36</v>
      </c>
      <c r="W1373" s="10" t="str">
        <f t="shared" si="141"/>
        <v>Short Paid</v>
      </c>
      <c r="X1373" t="s">
        <v>455</v>
      </c>
      <c r="Y1373" t="s">
        <v>28</v>
      </c>
      <c r="Z1373">
        <v>100230</v>
      </c>
      <c r="AA1373" t="s">
        <v>462</v>
      </c>
      <c r="AB1373" t="s">
        <v>525</v>
      </c>
      <c r="AC1373" s="9">
        <v>2</v>
      </c>
      <c r="AD1373" s="9" t="str">
        <f t="shared" si="142"/>
        <v>Ok</v>
      </c>
      <c r="AE1373" s="11">
        <f t="shared" si="144"/>
        <v>0</v>
      </c>
    </row>
    <row r="1374" spans="1:31" x14ac:dyDescent="0.3">
      <c r="A1374">
        <v>37</v>
      </c>
      <c r="B1374">
        <v>4737863</v>
      </c>
      <c r="C1374" t="s">
        <v>167</v>
      </c>
      <c r="D1374">
        <v>1462348</v>
      </c>
      <c r="E1374" t="s">
        <v>394</v>
      </c>
      <c r="F1374" t="s">
        <v>25</v>
      </c>
      <c r="G1374" t="s">
        <v>1251</v>
      </c>
      <c r="H1374" t="s">
        <v>1252</v>
      </c>
      <c r="I1374" t="s">
        <v>3287</v>
      </c>
      <c r="J1374">
        <v>51149810573</v>
      </c>
      <c r="K1374" t="s">
        <v>3479</v>
      </c>
      <c r="L1374" t="s">
        <v>4256</v>
      </c>
      <c r="M1374">
        <v>400000</v>
      </c>
      <c r="N1374" s="10">
        <v>4.1000000000000003E-3</v>
      </c>
      <c r="O1374" s="10">
        <f t="shared" si="140"/>
        <v>1640.0000000000002</v>
      </c>
      <c r="P1374" s="10" t="s">
        <v>5006</v>
      </c>
      <c r="Q1374" s="10" t="s">
        <v>5006</v>
      </c>
      <c r="R1374" s="10" t="str">
        <f>IF(COUNTIF($J$2:J1374,J1374)=1,SUMIFS($O:$O,$J:$J,J1374)+SUMIFS($P:$P,$J:$J,J1374)+SUMIFS($Q:$Q,$J:$J,J1374),"")</f>
        <v/>
      </c>
      <c r="S1374" s="10" t="s">
        <v>5006</v>
      </c>
      <c r="T1374" s="11" t="str">
        <f t="shared" si="143"/>
        <v>Ok</v>
      </c>
      <c r="U1374" s="12">
        <v>46099</v>
      </c>
      <c r="V1374" s="10">
        <v>9844.36</v>
      </c>
      <c r="W1374" s="10" t="str">
        <f t="shared" si="141"/>
        <v>N/A</v>
      </c>
      <c r="X1374" t="s">
        <v>455</v>
      </c>
      <c r="Y1374" t="s">
        <v>28</v>
      </c>
      <c r="Z1374">
        <v>100230</v>
      </c>
      <c r="AA1374" t="s">
        <v>462</v>
      </c>
      <c r="AB1374" t="s">
        <v>525</v>
      </c>
      <c r="AC1374" s="9">
        <v>2</v>
      </c>
      <c r="AD1374" s="9" t="str">
        <f t="shared" si="142"/>
        <v>N/A</v>
      </c>
      <c r="AE1374" s="11" t="e">
        <f t="shared" si="144"/>
        <v>#VALUE!</v>
      </c>
    </row>
    <row r="1375" spans="1:31" x14ac:dyDescent="0.3">
      <c r="A1375">
        <v>42</v>
      </c>
      <c r="B1375">
        <v>4713374</v>
      </c>
      <c r="C1375" t="s">
        <v>60</v>
      </c>
      <c r="D1375">
        <v>1588891</v>
      </c>
      <c r="E1375" t="s">
        <v>61</v>
      </c>
      <c r="F1375" t="s">
        <v>18</v>
      </c>
      <c r="G1375" t="s">
        <v>1167</v>
      </c>
      <c r="H1375" t="s">
        <v>1168</v>
      </c>
      <c r="I1375" t="s">
        <v>3236</v>
      </c>
      <c r="J1375">
        <v>51149849671</v>
      </c>
      <c r="K1375" t="s">
        <v>3229</v>
      </c>
      <c r="L1375" t="s">
        <v>4257</v>
      </c>
      <c r="M1375">
        <v>6000</v>
      </c>
      <c r="N1375" s="10">
        <v>2.3820000000000001E-2</v>
      </c>
      <c r="O1375" s="10">
        <f t="shared" si="140"/>
        <v>142.92000000000002</v>
      </c>
      <c r="P1375" s="10">
        <v>0</v>
      </c>
      <c r="Q1375" s="10">
        <v>0</v>
      </c>
      <c r="R1375" s="10">
        <f>IF(COUNTIF($J$2:J1375,J1375)=1,SUMIFS($O:$O,$J:$J,J1375)+SUMIFS($P:$P,$J:$J,J1375)+SUMIFS($Q:$Q,$J:$J,J1375),"")</f>
        <v>8611.92</v>
      </c>
      <c r="S1375" s="10">
        <v>8611.92</v>
      </c>
      <c r="T1375" s="11" t="str">
        <f t="shared" si="143"/>
        <v>Ok</v>
      </c>
      <c r="U1375" s="12">
        <v>45988</v>
      </c>
      <c r="V1375" s="10">
        <v>-12.54</v>
      </c>
      <c r="W1375" s="10" t="str">
        <f t="shared" si="141"/>
        <v>Short Paid</v>
      </c>
      <c r="X1375" t="s">
        <v>438</v>
      </c>
      <c r="Y1375" t="s">
        <v>28</v>
      </c>
      <c r="Z1375">
        <v>100273</v>
      </c>
      <c r="AA1375" t="s">
        <v>444</v>
      </c>
      <c r="AB1375" t="s">
        <v>523</v>
      </c>
      <c r="AC1375" s="9">
        <v>2</v>
      </c>
      <c r="AD1375" s="9" t="str">
        <f t="shared" si="142"/>
        <v>Ok</v>
      </c>
      <c r="AE1375" s="11">
        <f t="shared" si="144"/>
        <v>0</v>
      </c>
    </row>
    <row r="1376" spans="1:31" x14ac:dyDescent="0.3">
      <c r="A1376">
        <v>42</v>
      </c>
      <c r="B1376">
        <v>4713374</v>
      </c>
      <c r="C1376" t="s">
        <v>60</v>
      </c>
      <c r="D1376">
        <v>1588891</v>
      </c>
      <c r="E1376" t="s">
        <v>61</v>
      </c>
      <c r="F1376" t="s">
        <v>18</v>
      </c>
      <c r="G1376" t="s">
        <v>1167</v>
      </c>
      <c r="H1376" t="s">
        <v>1168</v>
      </c>
      <c r="I1376" t="s">
        <v>3542</v>
      </c>
      <c r="J1376">
        <v>51149849671</v>
      </c>
      <c r="K1376" t="s">
        <v>3168</v>
      </c>
      <c r="L1376" t="s">
        <v>4185</v>
      </c>
      <c r="M1376">
        <v>90000</v>
      </c>
      <c r="N1376" s="10">
        <v>9.4100000000000003E-2</v>
      </c>
      <c r="O1376" s="10">
        <f t="shared" si="140"/>
        <v>8469</v>
      </c>
      <c r="P1376" s="10" t="s">
        <v>5006</v>
      </c>
      <c r="Q1376" s="10" t="s">
        <v>5006</v>
      </c>
      <c r="R1376" s="10" t="str">
        <f>IF(COUNTIF($J$2:J1376,J1376)=1,SUMIFS($O:$O,$J:$J,J1376)+SUMIFS($P:$P,$J:$J,J1376)+SUMIFS($Q:$Q,$J:$J,J1376),"")</f>
        <v/>
      </c>
      <c r="S1376" s="10" t="s">
        <v>5006</v>
      </c>
      <c r="T1376" s="11" t="str">
        <f t="shared" si="143"/>
        <v>Ok</v>
      </c>
      <c r="U1376" s="12">
        <v>45988</v>
      </c>
      <c r="V1376" s="10">
        <v>-12.54</v>
      </c>
      <c r="W1376" s="10" t="str">
        <f t="shared" si="141"/>
        <v>N/A</v>
      </c>
      <c r="X1376" t="s">
        <v>438</v>
      </c>
      <c r="Y1376" t="s">
        <v>28</v>
      </c>
      <c r="Z1376">
        <v>100273</v>
      </c>
      <c r="AA1376" t="s">
        <v>444</v>
      </c>
      <c r="AB1376" t="s">
        <v>523</v>
      </c>
      <c r="AC1376" s="9">
        <v>2</v>
      </c>
      <c r="AD1376" s="9" t="str">
        <f t="shared" si="142"/>
        <v>N/A</v>
      </c>
      <c r="AE1376" s="11" t="e">
        <f t="shared" si="144"/>
        <v>#VALUE!</v>
      </c>
    </row>
    <row r="1377" spans="1:31" x14ac:dyDescent="0.3">
      <c r="A1377">
        <v>37</v>
      </c>
      <c r="B1377">
        <v>4737028</v>
      </c>
      <c r="C1377" t="s">
        <v>94</v>
      </c>
      <c r="D1377">
        <v>1470631</v>
      </c>
      <c r="E1377" t="s">
        <v>214</v>
      </c>
      <c r="F1377" t="s">
        <v>20</v>
      </c>
      <c r="G1377" t="s">
        <v>1247</v>
      </c>
      <c r="H1377" t="s">
        <v>1248</v>
      </c>
      <c r="I1377" t="s">
        <v>3485</v>
      </c>
      <c r="J1377">
        <v>51149893606</v>
      </c>
      <c r="K1377" t="s">
        <v>3492</v>
      </c>
      <c r="L1377" t="s">
        <v>3491</v>
      </c>
      <c r="M1377">
        <v>10800</v>
      </c>
      <c r="N1377" s="10">
        <v>0.13600000000000001</v>
      </c>
      <c r="O1377" s="10">
        <f t="shared" si="140"/>
        <v>1468.8000000000002</v>
      </c>
      <c r="P1377" s="10">
        <v>0</v>
      </c>
      <c r="Q1377" s="10">
        <v>5591.7</v>
      </c>
      <c r="R1377" s="10">
        <f>IF(COUNTIF($J$2:J1377,J1377)=1,SUMIFS($O:$O,$J:$J,J1377)+SUMIFS($P:$P,$J:$J,J1377)+SUMIFS($Q:$Q,$J:$J,J1377),"")</f>
        <v>16870.5</v>
      </c>
      <c r="S1377" s="10">
        <v>16870.5</v>
      </c>
      <c r="T1377" s="11" t="str">
        <f t="shared" si="143"/>
        <v>Ok</v>
      </c>
      <c r="U1377" s="12">
        <v>46059</v>
      </c>
      <c r="V1377" s="10">
        <v>5141.7</v>
      </c>
      <c r="W1377" s="10" t="str">
        <f t="shared" si="141"/>
        <v>Short Paid</v>
      </c>
      <c r="X1377" t="s">
        <v>450</v>
      </c>
      <c r="Y1377" t="s">
        <v>28</v>
      </c>
      <c r="Z1377">
        <v>100167</v>
      </c>
      <c r="AA1377" t="s">
        <v>499</v>
      </c>
      <c r="AB1377" t="s">
        <v>521</v>
      </c>
      <c r="AC1377" s="9">
        <v>2</v>
      </c>
      <c r="AD1377" s="9" t="str">
        <f t="shared" si="142"/>
        <v>Ok</v>
      </c>
      <c r="AE1377" s="11">
        <f t="shared" si="144"/>
        <v>0</v>
      </c>
    </row>
    <row r="1378" spans="1:31" x14ac:dyDescent="0.3">
      <c r="A1378">
        <v>37</v>
      </c>
      <c r="B1378">
        <v>4737028</v>
      </c>
      <c r="C1378" t="s">
        <v>94</v>
      </c>
      <c r="D1378">
        <v>1470631</v>
      </c>
      <c r="E1378" t="s">
        <v>214</v>
      </c>
      <c r="F1378" t="s">
        <v>20</v>
      </c>
      <c r="G1378" t="s">
        <v>1247</v>
      </c>
      <c r="H1378" t="s">
        <v>1248</v>
      </c>
      <c r="I1378" t="s">
        <v>3376</v>
      </c>
      <c r="J1378">
        <v>51149893606</v>
      </c>
      <c r="K1378" t="s">
        <v>3517</v>
      </c>
      <c r="L1378" t="s">
        <v>4258</v>
      </c>
      <c r="M1378">
        <v>9000</v>
      </c>
      <c r="N1378" s="10">
        <v>1.0900000000000001</v>
      </c>
      <c r="O1378" s="10">
        <f t="shared" si="140"/>
        <v>9810</v>
      </c>
      <c r="P1378" s="10" t="s">
        <v>5006</v>
      </c>
      <c r="Q1378" s="10" t="s">
        <v>5006</v>
      </c>
      <c r="R1378" s="10" t="str">
        <f>IF(COUNTIF($J$2:J1378,J1378)=1,SUMIFS($O:$O,$J:$J,J1378)+SUMIFS($P:$P,$J:$J,J1378)+SUMIFS($Q:$Q,$J:$J,J1378),"")</f>
        <v/>
      </c>
      <c r="S1378" s="10" t="s">
        <v>5006</v>
      </c>
      <c r="T1378" s="11" t="str">
        <f t="shared" si="143"/>
        <v>Ok</v>
      </c>
      <c r="U1378" s="12">
        <v>46059</v>
      </c>
      <c r="V1378" s="10">
        <v>5141.7</v>
      </c>
      <c r="W1378" s="10" t="str">
        <f t="shared" si="141"/>
        <v>N/A</v>
      </c>
      <c r="X1378" t="s">
        <v>450</v>
      </c>
      <c r="Y1378" t="s">
        <v>28</v>
      </c>
      <c r="Z1378">
        <v>100167</v>
      </c>
      <c r="AA1378" t="s">
        <v>499</v>
      </c>
      <c r="AB1378" t="s">
        <v>521</v>
      </c>
      <c r="AC1378" s="9">
        <v>2</v>
      </c>
      <c r="AD1378" s="9" t="str">
        <f t="shared" si="142"/>
        <v>N/A</v>
      </c>
      <c r="AE1378" s="11" t="e">
        <f t="shared" si="144"/>
        <v>#VALUE!</v>
      </c>
    </row>
    <row r="1379" spans="1:31" x14ac:dyDescent="0.3">
      <c r="A1379">
        <v>31</v>
      </c>
      <c r="B1379">
        <v>4754282</v>
      </c>
      <c r="C1379" t="s">
        <v>38</v>
      </c>
      <c r="D1379">
        <v>1963277</v>
      </c>
      <c r="E1379" t="s">
        <v>250</v>
      </c>
      <c r="F1379" t="s">
        <v>23</v>
      </c>
      <c r="G1379" t="s">
        <v>1292</v>
      </c>
      <c r="H1379" t="s">
        <v>1293</v>
      </c>
      <c r="I1379" t="s">
        <v>3303</v>
      </c>
      <c r="J1379">
        <v>51149897254</v>
      </c>
      <c r="K1379" t="s">
        <v>3168</v>
      </c>
      <c r="L1379" t="s">
        <v>4259</v>
      </c>
      <c r="M1379">
        <v>36000</v>
      </c>
      <c r="N1379" s="10">
        <v>2.5870000000000001E-2</v>
      </c>
      <c r="O1379" s="10">
        <f t="shared" si="140"/>
        <v>931.32</v>
      </c>
      <c r="P1379" s="10">
        <v>0</v>
      </c>
      <c r="Q1379" s="10">
        <v>0</v>
      </c>
      <c r="R1379" s="10">
        <f>IF(COUNTIF($J$2:J1379,J1379)=1,SUMIFS($O:$O,$J:$J,J1379)+SUMIFS($P:$P,$J:$J,J1379)+SUMIFS($Q:$Q,$J:$J,J1379),"")</f>
        <v>2270.0700000000002</v>
      </c>
      <c r="S1379" s="10">
        <v>2270.0700000000002</v>
      </c>
      <c r="T1379" s="11" t="str">
        <f t="shared" si="143"/>
        <v>Ok</v>
      </c>
      <c r="U1379" s="12">
        <v>46045</v>
      </c>
      <c r="V1379" s="10">
        <v>446.25</v>
      </c>
      <c r="W1379" s="10" t="str">
        <f t="shared" si="141"/>
        <v>Short Paid</v>
      </c>
      <c r="X1379" t="s">
        <v>474</v>
      </c>
      <c r="Y1379" t="s">
        <v>436</v>
      </c>
      <c r="Z1379">
        <v>100139</v>
      </c>
      <c r="AA1379" t="s">
        <v>3133</v>
      </c>
      <c r="AB1379" t="s">
        <v>520</v>
      </c>
      <c r="AC1379" s="9">
        <v>2</v>
      </c>
      <c r="AD1379" s="9" t="str">
        <f t="shared" si="142"/>
        <v>Ok</v>
      </c>
      <c r="AE1379" s="11">
        <f t="shared" si="144"/>
        <v>0</v>
      </c>
    </row>
    <row r="1380" spans="1:31" x14ac:dyDescent="0.3">
      <c r="A1380">
        <v>31</v>
      </c>
      <c r="B1380">
        <v>4754282</v>
      </c>
      <c r="C1380" t="s">
        <v>38</v>
      </c>
      <c r="D1380">
        <v>1963277</v>
      </c>
      <c r="E1380" t="s">
        <v>250</v>
      </c>
      <c r="F1380" t="s">
        <v>23</v>
      </c>
      <c r="G1380" t="s">
        <v>1292</v>
      </c>
      <c r="H1380" t="s">
        <v>1293</v>
      </c>
      <c r="I1380" t="s">
        <v>3439</v>
      </c>
      <c r="J1380">
        <v>51149897254</v>
      </c>
      <c r="K1380" t="s">
        <v>3168</v>
      </c>
      <c r="L1380" t="s">
        <v>4260</v>
      </c>
      <c r="M1380">
        <v>7500</v>
      </c>
      <c r="N1380" s="10">
        <v>0.17849999999999999</v>
      </c>
      <c r="O1380" s="10">
        <f t="shared" si="140"/>
        <v>1338.75</v>
      </c>
      <c r="P1380" s="10" t="s">
        <v>5006</v>
      </c>
      <c r="Q1380" s="10" t="s">
        <v>5006</v>
      </c>
      <c r="R1380" s="10" t="str">
        <f>IF(COUNTIF($J$2:J1380,J1380)=1,SUMIFS($O:$O,$J:$J,J1380)+SUMIFS($P:$P,$J:$J,J1380)+SUMIFS($Q:$Q,$J:$J,J1380),"")</f>
        <v/>
      </c>
      <c r="S1380" s="10" t="s">
        <v>5006</v>
      </c>
      <c r="T1380" s="11" t="str">
        <f t="shared" si="143"/>
        <v>Ok</v>
      </c>
      <c r="U1380" s="12">
        <v>46045</v>
      </c>
      <c r="V1380" s="10">
        <v>446.25</v>
      </c>
      <c r="W1380" s="10" t="str">
        <f t="shared" si="141"/>
        <v>N/A</v>
      </c>
      <c r="X1380" t="s">
        <v>474</v>
      </c>
      <c r="Y1380" t="s">
        <v>436</v>
      </c>
      <c r="Z1380">
        <v>100139</v>
      </c>
      <c r="AA1380" t="s">
        <v>3133</v>
      </c>
      <c r="AB1380" t="s">
        <v>520</v>
      </c>
      <c r="AC1380" s="9">
        <v>2</v>
      </c>
      <c r="AD1380" s="9" t="str">
        <f t="shared" si="142"/>
        <v>N/A</v>
      </c>
      <c r="AE1380" s="11" t="e">
        <f t="shared" si="144"/>
        <v>#VALUE!</v>
      </c>
    </row>
    <row r="1381" spans="1:31" x14ac:dyDescent="0.3">
      <c r="A1381">
        <v>32</v>
      </c>
      <c r="B1381">
        <v>4750664</v>
      </c>
      <c r="C1381" t="s">
        <v>60</v>
      </c>
      <c r="D1381">
        <v>1130746</v>
      </c>
      <c r="E1381" t="s">
        <v>596</v>
      </c>
      <c r="F1381" t="s">
        <v>20</v>
      </c>
      <c r="G1381" t="s">
        <v>1284</v>
      </c>
      <c r="H1381" t="s">
        <v>1285</v>
      </c>
      <c r="I1381" t="s">
        <v>3469</v>
      </c>
      <c r="J1381">
        <v>51149999687</v>
      </c>
      <c r="K1381" t="s">
        <v>3586</v>
      </c>
      <c r="L1381" t="s">
        <v>4261</v>
      </c>
      <c r="M1381">
        <v>1000</v>
      </c>
      <c r="N1381" s="10">
        <v>1.32</v>
      </c>
      <c r="O1381" s="10">
        <f t="shared" si="140"/>
        <v>1320</v>
      </c>
      <c r="P1381" s="10">
        <v>0</v>
      </c>
      <c r="Q1381" s="10">
        <v>0</v>
      </c>
      <c r="R1381" s="10">
        <f>IF(COUNTIF($J$2:J1381,J1381)=1,SUMIFS($O:$O,$J:$J,J1381)+SUMIFS($P:$P,$J:$J,J1381)+SUMIFS($Q:$Q,$J:$J,J1381),"")</f>
        <v>62680.847999999998</v>
      </c>
      <c r="S1381" s="10">
        <v>62987.57</v>
      </c>
      <c r="T1381" s="11" t="str">
        <f t="shared" si="143"/>
        <v>Check</v>
      </c>
      <c r="U1381" s="12">
        <v>46104</v>
      </c>
      <c r="V1381" s="10">
        <v>61667.57</v>
      </c>
      <c r="W1381" s="10" t="str">
        <f t="shared" si="141"/>
        <v>Short Paid</v>
      </c>
      <c r="X1381" t="s">
        <v>438</v>
      </c>
      <c r="Y1381" t="s">
        <v>28</v>
      </c>
      <c r="Z1381">
        <v>100153</v>
      </c>
      <c r="AA1381" t="s">
        <v>445</v>
      </c>
      <c r="AB1381" t="s">
        <v>521</v>
      </c>
      <c r="AC1381" s="9">
        <v>2</v>
      </c>
      <c r="AD1381" s="9" t="str">
        <f t="shared" si="142"/>
        <v>Check</v>
      </c>
      <c r="AE1381" s="11">
        <f t="shared" si="144"/>
        <v>-306.72200000000157</v>
      </c>
    </row>
    <row r="1382" spans="1:31" x14ac:dyDescent="0.3">
      <c r="A1382">
        <v>32</v>
      </c>
      <c r="B1382">
        <v>4750664</v>
      </c>
      <c r="C1382" t="s">
        <v>60</v>
      </c>
      <c r="D1382">
        <v>1130746</v>
      </c>
      <c r="E1382" t="s">
        <v>596</v>
      </c>
      <c r="F1382" t="s">
        <v>20</v>
      </c>
      <c r="G1382" t="s">
        <v>1284</v>
      </c>
      <c r="H1382" t="s">
        <v>1285</v>
      </c>
      <c r="I1382" t="s">
        <v>3424</v>
      </c>
      <c r="J1382">
        <v>51149999687</v>
      </c>
      <c r="K1382" t="s">
        <v>3168</v>
      </c>
      <c r="L1382" t="s">
        <v>4262</v>
      </c>
      <c r="M1382">
        <v>480</v>
      </c>
      <c r="N1382" s="10">
        <v>127.8351</v>
      </c>
      <c r="O1382" s="10">
        <f t="shared" si="140"/>
        <v>61360.847999999998</v>
      </c>
      <c r="P1382" s="10" t="s">
        <v>5006</v>
      </c>
      <c r="Q1382" s="10" t="s">
        <v>5006</v>
      </c>
      <c r="R1382" s="10" t="str">
        <f>IF(COUNTIF($J$2:J1382,J1382)=1,SUMIFS($O:$O,$J:$J,J1382)+SUMIFS($P:$P,$J:$J,J1382)+SUMIFS($Q:$Q,$J:$J,J1382),"")</f>
        <v/>
      </c>
      <c r="S1382" s="10" t="s">
        <v>5006</v>
      </c>
      <c r="T1382" s="11" t="str">
        <f t="shared" si="143"/>
        <v>Check</v>
      </c>
      <c r="U1382" s="12">
        <v>46104</v>
      </c>
      <c r="V1382" s="10">
        <v>61667.57</v>
      </c>
      <c r="W1382" s="10" t="str">
        <f t="shared" si="141"/>
        <v>N/A</v>
      </c>
      <c r="X1382" t="s">
        <v>438</v>
      </c>
      <c r="Y1382" t="s">
        <v>28</v>
      </c>
      <c r="Z1382">
        <v>100153</v>
      </c>
      <c r="AA1382" t="s">
        <v>445</v>
      </c>
      <c r="AB1382" t="s">
        <v>521</v>
      </c>
      <c r="AC1382" s="9">
        <v>2</v>
      </c>
      <c r="AD1382" s="9" t="str">
        <f t="shared" si="142"/>
        <v>N/A</v>
      </c>
      <c r="AE1382" s="11" t="e">
        <f t="shared" si="144"/>
        <v>#VALUE!</v>
      </c>
    </row>
    <row r="1383" spans="1:31" x14ac:dyDescent="0.3">
      <c r="A1383">
        <v>35</v>
      </c>
      <c r="B1383">
        <v>4745933</v>
      </c>
      <c r="C1383" t="s">
        <v>160</v>
      </c>
      <c r="D1383">
        <v>1262308</v>
      </c>
      <c r="E1383" t="s">
        <v>611</v>
      </c>
      <c r="F1383" t="s">
        <v>18</v>
      </c>
      <c r="G1383" t="s">
        <v>1279</v>
      </c>
      <c r="H1383" t="s">
        <v>1280</v>
      </c>
      <c r="I1383" t="s">
        <v>3397</v>
      </c>
      <c r="J1383">
        <v>51150008984</v>
      </c>
      <c r="K1383" t="s">
        <v>3246</v>
      </c>
      <c r="L1383" t="s">
        <v>3458</v>
      </c>
      <c r="M1383">
        <v>4000</v>
      </c>
      <c r="N1383" s="10">
        <v>0.24890000000000001</v>
      </c>
      <c r="O1383" s="10">
        <f t="shared" si="140"/>
        <v>995.6</v>
      </c>
      <c r="P1383" s="10">
        <v>1399.0100000000002</v>
      </c>
      <c r="Q1383" s="10">
        <v>0</v>
      </c>
      <c r="R1383" s="10">
        <f>IF(COUNTIF($J$2:J1383,J1383)=1,SUMIFS($O:$O,$J:$J,J1383)+SUMIFS($P:$P,$J:$J,J1383)+SUMIFS($Q:$Q,$J:$J,J1383),"")</f>
        <v>12362.52</v>
      </c>
      <c r="S1383" s="10">
        <v>22380.519999999997</v>
      </c>
      <c r="T1383" s="11" t="str">
        <f t="shared" si="143"/>
        <v>Check</v>
      </c>
      <c r="U1383" s="12">
        <v>46063</v>
      </c>
      <c r="V1383" s="10">
        <v>3992.51</v>
      </c>
      <c r="W1383" s="10" t="str">
        <f t="shared" si="141"/>
        <v>Short Paid</v>
      </c>
      <c r="X1383" t="s">
        <v>453</v>
      </c>
      <c r="Y1383" t="s">
        <v>28</v>
      </c>
      <c r="Z1383">
        <v>100204</v>
      </c>
      <c r="AA1383" t="s">
        <v>500</v>
      </c>
      <c r="AB1383" t="s">
        <v>523</v>
      </c>
      <c r="AC1383" s="9">
        <v>2</v>
      </c>
      <c r="AD1383" s="9" t="str">
        <f t="shared" si="142"/>
        <v>Check</v>
      </c>
      <c r="AE1383" s="11">
        <f t="shared" si="144"/>
        <v>-10017.999999999996</v>
      </c>
    </row>
    <row r="1384" spans="1:31" x14ac:dyDescent="0.3">
      <c r="A1384">
        <v>35</v>
      </c>
      <c r="B1384">
        <v>4745933</v>
      </c>
      <c r="C1384" t="s">
        <v>160</v>
      </c>
      <c r="D1384">
        <v>1262308</v>
      </c>
      <c r="E1384" t="s">
        <v>611</v>
      </c>
      <c r="F1384" t="s">
        <v>18</v>
      </c>
      <c r="G1384" t="s">
        <v>1279</v>
      </c>
      <c r="H1384" t="s">
        <v>1280</v>
      </c>
      <c r="I1384" t="s">
        <v>3451</v>
      </c>
      <c r="J1384">
        <v>51150008984</v>
      </c>
      <c r="K1384" t="s">
        <v>3650</v>
      </c>
      <c r="L1384" t="s">
        <v>4263</v>
      </c>
      <c r="M1384">
        <v>199</v>
      </c>
      <c r="N1384" s="10">
        <v>50.09</v>
      </c>
      <c r="O1384" s="10">
        <f t="shared" si="140"/>
        <v>9967.91</v>
      </c>
      <c r="P1384" s="10" t="s">
        <v>5006</v>
      </c>
      <c r="Q1384" s="10" t="s">
        <v>5006</v>
      </c>
      <c r="R1384" s="10" t="str">
        <f>IF(COUNTIF($J$2:J1384,J1384)=1,SUMIFS($O:$O,$J:$J,J1384)+SUMIFS($P:$P,$J:$J,J1384)+SUMIFS($Q:$Q,$J:$J,J1384),"")</f>
        <v/>
      </c>
      <c r="S1384" s="10" t="s">
        <v>5006</v>
      </c>
      <c r="T1384" s="11" t="str">
        <f t="shared" si="143"/>
        <v>Check</v>
      </c>
      <c r="U1384" s="12">
        <v>46063</v>
      </c>
      <c r="V1384" s="10">
        <v>3992.51</v>
      </c>
      <c r="W1384" s="10" t="str">
        <f t="shared" si="141"/>
        <v>N/A</v>
      </c>
      <c r="X1384" t="s">
        <v>453</v>
      </c>
      <c r="Y1384" t="s">
        <v>28</v>
      </c>
      <c r="Z1384">
        <v>100204</v>
      </c>
      <c r="AA1384" t="s">
        <v>500</v>
      </c>
      <c r="AB1384" t="s">
        <v>523</v>
      </c>
      <c r="AC1384" s="9">
        <v>2</v>
      </c>
      <c r="AD1384" s="9" t="str">
        <f t="shared" si="142"/>
        <v>N/A</v>
      </c>
      <c r="AE1384" s="11" t="e">
        <f t="shared" si="144"/>
        <v>#VALUE!</v>
      </c>
    </row>
    <row r="1385" spans="1:31" x14ac:dyDescent="0.3">
      <c r="A1385">
        <v>37</v>
      </c>
      <c r="B1385">
        <v>4738698</v>
      </c>
      <c r="C1385" t="s">
        <v>220</v>
      </c>
      <c r="D1385">
        <v>1433618</v>
      </c>
      <c r="E1385" t="s">
        <v>711</v>
      </c>
      <c r="F1385" t="s">
        <v>49</v>
      </c>
      <c r="G1385" t="s">
        <v>1255</v>
      </c>
      <c r="H1385" t="s">
        <v>1256</v>
      </c>
      <c r="I1385" t="s">
        <v>3467</v>
      </c>
      <c r="J1385">
        <v>51150013910</v>
      </c>
      <c r="K1385" t="s">
        <v>3289</v>
      </c>
      <c r="L1385" t="s">
        <v>4264</v>
      </c>
      <c r="M1385">
        <v>15000</v>
      </c>
      <c r="N1385" s="10">
        <v>0.16097</v>
      </c>
      <c r="O1385" s="10">
        <f t="shared" si="140"/>
        <v>2414.5500000000002</v>
      </c>
      <c r="P1385" s="10">
        <v>187.13</v>
      </c>
      <c r="Q1385" s="10">
        <v>0</v>
      </c>
      <c r="R1385" s="10">
        <f>IF(COUNTIF($J$2:J1385,J1385)=1,SUMIFS($O:$O,$J:$J,J1385)+SUMIFS($P:$P,$J:$J,J1385)+SUMIFS($Q:$Q,$J:$J,J1385),"")</f>
        <v>5475.68</v>
      </c>
      <c r="S1385" s="10">
        <v>5475.68</v>
      </c>
      <c r="T1385" s="11" t="str">
        <f t="shared" si="143"/>
        <v>Ok</v>
      </c>
      <c r="U1385" s="12">
        <v>46126</v>
      </c>
      <c r="V1385" s="10">
        <v>187.13</v>
      </c>
      <c r="W1385" s="10" t="str">
        <f t="shared" si="141"/>
        <v>Short Paid</v>
      </c>
      <c r="X1385" t="s">
        <v>470</v>
      </c>
      <c r="Y1385" t="s">
        <v>29</v>
      </c>
      <c r="Z1385">
        <v>100298</v>
      </c>
      <c r="AA1385" t="s">
        <v>3105</v>
      </c>
      <c r="AB1385" t="s">
        <v>3041</v>
      </c>
      <c r="AC1385" s="9">
        <v>2</v>
      </c>
      <c r="AD1385" s="9" t="str">
        <f t="shared" si="142"/>
        <v>Ok</v>
      </c>
      <c r="AE1385" s="11">
        <f t="shared" si="144"/>
        <v>0</v>
      </c>
    </row>
    <row r="1386" spans="1:31" x14ac:dyDescent="0.3">
      <c r="A1386">
        <v>37</v>
      </c>
      <c r="B1386">
        <v>4738698</v>
      </c>
      <c r="C1386" t="s">
        <v>220</v>
      </c>
      <c r="D1386">
        <v>1433618</v>
      </c>
      <c r="E1386" t="s">
        <v>711</v>
      </c>
      <c r="F1386" t="s">
        <v>49</v>
      </c>
      <c r="G1386" t="s">
        <v>1255</v>
      </c>
      <c r="H1386" t="s">
        <v>1256</v>
      </c>
      <c r="I1386" t="s">
        <v>3419</v>
      </c>
      <c r="J1386">
        <v>51150013910</v>
      </c>
      <c r="K1386" t="s">
        <v>3373</v>
      </c>
      <c r="L1386" t="s">
        <v>3856</v>
      </c>
      <c r="M1386">
        <v>1000</v>
      </c>
      <c r="N1386" s="10">
        <v>2.8740000000000001</v>
      </c>
      <c r="O1386" s="10">
        <f t="shared" si="140"/>
        <v>2874</v>
      </c>
      <c r="P1386" s="10" t="s">
        <v>5006</v>
      </c>
      <c r="Q1386" s="10" t="s">
        <v>5006</v>
      </c>
      <c r="R1386" s="10" t="str">
        <f>IF(COUNTIF($J$2:J1386,J1386)=1,SUMIFS($O:$O,$J:$J,J1386)+SUMIFS($P:$P,$J:$J,J1386)+SUMIFS($Q:$Q,$J:$J,J1386),"")</f>
        <v/>
      </c>
      <c r="S1386" s="10" t="s">
        <v>5006</v>
      </c>
      <c r="T1386" s="11" t="str">
        <f t="shared" si="143"/>
        <v>Ok</v>
      </c>
      <c r="U1386" s="12">
        <v>46126</v>
      </c>
      <c r="V1386" s="10">
        <v>187.13</v>
      </c>
      <c r="W1386" s="10" t="str">
        <f t="shared" si="141"/>
        <v>N/A</v>
      </c>
      <c r="X1386" t="s">
        <v>470</v>
      </c>
      <c r="Y1386" t="s">
        <v>29</v>
      </c>
      <c r="Z1386">
        <v>100298</v>
      </c>
      <c r="AA1386" t="s">
        <v>3105</v>
      </c>
      <c r="AB1386" t="s">
        <v>3041</v>
      </c>
      <c r="AC1386" s="9">
        <v>2</v>
      </c>
      <c r="AD1386" s="9" t="str">
        <f t="shared" si="142"/>
        <v>N/A</v>
      </c>
      <c r="AE1386" s="11" t="e">
        <f t="shared" si="144"/>
        <v>#VALUE!</v>
      </c>
    </row>
    <row r="1387" spans="1:31" x14ac:dyDescent="0.3">
      <c r="A1387">
        <v>37</v>
      </c>
      <c r="B1387">
        <v>4738976</v>
      </c>
      <c r="C1387" t="s">
        <v>239</v>
      </c>
      <c r="D1387">
        <v>1079286</v>
      </c>
      <c r="E1387" t="s">
        <v>629</v>
      </c>
      <c r="F1387" t="s">
        <v>20</v>
      </c>
      <c r="G1387" t="s">
        <v>1257</v>
      </c>
      <c r="H1387" t="s">
        <v>1258</v>
      </c>
      <c r="I1387" t="s">
        <v>3412</v>
      </c>
      <c r="J1387">
        <v>51150017469</v>
      </c>
      <c r="K1387" t="s">
        <v>3656</v>
      </c>
      <c r="L1387" t="s">
        <v>4265</v>
      </c>
      <c r="M1387">
        <v>3000</v>
      </c>
      <c r="N1387" s="10">
        <v>1.1518299999999999</v>
      </c>
      <c r="O1387" s="10">
        <f t="shared" si="140"/>
        <v>3455.49</v>
      </c>
      <c r="P1387" s="10">
        <v>0</v>
      </c>
      <c r="Q1387" s="10">
        <v>0</v>
      </c>
      <c r="R1387" s="10">
        <f>IF(COUNTIF($J$2:J1387,J1387)=1,SUMIFS($O:$O,$J:$J,J1387)+SUMIFS($P:$P,$J:$J,J1387)+SUMIFS($Q:$Q,$J:$J,J1387),"")</f>
        <v>12713.49</v>
      </c>
      <c r="S1387" s="10">
        <v>12713.49</v>
      </c>
      <c r="T1387" s="11" t="str">
        <f t="shared" si="143"/>
        <v>Ok</v>
      </c>
      <c r="U1387" s="12">
        <v>45804</v>
      </c>
      <c r="V1387" s="10">
        <v>9258</v>
      </c>
      <c r="W1387" s="10" t="str">
        <f t="shared" si="141"/>
        <v>Short Paid</v>
      </c>
      <c r="X1387" t="s">
        <v>476</v>
      </c>
      <c r="Y1387" t="s">
        <v>28</v>
      </c>
      <c r="Z1387">
        <v>100115</v>
      </c>
      <c r="AA1387" t="s">
        <v>504</v>
      </c>
      <c r="AB1387" t="s">
        <v>521</v>
      </c>
      <c r="AC1387" s="9">
        <v>2</v>
      </c>
      <c r="AD1387" s="9" t="str">
        <f t="shared" si="142"/>
        <v>Ok</v>
      </c>
      <c r="AE1387" s="11">
        <f t="shared" si="144"/>
        <v>0</v>
      </c>
    </row>
    <row r="1388" spans="1:31" x14ac:dyDescent="0.3">
      <c r="A1388">
        <v>37</v>
      </c>
      <c r="B1388">
        <v>4738976</v>
      </c>
      <c r="C1388" t="s">
        <v>239</v>
      </c>
      <c r="D1388">
        <v>1079286</v>
      </c>
      <c r="E1388" t="s">
        <v>629</v>
      </c>
      <c r="F1388" t="s">
        <v>20</v>
      </c>
      <c r="G1388" t="s">
        <v>1257</v>
      </c>
      <c r="H1388" t="s">
        <v>1258</v>
      </c>
      <c r="I1388" t="s">
        <v>3441</v>
      </c>
      <c r="J1388">
        <v>51150017469</v>
      </c>
      <c r="K1388" t="s">
        <v>3223</v>
      </c>
      <c r="L1388" t="s">
        <v>4072</v>
      </c>
      <c r="M1388">
        <v>30000</v>
      </c>
      <c r="N1388" s="10">
        <v>0.30859999999999999</v>
      </c>
      <c r="O1388" s="10">
        <f t="shared" si="140"/>
        <v>9258</v>
      </c>
      <c r="P1388" s="10" t="s">
        <v>5006</v>
      </c>
      <c r="Q1388" s="10" t="s">
        <v>5006</v>
      </c>
      <c r="R1388" s="10" t="str">
        <f>IF(COUNTIF($J$2:J1388,J1388)=1,SUMIFS($O:$O,$J:$J,J1388)+SUMIFS($P:$P,$J:$J,J1388)+SUMIFS($Q:$Q,$J:$J,J1388),"")</f>
        <v/>
      </c>
      <c r="S1388" s="10" t="s">
        <v>5006</v>
      </c>
      <c r="T1388" s="11" t="str">
        <f t="shared" si="143"/>
        <v>Ok</v>
      </c>
      <c r="U1388" s="12">
        <v>45804</v>
      </c>
      <c r="V1388" s="10">
        <v>9258</v>
      </c>
      <c r="W1388" s="10" t="str">
        <f t="shared" si="141"/>
        <v>N/A</v>
      </c>
      <c r="X1388" t="s">
        <v>476</v>
      </c>
      <c r="Y1388" t="s">
        <v>28</v>
      </c>
      <c r="Z1388">
        <v>100115</v>
      </c>
      <c r="AA1388" t="s">
        <v>504</v>
      </c>
      <c r="AB1388" t="s">
        <v>521</v>
      </c>
      <c r="AC1388" s="9">
        <v>2</v>
      </c>
      <c r="AD1388" s="9" t="str">
        <f t="shared" si="142"/>
        <v>N/A</v>
      </c>
      <c r="AE1388" s="11" t="e">
        <f t="shared" si="144"/>
        <v>#VALUE!</v>
      </c>
    </row>
    <row r="1389" spans="1:31" x14ac:dyDescent="0.3">
      <c r="A1389">
        <v>37</v>
      </c>
      <c r="B1389">
        <v>4739533</v>
      </c>
      <c r="C1389" t="s">
        <v>239</v>
      </c>
      <c r="D1389">
        <v>1037347</v>
      </c>
      <c r="E1389" t="s">
        <v>291</v>
      </c>
      <c r="F1389" t="s">
        <v>18</v>
      </c>
      <c r="G1389" t="s">
        <v>1259</v>
      </c>
      <c r="H1389" t="s">
        <v>1260</v>
      </c>
      <c r="I1389" t="s">
        <v>3230</v>
      </c>
      <c r="J1389">
        <v>51150017557</v>
      </c>
      <c r="K1389" t="s">
        <v>3375</v>
      </c>
      <c r="L1389" t="s">
        <v>4266</v>
      </c>
      <c r="M1389">
        <v>3000</v>
      </c>
      <c r="N1389" s="10">
        <v>5.3900000000000003E-2</v>
      </c>
      <c r="O1389" s="10">
        <f t="shared" si="140"/>
        <v>161.70000000000002</v>
      </c>
      <c r="P1389" s="10">
        <v>0</v>
      </c>
      <c r="Q1389" s="10">
        <v>37.19</v>
      </c>
      <c r="R1389" s="10">
        <f>IF(COUNTIF($J$2:J1389,J1389)=1,SUMIFS($O:$O,$J:$J,J1389)+SUMIFS($P:$P,$J:$J,J1389)+SUMIFS($Q:$Q,$J:$J,J1389),"")</f>
        <v>4411.8899999999994</v>
      </c>
      <c r="S1389" s="10">
        <v>4411.8900000000003</v>
      </c>
      <c r="T1389" s="11" t="str">
        <f t="shared" si="143"/>
        <v>Ok</v>
      </c>
      <c r="U1389" s="12">
        <v>46087</v>
      </c>
      <c r="V1389" s="10">
        <v>198.89</v>
      </c>
      <c r="W1389" s="10" t="str">
        <f t="shared" si="141"/>
        <v>Short Paid</v>
      </c>
      <c r="X1389" t="s">
        <v>476</v>
      </c>
      <c r="Y1389" t="s">
        <v>28</v>
      </c>
      <c r="Z1389">
        <v>100155</v>
      </c>
      <c r="AA1389" t="s">
        <v>3072</v>
      </c>
      <c r="AB1389" t="s">
        <v>523</v>
      </c>
      <c r="AC1389" s="9">
        <v>2</v>
      </c>
      <c r="AD1389" s="9" t="str">
        <f t="shared" si="142"/>
        <v>Ok</v>
      </c>
      <c r="AE1389" s="11">
        <f t="shared" si="144"/>
        <v>0</v>
      </c>
    </row>
    <row r="1390" spans="1:31" x14ac:dyDescent="0.3">
      <c r="A1390">
        <v>37</v>
      </c>
      <c r="B1390">
        <v>4739533</v>
      </c>
      <c r="C1390" t="s">
        <v>239</v>
      </c>
      <c r="D1390">
        <v>1037347</v>
      </c>
      <c r="E1390" t="s">
        <v>291</v>
      </c>
      <c r="F1390" t="s">
        <v>18</v>
      </c>
      <c r="G1390" t="s">
        <v>1259</v>
      </c>
      <c r="H1390" t="s">
        <v>1260</v>
      </c>
      <c r="I1390" t="s">
        <v>3224</v>
      </c>
      <c r="J1390">
        <v>51150017557</v>
      </c>
      <c r="K1390" t="s">
        <v>3194</v>
      </c>
      <c r="L1390" t="s">
        <v>4267</v>
      </c>
      <c r="M1390">
        <v>11</v>
      </c>
      <c r="N1390" s="10">
        <v>383</v>
      </c>
      <c r="O1390" s="10">
        <f t="shared" si="140"/>
        <v>4213</v>
      </c>
      <c r="P1390" s="10" t="s">
        <v>5006</v>
      </c>
      <c r="Q1390" s="10" t="s">
        <v>5006</v>
      </c>
      <c r="R1390" s="10" t="str">
        <f>IF(COUNTIF($J$2:J1390,J1390)=1,SUMIFS($O:$O,$J:$J,J1390)+SUMIFS($P:$P,$J:$J,J1390)+SUMIFS($Q:$Q,$J:$J,J1390),"")</f>
        <v/>
      </c>
      <c r="S1390" s="10" t="s">
        <v>5006</v>
      </c>
      <c r="T1390" s="11" t="str">
        <f t="shared" si="143"/>
        <v>Ok</v>
      </c>
      <c r="U1390" s="12">
        <v>46087</v>
      </c>
      <c r="V1390" s="10">
        <v>198.89</v>
      </c>
      <c r="W1390" s="10" t="str">
        <f t="shared" si="141"/>
        <v>N/A</v>
      </c>
      <c r="X1390" t="s">
        <v>476</v>
      </c>
      <c r="Y1390" t="s">
        <v>28</v>
      </c>
      <c r="Z1390">
        <v>100155</v>
      </c>
      <c r="AA1390" t="s">
        <v>3072</v>
      </c>
      <c r="AB1390" t="s">
        <v>523</v>
      </c>
      <c r="AC1390" s="9">
        <v>2</v>
      </c>
      <c r="AD1390" s="9" t="str">
        <f t="shared" si="142"/>
        <v>N/A</v>
      </c>
      <c r="AE1390" s="11" t="e">
        <f t="shared" si="144"/>
        <v>#VALUE!</v>
      </c>
    </row>
    <row r="1391" spans="1:31" x14ac:dyDescent="0.3">
      <c r="A1391">
        <v>38</v>
      </c>
      <c r="B1391">
        <v>4735080</v>
      </c>
      <c r="C1391" t="s">
        <v>239</v>
      </c>
      <c r="D1391">
        <v>1098309</v>
      </c>
      <c r="E1391" t="s">
        <v>544</v>
      </c>
      <c r="F1391" t="s">
        <v>49</v>
      </c>
      <c r="G1391" t="s">
        <v>1203</v>
      </c>
      <c r="H1391" t="s">
        <v>1204</v>
      </c>
      <c r="I1391" t="s">
        <v>3467</v>
      </c>
      <c r="J1391">
        <v>51150056993</v>
      </c>
      <c r="K1391" t="s">
        <v>3353</v>
      </c>
      <c r="L1391" t="s">
        <v>3352</v>
      </c>
      <c r="M1391">
        <v>96</v>
      </c>
      <c r="N1391" s="10">
        <v>21.0745</v>
      </c>
      <c r="O1391" s="10">
        <f t="shared" si="140"/>
        <v>2023.152</v>
      </c>
      <c r="P1391" s="10">
        <v>2015.03</v>
      </c>
      <c r="Q1391" s="10">
        <v>0</v>
      </c>
      <c r="R1391" s="10">
        <f>IF(COUNTIF($J$2:J1391,J1391)=1,SUMIFS($O:$O,$J:$J,J1391)+SUMIFS($P:$P,$J:$J,J1391)+SUMIFS($Q:$Q,$J:$J,J1391),"")</f>
        <v>28098.182000000001</v>
      </c>
      <c r="S1391" s="10">
        <v>28098.18</v>
      </c>
      <c r="T1391" s="11" t="str">
        <f t="shared" si="143"/>
        <v>Check</v>
      </c>
      <c r="U1391" s="12">
        <v>46085</v>
      </c>
      <c r="V1391" s="10">
        <v>2015.03</v>
      </c>
      <c r="W1391" s="10" t="str">
        <f t="shared" si="141"/>
        <v>Short Paid</v>
      </c>
      <c r="X1391" t="s">
        <v>476</v>
      </c>
      <c r="Y1391" t="s">
        <v>29</v>
      </c>
      <c r="Z1391">
        <v>100295</v>
      </c>
      <c r="AA1391" t="s">
        <v>3127</v>
      </c>
      <c r="AB1391" t="s">
        <v>3041</v>
      </c>
      <c r="AC1391" s="9">
        <v>2</v>
      </c>
      <c r="AD1391" s="9" t="str">
        <f t="shared" si="142"/>
        <v>Check</v>
      </c>
      <c r="AE1391" s="11">
        <f t="shared" si="144"/>
        <v>2.0000000004074536E-3</v>
      </c>
    </row>
    <row r="1392" spans="1:31" x14ac:dyDescent="0.3">
      <c r="A1392">
        <v>38</v>
      </c>
      <c r="B1392">
        <v>4735080</v>
      </c>
      <c r="C1392" t="s">
        <v>239</v>
      </c>
      <c r="D1392">
        <v>1098309</v>
      </c>
      <c r="E1392" t="s">
        <v>544</v>
      </c>
      <c r="F1392" t="s">
        <v>49</v>
      </c>
      <c r="G1392" t="s">
        <v>1203</v>
      </c>
      <c r="H1392" t="s">
        <v>1204</v>
      </c>
      <c r="I1392" t="s">
        <v>3462</v>
      </c>
      <c r="J1392">
        <v>51150056993</v>
      </c>
      <c r="K1392" t="s">
        <v>3736</v>
      </c>
      <c r="L1392" t="s">
        <v>4268</v>
      </c>
      <c r="M1392">
        <v>1</v>
      </c>
      <c r="N1392" s="10">
        <v>24060</v>
      </c>
      <c r="O1392" s="10">
        <f t="shared" si="140"/>
        <v>24060</v>
      </c>
      <c r="P1392" s="10" t="s">
        <v>5006</v>
      </c>
      <c r="Q1392" s="10" t="s">
        <v>5006</v>
      </c>
      <c r="R1392" s="10" t="str">
        <f>IF(COUNTIF($J$2:J1392,J1392)=1,SUMIFS($O:$O,$J:$J,J1392)+SUMIFS($P:$P,$J:$J,J1392)+SUMIFS($Q:$Q,$J:$J,J1392),"")</f>
        <v/>
      </c>
      <c r="S1392" s="10" t="s">
        <v>5006</v>
      </c>
      <c r="T1392" s="11" t="str">
        <f t="shared" si="143"/>
        <v>Check</v>
      </c>
      <c r="U1392" s="12">
        <v>46085</v>
      </c>
      <c r="V1392" s="10">
        <v>2015.03</v>
      </c>
      <c r="W1392" s="10" t="str">
        <f t="shared" si="141"/>
        <v>N/A</v>
      </c>
      <c r="X1392" t="s">
        <v>476</v>
      </c>
      <c r="Y1392" t="s">
        <v>29</v>
      </c>
      <c r="Z1392">
        <v>100295</v>
      </c>
      <c r="AA1392" t="s">
        <v>3127</v>
      </c>
      <c r="AB1392" t="s">
        <v>3041</v>
      </c>
      <c r="AC1392" s="9">
        <v>2</v>
      </c>
      <c r="AD1392" s="9" t="str">
        <f t="shared" si="142"/>
        <v>N/A</v>
      </c>
      <c r="AE1392" s="11" t="e">
        <f t="shared" si="144"/>
        <v>#VALUE!</v>
      </c>
    </row>
    <row r="1393" spans="1:31" x14ac:dyDescent="0.3">
      <c r="A1393">
        <v>35</v>
      </c>
      <c r="B1393">
        <v>4745377</v>
      </c>
      <c r="C1393" t="s">
        <v>220</v>
      </c>
      <c r="D1393">
        <v>1309220</v>
      </c>
      <c r="E1393" t="s">
        <v>638</v>
      </c>
      <c r="F1393" t="s">
        <v>24</v>
      </c>
      <c r="G1393" t="s">
        <v>1275</v>
      </c>
      <c r="H1393" t="s">
        <v>1276</v>
      </c>
      <c r="I1393" t="s">
        <v>3242</v>
      </c>
      <c r="J1393">
        <v>51150058446</v>
      </c>
      <c r="K1393" t="s">
        <v>3168</v>
      </c>
      <c r="L1393" t="s">
        <v>4269</v>
      </c>
      <c r="M1393">
        <v>2000</v>
      </c>
      <c r="N1393" s="10">
        <v>9.3780000000000001</v>
      </c>
      <c r="O1393" s="10">
        <f t="shared" si="140"/>
        <v>18756</v>
      </c>
      <c r="P1393" s="10">
        <v>2438.2800000000002</v>
      </c>
      <c r="Q1393" s="10">
        <v>0</v>
      </c>
      <c r="R1393" s="10">
        <f>IF(COUNTIF($J$2:J1393,J1393)=1,SUMIFS($O:$O,$J:$J,J1393)+SUMIFS($P:$P,$J:$J,J1393)+SUMIFS($Q:$Q,$J:$J,J1393),"")</f>
        <v>22375.53</v>
      </c>
      <c r="S1393" s="10">
        <v>22375.53</v>
      </c>
      <c r="T1393" s="11" t="str">
        <f t="shared" si="143"/>
        <v>Ok</v>
      </c>
      <c r="U1393" s="12">
        <v>45992</v>
      </c>
      <c r="V1393" s="10">
        <v>491.39</v>
      </c>
      <c r="W1393" s="10" t="str">
        <f t="shared" si="141"/>
        <v>Short Paid</v>
      </c>
      <c r="X1393" t="s">
        <v>470</v>
      </c>
      <c r="Y1393" t="s">
        <v>40</v>
      </c>
      <c r="Z1393">
        <v>100228</v>
      </c>
      <c r="AA1393" t="s">
        <v>496</v>
      </c>
      <c r="AB1393" t="s">
        <v>522</v>
      </c>
      <c r="AC1393" s="9">
        <v>2</v>
      </c>
      <c r="AD1393" s="9" t="str">
        <f t="shared" si="142"/>
        <v>Ok</v>
      </c>
      <c r="AE1393" s="11">
        <f t="shared" si="144"/>
        <v>0</v>
      </c>
    </row>
    <row r="1394" spans="1:31" x14ac:dyDescent="0.3">
      <c r="A1394">
        <v>35</v>
      </c>
      <c r="B1394">
        <v>4745377</v>
      </c>
      <c r="C1394" t="s">
        <v>220</v>
      </c>
      <c r="D1394">
        <v>1309220</v>
      </c>
      <c r="E1394" t="s">
        <v>638</v>
      </c>
      <c r="F1394" t="s">
        <v>24</v>
      </c>
      <c r="G1394" t="s">
        <v>1275</v>
      </c>
      <c r="H1394" t="s">
        <v>1276</v>
      </c>
      <c r="I1394" t="s">
        <v>3347</v>
      </c>
      <c r="J1394">
        <v>51150058446</v>
      </c>
      <c r="K1394" t="s">
        <v>3526</v>
      </c>
      <c r="L1394" t="s">
        <v>3867</v>
      </c>
      <c r="M1394">
        <v>7000</v>
      </c>
      <c r="N1394" s="10">
        <v>0.16875000000000001</v>
      </c>
      <c r="O1394" s="10">
        <f t="shared" si="140"/>
        <v>1181.25</v>
      </c>
      <c r="P1394" s="10" t="s">
        <v>5006</v>
      </c>
      <c r="Q1394" s="10" t="s">
        <v>5006</v>
      </c>
      <c r="R1394" s="10" t="str">
        <f>IF(COUNTIF($J$2:J1394,J1394)=1,SUMIFS($O:$O,$J:$J,J1394)+SUMIFS($P:$P,$J:$J,J1394)+SUMIFS($Q:$Q,$J:$J,J1394),"")</f>
        <v/>
      </c>
      <c r="S1394" s="10" t="s">
        <v>5006</v>
      </c>
      <c r="T1394" s="11" t="str">
        <f t="shared" si="143"/>
        <v>Ok</v>
      </c>
      <c r="U1394" s="12">
        <v>45992</v>
      </c>
      <c r="V1394" s="10">
        <v>491.39</v>
      </c>
      <c r="W1394" s="10" t="str">
        <f t="shared" si="141"/>
        <v>N/A</v>
      </c>
      <c r="X1394" t="s">
        <v>470</v>
      </c>
      <c r="Y1394" t="s">
        <v>40</v>
      </c>
      <c r="Z1394">
        <v>100228</v>
      </c>
      <c r="AA1394" t="s">
        <v>496</v>
      </c>
      <c r="AB1394" t="s">
        <v>522</v>
      </c>
      <c r="AC1394" s="9">
        <v>2</v>
      </c>
      <c r="AD1394" s="9" t="str">
        <f t="shared" si="142"/>
        <v>N/A</v>
      </c>
      <c r="AE1394" s="11" t="e">
        <f t="shared" si="144"/>
        <v>#VALUE!</v>
      </c>
    </row>
    <row r="1395" spans="1:31" x14ac:dyDescent="0.3">
      <c r="A1395">
        <v>31</v>
      </c>
      <c r="B1395">
        <v>4753169</v>
      </c>
      <c r="C1395" t="s">
        <v>94</v>
      </c>
      <c r="D1395">
        <v>1830445</v>
      </c>
      <c r="E1395" t="s">
        <v>95</v>
      </c>
      <c r="F1395" t="s">
        <v>19</v>
      </c>
      <c r="G1395" t="s">
        <v>2796</v>
      </c>
      <c r="H1395" t="s">
        <v>2797</v>
      </c>
      <c r="I1395" t="s">
        <v>3551</v>
      </c>
      <c r="J1395">
        <v>51150068418</v>
      </c>
      <c r="K1395" t="s">
        <v>3177</v>
      </c>
      <c r="L1395" t="s">
        <v>3869</v>
      </c>
      <c r="M1395">
        <v>10000</v>
      </c>
      <c r="N1395" s="10">
        <v>3.4099999999999998E-3</v>
      </c>
      <c r="O1395" s="10">
        <f t="shared" si="140"/>
        <v>34.1</v>
      </c>
      <c r="P1395" s="10">
        <v>0</v>
      </c>
      <c r="Q1395" s="10">
        <v>0</v>
      </c>
      <c r="R1395" s="10">
        <f>IF(COUNTIF($J$2:J1395,J1395)=1,SUMIFS($O:$O,$J:$J,J1395)+SUMIFS($P:$P,$J:$J,J1395)+SUMIFS($Q:$Q,$J:$J,J1395),"")</f>
        <v>19764.61</v>
      </c>
      <c r="S1395" s="10">
        <v>33645.89</v>
      </c>
      <c r="T1395" s="11" t="str">
        <f t="shared" si="143"/>
        <v>Check</v>
      </c>
      <c r="U1395" s="12">
        <v>46119</v>
      </c>
      <c r="V1395" s="10">
        <v>8400</v>
      </c>
      <c r="W1395" s="10" t="str">
        <f t="shared" si="141"/>
        <v>Short Paid</v>
      </c>
      <c r="X1395" t="s">
        <v>450</v>
      </c>
      <c r="Y1395" t="s">
        <v>28</v>
      </c>
      <c r="Z1395">
        <v>100127</v>
      </c>
      <c r="AA1395" t="s">
        <v>3090</v>
      </c>
      <c r="AB1395" t="s">
        <v>524</v>
      </c>
      <c r="AC1395" s="9">
        <v>9</v>
      </c>
      <c r="AD1395" s="9" t="str">
        <f t="shared" si="142"/>
        <v>Check</v>
      </c>
      <c r="AE1395" s="11">
        <f t="shared" si="144"/>
        <v>-13881.279999999999</v>
      </c>
    </row>
    <row r="1396" spans="1:31" x14ac:dyDescent="0.3">
      <c r="A1396">
        <v>31</v>
      </c>
      <c r="B1396">
        <v>4753169</v>
      </c>
      <c r="C1396" t="s">
        <v>94</v>
      </c>
      <c r="D1396">
        <v>1830445</v>
      </c>
      <c r="E1396" t="s">
        <v>95</v>
      </c>
      <c r="F1396" t="s">
        <v>19</v>
      </c>
      <c r="G1396" t="s">
        <v>2796</v>
      </c>
      <c r="H1396" t="s">
        <v>2797</v>
      </c>
      <c r="I1396" t="s">
        <v>3551</v>
      </c>
      <c r="J1396">
        <v>51150068418</v>
      </c>
      <c r="K1396" t="s">
        <v>3177</v>
      </c>
      <c r="L1396" t="s">
        <v>4270</v>
      </c>
      <c r="M1396">
        <v>4000</v>
      </c>
      <c r="N1396" s="10">
        <v>4.9199999999999999E-3</v>
      </c>
      <c r="O1396" s="10">
        <f t="shared" si="140"/>
        <v>19.68</v>
      </c>
      <c r="P1396" s="10" t="s">
        <v>5006</v>
      </c>
      <c r="Q1396" s="10" t="s">
        <v>5006</v>
      </c>
      <c r="R1396" s="10" t="str">
        <f>IF(COUNTIF($J$2:J1396,J1396)=1,SUMIFS($O:$O,$J:$J,J1396)+SUMIFS($P:$P,$J:$J,J1396)+SUMIFS($Q:$Q,$J:$J,J1396),"")</f>
        <v/>
      </c>
      <c r="S1396" s="10" t="s">
        <v>5006</v>
      </c>
      <c r="T1396" s="11" t="str">
        <f t="shared" si="143"/>
        <v>Check</v>
      </c>
      <c r="U1396" s="12">
        <v>46119</v>
      </c>
      <c r="V1396" s="10">
        <v>8400</v>
      </c>
      <c r="W1396" s="10" t="str">
        <f t="shared" si="141"/>
        <v>N/A</v>
      </c>
      <c r="X1396" t="s">
        <v>450</v>
      </c>
      <c r="Y1396" t="s">
        <v>28</v>
      </c>
      <c r="Z1396">
        <v>100127</v>
      </c>
      <c r="AA1396" t="s">
        <v>3090</v>
      </c>
      <c r="AB1396" t="s">
        <v>524</v>
      </c>
      <c r="AC1396" s="9">
        <v>9</v>
      </c>
      <c r="AD1396" s="9" t="str">
        <f t="shared" si="142"/>
        <v>N/A</v>
      </c>
      <c r="AE1396" s="11" t="e">
        <f t="shared" si="144"/>
        <v>#VALUE!</v>
      </c>
    </row>
    <row r="1397" spans="1:31" x14ac:dyDescent="0.3">
      <c r="A1397">
        <v>31</v>
      </c>
      <c r="B1397">
        <v>4753169</v>
      </c>
      <c r="C1397" t="s">
        <v>94</v>
      </c>
      <c r="D1397">
        <v>1830445</v>
      </c>
      <c r="E1397" t="s">
        <v>95</v>
      </c>
      <c r="F1397" t="s">
        <v>19</v>
      </c>
      <c r="G1397" t="s">
        <v>2796</v>
      </c>
      <c r="H1397" t="s">
        <v>2797</v>
      </c>
      <c r="I1397" t="s">
        <v>3551</v>
      </c>
      <c r="J1397">
        <v>51150068418</v>
      </c>
      <c r="K1397" t="s">
        <v>3177</v>
      </c>
      <c r="L1397" t="s">
        <v>4271</v>
      </c>
      <c r="M1397">
        <v>2000</v>
      </c>
      <c r="N1397" s="10">
        <v>0.11443</v>
      </c>
      <c r="O1397" s="10">
        <f t="shared" si="140"/>
        <v>228.86</v>
      </c>
      <c r="P1397" s="10" t="s">
        <v>5006</v>
      </c>
      <c r="Q1397" s="10" t="s">
        <v>5006</v>
      </c>
      <c r="R1397" s="10" t="str">
        <f>IF(COUNTIF($J$2:J1397,J1397)=1,SUMIFS($O:$O,$J:$J,J1397)+SUMIFS($P:$P,$J:$J,J1397)+SUMIFS($Q:$Q,$J:$J,J1397),"")</f>
        <v/>
      </c>
      <c r="S1397" s="10" t="s">
        <v>5006</v>
      </c>
      <c r="T1397" s="11" t="str">
        <f t="shared" si="143"/>
        <v>Check</v>
      </c>
      <c r="U1397" s="12">
        <v>46119</v>
      </c>
      <c r="V1397" s="10">
        <v>8400</v>
      </c>
      <c r="W1397" s="10" t="str">
        <f t="shared" si="141"/>
        <v>N/A</v>
      </c>
      <c r="X1397" t="s">
        <v>450</v>
      </c>
      <c r="Y1397" t="s">
        <v>28</v>
      </c>
      <c r="Z1397">
        <v>100127</v>
      </c>
      <c r="AA1397" t="s">
        <v>3090</v>
      </c>
      <c r="AB1397" t="s">
        <v>524</v>
      </c>
      <c r="AC1397" s="9">
        <v>9</v>
      </c>
      <c r="AD1397" s="9" t="str">
        <f t="shared" si="142"/>
        <v>N/A</v>
      </c>
      <c r="AE1397" s="11" t="e">
        <f t="shared" si="144"/>
        <v>#VALUE!</v>
      </c>
    </row>
    <row r="1398" spans="1:31" x14ac:dyDescent="0.3">
      <c r="A1398">
        <v>31</v>
      </c>
      <c r="B1398">
        <v>4753169</v>
      </c>
      <c r="C1398" t="s">
        <v>94</v>
      </c>
      <c r="D1398">
        <v>1830445</v>
      </c>
      <c r="E1398" t="s">
        <v>95</v>
      </c>
      <c r="F1398" t="s">
        <v>19</v>
      </c>
      <c r="G1398" t="s">
        <v>2796</v>
      </c>
      <c r="H1398" t="s">
        <v>2797</v>
      </c>
      <c r="I1398" t="s">
        <v>3551</v>
      </c>
      <c r="J1398">
        <v>51150068418</v>
      </c>
      <c r="K1398" t="s">
        <v>3168</v>
      </c>
      <c r="L1398" t="s">
        <v>4272</v>
      </c>
      <c r="M1398">
        <v>15000</v>
      </c>
      <c r="N1398" s="10">
        <v>1.0200000000000001E-2</v>
      </c>
      <c r="O1398" s="10">
        <f t="shared" si="140"/>
        <v>153</v>
      </c>
      <c r="P1398" s="10" t="s">
        <v>5006</v>
      </c>
      <c r="Q1398" s="10" t="s">
        <v>5006</v>
      </c>
      <c r="R1398" s="10" t="str">
        <f>IF(COUNTIF($J$2:J1398,J1398)=1,SUMIFS($O:$O,$J:$J,J1398)+SUMIFS($P:$P,$J:$J,J1398)+SUMIFS($Q:$Q,$J:$J,J1398),"")</f>
        <v/>
      </c>
      <c r="S1398" s="10" t="s">
        <v>5006</v>
      </c>
      <c r="T1398" s="11" t="str">
        <f t="shared" si="143"/>
        <v>Check</v>
      </c>
      <c r="U1398" s="12">
        <v>46119</v>
      </c>
      <c r="V1398" s="10">
        <v>8400</v>
      </c>
      <c r="W1398" s="10" t="str">
        <f t="shared" si="141"/>
        <v>N/A</v>
      </c>
      <c r="X1398" t="s">
        <v>450</v>
      </c>
      <c r="Y1398" t="s">
        <v>28</v>
      </c>
      <c r="Z1398">
        <v>100127</v>
      </c>
      <c r="AA1398" t="s">
        <v>3090</v>
      </c>
      <c r="AB1398" t="s">
        <v>524</v>
      </c>
      <c r="AC1398" s="9">
        <v>9</v>
      </c>
      <c r="AD1398" s="9" t="str">
        <f t="shared" si="142"/>
        <v>N/A</v>
      </c>
      <c r="AE1398" s="11" t="e">
        <f t="shared" si="144"/>
        <v>#VALUE!</v>
      </c>
    </row>
    <row r="1399" spans="1:31" x14ac:dyDescent="0.3">
      <c r="A1399">
        <v>31</v>
      </c>
      <c r="B1399">
        <v>4753169</v>
      </c>
      <c r="C1399" t="s">
        <v>94</v>
      </c>
      <c r="D1399">
        <v>1830445</v>
      </c>
      <c r="E1399" t="s">
        <v>95</v>
      </c>
      <c r="F1399" t="s">
        <v>19</v>
      </c>
      <c r="G1399" t="s">
        <v>2796</v>
      </c>
      <c r="H1399" t="s">
        <v>2797</v>
      </c>
      <c r="I1399" t="s">
        <v>3551</v>
      </c>
      <c r="J1399">
        <v>51150068418</v>
      </c>
      <c r="K1399" t="s">
        <v>3488</v>
      </c>
      <c r="L1399" t="s">
        <v>3942</v>
      </c>
      <c r="M1399">
        <v>8000</v>
      </c>
      <c r="N1399" s="10">
        <v>7.6999999999999999E-2</v>
      </c>
      <c r="O1399" s="10">
        <f t="shared" si="140"/>
        <v>616</v>
      </c>
      <c r="P1399" s="10" t="s">
        <v>5006</v>
      </c>
      <c r="Q1399" s="10" t="s">
        <v>5006</v>
      </c>
      <c r="R1399" s="10" t="str">
        <f>IF(COUNTIF($J$2:J1399,J1399)=1,SUMIFS($O:$O,$J:$J,J1399)+SUMIFS($P:$P,$J:$J,J1399)+SUMIFS($Q:$Q,$J:$J,J1399),"")</f>
        <v/>
      </c>
      <c r="S1399" s="10" t="s">
        <v>5006</v>
      </c>
      <c r="T1399" s="11" t="str">
        <f t="shared" si="143"/>
        <v>Check</v>
      </c>
      <c r="U1399" s="12">
        <v>46119</v>
      </c>
      <c r="V1399" s="10">
        <v>8400</v>
      </c>
      <c r="W1399" s="10" t="str">
        <f t="shared" si="141"/>
        <v>N/A</v>
      </c>
      <c r="X1399" t="s">
        <v>450</v>
      </c>
      <c r="Y1399" t="s">
        <v>28</v>
      </c>
      <c r="Z1399">
        <v>100127</v>
      </c>
      <c r="AA1399" t="s">
        <v>3090</v>
      </c>
      <c r="AB1399" t="s">
        <v>524</v>
      </c>
      <c r="AC1399" s="9">
        <v>9</v>
      </c>
      <c r="AD1399" s="9" t="str">
        <f t="shared" si="142"/>
        <v>N/A</v>
      </c>
      <c r="AE1399" s="11" t="e">
        <f t="shared" si="144"/>
        <v>#VALUE!</v>
      </c>
    </row>
    <row r="1400" spans="1:31" x14ac:dyDescent="0.3">
      <c r="A1400">
        <v>31</v>
      </c>
      <c r="B1400">
        <v>4753169</v>
      </c>
      <c r="C1400" t="s">
        <v>94</v>
      </c>
      <c r="D1400">
        <v>1830445</v>
      </c>
      <c r="E1400" t="s">
        <v>95</v>
      </c>
      <c r="F1400" t="s">
        <v>19</v>
      </c>
      <c r="G1400" t="s">
        <v>2796</v>
      </c>
      <c r="H1400" t="s">
        <v>2797</v>
      </c>
      <c r="I1400" t="s">
        <v>3551</v>
      </c>
      <c r="J1400">
        <v>51150068418</v>
      </c>
      <c r="K1400" t="s">
        <v>3488</v>
      </c>
      <c r="L1400" t="s">
        <v>3721</v>
      </c>
      <c r="M1400">
        <v>28440</v>
      </c>
      <c r="N1400" s="10">
        <v>0.48799999999999999</v>
      </c>
      <c r="O1400" s="10">
        <f t="shared" si="140"/>
        <v>13878.72</v>
      </c>
      <c r="P1400" s="10" t="s">
        <v>5006</v>
      </c>
      <c r="Q1400" s="10" t="s">
        <v>5006</v>
      </c>
      <c r="R1400" s="10" t="str">
        <f>IF(COUNTIF($J$2:J1400,J1400)=1,SUMIFS($O:$O,$J:$J,J1400)+SUMIFS($P:$P,$J:$J,J1400)+SUMIFS($Q:$Q,$J:$J,J1400),"")</f>
        <v/>
      </c>
      <c r="S1400" s="10" t="s">
        <v>5006</v>
      </c>
      <c r="T1400" s="11" t="str">
        <f t="shared" si="143"/>
        <v>Check</v>
      </c>
      <c r="U1400" s="12">
        <v>46119</v>
      </c>
      <c r="V1400" s="10">
        <v>8400</v>
      </c>
      <c r="W1400" s="10" t="str">
        <f t="shared" si="141"/>
        <v>N/A</v>
      </c>
      <c r="X1400" t="s">
        <v>450</v>
      </c>
      <c r="Y1400" t="s">
        <v>28</v>
      </c>
      <c r="Z1400">
        <v>100127</v>
      </c>
      <c r="AA1400" t="s">
        <v>3090</v>
      </c>
      <c r="AB1400" t="s">
        <v>524</v>
      </c>
      <c r="AC1400" s="9">
        <v>9</v>
      </c>
      <c r="AD1400" s="9" t="str">
        <f t="shared" si="142"/>
        <v>N/A</v>
      </c>
      <c r="AE1400" s="11" t="e">
        <f t="shared" si="144"/>
        <v>#VALUE!</v>
      </c>
    </row>
    <row r="1401" spans="1:31" x14ac:dyDescent="0.3">
      <c r="A1401">
        <v>31</v>
      </c>
      <c r="B1401">
        <v>4753169</v>
      </c>
      <c r="C1401" t="s">
        <v>94</v>
      </c>
      <c r="D1401">
        <v>1830445</v>
      </c>
      <c r="E1401" t="s">
        <v>95</v>
      </c>
      <c r="F1401" t="s">
        <v>19</v>
      </c>
      <c r="G1401" t="s">
        <v>2796</v>
      </c>
      <c r="H1401" t="s">
        <v>2797</v>
      </c>
      <c r="I1401" t="s">
        <v>3551</v>
      </c>
      <c r="J1401">
        <v>51150068418</v>
      </c>
      <c r="K1401" t="s">
        <v>3207</v>
      </c>
      <c r="L1401" t="s">
        <v>3724</v>
      </c>
      <c r="M1401">
        <v>12000</v>
      </c>
      <c r="N1401" s="10">
        <v>2.3E-2</v>
      </c>
      <c r="O1401" s="10">
        <f t="shared" si="140"/>
        <v>276</v>
      </c>
      <c r="P1401" s="10" t="s">
        <v>5006</v>
      </c>
      <c r="Q1401" s="10" t="s">
        <v>5006</v>
      </c>
      <c r="R1401" s="10" t="str">
        <f>IF(COUNTIF($J$2:J1401,J1401)=1,SUMIFS($O:$O,$J:$J,J1401)+SUMIFS($P:$P,$J:$J,J1401)+SUMIFS($Q:$Q,$J:$J,J1401),"")</f>
        <v/>
      </c>
      <c r="S1401" s="10" t="s">
        <v>5006</v>
      </c>
      <c r="T1401" s="11" t="str">
        <f t="shared" si="143"/>
        <v>Check</v>
      </c>
      <c r="U1401" s="12">
        <v>46119</v>
      </c>
      <c r="V1401" s="10">
        <v>8400</v>
      </c>
      <c r="W1401" s="10" t="str">
        <f t="shared" si="141"/>
        <v>N/A</v>
      </c>
      <c r="X1401" t="s">
        <v>450</v>
      </c>
      <c r="Y1401" t="s">
        <v>28</v>
      </c>
      <c r="Z1401">
        <v>100127</v>
      </c>
      <c r="AA1401" t="s">
        <v>3090</v>
      </c>
      <c r="AB1401" t="s">
        <v>524</v>
      </c>
      <c r="AC1401" s="9">
        <v>9</v>
      </c>
      <c r="AD1401" s="9" t="str">
        <f t="shared" si="142"/>
        <v>N/A</v>
      </c>
      <c r="AE1401" s="11" t="e">
        <f t="shared" si="144"/>
        <v>#VALUE!</v>
      </c>
    </row>
    <row r="1402" spans="1:31" x14ac:dyDescent="0.3">
      <c r="A1402">
        <v>31</v>
      </c>
      <c r="B1402">
        <v>4753169</v>
      </c>
      <c r="C1402" t="s">
        <v>94</v>
      </c>
      <c r="D1402">
        <v>1830445</v>
      </c>
      <c r="E1402" t="s">
        <v>95</v>
      </c>
      <c r="F1402" t="s">
        <v>19</v>
      </c>
      <c r="G1402" t="s">
        <v>2796</v>
      </c>
      <c r="H1402" t="s">
        <v>2797</v>
      </c>
      <c r="I1402" t="s">
        <v>3469</v>
      </c>
      <c r="J1402">
        <v>51150068418</v>
      </c>
      <c r="K1402" t="s">
        <v>3229</v>
      </c>
      <c r="L1402" t="s">
        <v>4273</v>
      </c>
      <c r="M1402">
        <v>1</v>
      </c>
      <c r="N1402" s="10">
        <v>2600</v>
      </c>
      <c r="O1402" s="10">
        <f t="shared" si="140"/>
        <v>2600</v>
      </c>
      <c r="P1402" s="10" t="s">
        <v>5006</v>
      </c>
      <c r="Q1402" s="10" t="s">
        <v>5006</v>
      </c>
      <c r="R1402" s="10" t="str">
        <f>IF(COUNTIF($J$2:J1402,J1402)=1,SUMIFS($O:$O,$J:$J,J1402)+SUMIFS($P:$P,$J:$J,J1402)+SUMIFS($Q:$Q,$J:$J,J1402),"")</f>
        <v/>
      </c>
      <c r="S1402" s="10" t="s">
        <v>5006</v>
      </c>
      <c r="T1402" s="11" t="str">
        <f t="shared" si="143"/>
        <v>Check</v>
      </c>
      <c r="U1402" s="12">
        <v>46119</v>
      </c>
      <c r="V1402" s="10">
        <v>8400</v>
      </c>
      <c r="W1402" s="10" t="str">
        <f t="shared" si="141"/>
        <v>N/A</v>
      </c>
      <c r="X1402" t="s">
        <v>450</v>
      </c>
      <c r="Y1402" t="s">
        <v>28</v>
      </c>
      <c r="Z1402">
        <v>100127</v>
      </c>
      <c r="AA1402" t="s">
        <v>3090</v>
      </c>
      <c r="AB1402" t="s">
        <v>524</v>
      </c>
      <c r="AC1402" s="9">
        <v>9</v>
      </c>
      <c r="AD1402" s="9" t="str">
        <f t="shared" si="142"/>
        <v>N/A</v>
      </c>
      <c r="AE1402" s="11" t="e">
        <f t="shared" si="144"/>
        <v>#VALUE!</v>
      </c>
    </row>
    <row r="1403" spans="1:31" x14ac:dyDescent="0.3">
      <c r="A1403">
        <v>31</v>
      </c>
      <c r="B1403">
        <v>4753169</v>
      </c>
      <c r="C1403" t="s">
        <v>94</v>
      </c>
      <c r="D1403">
        <v>1830445</v>
      </c>
      <c r="E1403" t="s">
        <v>95</v>
      </c>
      <c r="F1403" t="s">
        <v>19</v>
      </c>
      <c r="G1403" t="s">
        <v>2796</v>
      </c>
      <c r="H1403" t="s">
        <v>2797</v>
      </c>
      <c r="I1403" t="s">
        <v>3469</v>
      </c>
      <c r="J1403">
        <v>51150068418</v>
      </c>
      <c r="K1403" t="s">
        <v>3229</v>
      </c>
      <c r="L1403" t="s">
        <v>4274</v>
      </c>
      <c r="M1403">
        <v>25</v>
      </c>
      <c r="N1403" s="10">
        <v>78.33</v>
      </c>
      <c r="O1403" s="10">
        <f t="shared" si="140"/>
        <v>1958.25</v>
      </c>
      <c r="P1403" s="10" t="s">
        <v>5006</v>
      </c>
      <c r="Q1403" s="10" t="s">
        <v>5006</v>
      </c>
      <c r="R1403" s="10" t="str">
        <f>IF(COUNTIF($J$2:J1403,J1403)=1,SUMIFS($O:$O,$J:$J,J1403)+SUMIFS($P:$P,$J:$J,J1403)+SUMIFS($Q:$Q,$J:$J,J1403),"")</f>
        <v/>
      </c>
      <c r="S1403" s="10" t="s">
        <v>5006</v>
      </c>
      <c r="T1403" s="11" t="str">
        <f t="shared" si="143"/>
        <v>Check</v>
      </c>
      <c r="U1403" s="12">
        <v>46119</v>
      </c>
      <c r="V1403" s="10">
        <v>8400</v>
      </c>
      <c r="W1403" s="10" t="str">
        <f t="shared" si="141"/>
        <v>N/A</v>
      </c>
      <c r="X1403" t="s">
        <v>450</v>
      </c>
      <c r="Y1403" t="s">
        <v>28</v>
      </c>
      <c r="Z1403">
        <v>100127</v>
      </c>
      <c r="AA1403" t="s">
        <v>3090</v>
      </c>
      <c r="AB1403" t="s">
        <v>524</v>
      </c>
      <c r="AC1403" s="9">
        <v>9</v>
      </c>
      <c r="AD1403" s="9" t="str">
        <f t="shared" si="142"/>
        <v>N/A</v>
      </c>
      <c r="AE1403" s="11" t="e">
        <f t="shared" si="144"/>
        <v>#VALUE!</v>
      </c>
    </row>
    <row r="1404" spans="1:31" x14ac:dyDescent="0.3">
      <c r="A1404">
        <v>31</v>
      </c>
      <c r="B1404">
        <v>4752890</v>
      </c>
      <c r="C1404" t="s">
        <v>38</v>
      </c>
      <c r="D1404">
        <v>1383202</v>
      </c>
      <c r="E1404" t="s">
        <v>541</v>
      </c>
      <c r="F1404" t="s">
        <v>17</v>
      </c>
      <c r="G1404" t="s">
        <v>2798</v>
      </c>
      <c r="H1404" t="s">
        <v>2799</v>
      </c>
      <c r="I1404" t="s">
        <v>3200</v>
      </c>
      <c r="J1404">
        <v>51150085439</v>
      </c>
      <c r="K1404" t="s">
        <v>3177</v>
      </c>
      <c r="L1404" t="s">
        <v>4275</v>
      </c>
      <c r="M1404">
        <v>24000</v>
      </c>
      <c r="N1404" s="10">
        <v>1.6999999999999999E-3</v>
      </c>
      <c r="O1404" s="10">
        <f t="shared" si="140"/>
        <v>40.799999999999997</v>
      </c>
      <c r="P1404" s="10">
        <v>0</v>
      </c>
      <c r="Q1404" s="10">
        <v>0</v>
      </c>
      <c r="R1404" s="10">
        <f>IF(COUNTIF($J$2:J1404,J1404)=1,SUMIFS($O:$O,$J:$J,J1404)+SUMIFS($P:$P,$J:$J,J1404)+SUMIFS($Q:$Q,$J:$J,J1404),"")</f>
        <v>16178.599999999999</v>
      </c>
      <c r="S1404" s="10">
        <v>26563.96</v>
      </c>
      <c r="T1404" s="11" t="str">
        <f t="shared" si="143"/>
        <v>Check</v>
      </c>
      <c r="U1404" s="12">
        <v>46149</v>
      </c>
      <c r="V1404" s="10">
        <v>2725</v>
      </c>
      <c r="W1404" s="10" t="str">
        <f t="shared" si="141"/>
        <v>Short Paid</v>
      </c>
      <c r="X1404" t="s">
        <v>474</v>
      </c>
      <c r="Y1404" t="s">
        <v>436</v>
      </c>
      <c r="Z1404">
        <v>100259</v>
      </c>
      <c r="AA1404" t="s">
        <v>3132</v>
      </c>
      <c r="AB1404" t="s">
        <v>528</v>
      </c>
      <c r="AC1404" s="9">
        <v>5</v>
      </c>
      <c r="AD1404" s="9" t="str">
        <f t="shared" si="142"/>
        <v>Check</v>
      </c>
      <c r="AE1404" s="11">
        <f t="shared" si="144"/>
        <v>-10385.36</v>
      </c>
    </row>
    <row r="1405" spans="1:31" x14ac:dyDescent="0.3">
      <c r="A1405">
        <v>31</v>
      </c>
      <c r="B1405">
        <v>4752890</v>
      </c>
      <c r="C1405" t="s">
        <v>38</v>
      </c>
      <c r="D1405">
        <v>1383202</v>
      </c>
      <c r="E1405" t="s">
        <v>541</v>
      </c>
      <c r="F1405" t="s">
        <v>17</v>
      </c>
      <c r="G1405" t="s">
        <v>2798</v>
      </c>
      <c r="H1405" t="s">
        <v>2799</v>
      </c>
      <c r="I1405" t="s">
        <v>3200</v>
      </c>
      <c r="J1405">
        <v>51150085439</v>
      </c>
      <c r="K1405" t="s">
        <v>3488</v>
      </c>
      <c r="L1405" t="s">
        <v>3721</v>
      </c>
      <c r="M1405">
        <v>27000</v>
      </c>
      <c r="N1405" s="10">
        <v>0.48799999999999999</v>
      </c>
      <c r="O1405" s="10">
        <f t="shared" si="140"/>
        <v>13176</v>
      </c>
      <c r="P1405" s="10" t="s">
        <v>5006</v>
      </c>
      <c r="Q1405" s="10" t="s">
        <v>5006</v>
      </c>
      <c r="R1405" s="10" t="str">
        <f>IF(COUNTIF($J$2:J1405,J1405)=1,SUMIFS($O:$O,$J:$J,J1405)+SUMIFS($P:$P,$J:$J,J1405)+SUMIFS($Q:$Q,$J:$J,J1405),"")</f>
        <v/>
      </c>
      <c r="S1405" s="10" t="s">
        <v>5006</v>
      </c>
      <c r="T1405" s="11" t="str">
        <f t="shared" si="143"/>
        <v>Check</v>
      </c>
      <c r="U1405" s="12">
        <v>46149</v>
      </c>
      <c r="V1405" s="10">
        <v>2725</v>
      </c>
      <c r="W1405" s="10" t="str">
        <f t="shared" si="141"/>
        <v>N/A</v>
      </c>
      <c r="X1405" t="s">
        <v>474</v>
      </c>
      <c r="Y1405" t="s">
        <v>436</v>
      </c>
      <c r="Z1405">
        <v>100259</v>
      </c>
      <c r="AA1405" t="s">
        <v>3132</v>
      </c>
      <c r="AB1405" t="s">
        <v>528</v>
      </c>
      <c r="AC1405" s="9">
        <v>5</v>
      </c>
      <c r="AD1405" s="9" t="str">
        <f t="shared" si="142"/>
        <v>N/A</v>
      </c>
      <c r="AE1405" s="11" t="e">
        <f t="shared" si="144"/>
        <v>#VALUE!</v>
      </c>
    </row>
    <row r="1406" spans="1:31" x14ac:dyDescent="0.3">
      <c r="A1406">
        <v>31</v>
      </c>
      <c r="B1406">
        <v>4752890</v>
      </c>
      <c r="C1406" t="s">
        <v>38</v>
      </c>
      <c r="D1406">
        <v>1383202</v>
      </c>
      <c r="E1406" t="s">
        <v>541</v>
      </c>
      <c r="F1406" t="s">
        <v>17</v>
      </c>
      <c r="G1406" t="s">
        <v>2798</v>
      </c>
      <c r="H1406" t="s">
        <v>2799</v>
      </c>
      <c r="I1406" t="s">
        <v>3200</v>
      </c>
      <c r="J1406">
        <v>51150085439</v>
      </c>
      <c r="K1406" t="s">
        <v>3207</v>
      </c>
      <c r="L1406" t="s">
        <v>3724</v>
      </c>
      <c r="M1406">
        <v>12000</v>
      </c>
      <c r="N1406" s="10">
        <v>2.3E-2</v>
      </c>
      <c r="O1406" s="10">
        <f t="shared" si="140"/>
        <v>276</v>
      </c>
      <c r="P1406" s="10" t="s">
        <v>5006</v>
      </c>
      <c r="Q1406" s="10" t="s">
        <v>5006</v>
      </c>
      <c r="R1406" s="10" t="str">
        <f>IF(COUNTIF($J$2:J1406,J1406)=1,SUMIFS($O:$O,$J:$J,J1406)+SUMIFS($P:$P,$J:$J,J1406)+SUMIFS($Q:$Q,$J:$J,J1406),"")</f>
        <v/>
      </c>
      <c r="S1406" s="10" t="s">
        <v>5006</v>
      </c>
      <c r="T1406" s="11" t="str">
        <f t="shared" si="143"/>
        <v>Check</v>
      </c>
      <c r="U1406" s="12">
        <v>46149</v>
      </c>
      <c r="V1406" s="10">
        <v>2725</v>
      </c>
      <c r="W1406" s="10" t="str">
        <f t="shared" si="141"/>
        <v>N/A</v>
      </c>
      <c r="X1406" t="s">
        <v>474</v>
      </c>
      <c r="Y1406" t="s">
        <v>436</v>
      </c>
      <c r="Z1406">
        <v>100259</v>
      </c>
      <c r="AA1406" t="s">
        <v>3132</v>
      </c>
      <c r="AB1406" t="s">
        <v>528</v>
      </c>
      <c r="AC1406" s="9">
        <v>5</v>
      </c>
      <c r="AD1406" s="9" t="str">
        <f t="shared" si="142"/>
        <v>N/A</v>
      </c>
      <c r="AE1406" s="11" t="e">
        <f t="shared" si="144"/>
        <v>#VALUE!</v>
      </c>
    </row>
    <row r="1407" spans="1:31" x14ac:dyDescent="0.3">
      <c r="A1407">
        <v>31</v>
      </c>
      <c r="B1407">
        <v>4752890</v>
      </c>
      <c r="C1407" t="s">
        <v>38</v>
      </c>
      <c r="D1407">
        <v>1383202</v>
      </c>
      <c r="E1407" t="s">
        <v>541</v>
      </c>
      <c r="F1407" t="s">
        <v>17</v>
      </c>
      <c r="G1407" t="s">
        <v>2798</v>
      </c>
      <c r="H1407" t="s">
        <v>2799</v>
      </c>
      <c r="I1407" t="s">
        <v>3200</v>
      </c>
      <c r="J1407">
        <v>51150085439</v>
      </c>
      <c r="K1407" t="s">
        <v>3207</v>
      </c>
      <c r="L1407" t="s">
        <v>3870</v>
      </c>
      <c r="M1407">
        <v>88000</v>
      </c>
      <c r="N1407" s="10">
        <v>2.9100000000000001E-2</v>
      </c>
      <c r="O1407" s="10">
        <f t="shared" si="140"/>
        <v>2560.8000000000002</v>
      </c>
      <c r="P1407" s="10" t="s">
        <v>5006</v>
      </c>
      <c r="Q1407" s="10" t="s">
        <v>5006</v>
      </c>
      <c r="R1407" s="10" t="str">
        <f>IF(COUNTIF($J$2:J1407,J1407)=1,SUMIFS($O:$O,$J:$J,J1407)+SUMIFS($P:$P,$J:$J,J1407)+SUMIFS($Q:$Q,$J:$J,J1407),"")</f>
        <v/>
      </c>
      <c r="S1407" s="10" t="s">
        <v>5006</v>
      </c>
      <c r="T1407" s="11" t="str">
        <f t="shared" si="143"/>
        <v>Check</v>
      </c>
      <c r="U1407" s="12">
        <v>46149</v>
      </c>
      <c r="V1407" s="10">
        <v>2725</v>
      </c>
      <c r="W1407" s="10" t="str">
        <f t="shared" si="141"/>
        <v>N/A</v>
      </c>
      <c r="X1407" t="s">
        <v>474</v>
      </c>
      <c r="Y1407" t="s">
        <v>436</v>
      </c>
      <c r="Z1407">
        <v>100259</v>
      </c>
      <c r="AA1407" t="s">
        <v>3132</v>
      </c>
      <c r="AB1407" t="s">
        <v>528</v>
      </c>
      <c r="AC1407" s="9">
        <v>5</v>
      </c>
      <c r="AD1407" s="9" t="str">
        <f t="shared" si="142"/>
        <v>N/A</v>
      </c>
      <c r="AE1407" s="11" t="e">
        <f t="shared" si="144"/>
        <v>#VALUE!</v>
      </c>
    </row>
    <row r="1408" spans="1:31" x14ac:dyDescent="0.3">
      <c r="A1408">
        <v>31</v>
      </c>
      <c r="B1408">
        <v>4752890</v>
      </c>
      <c r="C1408" t="s">
        <v>38</v>
      </c>
      <c r="D1408">
        <v>1383202</v>
      </c>
      <c r="E1408" t="s">
        <v>541</v>
      </c>
      <c r="F1408" t="s">
        <v>17</v>
      </c>
      <c r="G1408" t="s">
        <v>2798</v>
      </c>
      <c r="H1408" t="s">
        <v>2799</v>
      </c>
      <c r="I1408" t="s">
        <v>3476</v>
      </c>
      <c r="J1408">
        <v>51150085439</v>
      </c>
      <c r="K1408" t="s">
        <v>3295</v>
      </c>
      <c r="L1408" t="s">
        <v>4276</v>
      </c>
      <c r="M1408">
        <v>1</v>
      </c>
      <c r="N1408" s="10">
        <v>125</v>
      </c>
      <c r="O1408" s="10">
        <f t="shared" si="140"/>
        <v>125</v>
      </c>
      <c r="P1408" s="10" t="s">
        <v>5006</v>
      </c>
      <c r="Q1408" s="10" t="s">
        <v>5006</v>
      </c>
      <c r="R1408" s="10" t="str">
        <f>IF(COUNTIF($J$2:J1408,J1408)=1,SUMIFS($O:$O,$J:$J,J1408)+SUMIFS($P:$P,$J:$J,J1408)+SUMIFS($Q:$Q,$J:$J,J1408),"")</f>
        <v/>
      </c>
      <c r="S1408" s="10" t="s">
        <v>5006</v>
      </c>
      <c r="T1408" s="11" t="str">
        <f t="shared" si="143"/>
        <v>Check</v>
      </c>
      <c r="U1408" s="12">
        <v>46149</v>
      </c>
      <c r="V1408" s="10">
        <v>2725</v>
      </c>
      <c r="W1408" s="10" t="str">
        <f t="shared" si="141"/>
        <v>N/A</v>
      </c>
      <c r="X1408" t="s">
        <v>474</v>
      </c>
      <c r="Y1408" t="s">
        <v>436</v>
      </c>
      <c r="Z1408">
        <v>100259</v>
      </c>
      <c r="AA1408" t="s">
        <v>3132</v>
      </c>
      <c r="AB1408" t="s">
        <v>528</v>
      </c>
      <c r="AC1408" s="9">
        <v>5</v>
      </c>
      <c r="AD1408" s="9" t="str">
        <f t="shared" si="142"/>
        <v>N/A</v>
      </c>
      <c r="AE1408" s="11" t="e">
        <f t="shared" si="144"/>
        <v>#VALUE!</v>
      </c>
    </row>
    <row r="1409" spans="1:31" x14ac:dyDescent="0.3">
      <c r="A1409">
        <v>31</v>
      </c>
      <c r="B1409">
        <v>4752612</v>
      </c>
      <c r="C1409" t="s">
        <v>167</v>
      </c>
      <c r="D1409">
        <v>1241713</v>
      </c>
      <c r="E1409" t="s">
        <v>614</v>
      </c>
      <c r="F1409" t="s">
        <v>19</v>
      </c>
      <c r="G1409" t="s">
        <v>1288</v>
      </c>
      <c r="H1409" t="s">
        <v>1289</v>
      </c>
      <c r="I1409" t="s">
        <v>3419</v>
      </c>
      <c r="J1409">
        <v>51150160810</v>
      </c>
      <c r="K1409" t="s">
        <v>3338</v>
      </c>
      <c r="L1409" t="s">
        <v>4277</v>
      </c>
      <c r="M1409">
        <v>1</v>
      </c>
      <c r="N1409" s="10">
        <v>900</v>
      </c>
      <c r="O1409" s="10">
        <f t="shared" si="140"/>
        <v>900</v>
      </c>
      <c r="P1409" s="10">
        <v>0</v>
      </c>
      <c r="Q1409" s="10">
        <v>0</v>
      </c>
      <c r="R1409" s="10">
        <f>IF(COUNTIF($J$2:J1409,J1409)=1,SUMIFS($O:$O,$J:$J,J1409)+SUMIFS($P:$P,$J:$J,J1409)+SUMIFS($Q:$Q,$J:$J,J1409),"")</f>
        <v>3038.4</v>
      </c>
      <c r="S1409" s="10">
        <v>3038.4</v>
      </c>
      <c r="T1409" s="11" t="str">
        <f t="shared" si="143"/>
        <v>Ok</v>
      </c>
      <c r="U1409" s="12">
        <v>46064</v>
      </c>
      <c r="V1409" s="10">
        <v>900</v>
      </c>
      <c r="W1409" s="10" t="str">
        <f t="shared" si="141"/>
        <v>Short Paid</v>
      </c>
      <c r="X1409" t="s">
        <v>455</v>
      </c>
      <c r="Y1409" t="s">
        <v>28</v>
      </c>
      <c r="Z1409">
        <v>100280</v>
      </c>
      <c r="AA1409" t="s">
        <v>465</v>
      </c>
      <c r="AB1409" t="s">
        <v>524</v>
      </c>
      <c r="AC1409" s="9">
        <v>2</v>
      </c>
      <c r="AD1409" s="9" t="str">
        <f t="shared" si="142"/>
        <v>Ok</v>
      </c>
      <c r="AE1409" s="11">
        <f t="shared" si="144"/>
        <v>0</v>
      </c>
    </row>
    <row r="1410" spans="1:31" x14ac:dyDescent="0.3">
      <c r="A1410">
        <v>31</v>
      </c>
      <c r="B1410">
        <v>4752612</v>
      </c>
      <c r="C1410" t="s">
        <v>167</v>
      </c>
      <c r="D1410">
        <v>1241713</v>
      </c>
      <c r="E1410" t="s">
        <v>614</v>
      </c>
      <c r="F1410" t="s">
        <v>19</v>
      </c>
      <c r="G1410" t="s">
        <v>1288</v>
      </c>
      <c r="H1410" t="s">
        <v>1289</v>
      </c>
      <c r="I1410" t="s">
        <v>3535</v>
      </c>
      <c r="J1410">
        <v>51150160810</v>
      </c>
      <c r="K1410" t="s">
        <v>3488</v>
      </c>
      <c r="L1410" t="s">
        <v>4017</v>
      </c>
      <c r="M1410">
        <v>9000</v>
      </c>
      <c r="N1410" s="10">
        <v>0.23760000000000001</v>
      </c>
      <c r="O1410" s="10">
        <f t="shared" ref="O1410:O1473" si="145">M1410*N1410</f>
        <v>2138.4</v>
      </c>
      <c r="P1410" s="10" t="s">
        <v>5006</v>
      </c>
      <c r="Q1410" s="10" t="s">
        <v>5006</v>
      </c>
      <c r="R1410" s="10" t="str">
        <f>IF(COUNTIF($J$2:J1410,J1410)=1,SUMIFS($O:$O,$J:$J,J1410)+SUMIFS($P:$P,$J:$J,J1410)+SUMIFS($Q:$Q,$J:$J,J1410),"")</f>
        <v/>
      </c>
      <c r="S1410" s="10" t="s">
        <v>5006</v>
      </c>
      <c r="T1410" s="11" t="str">
        <f t="shared" si="143"/>
        <v>Ok</v>
      </c>
      <c r="U1410" s="12">
        <v>46064</v>
      </c>
      <c r="V1410" s="10">
        <v>900</v>
      </c>
      <c r="W1410" s="10" t="str">
        <f t="shared" ref="W1410:W1473" si="146">IF(OR(S1410="",V1410=""),"N/A",IF(S1410&lt;&gt;V1410,"Short Paid","Not Paid"))</f>
        <v>N/A</v>
      </c>
      <c r="X1410" t="s">
        <v>455</v>
      </c>
      <c r="Y1410" t="s">
        <v>28</v>
      </c>
      <c r="Z1410">
        <v>100280</v>
      </c>
      <c r="AA1410" t="s">
        <v>465</v>
      </c>
      <c r="AB1410" t="s">
        <v>524</v>
      </c>
      <c r="AC1410" s="9">
        <v>2</v>
      </c>
      <c r="AD1410" s="9" t="str">
        <f t="shared" ref="AD1410:AD1473" si="147">IF(AND(R1410="",S1410=""),"N/A",IF(R1410=S1410,"Ok","Check"))</f>
        <v>N/A</v>
      </c>
      <c r="AE1410" s="11" t="e">
        <f t="shared" si="144"/>
        <v>#VALUE!</v>
      </c>
    </row>
    <row r="1411" spans="1:31" x14ac:dyDescent="0.3">
      <c r="A1411">
        <v>39</v>
      </c>
      <c r="B1411">
        <v>4719218</v>
      </c>
      <c r="C1411" t="s">
        <v>60</v>
      </c>
      <c r="D1411">
        <v>1130746</v>
      </c>
      <c r="E1411" t="s">
        <v>596</v>
      </c>
      <c r="F1411" t="s">
        <v>20</v>
      </c>
      <c r="G1411" t="s">
        <v>2770</v>
      </c>
      <c r="H1411" t="s">
        <v>1193</v>
      </c>
      <c r="I1411" t="s">
        <v>3455</v>
      </c>
      <c r="J1411">
        <v>51150171950</v>
      </c>
      <c r="K1411" t="s">
        <v>3289</v>
      </c>
      <c r="L1411" t="s">
        <v>3857</v>
      </c>
      <c r="M1411">
        <v>600</v>
      </c>
      <c r="N1411" s="10">
        <v>282.14499999999998</v>
      </c>
      <c r="O1411" s="10">
        <f t="shared" si="145"/>
        <v>169287</v>
      </c>
      <c r="P1411" s="10">
        <v>0</v>
      </c>
      <c r="Q1411" s="10">
        <v>0</v>
      </c>
      <c r="R1411" s="10">
        <f>IF(COUNTIF($J$2:J1411,J1411)=1,SUMIFS($O:$O,$J:$J,J1411)+SUMIFS($P:$P,$J:$J,J1411)+SUMIFS($Q:$Q,$J:$J,J1411),"")</f>
        <v>170933.34</v>
      </c>
      <c r="S1411" s="10">
        <v>170933.34</v>
      </c>
      <c r="T1411" s="11" t="str">
        <f t="shared" ref="T1411:T1474" si="148">IFERROR(INDEX(AD:AD,MATCH(J1411,J:J,0)),"")</f>
        <v>Ok</v>
      </c>
      <c r="U1411" s="12">
        <v>46094</v>
      </c>
      <c r="V1411" s="10">
        <v>169287</v>
      </c>
      <c r="W1411" s="10" t="str">
        <f t="shared" si="146"/>
        <v>Short Paid</v>
      </c>
      <c r="X1411" t="s">
        <v>438</v>
      </c>
      <c r="Y1411" t="s">
        <v>28</v>
      </c>
      <c r="Z1411">
        <v>100283</v>
      </c>
      <c r="AA1411" t="s">
        <v>439</v>
      </c>
      <c r="AB1411" t="s">
        <v>521</v>
      </c>
      <c r="AC1411" s="9">
        <v>2</v>
      </c>
      <c r="AD1411" s="9" t="str">
        <f t="shared" si="147"/>
        <v>Ok</v>
      </c>
      <c r="AE1411" s="11">
        <f t="shared" si="144"/>
        <v>0</v>
      </c>
    </row>
    <row r="1412" spans="1:31" x14ac:dyDescent="0.3">
      <c r="A1412">
        <v>39</v>
      </c>
      <c r="B1412">
        <v>4719218</v>
      </c>
      <c r="C1412" t="s">
        <v>60</v>
      </c>
      <c r="D1412">
        <v>1130746</v>
      </c>
      <c r="E1412" t="s">
        <v>596</v>
      </c>
      <c r="F1412" t="s">
        <v>20</v>
      </c>
      <c r="G1412" t="s">
        <v>2770</v>
      </c>
      <c r="H1412" t="s">
        <v>1193</v>
      </c>
      <c r="I1412" t="s">
        <v>3312</v>
      </c>
      <c r="J1412">
        <v>51150171950</v>
      </c>
      <c r="K1412" t="s">
        <v>3289</v>
      </c>
      <c r="L1412" t="s">
        <v>3511</v>
      </c>
      <c r="M1412">
        <v>2000</v>
      </c>
      <c r="N1412" s="10">
        <v>0.82316999999999996</v>
      </c>
      <c r="O1412" s="10">
        <f t="shared" si="145"/>
        <v>1646.34</v>
      </c>
      <c r="P1412" s="10" t="s">
        <v>5006</v>
      </c>
      <c r="Q1412" s="10" t="s">
        <v>5006</v>
      </c>
      <c r="R1412" s="10" t="str">
        <f>IF(COUNTIF($J$2:J1412,J1412)=1,SUMIFS($O:$O,$J:$J,J1412)+SUMIFS($P:$P,$J:$J,J1412)+SUMIFS($Q:$Q,$J:$J,J1412),"")</f>
        <v/>
      </c>
      <c r="S1412" s="10" t="s">
        <v>5006</v>
      </c>
      <c r="T1412" s="11" t="str">
        <f t="shared" si="148"/>
        <v>Ok</v>
      </c>
      <c r="U1412" s="12">
        <v>46094</v>
      </c>
      <c r="V1412" s="10">
        <v>169287</v>
      </c>
      <c r="W1412" s="10" t="str">
        <f t="shared" si="146"/>
        <v>N/A</v>
      </c>
      <c r="X1412" t="s">
        <v>438</v>
      </c>
      <c r="Y1412" t="s">
        <v>28</v>
      </c>
      <c r="Z1412">
        <v>100283</v>
      </c>
      <c r="AA1412" t="s">
        <v>439</v>
      </c>
      <c r="AB1412" t="s">
        <v>521</v>
      </c>
      <c r="AC1412" s="9">
        <v>2</v>
      </c>
      <c r="AD1412" s="9" t="str">
        <f t="shared" si="147"/>
        <v>N/A</v>
      </c>
      <c r="AE1412" s="11" t="e">
        <f t="shared" si="144"/>
        <v>#VALUE!</v>
      </c>
    </row>
    <row r="1413" spans="1:31" x14ac:dyDescent="0.3">
      <c r="A1413">
        <v>31</v>
      </c>
      <c r="B1413">
        <v>4752334</v>
      </c>
      <c r="C1413" t="s">
        <v>239</v>
      </c>
      <c r="D1413">
        <v>1836869</v>
      </c>
      <c r="E1413" t="s">
        <v>4894</v>
      </c>
      <c r="F1413" t="s">
        <v>51</v>
      </c>
      <c r="G1413" t="s">
        <v>1286</v>
      </c>
      <c r="H1413" t="s">
        <v>1287</v>
      </c>
      <c r="I1413" t="s">
        <v>3496</v>
      </c>
      <c r="J1413">
        <v>51150172521</v>
      </c>
      <c r="K1413" t="s">
        <v>4279</v>
      </c>
      <c r="L1413" t="s">
        <v>4278</v>
      </c>
      <c r="M1413">
        <v>50</v>
      </c>
      <c r="N1413" s="10">
        <v>69.430459999999997</v>
      </c>
      <c r="O1413" s="10">
        <f t="shared" si="145"/>
        <v>3471.5229999999997</v>
      </c>
      <c r="P1413" s="10">
        <v>0</v>
      </c>
      <c r="Q1413" s="10">
        <v>0</v>
      </c>
      <c r="R1413" s="10">
        <f>IF(COUNTIF($J$2:J1413,J1413)=1,SUMIFS($O:$O,$J:$J,J1413)+SUMIFS($P:$P,$J:$J,J1413)+SUMIFS($Q:$Q,$J:$J,J1413),"")</f>
        <v>7393.1229999999996</v>
      </c>
      <c r="S1413" s="10">
        <v>7437.01</v>
      </c>
      <c r="T1413" s="11" t="str">
        <f t="shared" si="148"/>
        <v>Check</v>
      </c>
      <c r="U1413" s="12">
        <v>46106</v>
      </c>
      <c r="V1413" s="10">
        <v>3515.41</v>
      </c>
      <c r="W1413" s="10" t="str">
        <f t="shared" si="146"/>
        <v>Short Paid</v>
      </c>
      <c r="X1413" t="s">
        <v>476</v>
      </c>
      <c r="Y1413" t="s">
        <v>436</v>
      </c>
      <c r="Z1413">
        <v>100255</v>
      </c>
      <c r="AA1413" t="s">
        <v>3121</v>
      </c>
      <c r="AB1413" t="s">
        <v>3043</v>
      </c>
      <c r="AC1413" s="9">
        <v>2</v>
      </c>
      <c r="AD1413" s="9" t="str">
        <f t="shared" si="147"/>
        <v>Check</v>
      </c>
      <c r="AE1413" s="11">
        <f t="shared" si="144"/>
        <v>-43.887000000000626</v>
      </c>
    </row>
    <row r="1414" spans="1:31" x14ac:dyDescent="0.3">
      <c r="A1414">
        <v>31</v>
      </c>
      <c r="B1414">
        <v>4752334</v>
      </c>
      <c r="C1414" t="s">
        <v>239</v>
      </c>
      <c r="D1414">
        <v>1836869</v>
      </c>
      <c r="E1414" t="s">
        <v>4894</v>
      </c>
      <c r="F1414" t="s">
        <v>51</v>
      </c>
      <c r="G1414" t="s">
        <v>1286</v>
      </c>
      <c r="H1414" t="s">
        <v>1287</v>
      </c>
      <c r="I1414" t="s">
        <v>3388</v>
      </c>
      <c r="J1414">
        <v>51150172521</v>
      </c>
      <c r="K1414" t="s">
        <v>3168</v>
      </c>
      <c r="L1414" t="s">
        <v>3541</v>
      </c>
      <c r="M1414">
        <v>57000</v>
      </c>
      <c r="N1414" s="10">
        <v>6.88E-2</v>
      </c>
      <c r="O1414" s="10">
        <f t="shared" si="145"/>
        <v>3921.6</v>
      </c>
      <c r="P1414" s="10" t="s">
        <v>5006</v>
      </c>
      <c r="Q1414" s="10" t="s">
        <v>5006</v>
      </c>
      <c r="R1414" s="10" t="str">
        <f>IF(COUNTIF($J$2:J1414,J1414)=1,SUMIFS($O:$O,$J:$J,J1414)+SUMIFS($P:$P,$J:$J,J1414)+SUMIFS($Q:$Q,$J:$J,J1414),"")</f>
        <v/>
      </c>
      <c r="S1414" s="10" t="s">
        <v>5006</v>
      </c>
      <c r="T1414" s="11" t="str">
        <f t="shared" si="148"/>
        <v>Check</v>
      </c>
      <c r="U1414" s="12">
        <v>46106</v>
      </c>
      <c r="V1414" s="10">
        <v>3515.41</v>
      </c>
      <c r="W1414" s="10" t="str">
        <f t="shared" si="146"/>
        <v>N/A</v>
      </c>
      <c r="X1414" t="s">
        <v>476</v>
      </c>
      <c r="Y1414" t="s">
        <v>436</v>
      </c>
      <c r="Z1414">
        <v>100255</v>
      </c>
      <c r="AA1414" t="s">
        <v>3121</v>
      </c>
      <c r="AB1414" t="s">
        <v>3043</v>
      </c>
      <c r="AC1414" s="9">
        <v>2</v>
      </c>
      <c r="AD1414" s="9" t="str">
        <f t="shared" si="147"/>
        <v>N/A</v>
      </c>
      <c r="AE1414" s="11" t="e">
        <f t="shared" si="144"/>
        <v>#VALUE!</v>
      </c>
    </row>
    <row r="1415" spans="1:31" x14ac:dyDescent="0.3">
      <c r="A1415">
        <v>31</v>
      </c>
      <c r="B1415">
        <v>4756786</v>
      </c>
      <c r="C1415" t="s">
        <v>240</v>
      </c>
      <c r="D1415">
        <v>1276402</v>
      </c>
      <c r="E1415" t="s">
        <v>540</v>
      </c>
      <c r="F1415" t="s">
        <v>27</v>
      </c>
      <c r="G1415" t="s">
        <v>1298</v>
      </c>
      <c r="H1415" t="s">
        <v>1299</v>
      </c>
      <c r="I1415" t="s">
        <v>3535</v>
      </c>
      <c r="J1415">
        <v>51150187585</v>
      </c>
      <c r="K1415" t="s">
        <v>3180</v>
      </c>
      <c r="L1415" t="s">
        <v>4280</v>
      </c>
      <c r="M1415">
        <v>1000</v>
      </c>
      <c r="N1415" s="10">
        <v>1.8660000000000001</v>
      </c>
      <c r="O1415" s="10">
        <f t="shared" si="145"/>
        <v>1866</v>
      </c>
      <c r="P1415" s="10">
        <v>0</v>
      </c>
      <c r="Q1415" s="10">
        <v>0</v>
      </c>
      <c r="R1415" s="10">
        <f>IF(COUNTIF($J$2:J1415,J1415)=1,SUMIFS($O:$O,$J:$J,J1415)+SUMIFS($P:$P,$J:$J,J1415)+SUMIFS($Q:$Q,$J:$J,J1415),"")</f>
        <v>3972</v>
      </c>
      <c r="S1415" s="10">
        <v>3972</v>
      </c>
      <c r="T1415" s="11" t="str">
        <f t="shared" si="148"/>
        <v>Ok</v>
      </c>
      <c r="U1415" s="12">
        <v>45902</v>
      </c>
      <c r="V1415" s="10">
        <v>2106</v>
      </c>
      <c r="W1415" s="10" t="str">
        <f t="shared" si="146"/>
        <v>Short Paid</v>
      </c>
      <c r="X1415" t="s">
        <v>478</v>
      </c>
      <c r="Y1415" t="s">
        <v>436</v>
      </c>
      <c r="Z1415">
        <v>100252</v>
      </c>
      <c r="AA1415" t="s">
        <v>3099</v>
      </c>
      <c r="AB1415" t="s">
        <v>3034</v>
      </c>
      <c r="AC1415" s="9">
        <v>2</v>
      </c>
      <c r="AD1415" s="9" t="str">
        <f t="shared" si="147"/>
        <v>Ok</v>
      </c>
      <c r="AE1415" s="11">
        <f t="shared" ref="AE1415:AE1478" si="149">R1415-S1415</f>
        <v>0</v>
      </c>
    </row>
    <row r="1416" spans="1:31" x14ac:dyDescent="0.3">
      <c r="A1416">
        <v>31</v>
      </c>
      <c r="B1416">
        <v>4756786</v>
      </c>
      <c r="C1416" t="s">
        <v>240</v>
      </c>
      <c r="D1416">
        <v>1276402</v>
      </c>
      <c r="E1416" t="s">
        <v>540</v>
      </c>
      <c r="F1416" t="s">
        <v>27</v>
      </c>
      <c r="G1416" t="s">
        <v>1298</v>
      </c>
      <c r="H1416" t="s">
        <v>1299</v>
      </c>
      <c r="I1416" t="s">
        <v>3441</v>
      </c>
      <c r="J1416">
        <v>51150187585</v>
      </c>
      <c r="K1416" t="s">
        <v>3216</v>
      </c>
      <c r="L1416" t="s">
        <v>4281</v>
      </c>
      <c r="M1416">
        <v>90000</v>
      </c>
      <c r="N1416" s="10">
        <v>2.3400000000000001E-2</v>
      </c>
      <c r="O1416" s="10">
        <f t="shared" si="145"/>
        <v>2106</v>
      </c>
      <c r="P1416" s="10" t="s">
        <v>5006</v>
      </c>
      <c r="Q1416" s="10" t="s">
        <v>5006</v>
      </c>
      <c r="R1416" s="10" t="str">
        <f>IF(COUNTIF($J$2:J1416,J1416)=1,SUMIFS($O:$O,$J:$J,J1416)+SUMIFS($P:$P,$J:$J,J1416)+SUMIFS($Q:$Q,$J:$J,J1416),"")</f>
        <v/>
      </c>
      <c r="S1416" s="10" t="s">
        <v>5006</v>
      </c>
      <c r="T1416" s="11" t="str">
        <f t="shared" si="148"/>
        <v>Ok</v>
      </c>
      <c r="U1416" s="12">
        <v>45902</v>
      </c>
      <c r="V1416" s="10">
        <v>2106</v>
      </c>
      <c r="W1416" s="10" t="str">
        <f t="shared" si="146"/>
        <v>N/A</v>
      </c>
      <c r="X1416" t="s">
        <v>478</v>
      </c>
      <c r="Y1416" t="s">
        <v>436</v>
      </c>
      <c r="Z1416">
        <v>100252</v>
      </c>
      <c r="AA1416" t="s">
        <v>3099</v>
      </c>
      <c r="AB1416" t="s">
        <v>3034</v>
      </c>
      <c r="AC1416" s="9">
        <v>2</v>
      </c>
      <c r="AD1416" s="9" t="str">
        <f t="shared" si="147"/>
        <v>N/A</v>
      </c>
      <c r="AE1416" s="11" t="e">
        <f t="shared" si="149"/>
        <v>#VALUE!</v>
      </c>
    </row>
    <row r="1417" spans="1:31" x14ac:dyDescent="0.3">
      <c r="A1417">
        <v>31</v>
      </c>
      <c r="B1417">
        <v>4756230</v>
      </c>
      <c r="C1417" t="s">
        <v>38</v>
      </c>
      <c r="D1417">
        <v>1963277</v>
      </c>
      <c r="E1417" t="s">
        <v>250</v>
      </c>
      <c r="F1417" t="s">
        <v>19</v>
      </c>
      <c r="G1417" t="s">
        <v>1296</v>
      </c>
      <c r="H1417" t="s">
        <v>1297</v>
      </c>
      <c r="I1417" t="s">
        <v>3273</v>
      </c>
      <c r="J1417">
        <v>51150336517</v>
      </c>
      <c r="K1417" t="s">
        <v>3630</v>
      </c>
      <c r="L1417" t="s">
        <v>4012</v>
      </c>
      <c r="M1417">
        <v>75000</v>
      </c>
      <c r="N1417" s="10">
        <v>0.35699999999999998</v>
      </c>
      <c r="O1417" s="10">
        <f t="shared" si="145"/>
        <v>26775</v>
      </c>
      <c r="P1417" s="10">
        <v>0</v>
      </c>
      <c r="Q1417" s="10">
        <v>0</v>
      </c>
      <c r="R1417" s="10">
        <f>IF(COUNTIF($J$2:J1417,J1417)=1,SUMIFS($O:$O,$J:$J,J1417)+SUMIFS($P:$P,$J:$J,J1417)+SUMIFS($Q:$Q,$J:$J,J1417),"")</f>
        <v>27833.530999999999</v>
      </c>
      <c r="S1417" s="10">
        <v>27833.53</v>
      </c>
      <c r="T1417" s="11" t="str">
        <f t="shared" si="148"/>
        <v>Check</v>
      </c>
      <c r="U1417" s="12">
        <v>46063</v>
      </c>
      <c r="V1417" s="10">
        <v>1058.53</v>
      </c>
      <c r="W1417" s="10" t="str">
        <f t="shared" si="146"/>
        <v>Short Paid</v>
      </c>
      <c r="X1417" t="s">
        <v>474</v>
      </c>
      <c r="Y1417" t="s">
        <v>28</v>
      </c>
      <c r="Z1417">
        <v>100159</v>
      </c>
      <c r="AA1417" t="s">
        <v>488</v>
      </c>
      <c r="AB1417" t="s">
        <v>524</v>
      </c>
      <c r="AC1417" s="9">
        <v>2</v>
      </c>
      <c r="AD1417" s="9" t="str">
        <f t="shared" si="147"/>
        <v>Check</v>
      </c>
      <c r="AE1417" s="11">
        <f t="shared" si="149"/>
        <v>1.0000000002037268E-3</v>
      </c>
    </row>
    <row r="1418" spans="1:31" x14ac:dyDescent="0.3">
      <c r="A1418">
        <v>31</v>
      </c>
      <c r="B1418">
        <v>4756230</v>
      </c>
      <c r="C1418" t="s">
        <v>38</v>
      </c>
      <c r="D1418">
        <v>1963277</v>
      </c>
      <c r="E1418" t="s">
        <v>250</v>
      </c>
      <c r="F1418" t="s">
        <v>19</v>
      </c>
      <c r="G1418" t="s">
        <v>1296</v>
      </c>
      <c r="H1418" t="s">
        <v>1297</v>
      </c>
      <c r="I1418" t="s">
        <v>3397</v>
      </c>
      <c r="J1418">
        <v>51150336517</v>
      </c>
      <c r="K1418" t="s">
        <v>3318</v>
      </c>
      <c r="L1418" t="s">
        <v>4282</v>
      </c>
      <c r="M1418">
        <v>10</v>
      </c>
      <c r="N1418" s="10">
        <v>105.8531</v>
      </c>
      <c r="O1418" s="10">
        <f t="shared" si="145"/>
        <v>1058.5309999999999</v>
      </c>
      <c r="P1418" s="10" t="s">
        <v>5006</v>
      </c>
      <c r="Q1418" s="10" t="s">
        <v>5006</v>
      </c>
      <c r="R1418" s="10" t="str">
        <f>IF(COUNTIF($J$2:J1418,J1418)=1,SUMIFS($O:$O,$J:$J,J1418)+SUMIFS($P:$P,$J:$J,J1418)+SUMIFS($Q:$Q,$J:$J,J1418),"")</f>
        <v/>
      </c>
      <c r="S1418" s="10" t="s">
        <v>5006</v>
      </c>
      <c r="T1418" s="11" t="str">
        <f t="shared" si="148"/>
        <v>Check</v>
      </c>
      <c r="U1418" s="12">
        <v>46063</v>
      </c>
      <c r="V1418" s="10">
        <v>1058.53</v>
      </c>
      <c r="W1418" s="10" t="str">
        <f t="shared" si="146"/>
        <v>N/A</v>
      </c>
      <c r="X1418" t="s">
        <v>474</v>
      </c>
      <c r="Y1418" t="s">
        <v>28</v>
      </c>
      <c r="Z1418">
        <v>100159</v>
      </c>
      <c r="AA1418" t="s">
        <v>488</v>
      </c>
      <c r="AB1418" t="s">
        <v>524</v>
      </c>
      <c r="AC1418" s="9">
        <v>2</v>
      </c>
      <c r="AD1418" s="9" t="str">
        <f t="shared" si="147"/>
        <v>N/A</v>
      </c>
      <c r="AE1418" s="11" t="e">
        <f t="shared" si="149"/>
        <v>#VALUE!</v>
      </c>
    </row>
    <row r="1419" spans="1:31" x14ac:dyDescent="0.3">
      <c r="A1419">
        <v>31</v>
      </c>
      <c r="B1419">
        <v>4756508</v>
      </c>
      <c r="C1419" t="s">
        <v>240</v>
      </c>
      <c r="D1419">
        <v>1276402</v>
      </c>
      <c r="E1419" t="s">
        <v>540</v>
      </c>
      <c r="F1419" t="s">
        <v>27</v>
      </c>
      <c r="G1419" t="s">
        <v>1290</v>
      </c>
      <c r="H1419" t="s">
        <v>1291</v>
      </c>
      <c r="I1419" t="s">
        <v>3453</v>
      </c>
      <c r="J1419">
        <v>51150458266</v>
      </c>
      <c r="K1419" t="s">
        <v>3401</v>
      </c>
      <c r="L1419" t="s">
        <v>3459</v>
      </c>
      <c r="M1419">
        <v>94</v>
      </c>
      <c r="N1419" s="10">
        <v>37.277999999999999</v>
      </c>
      <c r="O1419" s="10">
        <f t="shared" si="145"/>
        <v>3504.1320000000001</v>
      </c>
      <c r="P1419" s="10">
        <v>0</v>
      </c>
      <c r="Q1419" s="10">
        <v>0</v>
      </c>
      <c r="R1419" s="10">
        <f>IF(COUNTIF($J$2:J1419,J1419)=1,SUMIFS($O:$O,$J:$J,J1419)+SUMIFS($P:$P,$J:$J,J1419)+SUMIFS($Q:$Q,$J:$J,J1419),"")</f>
        <v>4159.3320000000003</v>
      </c>
      <c r="S1419" s="10">
        <v>4159.34</v>
      </c>
      <c r="T1419" s="11" t="str">
        <f t="shared" si="148"/>
        <v>Check</v>
      </c>
      <c r="U1419" s="12">
        <v>45902</v>
      </c>
      <c r="V1419" s="10">
        <v>655.20000000000005</v>
      </c>
      <c r="W1419" s="10" t="str">
        <f t="shared" si="146"/>
        <v>Short Paid</v>
      </c>
      <c r="X1419" t="s">
        <v>478</v>
      </c>
      <c r="Y1419" t="s">
        <v>436</v>
      </c>
      <c r="Z1419">
        <v>100212</v>
      </c>
      <c r="AA1419" t="s">
        <v>3129</v>
      </c>
      <c r="AB1419" t="s">
        <v>3034</v>
      </c>
      <c r="AC1419" s="9">
        <v>2</v>
      </c>
      <c r="AD1419" s="9" t="str">
        <f t="shared" si="147"/>
        <v>Check</v>
      </c>
      <c r="AE1419" s="11">
        <f t="shared" si="149"/>
        <v>-7.9999999998108251E-3</v>
      </c>
    </row>
    <row r="1420" spans="1:31" x14ac:dyDescent="0.3">
      <c r="A1420">
        <v>31</v>
      </c>
      <c r="B1420">
        <v>4756508</v>
      </c>
      <c r="C1420" t="s">
        <v>240</v>
      </c>
      <c r="D1420">
        <v>1276402</v>
      </c>
      <c r="E1420" t="s">
        <v>540</v>
      </c>
      <c r="F1420" t="s">
        <v>27</v>
      </c>
      <c r="G1420" t="s">
        <v>1290</v>
      </c>
      <c r="H1420" t="s">
        <v>1291</v>
      </c>
      <c r="I1420" t="s">
        <v>3331</v>
      </c>
      <c r="J1420">
        <v>51150458266</v>
      </c>
      <c r="K1420" t="s">
        <v>3216</v>
      </c>
      <c r="L1420" t="s">
        <v>4281</v>
      </c>
      <c r="M1420">
        <v>28000</v>
      </c>
      <c r="N1420" s="10">
        <v>2.3400000000000001E-2</v>
      </c>
      <c r="O1420" s="10">
        <f t="shared" si="145"/>
        <v>655.20000000000005</v>
      </c>
      <c r="P1420" s="10" t="s">
        <v>5006</v>
      </c>
      <c r="Q1420" s="10" t="s">
        <v>5006</v>
      </c>
      <c r="R1420" s="10" t="str">
        <f>IF(COUNTIF($J$2:J1420,J1420)=1,SUMIFS($O:$O,$J:$J,J1420)+SUMIFS($P:$P,$J:$J,J1420)+SUMIFS($Q:$Q,$J:$J,J1420),"")</f>
        <v/>
      </c>
      <c r="S1420" s="10" t="s">
        <v>5006</v>
      </c>
      <c r="T1420" s="11" t="str">
        <f t="shared" si="148"/>
        <v>Check</v>
      </c>
      <c r="U1420" s="12">
        <v>45902</v>
      </c>
      <c r="V1420" s="10">
        <v>655.20000000000005</v>
      </c>
      <c r="W1420" s="10" t="str">
        <f t="shared" si="146"/>
        <v>N/A</v>
      </c>
      <c r="X1420" t="s">
        <v>478</v>
      </c>
      <c r="Y1420" t="s">
        <v>436</v>
      </c>
      <c r="Z1420">
        <v>100212</v>
      </c>
      <c r="AA1420" t="s">
        <v>3129</v>
      </c>
      <c r="AB1420" t="s">
        <v>3034</v>
      </c>
      <c r="AC1420" s="9">
        <v>2</v>
      </c>
      <c r="AD1420" s="9" t="str">
        <f t="shared" si="147"/>
        <v>N/A</v>
      </c>
      <c r="AE1420" s="11" t="e">
        <f t="shared" si="149"/>
        <v>#VALUE!</v>
      </c>
    </row>
    <row r="1421" spans="1:31" x14ac:dyDescent="0.3">
      <c r="A1421">
        <v>25</v>
      </c>
      <c r="B1421">
        <v>4817452</v>
      </c>
      <c r="C1421" t="s">
        <v>239</v>
      </c>
      <c r="D1421">
        <v>1079286</v>
      </c>
      <c r="E1421" t="s">
        <v>629</v>
      </c>
      <c r="F1421" t="s">
        <v>20</v>
      </c>
      <c r="G1421" t="s">
        <v>1415</v>
      </c>
      <c r="H1421" t="s">
        <v>1416</v>
      </c>
      <c r="I1421" t="s">
        <v>3331</v>
      </c>
      <c r="J1421">
        <v>51150720107</v>
      </c>
      <c r="K1421" t="s">
        <v>3377</v>
      </c>
      <c r="L1421" t="s">
        <v>3527</v>
      </c>
      <c r="M1421">
        <v>10000</v>
      </c>
      <c r="N1421" s="10">
        <v>0.25290000000000001</v>
      </c>
      <c r="O1421" s="10">
        <f t="shared" si="145"/>
        <v>2529</v>
      </c>
      <c r="P1421" s="10">
        <v>0</v>
      </c>
      <c r="Q1421" s="10">
        <v>0</v>
      </c>
      <c r="R1421" s="10">
        <f>IF(COUNTIF($J$2:J1421,J1421)=1,SUMIFS($O:$O,$J:$J,J1421)+SUMIFS($P:$P,$J:$J,J1421)+SUMIFS($Q:$Q,$J:$J,J1421),"")</f>
        <v>3702.7200000000003</v>
      </c>
      <c r="S1421" s="10">
        <v>3702.7200000000003</v>
      </c>
      <c r="T1421" s="11" t="str">
        <f t="shared" si="148"/>
        <v>Ok</v>
      </c>
      <c r="U1421" s="12">
        <v>45978</v>
      </c>
      <c r="V1421" s="10">
        <v>1173.72</v>
      </c>
      <c r="W1421" s="10" t="str">
        <f t="shared" si="146"/>
        <v>Short Paid</v>
      </c>
      <c r="X1421" t="s">
        <v>476</v>
      </c>
      <c r="Y1421" t="s">
        <v>28</v>
      </c>
      <c r="Z1421">
        <v>100155</v>
      </c>
      <c r="AA1421" t="s">
        <v>3072</v>
      </c>
      <c r="AB1421" t="s">
        <v>521</v>
      </c>
      <c r="AC1421" s="9">
        <v>2</v>
      </c>
      <c r="AD1421" s="9" t="str">
        <f t="shared" si="147"/>
        <v>Ok</v>
      </c>
      <c r="AE1421" s="11">
        <f t="shared" si="149"/>
        <v>0</v>
      </c>
    </row>
    <row r="1422" spans="1:31" x14ac:dyDescent="0.3">
      <c r="A1422">
        <v>25</v>
      </c>
      <c r="B1422">
        <v>4817452</v>
      </c>
      <c r="C1422" t="s">
        <v>239</v>
      </c>
      <c r="D1422">
        <v>1079286</v>
      </c>
      <c r="E1422" t="s">
        <v>629</v>
      </c>
      <c r="F1422" t="s">
        <v>20</v>
      </c>
      <c r="G1422" t="s">
        <v>1415</v>
      </c>
      <c r="H1422" t="s">
        <v>1416</v>
      </c>
      <c r="I1422" t="s">
        <v>3524</v>
      </c>
      <c r="J1422">
        <v>51150720107</v>
      </c>
      <c r="K1422" t="s">
        <v>3203</v>
      </c>
      <c r="L1422" t="s">
        <v>4283</v>
      </c>
      <c r="M1422">
        <v>12000</v>
      </c>
      <c r="N1422" s="10">
        <v>9.7809999999999994E-2</v>
      </c>
      <c r="O1422" s="10">
        <f t="shared" si="145"/>
        <v>1173.72</v>
      </c>
      <c r="P1422" s="10" t="s">
        <v>5006</v>
      </c>
      <c r="Q1422" s="10" t="s">
        <v>5006</v>
      </c>
      <c r="R1422" s="10" t="str">
        <f>IF(COUNTIF($J$2:J1422,J1422)=1,SUMIFS($O:$O,$J:$J,J1422)+SUMIFS($P:$P,$J:$J,J1422)+SUMIFS($Q:$Q,$J:$J,J1422),"")</f>
        <v/>
      </c>
      <c r="S1422" s="10" t="s">
        <v>5006</v>
      </c>
      <c r="T1422" s="11" t="str">
        <f t="shared" si="148"/>
        <v>Ok</v>
      </c>
      <c r="U1422" s="12">
        <v>45978</v>
      </c>
      <c r="V1422" s="10">
        <v>1173.72</v>
      </c>
      <c r="W1422" s="10" t="str">
        <f t="shared" si="146"/>
        <v>N/A</v>
      </c>
      <c r="X1422" t="s">
        <v>476</v>
      </c>
      <c r="Y1422" t="s">
        <v>28</v>
      </c>
      <c r="Z1422">
        <v>100155</v>
      </c>
      <c r="AA1422" t="s">
        <v>3072</v>
      </c>
      <c r="AB1422" t="s">
        <v>521</v>
      </c>
      <c r="AC1422" s="9">
        <v>2</v>
      </c>
      <c r="AD1422" s="9" t="str">
        <f t="shared" si="147"/>
        <v>N/A</v>
      </c>
      <c r="AE1422" s="11" t="e">
        <f t="shared" si="149"/>
        <v>#VALUE!</v>
      </c>
    </row>
    <row r="1423" spans="1:31" x14ac:dyDescent="0.3">
      <c r="A1423">
        <v>25</v>
      </c>
      <c r="B1423">
        <v>4801590</v>
      </c>
      <c r="C1423" t="s">
        <v>239</v>
      </c>
      <c r="D1423">
        <v>1079286</v>
      </c>
      <c r="E1423" t="s">
        <v>629</v>
      </c>
      <c r="F1423" t="s">
        <v>20</v>
      </c>
      <c r="G1423" t="s">
        <v>1393</v>
      </c>
      <c r="H1423" t="s">
        <v>1394</v>
      </c>
      <c r="I1423" t="s">
        <v>3542</v>
      </c>
      <c r="J1423">
        <v>51150837734</v>
      </c>
      <c r="K1423" t="s">
        <v>3351</v>
      </c>
      <c r="L1423" t="s">
        <v>3530</v>
      </c>
      <c r="M1423">
        <v>4000</v>
      </c>
      <c r="N1423" s="10">
        <v>2.3962500000000002</v>
      </c>
      <c r="O1423" s="10">
        <f t="shared" si="145"/>
        <v>9585</v>
      </c>
      <c r="P1423" s="10">
        <v>0</v>
      </c>
      <c r="Q1423" s="10">
        <v>0</v>
      </c>
      <c r="R1423" s="10">
        <f>IF(COUNTIF($J$2:J1423,J1423)=1,SUMIFS($O:$O,$J:$J,J1423)+SUMIFS($P:$P,$J:$J,J1423)+SUMIFS($Q:$Q,$J:$J,J1423),"")</f>
        <v>10050</v>
      </c>
      <c r="S1423" s="10">
        <v>10309</v>
      </c>
      <c r="T1423" s="11" t="str">
        <f t="shared" si="148"/>
        <v>Check</v>
      </c>
      <c r="U1423" s="12">
        <v>45937</v>
      </c>
      <c r="V1423" s="10">
        <v>724</v>
      </c>
      <c r="W1423" s="10" t="str">
        <f t="shared" si="146"/>
        <v>Short Paid</v>
      </c>
      <c r="X1423" t="s">
        <v>476</v>
      </c>
      <c r="Y1423" t="s">
        <v>28</v>
      </c>
      <c r="Z1423">
        <v>100205</v>
      </c>
      <c r="AA1423" t="s">
        <v>3075</v>
      </c>
      <c r="AB1423" t="s">
        <v>521</v>
      </c>
      <c r="AC1423" s="9">
        <v>2</v>
      </c>
      <c r="AD1423" s="9" t="str">
        <f t="shared" si="147"/>
        <v>Check</v>
      </c>
      <c r="AE1423" s="11">
        <f t="shared" si="149"/>
        <v>-259</v>
      </c>
    </row>
    <row r="1424" spans="1:31" x14ac:dyDescent="0.3">
      <c r="A1424">
        <v>25</v>
      </c>
      <c r="B1424">
        <v>4801590</v>
      </c>
      <c r="C1424" t="s">
        <v>239</v>
      </c>
      <c r="D1424">
        <v>1079286</v>
      </c>
      <c r="E1424" t="s">
        <v>629</v>
      </c>
      <c r="F1424" t="s">
        <v>20</v>
      </c>
      <c r="G1424" t="s">
        <v>1393</v>
      </c>
      <c r="H1424" t="s">
        <v>1394</v>
      </c>
      <c r="I1424" t="s">
        <v>3213</v>
      </c>
      <c r="J1424">
        <v>51150837734</v>
      </c>
      <c r="K1424" t="s">
        <v>3389</v>
      </c>
      <c r="L1424" t="s">
        <v>3557</v>
      </c>
      <c r="M1424">
        <v>10000</v>
      </c>
      <c r="N1424" s="10">
        <v>4.65E-2</v>
      </c>
      <c r="O1424" s="10">
        <f t="shared" si="145"/>
        <v>465</v>
      </c>
      <c r="P1424" s="10" t="s">
        <v>5006</v>
      </c>
      <c r="Q1424" s="10" t="s">
        <v>5006</v>
      </c>
      <c r="R1424" s="10" t="str">
        <f>IF(COUNTIF($J$2:J1424,J1424)=1,SUMIFS($O:$O,$J:$J,J1424)+SUMIFS($P:$P,$J:$J,J1424)+SUMIFS($Q:$Q,$J:$J,J1424),"")</f>
        <v/>
      </c>
      <c r="S1424" s="10" t="s">
        <v>5006</v>
      </c>
      <c r="T1424" s="11" t="str">
        <f t="shared" si="148"/>
        <v>Check</v>
      </c>
      <c r="U1424" s="12">
        <v>45937</v>
      </c>
      <c r="V1424" s="10">
        <v>724</v>
      </c>
      <c r="W1424" s="10" t="str">
        <f t="shared" si="146"/>
        <v>N/A</v>
      </c>
      <c r="X1424" t="s">
        <v>476</v>
      </c>
      <c r="Y1424" t="s">
        <v>28</v>
      </c>
      <c r="Z1424">
        <v>100205</v>
      </c>
      <c r="AA1424" t="s">
        <v>3075</v>
      </c>
      <c r="AB1424" t="s">
        <v>521</v>
      </c>
      <c r="AC1424" s="9">
        <v>2</v>
      </c>
      <c r="AD1424" s="9" t="str">
        <f t="shared" si="147"/>
        <v>N/A</v>
      </c>
      <c r="AE1424" s="11" t="e">
        <f t="shared" si="149"/>
        <v>#VALUE!</v>
      </c>
    </row>
    <row r="1425" spans="1:31" x14ac:dyDescent="0.3">
      <c r="A1425">
        <v>25</v>
      </c>
      <c r="B1425">
        <v>4804095</v>
      </c>
      <c r="C1425" t="s">
        <v>239</v>
      </c>
      <c r="D1425">
        <v>1079286</v>
      </c>
      <c r="E1425" t="s">
        <v>629</v>
      </c>
      <c r="F1425" t="s">
        <v>20</v>
      </c>
      <c r="G1425" t="s">
        <v>1395</v>
      </c>
      <c r="H1425" t="s">
        <v>1396</v>
      </c>
      <c r="I1425" t="s">
        <v>3525</v>
      </c>
      <c r="J1425">
        <v>51150897845</v>
      </c>
      <c r="K1425" t="s">
        <v>3314</v>
      </c>
      <c r="L1425" t="s">
        <v>3503</v>
      </c>
      <c r="M1425">
        <v>100000</v>
      </c>
      <c r="N1425" s="10">
        <v>2.6380000000000001E-2</v>
      </c>
      <c r="O1425" s="10">
        <f t="shared" si="145"/>
        <v>2638</v>
      </c>
      <c r="P1425" s="10">
        <v>0</v>
      </c>
      <c r="Q1425" s="10">
        <v>0</v>
      </c>
      <c r="R1425" s="10">
        <f>IF(COUNTIF($J$2:J1425,J1425)=1,SUMIFS($O:$O,$J:$J,J1425)+SUMIFS($P:$P,$J:$J,J1425)+SUMIFS($Q:$Q,$J:$J,J1425),"")</f>
        <v>2998</v>
      </c>
      <c r="S1425" s="10">
        <v>2998</v>
      </c>
      <c r="T1425" s="11" t="str">
        <f t="shared" si="148"/>
        <v>Ok</v>
      </c>
      <c r="U1425" s="12">
        <v>45944</v>
      </c>
      <c r="V1425" s="10">
        <v>360</v>
      </c>
      <c r="W1425" s="10" t="str">
        <f t="shared" si="146"/>
        <v>Short Paid</v>
      </c>
      <c r="X1425" t="s">
        <v>476</v>
      </c>
      <c r="Y1425" t="s">
        <v>28</v>
      </c>
      <c r="Z1425">
        <v>100195</v>
      </c>
      <c r="AA1425" t="s">
        <v>3070</v>
      </c>
      <c r="AB1425" t="s">
        <v>521</v>
      </c>
      <c r="AC1425" s="9">
        <v>2</v>
      </c>
      <c r="AD1425" s="9" t="str">
        <f t="shared" si="147"/>
        <v>Ok</v>
      </c>
      <c r="AE1425" s="11">
        <f t="shared" si="149"/>
        <v>0</v>
      </c>
    </row>
    <row r="1426" spans="1:31" x14ac:dyDescent="0.3">
      <c r="A1426">
        <v>25</v>
      </c>
      <c r="B1426">
        <v>4804095</v>
      </c>
      <c r="C1426" t="s">
        <v>239</v>
      </c>
      <c r="D1426">
        <v>1079286</v>
      </c>
      <c r="E1426" t="s">
        <v>629</v>
      </c>
      <c r="F1426" t="s">
        <v>20</v>
      </c>
      <c r="G1426" t="s">
        <v>1395</v>
      </c>
      <c r="H1426" t="s">
        <v>1396</v>
      </c>
      <c r="I1426" t="s">
        <v>3376</v>
      </c>
      <c r="J1426">
        <v>51150897845</v>
      </c>
      <c r="K1426" t="s">
        <v>3488</v>
      </c>
      <c r="L1426" t="s">
        <v>4284</v>
      </c>
      <c r="M1426">
        <v>6000</v>
      </c>
      <c r="N1426" s="10">
        <v>0.06</v>
      </c>
      <c r="O1426" s="10">
        <f t="shared" si="145"/>
        <v>360</v>
      </c>
      <c r="P1426" s="10" t="s">
        <v>5006</v>
      </c>
      <c r="Q1426" s="10" t="s">
        <v>5006</v>
      </c>
      <c r="R1426" s="10" t="str">
        <f>IF(COUNTIF($J$2:J1426,J1426)=1,SUMIFS($O:$O,$J:$J,J1426)+SUMIFS($P:$P,$J:$J,J1426)+SUMIFS($Q:$Q,$J:$J,J1426),"")</f>
        <v/>
      </c>
      <c r="S1426" s="10" t="s">
        <v>5006</v>
      </c>
      <c r="T1426" s="11" t="str">
        <f t="shared" si="148"/>
        <v>Ok</v>
      </c>
      <c r="U1426" s="12">
        <v>45944</v>
      </c>
      <c r="V1426" s="10">
        <v>360</v>
      </c>
      <c r="W1426" s="10" t="str">
        <f t="shared" si="146"/>
        <v>N/A</v>
      </c>
      <c r="X1426" t="s">
        <v>476</v>
      </c>
      <c r="Y1426" t="s">
        <v>28</v>
      </c>
      <c r="Z1426">
        <v>100195</v>
      </c>
      <c r="AA1426" t="s">
        <v>3070</v>
      </c>
      <c r="AB1426" t="s">
        <v>521</v>
      </c>
      <c r="AC1426" s="9">
        <v>2</v>
      </c>
      <c r="AD1426" s="9" t="str">
        <f t="shared" si="147"/>
        <v>N/A</v>
      </c>
      <c r="AE1426" s="11" t="e">
        <f t="shared" si="149"/>
        <v>#VALUE!</v>
      </c>
    </row>
    <row r="1427" spans="1:31" x14ac:dyDescent="0.3">
      <c r="A1427">
        <v>29</v>
      </c>
      <c r="B1427">
        <v>4765413</v>
      </c>
      <c r="C1427" t="s">
        <v>239</v>
      </c>
      <c r="D1427">
        <v>1079286</v>
      </c>
      <c r="E1427" t="s">
        <v>629</v>
      </c>
      <c r="F1427" t="s">
        <v>20</v>
      </c>
      <c r="G1427" t="s">
        <v>1332</v>
      </c>
      <c r="H1427" t="s">
        <v>1333</v>
      </c>
      <c r="I1427" t="s">
        <v>3305</v>
      </c>
      <c r="J1427">
        <v>51150907584</v>
      </c>
      <c r="K1427" t="s">
        <v>3379</v>
      </c>
      <c r="L1427" t="s">
        <v>3461</v>
      </c>
      <c r="M1427">
        <v>60000</v>
      </c>
      <c r="N1427" s="10">
        <v>8.3400000000000002E-3</v>
      </c>
      <c r="O1427" s="10">
        <f t="shared" si="145"/>
        <v>500.40000000000003</v>
      </c>
      <c r="P1427" s="10">
        <v>0</v>
      </c>
      <c r="Q1427" s="10">
        <v>0</v>
      </c>
      <c r="R1427" s="10">
        <f>IF(COUNTIF($J$2:J1427,J1427)=1,SUMIFS($O:$O,$J:$J,J1427)+SUMIFS($P:$P,$J:$J,J1427)+SUMIFS($Q:$Q,$J:$J,J1427),"")</f>
        <v>7700.4000000000015</v>
      </c>
      <c r="S1427" s="10">
        <v>7700.4</v>
      </c>
      <c r="T1427" s="11" t="str">
        <f t="shared" si="148"/>
        <v>Ok</v>
      </c>
      <c r="U1427" s="12">
        <v>45636</v>
      </c>
      <c r="V1427" s="10">
        <v>7200</v>
      </c>
      <c r="W1427" s="10" t="str">
        <f t="shared" si="146"/>
        <v>Short Paid</v>
      </c>
      <c r="X1427" t="s">
        <v>476</v>
      </c>
      <c r="Y1427" t="s">
        <v>28</v>
      </c>
      <c r="Z1427">
        <v>100205</v>
      </c>
      <c r="AA1427" t="s">
        <v>3075</v>
      </c>
      <c r="AB1427" t="s">
        <v>521</v>
      </c>
      <c r="AC1427" s="9">
        <v>2</v>
      </c>
      <c r="AD1427" s="9" t="str">
        <f t="shared" si="147"/>
        <v>Ok</v>
      </c>
      <c r="AE1427" s="11">
        <f t="shared" si="149"/>
        <v>0</v>
      </c>
    </row>
    <row r="1428" spans="1:31" x14ac:dyDescent="0.3">
      <c r="A1428">
        <v>29</v>
      </c>
      <c r="B1428">
        <v>4765413</v>
      </c>
      <c r="C1428" t="s">
        <v>239</v>
      </c>
      <c r="D1428">
        <v>1079286</v>
      </c>
      <c r="E1428" t="s">
        <v>629</v>
      </c>
      <c r="F1428" t="s">
        <v>20</v>
      </c>
      <c r="G1428" t="s">
        <v>1332</v>
      </c>
      <c r="H1428" t="s">
        <v>1333</v>
      </c>
      <c r="I1428" t="s">
        <v>3333</v>
      </c>
      <c r="J1428">
        <v>51150907584</v>
      </c>
      <c r="K1428" t="s">
        <v>3289</v>
      </c>
      <c r="L1428" t="s">
        <v>3519</v>
      </c>
      <c r="M1428">
        <v>36000</v>
      </c>
      <c r="N1428" s="10">
        <v>0.20000000000000004</v>
      </c>
      <c r="O1428" s="10">
        <f t="shared" si="145"/>
        <v>7200.0000000000018</v>
      </c>
      <c r="P1428" s="10" t="s">
        <v>5006</v>
      </c>
      <c r="Q1428" s="10" t="s">
        <v>5006</v>
      </c>
      <c r="R1428" s="10" t="str">
        <f>IF(COUNTIF($J$2:J1428,J1428)=1,SUMIFS($O:$O,$J:$J,J1428)+SUMIFS($P:$P,$J:$J,J1428)+SUMIFS($Q:$Q,$J:$J,J1428),"")</f>
        <v/>
      </c>
      <c r="S1428" s="10" t="s">
        <v>5006</v>
      </c>
      <c r="T1428" s="11" t="str">
        <f t="shared" si="148"/>
        <v>Ok</v>
      </c>
      <c r="U1428" s="12">
        <v>45636</v>
      </c>
      <c r="V1428" s="10">
        <v>7200</v>
      </c>
      <c r="W1428" s="10" t="str">
        <f t="shared" si="146"/>
        <v>N/A</v>
      </c>
      <c r="X1428" t="s">
        <v>476</v>
      </c>
      <c r="Y1428" t="s">
        <v>28</v>
      </c>
      <c r="Z1428">
        <v>100205</v>
      </c>
      <c r="AA1428" t="s">
        <v>3075</v>
      </c>
      <c r="AB1428" t="s">
        <v>521</v>
      </c>
      <c r="AC1428" s="9">
        <v>2</v>
      </c>
      <c r="AD1428" s="9" t="str">
        <f t="shared" si="147"/>
        <v>N/A</v>
      </c>
      <c r="AE1428" s="11" t="e">
        <f t="shared" si="149"/>
        <v>#VALUE!</v>
      </c>
    </row>
    <row r="1429" spans="1:31" x14ac:dyDescent="0.3">
      <c r="A1429">
        <v>38</v>
      </c>
      <c r="B1429">
        <v>4735359</v>
      </c>
      <c r="C1429" t="s">
        <v>239</v>
      </c>
      <c r="D1429">
        <v>1098309</v>
      </c>
      <c r="E1429" t="s">
        <v>544</v>
      </c>
      <c r="F1429" t="s">
        <v>49</v>
      </c>
      <c r="G1429" t="s">
        <v>1235</v>
      </c>
      <c r="H1429" t="s">
        <v>1236</v>
      </c>
      <c r="I1429" t="s">
        <v>3494</v>
      </c>
      <c r="J1429">
        <v>51150991002</v>
      </c>
      <c r="K1429" t="s">
        <v>3351</v>
      </c>
      <c r="L1429" t="s">
        <v>3450</v>
      </c>
      <c r="M1429">
        <v>20000</v>
      </c>
      <c r="N1429" s="10">
        <v>3.8679999999999999</v>
      </c>
      <c r="O1429" s="10">
        <f t="shared" si="145"/>
        <v>77360</v>
      </c>
      <c r="P1429" s="10">
        <v>3061.06</v>
      </c>
      <c r="Q1429" s="10">
        <v>0</v>
      </c>
      <c r="R1429" s="10">
        <f>IF(COUNTIF($J$2:J1429,J1429)=1,SUMIFS($O:$O,$J:$J,J1429)+SUMIFS($P:$P,$J:$J,J1429)+SUMIFS($Q:$Q,$J:$J,J1429),"")</f>
        <v>116971.06</v>
      </c>
      <c r="S1429" s="10">
        <v>116971.06</v>
      </c>
      <c r="T1429" s="11" t="str">
        <f t="shared" si="148"/>
        <v>Ok</v>
      </c>
      <c r="U1429" s="12">
        <v>46085</v>
      </c>
      <c r="V1429" s="10">
        <v>3061.06</v>
      </c>
      <c r="W1429" s="10" t="str">
        <f t="shared" si="146"/>
        <v>Short Paid</v>
      </c>
      <c r="X1429" t="s">
        <v>476</v>
      </c>
      <c r="Y1429" t="s">
        <v>29</v>
      </c>
      <c r="Z1429">
        <v>100295</v>
      </c>
      <c r="AA1429" t="s">
        <v>3127</v>
      </c>
      <c r="AB1429" t="s">
        <v>3041</v>
      </c>
      <c r="AC1429" s="9">
        <v>2</v>
      </c>
      <c r="AD1429" s="9" t="str">
        <f t="shared" si="147"/>
        <v>Ok</v>
      </c>
      <c r="AE1429" s="11">
        <f t="shared" si="149"/>
        <v>0</v>
      </c>
    </row>
    <row r="1430" spans="1:31" x14ac:dyDescent="0.3">
      <c r="A1430">
        <v>38</v>
      </c>
      <c r="B1430">
        <v>4735359</v>
      </c>
      <c r="C1430" t="s">
        <v>239</v>
      </c>
      <c r="D1430">
        <v>1098309</v>
      </c>
      <c r="E1430" t="s">
        <v>544</v>
      </c>
      <c r="F1430" t="s">
        <v>49</v>
      </c>
      <c r="G1430" t="s">
        <v>1235</v>
      </c>
      <c r="H1430" t="s">
        <v>1236</v>
      </c>
      <c r="I1430" t="s">
        <v>3163</v>
      </c>
      <c r="J1430">
        <v>51150991002</v>
      </c>
      <c r="K1430" t="s">
        <v>3736</v>
      </c>
      <c r="L1430" t="s">
        <v>4268</v>
      </c>
      <c r="M1430">
        <v>2</v>
      </c>
      <c r="N1430" s="10">
        <v>18275</v>
      </c>
      <c r="O1430" s="10">
        <f t="shared" si="145"/>
        <v>36550</v>
      </c>
      <c r="P1430" s="10" t="s">
        <v>5006</v>
      </c>
      <c r="Q1430" s="10" t="s">
        <v>5006</v>
      </c>
      <c r="R1430" s="10" t="str">
        <f>IF(COUNTIF($J$2:J1430,J1430)=1,SUMIFS($O:$O,$J:$J,J1430)+SUMIFS($P:$P,$J:$J,J1430)+SUMIFS($Q:$Q,$J:$J,J1430),"")</f>
        <v/>
      </c>
      <c r="S1430" s="10" t="s">
        <v>5006</v>
      </c>
      <c r="T1430" s="11" t="str">
        <f t="shared" si="148"/>
        <v>Ok</v>
      </c>
      <c r="U1430" s="12">
        <v>46085</v>
      </c>
      <c r="V1430" s="10">
        <v>3061.06</v>
      </c>
      <c r="W1430" s="10" t="str">
        <f t="shared" si="146"/>
        <v>N/A</v>
      </c>
      <c r="X1430" t="s">
        <v>476</v>
      </c>
      <c r="Y1430" t="s">
        <v>29</v>
      </c>
      <c r="Z1430">
        <v>100295</v>
      </c>
      <c r="AA1430" t="s">
        <v>3127</v>
      </c>
      <c r="AB1430" t="s">
        <v>3041</v>
      </c>
      <c r="AC1430" s="9">
        <v>2</v>
      </c>
      <c r="AD1430" s="9" t="str">
        <f t="shared" si="147"/>
        <v>N/A</v>
      </c>
      <c r="AE1430" s="11" t="e">
        <f t="shared" si="149"/>
        <v>#VALUE!</v>
      </c>
    </row>
    <row r="1431" spans="1:31" x14ac:dyDescent="0.3">
      <c r="A1431">
        <v>25</v>
      </c>
      <c r="B1431">
        <v>4818566</v>
      </c>
      <c r="C1431" t="s">
        <v>239</v>
      </c>
      <c r="D1431">
        <v>1079286</v>
      </c>
      <c r="E1431" t="s">
        <v>629</v>
      </c>
      <c r="F1431" t="s">
        <v>20</v>
      </c>
      <c r="G1431" t="s">
        <v>1405</v>
      </c>
      <c r="H1431" t="s">
        <v>1406</v>
      </c>
      <c r="I1431" t="s">
        <v>3505</v>
      </c>
      <c r="J1431">
        <v>51150991913</v>
      </c>
      <c r="K1431" t="s">
        <v>3266</v>
      </c>
      <c r="L1431" t="s">
        <v>3859</v>
      </c>
      <c r="M1431">
        <v>13714</v>
      </c>
      <c r="N1431" s="10">
        <v>7.5700000000000003E-2</v>
      </c>
      <c r="O1431" s="10">
        <f t="shared" si="145"/>
        <v>1038.1498000000001</v>
      </c>
      <c r="P1431" s="10">
        <v>0</v>
      </c>
      <c r="Q1431" s="10">
        <v>0</v>
      </c>
      <c r="R1431" s="10">
        <f>IF(COUNTIF($J$2:J1431,J1431)=1,SUMIFS($O:$O,$J:$J,J1431)+SUMIFS($P:$P,$J:$J,J1431)+SUMIFS($Q:$Q,$J:$J,J1431),"")</f>
        <v>1393.1498000000001</v>
      </c>
      <c r="S1431" s="10">
        <v>1393.15</v>
      </c>
      <c r="T1431" s="11" t="str">
        <f t="shared" si="148"/>
        <v>Check</v>
      </c>
      <c r="U1431" s="12">
        <v>45986</v>
      </c>
      <c r="V1431" s="10">
        <v>355</v>
      </c>
      <c r="W1431" s="10" t="str">
        <f t="shared" si="146"/>
        <v>Short Paid</v>
      </c>
      <c r="X1431" t="s">
        <v>476</v>
      </c>
      <c r="Y1431" t="s">
        <v>28</v>
      </c>
      <c r="Z1431">
        <v>100235</v>
      </c>
      <c r="AA1431" t="s">
        <v>509</v>
      </c>
      <c r="AB1431" t="s">
        <v>521</v>
      </c>
      <c r="AC1431" s="9">
        <v>2</v>
      </c>
      <c r="AD1431" s="9" t="str">
        <f t="shared" si="147"/>
        <v>Check</v>
      </c>
      <c r="AE1431" s="11">
        <f t="shared" si="149"/>
        <v>-1.9999999994979589E-4</v>
      </c>
    </row>
    <row r="1432" spans="1:31" x14ac:dyDescent="0.3">
      <c r="A1432">
        <v>25</v>
      </c>
      <c r="B1432">
        <v>4818566</v>
      </c>
      <c r="C1432" t="s">
        <v>239</v>
      </c>
      <c r="D1432">
        <v>1079286</v>
      </c>
      <c r="E1432" t="s">
        <v>629</v>
      </c>
      <c r="F1432" t="s">
        <v>20</v>
      </c>
      <c r="G1432" t="s">
        <v>1405</v>
      </c>
      <c r="H1432" t="s">
        <v>1406</v>
      </c>
      <c r="I1432" t="s">
        <v>3250</v>
      </c>
      <c r="J1432">
        <v>51150991913</v>
      </c>
      <c r="K1432" t="s">
        <v>3488</v>
      </c>
      <c r="L1432" t="s">
        <v>4285</v>
      </c>
      <c r="M1432">
        <v>10000</v>
      </c>
      <c r="N1432" s="10">
        <v>3.5499999999999997E-2</v>
      </c>
      <c r="O1432" s="10">
        <f t="shared" si="145"/>
        <v>354.99999999999994</v>
      </c>
      <c r="P1432" s="10" t="s">
        <v>5006</v>
      </c>
      <c r="Q1432" s="10" t="s">
        <v>5006</v>
      </c>
      <c r="R1432" s="10" t="str">
        <f>IF(COUNTIF($J$2:J1432,J1432)=1,SUMIFS($O:$O,$J:$J,J1432)+SUMIFS($P:$P,$J:$J,J1432)+SUMIFS($Q:$Q,$J:$J,J1432),"")</f>
        <v/>
      </c>
      <c r="S1432" s="10" t="s">
        <v>5006</v>
      </c>
      <c r="T1432" s="11" t="str">
        <f t="shared" si="148"/>
        <v>Check</v>
      </c>
      <c r="U1432" s="12">
        <v>45986</v>
      </c>
      <c r="V1432" s="10">
        <v>355</v>
      </c>
      <c r="W1432" s="10" t="str">
        <f t="shared" si="146"/>
        <v>N/A</v>
      </c>
      <c r="X1432" t="s">
        <v>476</v>
      </c>
      <c r="Y1432" t="s">
        <v>28</v>
      </c>
      <c r="Z1432">
        <v>100235</v>
      </c>
      <c r="AA1432" t="s">
        <v>509</v>
      </c>
      <c r="AB1432" t="s">
        <v>521</v>
      </c>
      <c r="AC1432" s="9">
        <v>2</v>
      </c>
      <c r="AD1432" s="9" t="str">
        <f t="shared" si="147"/>
        <v>N/A</v>
      </c>
      <c r="AE1432" s="11" t="e">
        <f t="shared" si="149"/>
        <v>#VALUE!</v>
      </c>
    </row>
    <row r="1433" spans="1:31" x14ac:dyDescent="0.3">
      <c r="A1433">
        <v>30</v>
      </c>
      <c r="B1433">
        <v>4760682</v>
      </c>
      <c r="C1433" t="s">
        <v>56</v>
      </c>
      <c r="D1433">
        <v>1880594</v>
      </c>
      <c r="E1433" t="s">
        <v>397</v>
      </c>
      <c r="F1433" t="s">
        <v>24</v>
      </c>
      <c r="G1433" t="s">
        <v>2802</v>
      </c>
      <c r="H1433" t="s">
        <v>1307</v>
      </c>
      <c r="I1433" t="s">
        <v>3494</v>
      </c>
      <c r="J1433">
        <v>51151002971</v>
      </c>
      <c r="K1433" t="s">
        <v>3341</v>
      </c>
      <c r="L1433" t="s">
        <v>4286</v>
      </c>
      <c r="M1433">
        <v>600</v>
      </c>
      <c r="N1433" s="10">
        <v>1.8378399999999999</v>
      </c>
      <c r="O1433" s="10">
        <f t="shared" si="145"/>
        <v>1102.704</v>
      </c>
      <c r="P1433" s="10">
        <v>0</v>
      </c>
      <c r="Q1433" s="10">
        <v>183.05</v>
      </c>
      <c r="R1433" s="10">
        <f>IF(COUNTIF($J$2:J1433,J1433)=1,SUMIFS($O:$O,$J:$J,J1433)+SUMIFS($P:$P,$J:$J,J1433)+SUMIFS($Q:$Q,$J:$J,J1433),"")</f>
        <v>2485.7539999999999</v>
      </c>
      <c r="S1433" s="10">
        <v>2485.75</v>
      </c>
      <c r="T1433" s="11" t="str">
        <f t="shared" si="148"/>
        <v>Check</v>
      </c>
      <c r="U1433" s="12">
        <v>46115</v>
      </c>
      <c r="V1433" s="10">
        <v>1102.7</v>
      </c>
      <c r="W1433" s="10" t="str">
        <f t="shared" si="146"/>
        <v>Short Paid</v>
      </c>
      <c r="X1433" t="s">
        <v>435</v>
      </c>
      <c r="Y1433" t="s">
        <v>40</v>
      </c>
      <c r="Z1433">
        <v>100181</v>
      </c>
      <c r="AA1433" t="s">
        <v>517</v>
      </c>
      <c r="AB1433" t="s">
        <v>522</v>
      </c>
      <c r="AC1433" s="9">
        <v>2</v>
      </c>
      <c r="AD1433" s="9" t="str">
        <f t="shared" si="147"/>
        <v>Check</v>
      </c>
      <c r="AE1433" s="11">
        <f t="shared" si="149"/>
        <v>3.9999999999054126E-3</v>
      </c>
    </row>
    <row r="1434" spans="1:31" x14ac:dyDescent="0.3">
      <c r="A1434">
        <v>30</v>
      </c>
      <c r="B1434">
        <v>4760682</v>
      </c>
      <c r="C1434" t="s">
        <v>56</v>
      </c>
      <c r="D1434">
        <v>1880594</v>
      </c>
      <c r="E1434" t="s">
        <v>397</v>
      </c>
      <c r="F1434" t="s">
        <v>24</v>
      </c>
      <c r="G1434" t="s">
        <v>2802</v>
      </c>
      <c r="H1434" t="s">
        <v>1307</v>
      </c>
      <c r="I1434" t="s">
        <v>3204</v>
      </c>
      <c r="J1434">
        <v>51151002971</v>
      </c>
      <c r="K1434" t="s">
        <v>3226</v>
      </c>
      <c r="L1434" t="s">
        <v>3523</v>
      </c>
      <c r="M1434">
        <v>3000</v>
      </c>
      <c r="N1434" s="10">
        <v>0.4</v>
      </c>
      <c r="O1434" s="10">
        <f t="shared" si="145"/>
        <v>1200</v>
      </c>
      <c r="P1434" s="10" t="s">
        <v>5006</v>
      </c>
      <c r="Q1434" s="10" t="s">
        <v>5006</v>
      </c>
      <c r="R1434" s="10" t="str">
        <f>IF(COUNTIF($J$2:J1434,J1434)=1,SUMIFS($O:$O,$J:$J,J1434)+SUMIFS($P:$P,$J:$J,J1434)+SUMIFS($Q:$Q,$J:$J,J1434),"")</f>
        <v/>
      </c>
      <c r="S1434" s="10" t="s">
        <v>5006</v>
      </c>
      <c r="T1434" s="11" t="str">
        <f t="shared" si="148"/>
        <v>Check</v>
      </c>
      <c r="U1434" s="12">
        <v>46115</v>
      </c>
      <c r="V1434" s="10">
        <v>1102.7</v>
      </c>
      <c r="W1434" s="10" t="str">
        <f t="shared" si="146"/>
        <v>N/A</v>
      </c>
      <c r="X1434" t="s">
        <v>435</v>
      </c>
      <c r="Y1434" t="s">
        <v>40</v>
      </c>
      <c r="Z1434">
        <v>100181</v>
      </c>
      <c r="AA1434" t="s">
        <v>517</v>
      </c>
      <c r="AB1434" t="s">
        <v>522</v>
      </c>
      <c r="AC1434" s="9">
        <v>2</v>
      </c>
      <c r="AD1434" s="9" t="str">
        <f t="shared" si="147"/>
        <v>N/A</v>
      </c>
      <c r="AE1434" s="11" t="e">
        <f t="shared" si="149"/>
        <v>#VALUE!</v>
      </c>
    </row>
    <row r="1435" spans="1:31" x14ac:dyDescent="0.3">
      <c r="A1435">
        <v>2</v>
      </c>
      <c r="B1435">
        <v>4973292</v>
      </c>
      <c r="C1435" t="s">
        <v>56</v>
      </c>
      <c r="D1435">
        <v>1880594</v>
      </c>
      <c r="E1435" t="s">
        <v>397</v>
      </c>
      <c r="F1435" t="s">
        <v>24</v>
      </c>
      <c r="G1435" t="s">
        <v>2993</v>
      </c>
      <c r="H1435" t="s">
        <v>1915</v>
      </c>
      <c r="I1435" t="s">
        <v>3393</v>
      </c>
      <c r="J1435">
        <v>51151026087</v>
      </c>
      <c r="K1435" t="s">
        <v>3177</v>
      </c>
      <c r="L1435" t="s">
        <v>3470</v>
      </c>
      <c r="M1435">
        <v>12000</v>
      </c>
      <c r="N1435" s="10">
        <v>1.273E-2</v>
      </c>
      <c r="O1435" s="10">
        <f t="shared" si="145"/>
        <v>152.76</v>
      </c>
      <c r="P1435" s="10">
        <v>0</v>
      </c>
      <c r="Q1435" s="10">
        <v>1.68</v>
      </c>
      <c r="R1435" s="10">
        <f>IF(COUNTIF($J$2:J1435,J1435)=1,SUMIFS($O:$O,$J:$J,J1435)+SUMIFS($P:$P,$J:$J,J1435)+SUMIFS($Q:$Q,$J:$J,J1435),"")</f>
        <v>172.11</v>
      </c>
      <c r="S1435" s="10">
        <v>172.10999999999999</v>
      </c>
      <c r="T1435" s="11" t="str">
        <f t="shared" si="148"/>
        <v>Ok</v>
      </c>
      <c r="U1435" s="12">
        <v>46157</v>
      </c>
      <c r="V1435" s="10">
        <v>17.670000000000002</v>
      </c>
      <c r="W1435" s="10" t="str">
        <f t="shared" si="146"/>
        <v>Short Paid</v>
      </c>
      <c r="X1435" t="s">
        <v>435</v>
      </c>
      <c r="Y1435" t="s">
        <v>40</v>
      </c>
      <c r="Z1435">
        <v>100101</v>
      </c>
      <c r="AA1435" t="s">
        <v>3048</v>
      </c>
      <c r="AB1435" t="s">
        <v>522</v>
      </c>
      <c r="AC1435" s="9">
        <v>2</v>
      </c>
      <c r="AD1435" s="9" t="str">
        <f t="shared" si="147"/>
        <v>Ok</v>
      </c>
      <c r="AE1435" s="11">
        <f t="shared" si="149"/>
        <v>0</v>
      </c>
    </row>
    <row r="1436" spans="1:31" x14ac:dyDescent="0.3">
      <c r="A1436">
        <v>2</v>
      </c>
      <c r="B1436">
        <v>4973292</v>
      </c>
      <c r="C1436" t="s">
        <v>56</v>
      </c>
      <c r="D1436">
        <v>1880594</v>
      </c>
      <c r="E1436" t="s">
        <v>397</v>
      </c>
      <c r="F1436" t="s">
        <v>24</v>
      </c>
      <c r="G1436" t="s">
        <v>2993</v>
      </c>
      <c r="H1436" t="s">
        <v>1915</v>
      </c>
      <c r="I1436" t="s">
        <v>3166</v>
      </c>
      <c r="J1436">
        <v>51151026087</v>
      </c>
      <c r="K1436" t="s">
        <v>3207</v>
      </c>
      <c r="L1436" t="s">
        <v>4287</v>
      </c>
      <c r="M1436">
        <v>3000</v>
      </c>
      <c r="N1436" s="10">
        <v>5.8900000000000003E-3</v>
      </c>
      <c r="O1436" s="10">
        <f t="shared" si="145"/>
        <v>17.670000000000002</v>
      </c>
      <c r="P1436" s="10" t="s">
        <v>5006</v>
      </c>
      <c r="Q1436" s="10" t="s">
        <v>5006</v>
      </c>
      <c r="R1436" s="10" t="str">
        <f>IF(COUNTIF($J$2:J1436,J1436)=1,SUMIFS($O:$O,$J:$J,J1436)+SUMIFS($P:$P,$J:$J,J1436)+SUMIFS($Q:$Q,$J:$J,J1436),"")</f>
        <v/>
      </c>
      <c r="S1436" s="10" t="s">
        <v>5006</v>
      </c>
      <c r="T1436" s="11" t="str">
        <f t="shared" si="148"/>
        <v>Ok</v>
      </c>
      <c r="U1436" s="12">
        <v>46157</v>
      </c>
      <c r="V1436" s="10">
        <v>17.670000000000002</v>
      </c>
      <c r="W1436" s="10" t="str">
        <f t="shared" si="146"/>
        <v>N/A</v>
      </c>
      <c r="X1436" t="s">
        <v>435</v>
      </c>
      <c r="Y1436" t="s">
        <v>40</v>
      </c>
      <c r="Z1436">
        <v>100101</v>
      </c>
      <c r="AA1436" t="s">
        <v>3048</v>
      </c>
      <c r="AB1436" t="s">
        <v>522</v>
      </c>
      <c r="AC1436" s="9">
        <v>2</v>
      </c>
      <c r="AD1436" s="9" t="str">
        <f t="shared" si="147"/>
        <v>N/A</v>
      </c>
      <c r="AE1436" s="11" t="e">
        <f t="shared" si="149"/>
        <v>#VALUE!</v>
      </c>
    </row>
    <row r="1437" spans="1:31" x14ac:dyDescent="0.3">
      <c r="A1437">
        <v>15</v>
      </c>
      <c r="B1437">
        <v>4887302</v>
      </c>
      <c r="C1437" t="s">
        <v>220</v>
      </c>
      <c r="D1437">
        <v>1525997</v>
      </c>
      <c r="E1437" t="s">
        <v>563</v>
      </c>
      <c r="F1437" t="s">
        <v>49</v>
      </c>
      <c r="G1437" t="s">
        <v>1696</v>
      </c>
      <c r="H1437" t="s">
        <v>1697</v>
      </c>
      <c r="I1437" t="s">
        <v>3227</v>
      </c>
      <c r="J1437">
        <v>51151169416</v>
      </c>
      <c r="K1437" t="s">
        <v>3386</v>
      </c>
      <c r="L1437" t="s">
        <v>3575</v>
      </c>
      <c r="M1437">
        <v>8000</v>
      </c>
      <c r="N1437" s="10">
        <v>3.8620000000000002E-2</v>
      </c>
      <c r="O1437" s="10">
        <f t="shared" si="145"/>
        <v>308.96000000000004</v>
      </c>
      <c r="P1437" s="10">
        <v>246.97000000000003</v>
      </c>
      <c r="Q1437" s="10">
        <v>0</v>
      </c>
      <c r="R1437" s="10">
        <f>IF(COUNTIF($J$2:J1437,J1437)=1,SUMIFS($O:$O,$J:$J,J1437)+SUMIFS($P:$P,$J:$J,J1437)+SUMIFS($Q:$Q,$J:$J,J1437),"")</f>
        <v>2908.9300000000003</v>
      </c>
      <c r="S1437" s="10">
        <v>3719.93</v>
      </c>
      <c r="T1437" s="11" t="str">
        <f t="shared" si="148"/>
        <v>Check</v>
      </c>
      <c r="U1437" s="12">
        <v>46140</v>
      </c>
      <c r="V1437" s="10">
        <v>221.48</v>
      </c>
      <c r="W1437" s="10" t="str">
        <f t="shared" si="146"/>
        <v>Short Paid</v>
      </c>
      <c r="X1437" t="s">
        <v>470</v>
      </c>
      <c r="Y1437" t="s">
        <v>29</v>
      </c>
      <c r="Z1437">
        <v>100298</v>
      </c>
      <c r="AA1437" t="s">
        <v>3105</v>
      </c>
      <c r="AB1437" t="s">
        <v>3041</v>
      </c>
      <c r="AC1437" s="9">
        <v>2</v>
      </c>
      <c r="AD1437" s="9" t="str">
        <f t="shared" si="147"/>
        <v>Check</v>
      </c>
      <c r="AE1437" s="11">
        <f t="shared" si="149"/>
        <v>-810.99999999999955</v>
      </c>
    </row>
    <row r="1438" spans="1:31" x14ac:dyDescent="0.3">
      <c r="A1438">
        <v>15</v>
      </c>
      <c r="B1438">
        <v>4887302</v>
      </c>
      <c r="C1438" t="s">
        <v>220</v>
      </c>
      <c r="D1438">
        <v>1525997</v>
      </c>
      <c r="E1438" t="s">
        <v>563</v>
      </c>
      <c r="F1438" t="s">
        <v>49</v>
      </c>
      <c r="G1438" t="s">
        <v>1696</v>
      </c>
      <c r="H1438" t="s">
        <v>1697</v>
      </c>
      <c r="I1438" t="s">
        <v>3342</v>
      </c>
      <c r="J1438">
        <v>51151169416</v>
      </c>
      <c r="K1438" t="s">
        <v>3990</v>
      </c>
      <c r="L1438" t="s">
        <v>4126</v>
      </c>
      <c r="M1438">
        <v>20</v>
      </c>
      <c r="N1438" s="10">
        <v>117.65</v>
      </c>
      <c r="O1438" s="10">
        <f t="shared" si="145"/>
        <v>2353</v>
      </c>
      <c r="P1438" s="10" t="s">
        <v>5006</v>
      </c>
      <c r="Q1438" s="10" t="s">
        <v>5006</v>
      </c>
      <c r="R1438" s="10" t="str">
        <f>IF(COUNTIF($J$2:J1438,J1438)=1,SUMIFS($O:$O,$J:$J,J1438)+SUMIFS($P:$P,$J:$J,J1438)+SUMIFS($Q:$Q,$J:$J,J1438),"")</f>
        <v/>
      </c>
      <c r="S1438" s="10" t="s">
        <v>5006</v>
      </c>
      <c r="T1438" s="11" t="str">
        <f t="shared" si="148"/>
        <v>Check</v>
      </c>
      <c r="U1438" s="12">
        <v>46140</v>
      </c>
      <c r="V1438" s="10">
        <v>221.48</v>
      </c>
      <c r="W1438" s="10" t="str">
        <f t="shared" si="146"/>
        <v>N/A</v>
      </c>
      <c r="X1438" t="s">
        <v>470</v>
      </c>
      <c r="Y1438" t="s">
        <v>29</v>
      </c>
      <c r="Z1438">
        <v>100298</v>
      </c>
      <c r="AA1438" t="s">
        <v>3105</v>
      </c>
      <c r="AB1438" t="s">
        <v>3041</v>
      </c>
      <c r="AC1438" s="9">
        <v>2</v>
      </c>
      <c r="AD1438" s="9" t="str">
        <f t="shared" si="147"/>
        <v>N/A</v>
      </c>
      <c r="AE1438" s="11" t="e">
        <f t="shared" si="149"/>
        <v>#VALUE!</v>
      </c>
    </row>
    <row r="1439" spans="1:31" x14ac:dyDescent="0.3">
      <c r="A1439">
        <v>28</v>
      </c>
      <c r="B1439">
        <v>4771536</v>
      </c>
      <c r="C1439" t="s">
        <v>220</v>
      </c>
      <c r="D1439">
        <v>1469829</v>
      </c>
      <c r="E1439" t="s">
        <v>224</v>
      </c>
      <c r="F1439" t="s">
        <v>19</v>
      </c>
      <c r="G1439" t="s">
        <v>1346</v>
      </c>
      <c r="H1439" t="s">
        <v>1347</v>
      </c>
      <c r="I1439" t="s">
        <v>3449</v>
      </c>
      <c r="J1439">
        <v>51151169422</v>
      </c>
      <c r="K1439" t="s">
        <v>3374</v>
      </c>
      <c r="L1439" t="s">
        <v>4288</v>
      </c>
      <c r="M1439">
        <v>12000</v>
      </c>
      <c r="N1439" s="10">
        <v>4.1799999999999997E-2</v>
      </c>
      <c r="O1439" s="10">
        <f t="shared" si="145"/>
        <v>501.59999999999997</v>
      </c>
      <c r="P1439" s="10">
        <v>0</v>
      </c>
      <c r="Q1439" s="10">
        <v>0</v>
      </c>
      <c r="R1439" s="10">
        <f>IF(COUNTIF($J$2:J1439,J1439)=1,SUMIFS($O:$O,$J:$J,J1439)+SUMIFS($P:$P,$J:$J,J1439)+SUMIFS($Q:$Q,$J:$J,J1439),"")</f>
        <v>1751.1999999999998</v>
      </c>
      <c r="S1439" s="10">
        <v>1751.1999999999998</v>
      </c>
      <c r="T1439" s="11" t="str">
        <f t="shared" si="148"/>
        <v>Ok</v>
      </c>
      <c r="U1439" s="12">
        <v>46091</v>
      </c>
      <c r="V1439" s="10">
        <v>250</v>
      </c>
      <c r="W1439" s="10" t="str">
        <f t="shared" si="146"/>
        <v>Short Paid</v>
      </c>
      <c r="X1439" t="s">
        <v>470</v>
      </c>
      <c r="Y1439" t="s">
        <v>28</v>
      </c>
      <c r="Z1439">
        <v>100248</v>
      </c>
      <c r="AA1439" t="s">
        <v>3117</v>
      </c>
      <c r="AB1439" t="s">
        <v>524</v>
      </c>
      <c r="AC1439" s="9">
        <v>3</v>
      </c>
      <c r="AD1439" s="9" t="str">
        <f t="shared" si="147"/>
        <v>Ok</v>
      </c>
      <c r="AE1439" s="11">
        <f t="shared" si="149"/>
        <v>0</v>
      </c>
    </row>
    <row r="1440" spans="1:31" x14ac:dyDescent="0.3">
      <c r="A1440">
        <v>28</v>
      </c>
      <c r="B1440">
        <v>4771536</v>
      </c>
      <c r="C1440" t="s">
        <v>220</v>
      </c>
      <c r="D1440">
        <v>1469829</v>
      </c>
      <c r="E1440" t="s">
        <v>224</v>
      </c>
      <c r="F1440" t="s">
        <v>19</v>
      </c>
      <c r="G1440" t="s">
        <v>1346</v>
      </c>
      <c r="H1440" t="s">
        <v>1347</v>
      </c>
      <c r="I1440" t="s">
        <v>3213</v>
      </c>
      <c r="J1440">
        <v>51151169422</v>
      </c>
      <c r="K1440" t="s">
        <v>3229</v>
      </c>
      <c r="L1440" t="s">
        <v>4289</v>
      </c>
      <c r="M1440">
        <v>1</v>
      </c>
      <c r="N1440" s="10">
        <v>250</v>
      </c>
      <c r="O1440" s="10">
        <f t="shared" si="145"/>
        <v>250</v>
      </c>
      <c r="P1440" s="10" t="s">
        <v>5006</v>
      </c>
      <c r="Q1440" s="10" t="s">
        <v>5006</v>
      </c>
      <c r="R1440" s="10" t="str">
        <f>IF(COUNTIF($J$2:J1440,J1440)=1,SUMIFS($O:$O,$J:$J,J1440)+SUMIFS($P:$P,$J:$J,J1440)+SUMIFS($Q:$Q,$J:$J,J1440),"")</f>
        <v/>
      </c>
      <c r="S1440" s="10" t="s">
        <v>5006</v>
      </c>
      <c r="T1440" s="11" t="str">
        <f t="shared" si="148"/>
        <v>Ok</v>
      </c>
      <c r="U1440" s="12">
        <v>46091</v>
      </c>
      <c r="V1440" s="10">
        <v>250</v>
      </c>
      <c r="W1440" s="10" t="str">
        <f t="shared" si="146"/>
        <v>N/A</v>
      </c>
      <c r="X1440" t="s">
        <v>470</v>
      </c>
      <c r="Y1440" t="s">
        <v>28</v>
      </c>
      <c r="Z1440">
        <v>100248</v>
      </c>
      <c r="AA1440" t="s">
        <v>3117</v>
      </c>
      <c r="AB1440" t="s">
        <v>524</v>
      </c>
      <c r="AC1440" s="9">
        <v>3</v>
      </c>
      <c r="AD1440" s="9" t="str">
        <f t="shared" si="147"/>
        <v>N/A</v>
      </c>
      <c r="AE1440" s="11" t="e">
        <f t="shared" si="149"/>
        <v>#VALUE!</v>
      </c>
    </row>
    <row r="1441" spans="1:31" x14ac:dyDescent="0.3">
      <c r="A1441">
        <v>28</v>
      </c>
      <c r="B1441">
        <v>4771536</v>
      </c>
      <c r="C1441" t="s">
        <v>220</v>
      </c>
      <c r="D1441">
        <v>1469829</v>
      </c>
      <c r="E1441" t="s">
        <v>224</v>
      </c>
      <c r="F1441" t="s">
        <v>19</v>
      </c>
      <c r="G1441" t="s">
        <v>1346</v>
      </c>
      <c r="H1441" t="s">
        <v>1347</v>
      </c>
      <c r="I1441" t="s">
        <v>3213</v>
      </c>
      <c r="J1441">
        <v>51151169422</v>
      </c>
      <c r="K1441" t="s">
        <v>3229</v>
      </c>
      <c r="L1441" t="s">
        <v>4290</v>
      </c>
      <c r="M1441">
        <v>280</v>
      </c>
      <c r="N1441" s="10">
        <v>3.57</v>
      </c>
      <c r="O1441" s="10">
        <f t="shared" si="145"/>
        <v>999.59999999999991</v>
      </c>
      <c r="P1441" s="10" t="s">
        <v>5006</v>
      </c>
      <c r="Q1441" s="10" t="s">
        <v>5006</v>
      </c>
      <c r="R1441" s="10" t="str">
        <f>IF(COUNTIF($J$2:J1441,J1441)=1,SUMIFS($O:$O,$J:$J,J1441)+SUMIFS($P:$P,$J:$J,J1441)+SUMIFS($Q:$Q,$J:$J,J1441),"")</f>
        <v/>
      </c>
      <c r="S1441" s="10" t="s">
        <v>5006</v>
      </c>
      <c r="T1441" s="11" t="str">
        <f t="shared" si="148"/>
        <v>Ok</v>
      </c>
      <c r="U1441" s="12">
        <v>46091</v>
      </c>
      <c r="V1441" s="10">
        <v>250</v>
      </c>
      <c r="W1441" s="10" t="str">
        <f t="shared" si="146"/>
        <v>N/A</v>
      </c>
      <c r="X1441" t="s">
        <v>470</v>
      </c>
      <c r="Y1441" t="s">
        <v>28</v>
      </c>
      <c r="Z1441">
        <v>100248</v>
      </c>
      <c r="AA1441" t="s">
        <v>3117</v>
      </c>
      <c r="AB1441" t="s">
        <v>524</v>
      </c>
      <c r="AC1441" s="9">
        <v>3</v>
      </c>
      <c r="AD1441" s="9" t="str">
        <f t="shared" si="147"/>
        <v>N/A</v>
      </c>
      <c r="AE1441" s="11" t="e">
        <f t="shared" si="149"/>
        <v>#VALUE!</v>
      </c>
    </row>
    <row r="1442" spans="1:31" x14ac:dyDescent="0.3">
      <c r="A1442">
        <v>28</v>
      </c>
      <c r="B1442">
        <v>4772092</v>
      </c>
      <c r="C1442" t="s">
        <v>217</v>
      </c>
      <c r="D1442">
        <v>1134777</v>
      </c>
      <c r="E1442" t="s">
        <v>695</v>
      </c>
      <c r="F1442" t="s">
        <v>18</v>
      </c>
      <c r="G1442" t="s">
        <v>1350</v>
      </c>
      <c r="H1442" t="s">
        <v>1351</v>
      </c>
      <c r="I1442" t="s">
        <v>3267</v>
      </c>
      <c r="J1442">
        <v>51151228690</v>
      </c>
      <c r="K1442" t="s">
        <v>3241</v>
      </c>
      <c r="L1442" t="s">
        <v>3493</v>
      </c>
      <c r="M1442">
        <v>12000</v>
      </c>
      <c r="N1442" s="10">
        <v>3.1040000000000002E-2</v>
      </c>
      <c r="O1442" s="10">
        <f t="shared" si="145"/>
        <v>372.48</v>
      </c>
      <c r="P1442" s="10">
        <v>0</v>
      </c>
      <c r="Q1442" s="10">
        <v>117.95</v>
      </c>
      <c r="R1442" s="10">
        <f>IF(COUNTIF($J$2:J1442,J1442)=1,SUMIFS($O:$O,$J:$J,J1442)+SUMIFS($P:$P,$J:$J,J1442)+SUMIFS($Q:$Q,$J:$J,J1442),"")</f>
        <v>1645.43</v>
      </c>
      <c r="S1442" s="10">
        <v>1893.75</v>
      </c>
      <c r="T1442" s="11" t="str">
        <f t="shared" si="148"/>
        <v>Check</v>
      </c>
      <c r="U1442" s="12">
        <v>46091</v>
      </c>
      <c r="V1442" s="10">
        <v>172.75</v>
      </c>
      <c r="W1442" s="10" t="str">
        <f t="shared" si="146"/>
        <v>Short Paid</v>
      </c>
      <c r="X1442" t="s">
        <v>468</v>
      </c>
      <c r="Y1442" t="s">
        <v>28</v>
      </c>
      <c r="Z1442">
        <v>100286</v>
      </c>
      <c r="AA1442" t="s">
        <v>3061</v>
      </c>
      <c r="AB1442" t="s">
        <v>523</v>
      </c>
      <c r="AC1442" s="9">
        <v>2</v>
      </c>
      <c r="AD1442" s="9" t="str">
        <f t="shared" si="147"/>
        <v>Check</v>
      </c>
      <c r="AE1442" s="11">
        <f t="shared" si="149"/>
        <v>-248.31999999999994</v>
      </c>
    </row>
    <row r="1443" spans="1:31" x14ac:dyDescent="0.3">
      <c r="A1443">
        <v>28</v>
      </c>
      <c r="B1443">
        <v>4772092</v>
      </c>
      <c r="C1443" t="s">
        <v>217</v>
      </c>
      <c r="D1443">
        <v>1134777</v>
      </c>
      <c r="E1443" t="s">
        <v>695</v>
      </c>
      <c r="F1443" t="s">
        <v>18</v>
      </c>
      <c r="G1443" t="s">
        <v>1350</v>
      </c>
      <c r="H1443" t="s">
        <v>1351</v>
      </c>
      <c r="I1443" t="s">
        <v>3325</v>
      </c>
      <c r="J1443">
        <v>51151228690</v>
      </c>
      <c r="K1443" t="s">
        <v>3207</v>
      </c>
      <c r="L1443" t="s">
        <v>3346</v>
      </c>
      <c r="M1443">
        <v>17500</v>
      </c>
      <c r="N1443" s="10">
        <v>6.6000000000000003E-2</v>
      </c>
      <c r="O1443" s="10">
        <f t="shared" si="145"/>
        <v>1155</v>
      </c>
      <c r="P1443" s="10" t="s">
        <v>5006</v>
      </c>
      <c r="Q1443" s="10" t="s">
        <v>5006</v>
      </c>
      <c r="R1443" s="10" t="str">
        <f>IF(COUNTIF($J$2:J1443,J1443)=1,SUMIFS($O:$O,$J:$J,J1443)+SUMIFS($P:$P,$J:$J,J1443)+SUMIFS($Q:$Q,$J:$J,J1443),"")</f>
        <v/>
      </c>
      <c r="S1443" s="10" t="s">
        <v>5006</v>
      </c>
      <c r="T1443" s="11" t="str">
        <f t="shared" si="148"/>
        <v>Check</v>
      </c>
      <c r="U1443" s="12">
        <v>46091</v>
      </c>
      <c r="V1443" s="10">
        <v>172.75</v>
      </c>
      <c r="W1443" s="10" t="str">
        <f t="shared" si="146"/>
        <v>N/A</v>
      </c>
      <c r="X1443" t="s">
        <v>468</v>
      </c>
      <c r="Y1443" t="s">
        <v>28</v>
      </c>
      <c r="Z1443">
        <v>100286</v>
      </c>
      <c r="AA1443" t="s">
        <v>3061</v>
      </c>
      <c r="AB1443" t="s">
        <v>523</v>
      </c>
      <c r="AC1443" s="9">
        <v>2</v>
      </c>
      <c r="AD1443" s="9" t="str">
        <f t="shared" si="147"/>
        <v>N/A</v>
      </c>
      <c r="AE1443" s="11" t="e">
        <f t="shared" si="149"/>
        <v>#VALUE!</v>
      </c>
    </row>
    <row r="1444" spans="1:31" x14ac:dyDescent="0.3">
      <c r="A1444">
        <v>28</v>
      </c>
      <c r="B1444">
        <v>4770979</v>
      </c>
      <c r="C1444" t="s">
        <v>220</v>
      </c>
      <c r="D1444">
        <v>1469829</v>
      </c>
      <c r="E1444" t="s">
        <v>224</v>
      </c>
      <c r="F1444" t="s">
        <v>19</v>
      </c>
      <c r="G1444" t="s">
        <v>1342</v>
      </c>
      <c r="H1444" t="s">
        <v>1343</v>
      </c>
      <c r="I1444" t="s">
        <v>3449</v>
      </c>
      <c r="J1444">
        <v>51151269614</v>
      </c>
      <c r="K1444" t="s">
        <v>3209</v>
      </c>
      <c r="L1444" t="s">
        <v>4291</v>
      </c>
      <c r="M1444">
        <v>4500</v>
      </c>
      <c r="N1444" s="10">
        <v>14.77</v>
      </c>
      <c r="O1444" s="10">
        <f t="shared" si="145"/>
        <v>66465</v>
      </c>
      <c r="P1444" s="10">
        <v>0</v>
      </c>
      <c r="Q1444" s="10">
        <v>0</v>
      </c>
      <c r="R1444" s="10">
        <f>IF(COUNTIF($J$2:J1444,J1444)=1,SUMIFS($O:$O,$J:$J,J1444)+SUMIFS($P:$P,$J:$J,J1444)+SUMIFS($Q:$Q,$J:$J,J1444),"")</f>
        <v>78321.5</v>
      </c>
      <c r="S1444" s="10">
        <v>80148.75</v>
      </c>
      <c r="T1444" s="11" t="str">
        <f t="shared" si="148"/>
        <v>Check</v>
      </c>
      <c r="U1444" s="12">
        <v>46092</v>
      </c>
      <c r="V1444" s="10">
        <v>540</v>
      </c>
      <c r="W1444" s="10" t="str">
        <f t="shared" si="146"/>
        <v>Short Paid</v>
      </c>
      <c r="X1444" t="s">
        <v>470</v>
      </c>
      <c r="Y1444" t="s">
        <v>28</v>
      </c>
      <c r="Z1444">
        <v>100208</v>
      </c>
      <c r="AA1444" t="s">
        <v>3098</v>
      </c>
      <c r="AB1444" t="s">
        <v>524</v>
      </c>
      <c r="AC1444" s="9">
        <v>3</v>
      </c>
      <c r="AD1444" s="9" t="str">
        <f t="shared" si="147"/>
        <v>Check</v>
      </c>
      <c r="AE1444" s="11">
        <f t="shared" si="149"/>
        <v>-1827.25</v>
      </c>
    </row>
    <row r="1445" spans="1:31" x14ac:dyDescent="0.3">
      <c r="A1445">
        <v>28</v>
      </c>
      <c r="B1445">
        <v>4770979</v>
      </c>
      <c r="C1445" t="s">
        <v>220</v>
      </c>
      <c r="D1445">
        <v>1469829</v>
      </c>
      <c r="E1445" t="s">
        <v>224</v>
      </c>
      <c r="F1445" t="s">
        <v>19</v>
      </c>
      <c r="G1445" t="s">
        <v>1342</v>
      </c>
      <c r="H1445" t="s">
        <v>1343</v>
      </c>
      <c r="I1445" t="s">
        <v>3449</v>
      </c>
      <c r="J1445">
        <v>51151269614</v>
      </c>
      <c r="K1445" t="s">
        <v>3209</v>
      </c>
      <c r="L1445" t="s">
        <v>4292</v>
      </c>
      <c r="M1445">
        <v>1</v>
      </c>
      <c r="N1445" s="10">
        <v>290</v>
      </c>
      <c r="O1445" s="10">
        <f t="shared" si="145"/>
        <v>290</v>
      </c>
      <c r="P1445" s="10" t="s">
        <v>5006</v>
      </c>
      <c r="Q1445" s="10" t="s">
        <v>5006</v>
      </c>
      <c r="R1445" s="10" t="str">
        <f>IF(COUNTIF($J$2:J1445,J1445)=1,SUMIFS($O:$O,$J:$J,J1445)+SUMIFS($P:$P,$J:$J,J1445)+SUMIFS($Q:$Q,$J:$J,J1445),"")</f>
        <v/>
      </c>
      <c r="S1445" s="10" t="s">
        <v>5006</v>
      </c>
      <c r="T1445" s="11" t="str">
        <f t="shared" si="148"/>
        <v>Check</v>
      </c>
      <c r="U1445" s="12">
        <v>46092</v>
      </c>
      <c r="V1445" s="10">
        <v>540</v>
      </c>
      <c r="W1445" s="10" t="str">
        <f t="shared" si="146"/>
        <v>N/A</v>
      </c>
      <c r="X1445" t="s">
        <v>470</v>
      </c>
      <c r="Y1445" t="s">
        <v>28</v>
      </c>
      <c r="Z1445">
        <v>100208</v>
      </c>
      <c r="AA1445" t="s">
        <v>3098</v>
      </c>
      <c r="AB1445" t="s">
        <v>524</v>
      </c>
      <c r="AC1445" s="9">
        <v>3</v>
      </c>
      <c r="AD1445" s="9" t="str">
        <f t="shared" si="147"/>
        <v>N/A</v>
      </c>
      <c r="AE1445" s="11" t="e">
        <f t="shared" si="149"/>
        <v>#VALUE!</v>
      </c>
    </row>
    <row r="1446" spans="1:31" x14ac:dyDescent="0.3">
      <c r="A1446">
        <v>28</v>
      </c>
      <c r="B1446">
        <v>4770979</v>
      </c>
      <c r="C1446" t="s">
        <v>220</v>
      </c>
      <c r="D1446">
        <v>1469829</v>
      </c>
      <c r="E1446" t="s">
        <v>224</v>
      </c>
      <c r="F1446" t="s">
        <v>19</v>
      </c>
      <c r="G1446" t="s">
        <v>1342</v>
      </c>
      <c r="H1446" t="s">
        <v>1343</v>
      </c>
      <c r="I1446" t="s">
        <v>3476</v>
      </c>
      <c r="J1446">
        <v>51151269614</v>
      </c>
      <c r="K1446" t="s">
        <v>3177</v>
      </c>
      <c r="L1446" t="s">
        <v>4293</v>
      </c>
      <c r="M1446">
        <v>33000</v>
      </c>
      <c r="N1446" s="10">
        <v>0.35049999999999998</v>
      </c>
      <c r="O1446" s="10">
        <f t="shared" si="145"/>
        <v>11566.5</v>
      </c>
      <c r="P1446" s="10" t="s">
        <v>5006</v>
      </c>
      <c r="Q1446" s="10" t="s">
        <v>5006</v>
      </c>
      <c r="R1446" s="10" t="str">
        <f>IF(COUNTIF($J$2:J1446,J1446)=1,SUMIFS($O:$O,$J:$J,J1446)+SUMIFS($P:$P,$J:$J,J1446)+SUMIFS($Q:$Q,$J:$J,J1446),"")</f>
        <v/>
      </c>
      <c r="S1446" s="10" t="s">
        <v>5006</v>
      </c>
      <c r="T1446" s="11" t="str">
        <f t="shared" si="148"/>
        <v>Check</v>
      </c>
      <c r="U1446" s="12">
        <v>46092</v>
      </c>
      <c r="V1446" s="10">
        <v>540</v>
      </c>
      <c r="W1446" s="10" t="str">
        <f t="shared" si="146"/>
        <v>N/A</v>
      </c>
      <c r="X1446" t="s">
        <v>470</v>
      </c>
      <c r="Y1446" t="s">
        <v>28</v>
      </c>
      <c r="Z1446">
        <v>100208</v>
      </c>
      <c r="AA1446" t="s">
        <v>3098</v>
      </c>
      <c r="AB1446" t="s">
        <v>524</v>
      </c>
      <c r="AC1446" s="9">
        <v>3</v>
      </c>
      <c r="AD1446" s="9" t="str">
        <f t="shared" si="147"/>
        <v>N/A</v>
      </c>
      <c r="AE1446" s="11" t="e">
        <f t="shared" si="149"/>
        <v>#VALUE!</v>
      </c>
    </row>
    <row r="1447" spans="1:31" x14ac:dyDescent="0.3">
      <c r="A1447">
        <v>28</v>
      </c>
      <c r="B1447">
        <v>4775431</v>
      </c>
      <c r="C1447" t="s">
        <v>239</v>
      </c>
      <c r="D1447">
        <v>1079286</v>
      </c>
      <c r="E1447" t="s">
        <v>629</v>
      </c>
      <c r="F1447" t="s">
        <v>20</v>
      </c>
      <c r="G1447" t="s">
        <v>1359</v>
      </c>
      <c r="H1447" t="s">
        <v>1360</v>
      </c>
      <c r="I1447" t="s">
        <v>3505</v>
      </c>
      <c r="J1447">
        <v>51151310508</v>
      </c>
      <c r="K1447" t="s">
        <v>3375</v>
      </c>
      <c r="L1447" t="s">
        <v>3428</v>
      </c>
      <c r="M1447">
        <v>7500</v>
      </c>
      <c r="N1447" s="10">
        <v>0.13750000000000001</v>
      </c>
      <c r="O1447" s="10">
        <f t="shared" si="145"/>
        <v>1031.25</v>
      </c>
      <c r="P1447" s="10">
        <v>0</v>
      </c>
      <c r="Q1447" s="10">
        <v>43.09</v>
      </c>
      <c r="R1447" s="10">
        <f>IF(COUNTIF($J$2:J1447,J1447)=1,SUMIFS($O:$O,$J:$J,J1447)+SUMIFS($P:$P,$J:$J,J1447)+SUMIFS($Q:$Q,$J:$J,J1447),"")</f>
        <v>2094.94</v>
      </c>
      <c r="S1447" s="10">
        <v>4157.4400000000005</v>
      </c>
      <c r="T1447" s="11" t="str">
        <f t="shared" si="148"/>
        <v>Check</v>
      </c>
      <c r="U1447" s="12">
        <v>45817</v>
      </c>
      <c r="V1447" s="10">
        <v>1063.69</v>
      </c>
      <c r="W1447" s="10" t="str">
        <f t="shared" si="146"/>
        <v>Short Paid</v>
      </c>
      <c r="X1447" t="s">
        <v>476</v>
      </c>
      <c r="Y1447" t="s">
        <v>28</v>
      </c>
      <c r="Z1447">
        <v>100125</v>
      </c>
      <c r="AA1447" t="s">
        <v>477</v>
      </c>
      <c r="AB1447" t="s">
        <v>521</v>
      </c>
      <c r="AC1447" s="9">
        <v>2</v>
      </c>
      <c r="AD1447" s="9" t="str">
        <f t="shared" si="147"/>
        <v>Check</v>
      </c>
      <c r="AE1447" s="11">
        <f t="shared" si="149"/>
        <v>-2062.5000000000005</v>
      </c>
    </row>
    <row r="1448" spans="1:31" x14ac:dyDescent="0.3">
      <c r="A1448">
        <v>28</v>
      </c>
      <c r="B1448">
        <v>4775431</v>
      </c>
      <c r="C1448" t="s">
        <v>239</v>
      </c>
      <c r="D1448">
        <v>1079286</v>
      </c>
      <c r="E1448" t="s">
        <v>629</v>
      </c>
      <c r="F1448" t="s">
        <v>20</v>
      </c>
      <c r="G1448" t="s">
        <v>1359</v>
      </c>
      <c r="H1448" t="s">
        <v>1360</v>
      </c>
      <c r="I1448" t="s">
        <v>3355</v>
      </c>
      <c r="J1448">
        <v>51151310508</v>
      </c>
      <c r="K1448" t="s">
        <v>3168</v>
      </c>
      <c r="L1448" t="s">
        <v>4294</v>
      </c>
      <c r="M1448">
        <v>81000</v>
      </c>
      <c r="N1448" s="10">
        <v>1.26E-2</v>
      </c>
      <c r="O1448" s="10">
        <f t="shared" si="145"/>
        <v>1020.6</v>
      </c>
      <c r="P1448" s="10" t="s">
        <v>5006</v>
      </c>
      <c r="Q1448" s="10" t="s">
        <v>5006</v>
      </c>
      <c r="R1448" s="10" t="str">
        <f>IF(COUNTIF($J$2:J1448,J1448)=1,SUMIFS($O:$O,$J:$J,J1448)+SUMIFS($P:$P,$J:$J,J1448)+SUMIFS($Q:$Q,$J:$J,J1448),"")</f>
        <v/>
      </c>
      <c r="S1448" s="10" t="s">
        <v>5006</v>
      </c>
      <c r="T1448" s="11" t="str">
        <f t="shared" si="148"/>
        <v>Check</v>
      </c>
      <c r="U1448" s="12">
        <v>45817</v>
      </c>
      <c r="V1448" s="10">
        <v>1063.69</v>
      </c>
      <c r="W1448" s="10" t="str">
        <f t="shared" si="146"/>
        <v>N/A</v>
      </c>
      <c r="X1448" t="s">
        <v>476</v>
      </c>
      <c r="Y1448" t="s">
        <v>28</v>
      </c>
      <c r="Z1448">
        <v>100125</v>
      </c>
      <c r="AA1448" t="s">
        <v>477</v>
      </c>
      <c r="AB1448" t="s">
        <v>521</v>
      </c>
      <c r="AC1448" s="9">
        <v>2</v>
      </c>
      <c r="AD1448" s="9" t="str">
        <f t="shared" si="147"/>
        <v>N/A</v>
      </c>
      <c r="AE1448" s="11" t="e">
        <f t="shared" si="149"/>
        <v>#VALUE!</v>
      </c>
    </row>
    <row r="1449" spans="1:31" x14ac:dyDescent="0.3">
      <c r="A1449">
        <v>28</v>
      </c>
      <c r="B1449">
        <v>4772370</v>
      </c>
      <c r="C1449" t="s">
        <v>160</v>
      </c>
      <c r="D1449">
        <v>1535517</v>
      </c>
      <c r="E1449" t="s">
        <v>4895</v>
      </c>
      <c r="F1449" t="s">
        <v>18</v>
      </c>
      <c r="G1449" t="s">
        <v>1352</v>
      </c>
      <c r="H1449" t="s">
        <v>1353</v>
      </c>
      <c r="I1449" t="s">
        <v>3476</v>
      </c>
      <c r="J1449">
        <v>51151372639</v>
      </c>
      <c r="K1449" t="s">
        <v>3246</v>
      </c>
      <c r="L1449" t="s">
        <v>3445</v>
      </c>
      <c r="M1449">
        <v>2000</v>
      </c>
      <c r="N1449" s="10">
        <v>0.21</v>
      </c>
      <c r="O1449" s="10">
        <f t="shared" si="145"/>
        <v>420</v>
      </c>
      <c r="P1449" s="10">
        <v>0</v>
      </c>
      <c r="Q1449" s="10">
        <v>0</v>
      </c>
      <c r="R1449" s="10">
        <f>IF(COUNTIF($J$2:J1449,J1449)=1,SUMIFS($O:$O,$J:$J,J1449)+SUMIFS($P:$P,$J:$J,J1449)+SUMIFS($Q:$Q,$J:$J,J1449),"")</f>
        <v>18201.12</v>
      </c>
      <c r="S1449" s="10">
        <v>19469.12</v>
      </c>
      <c r="T1449" s="11" t="str">
        <f t="shared" si="148"/>
        <v>Check</v>
      </c>
      <c r="U1449" s="12">
        <v>46127</v>
      </c>
      <c r="V1449" s="10">
        <v>17789.12</v>
      </c>
      <c r="W1449" s="10" t="str">
        <f t="shared" si="146"/>
        <v>Short Paid</v>
      </c>
      <c r="X1449" t="s">
        <v>453</v>
      </c>
      <c r="Y1449" t="s">
        <v>28</v>
      </c>
      <c r="Z1449">
        <v>100114</v>
      </c>
      <c r="AA1449" t="s">
        <v>498</v>
      </c>
      <c r="AB1449" t="s">
        <v>523</v>
      </c>
      <c r="AC1449" s="9">
        <v>2</v>
      </c>
      <c r="AD1449" s="9" t="str">
        <f t="shared" si="147"/>
        <v>Check</v>
      </c>
      <c r="AE1449" s="11">
        <f t="shared" si="149"/>
        <v>-1268</v>
      </c>
    </row>
    <row r="1450" spans="1:31" x14ac:dyDescent="0.3">
      <c r="A1450">
        <v>28</v>
      </c>
      <c r="B1450">
        <v>4772370</v>
      </c>
      <c r="C1450" t="s">
        <v>160</v>
      </c>
      <c r="D1450">
        <v>1535517</v>
      </c>
      <c r="E1450" t="s">
        <v>4895</v>
      </c>
      <c r="F1450" t="s">
        <v>18</v>
      </c>
      <c r="G1450" t="s">
        <v>1352</v>
      </c>
      <c r="H1450" t="s">
        <v>1353</v>
      </c>
      <c r="I1450" t="s">
        <v>3535</v>
      </c>
      <c r="J1450">
        <v>51151372639</v>
      </c>
      <c r="K1450" t="s">
        <v>4296</v>
      </c>
      <c r="L1450" t="s">
        <v>4295</v>
      </c>
      <c r="M1450">
        <v>108</v>
      </c>
      <c r="N1450" s="10">
        <v>164.64</v>
      </c>
      <c r="O1450" s="10">
        <f t="shared" si="145"/>
        <v>17781.12</v>
      </c>
      <c r="P1450" s="10" t="s">
        <v>5006</v>
      </c>
      <c r="Q1450" s="10" t="s">
        <v>5006</v>
      </c>
      <c r="R1450" s="10" t="str">
        <f>IF(COUNTIF($J$2:J1450,J1450)=1,SUMIFS($O:$O,$J:$J,J1450)+SUMIFS($P:$P,$J:$J,J1450)+SUMIFS($Q:$Q,$J:$J,J1450),"")</f>
        <v/>
      </c>
      <c r="S1450" s="10" t="s">
        <v>5006</v>
      </c>
      <c r="T1450" s="11" t="str">
        <f t="shared" si="148"/>
        <v>Check</v>
      </c>
      <c r="U1450" s="12">
        <v>46127</v>
      </c>
      <c r="V1450" s="10">
        <v>17789.12</v>
      </c>
      <c r="W1450" s="10" t="str">
        <f t="shared" si="146"/>
        <v>N/A</v>
      </c>
      <c r="X1450" t="s">
        <v>453</v>
      </c>
      <c r="Y1450" t="s">
        <v>28</v>
      </c>
      <c r="Z1450">
        <v>100114</v>
      </c>
      <c r="AA1450" t="s">
        <v>498</v>
      </c>
      <c r="AB1450" t="s">
        <v>523</v>
      </c>
      <c r="AC1450" s="9">
        <v>2</v>
      </c>
      <c r="AD1450" s="9" t="str">
        <f t="shared" si="147"/>
        <v>N/A</v>
      </c>
      <c r="AE1450" s="11" t="e">
        <f t="shared" si="149"/>
        <v>#VALUE!</v>
      </c>
    </row>
    <row r="1451" spans="1:31" x14ac:dyDescent="0.3">
      <c r="A1451">
        <v>28</v>
      </c>
      <c r="B1451">
        <v>4771814</v>
      </c>
      <c r="C1451" t="s">
        <v>220</v>
      </c>
      <c r="D1451">
        <v>1855679</v>
      </c>
      <c r="E1451" t="s">
        <v>699</v>
      </c>
      <c r="F1451" t="s">
        <v>47</v>
      </c>
      <c r="G1451" t="s">
        <v>1348</v>
      </c>
      <c r="H1451" t="s">
        <v>1349</v>
      </c>
      <c r="I1451" t="s">
        <v>3402</v>
      </c>
      <c r="J1451">
        <v>51151479581</v>
      </c>
      <c r="K1451" t="s">
        <v>3209</v>
      </c>
      <c r="L1451" t="s">
        <v>4297</v>
      </c>
      <c r="M1451">
        <v>10000</v>
      </c>
      <c r="N1451" s="10">
        <v>1.4E-2</v>
      </c>
      <c r="O1451" s="10">
        <f t="shared" si="145"/>
        <v>140</v>
      </c>
      <c r="P1451" s="10">
        <v>0</v>
      </c>
      <c r="Q1451" s="10">
        <v>13.3</v>
      </c>
      <c r="R1451" s="10">
        <f>IF(COUNTIF($J$2:J1451,J1451)=1,SUMIFS($O:$O,$J:$J,J1451)+SUMIFS($P:$P,$J:$J,J1451)+SUMIFS($Q:$Q,$J:$J,J1451),"")</f>
        <v>855.3</v>
      </c>
      <c r="S1451" s="10">
        <v>873.74</v>
      </c>
      <c r="T1451" s="11" t="str">
        <f t="shared" si="148"/>
        <v>Check</v>
      </c>
      <c r="U1451" s="12">
        <v>46134</v>
      </c>
      <c r="V1451" s="10">
        <v>171.74</v>
      </c>
      <c r="W1451" s="10" t="str">
        <f t="shared" si="146"/>
        <v>Short Paid</v>
      </c>
      <c r="X1451" t="s">
        <v>470</v>
      </c>
      <c r="Y1451" t="s">
        <v>28</v>
      </c>
      <c r="Z1451">
        <v>100278</v>
      </c>
      <c r="AA1451" t="s">
        <v>3114</v>
      </c>
      <c r="AB1451" t="s">
        <v>3039</v>
      </c>
      <c r="AC1451" s="9">
        <v>2</v>
      </c>
      <c r="AD1451" s="9" t="str">
        <f t="shared" si="147"/>
        <v>Check</v>
      </c>
      <c r="AE1451" s="11">
        <f t="shared" si="149"/>
        <v>-18.440000000000055</v>
      </c>
    </row>
    <row r="1452" spans="1:31" x14ac:dyDescent="0.3">
      <c r="A1452">
        <v>28</v>
      </c>
      <c r="B1452">
        <v>4771814</v>
      </c>
      <c r="C1452" t="s">
        <v>220</v>
      </c>
      <c r="D1452">
        <v>1855679</v>
      </c>
      <c r="E1452" t="s">
        <v>699</v>
      </c>
      <c r="F1452" t="s">
        <v>47</v>
      </c>
      <c r="G1452" t="s">
        <v>1348</v>
      </c>
      <c r="H1452" t="s">
        <v>1349</v>
      </c>
      <c r="I1452" t="s">
        <v>3307</v>
      </c>
      <c r="J1452">
        <v>51151479581</v>
      </c>
      <c r="K1452" t="s">
        <v>3356</v>
      </c>
      <c r="L1452" t="s">
        <v>4298</v>
      </c>
      <c r="M1452">
        <v>12000</v>
      </c>
      <c r="N1452" s="10">
        <v>5.8500000000000003E-2</v>
      </c>
      <c r="O1452" s="10">
        <f t="shared" si="145"/>
        <v>702</v>
      </c>
      <c r="P1452" s="10" t="s">
        <v>5006</v>
      </c>
      <c r="Q1452" s="10" t="s">
        <v>5006</v>
      </c>
      <c r="R1452" s="10" t="str">
        <f>IF(COUNTIF($J$2:J1452,J1452)=1,SUMIFS($O:$O,$J:$J,J1452)+SUMIFS($P:$P,$J:$J,J1452)+SUMIFS($Q:$Q,$J:$J,J1452),"")</f>
        <v/>
      </c>
      <c r="S1452" s="10" t="s">
        <v>5006</v>
      </c>
      <c r="T1452" s="11" t="str">
        <f t="shared" si="148"/>
        <v>Check</v>
      </c>
      <c r="U1452" s="12">
        <v>46134</v>
      </c>
      <c r="V1452" s="10">
        <v>171.74</v>
      </c>
      <c r="W1452" s="10" t="str">
        <f t="shared" si="146"/>
        <v>N/A</v>
      </c>
      <c r="X1452" t="s">
        <v>470</v>
      </c>
      <c r="Y1452" t="s">
        <v>28</v>
      </c>
      <c r="Z1452">
        <v>100278</v>
      </c>
      <c r="AA1452" t="s">
        <v>3114</v>
      </c>
      <c r="AB1452" t="s">
        <v>3039</v>
      </c>
      <c r="AC1452" s="9">
        <v>2</v>
      </c>
      <c r="AD1452" s="9" t="str">
        <f t="shared" si="147"/>
        <v>N/A</v>
      </c>
      <c r="AE1452" s="11" t="e">
        <f t="shared" si="149"/>
        <v>#VALUE!</v>
      </c>
    </row>
    <row r="1453" spans="1:31" x14ac:dyDescent="0.3">
      <c r="A1453">
        <v>38</v>
      </c>
      <c r="B1453">
        <v>4734802</v>
      </c>
      <c r="C1453" t="s">
        <v>239</v>
      </c>
      <c r="D1453">
        <v>1098309</v>
      </c>
      <c r="E1453" t="s">
        <v>544</v>
      </c>
      <c r="F1453" t="s">
        <v>49</v>
      </c>
      <c r="G1453" t="s">
        <v>2795</v>
      </c>
      <c r="H1453" t="s">
        <v>1234</v>
      </c>
      <c r="I1453" t="s">
        <v>3423</v>
      </c>
      <c r="J1453">
        <v>51151512684</v>
      </c>
      <c r="K1453" t="s">
        <v>3736</v>
      </c>
      <c r="L1453" t="s">
        <v>4299</v>
      </c>
      <c r="M1453">
        <v>5</v>
      </c>
      <c r="N1453" s="10">
        <v>40880</v>
      </c>
      <c r="O1453" s="10">
        <f t="shared" si="145"/>
        <v>204400</v>
      </c>
      <c r="P1453" s="10">
        <v>17118.5</v>
      </c>
      <c r="Q1453" s="10">
        <v>0</v>
      </c>
      <c r="R1453" s="10">
        <f>IF(COUNTIF($J$2:J1453,J1453)=1,SUMIFS($O:$O,$J:$J,J1453)+SUMIFS($P:$P,$J:$J,J1453)+SUMIFS($Q:$Q,$J:$J,J1453),"")</f>
        <v>225386.5</v>
      </c>
      <c r="S1453" s="10">
        <v>225386.5</v>
      </c>
      <c r="T1453" s="11" t="str">
        <f t="shared" si="148"/>
        <v>Ok</v>
      </c>
      <c r="U1453" s="12">
        <v>46087</v>
      </c>
      <c r="V1453" s="10">
        <v>17118.5</v>
      </c>
      <c r="W1453" s="10" t="str">
        <f t="shared" si="146"/>
        <v>Short Paid</v>
      </c>
      <c r="X1453" t="s">
        <v>476</v>
      </c>
      <c r="Y1453" t="s">
        <v>29</v>
      </c>
      <c r="Z1453">
        <v>100295</v>
      </c>
      <c r="AA1453" t="s">
        <v>3127</v>
      </c>
      <c r="AB1453" t="s">
        <v>3041</v>
      </c>
      <c r="AC1453" s="9">
        <v>2</v>
      </c>
      <c r="AD1453" s="9" t="str">
        <f t="shared" si="147"/>
        <v>Ok</v>
      </c>
      <c r="AE1453" s="11">
        <f t="shared" si="149"/>
        <v>0</v>
      </c>
    </row>
    <row r="1454" spans="1:31" x14ac:dyDescent="0.3">
      <c r="A1454">
        <v>38</v>
      </c>
      <c r="B1454">
        <v>4734802</v>
      </c>
      <c r="C1454" t="s">
        <v>239</v>
      </c>
      <c r="D1454">
        <v>1098309</v>
      </c>
      <c r="E1454" t="s">
        <v>544</v>
      </c>
      <c r="F1454" t="s">
        <v>49</v>
      </c>
      <c r="G1454" t="s">
        <v>2795</v>
      </c>
      <c r="H1454" t="s">
        <v>1234</v>
      </c>
      <c r="I1454" t="s">
        <v>3446</v>
      </c>
      <c r="J1454">
        <v>51151512684</v>
      </c>
      <c r="K1454" t="s">
        <v>3351</v>
      </c>
      <c r="L1454" t="s">
        <v>3450</v>
      </c>
      <c r="M1454">
        <v>1000</v>
      </c>
      <c r="N1454" s="10">
        <v>3.8679999999999999</v>
      </c>
      <c r="O1454" s="10">
        <f t="shared" si="145"/>
        <v>3868</v>
      </c>
      <c r="P1454" s="10" t="s">
        <v>5006</v>
      </c>
      <c r="Q1454" s="10" t="s">
        <v>5006</v>
      </c>
      <c r="R1454" s="10" t="str">
        <f>IF(COUNTIF($J$2:J1454,J1454)=1,SUMIFS($O:$O,$J:$J,J1454)+SUMIFS($P:$P,$J:$J,J1454)+SUMIFS($Q:$Q,$J:$J,J1454),"")</f>
        <v/>
      </c>
      <c r="S1454" s="10" t="s">
        <v>5006</v>
      </c>
      <c r="T1454" s="11" t="str">
        <f t="shared" si="148"/>
        <v>Ok</v>
      </c>
      <c r="U1454" s="12">
        <v>46087</v>
      </c>
      <c r="V1454" s="10">
        <v>17118.5</v>
      </c>
      <c r="W1454" s="10" t="str">
        <f t="shared" si="146"/>
        <v>N/A</v>
      </c>
      <c r="X1454" t="s">
        <v>476</v>
      </c>
      <c r="Y1454" t="s">
        <v>29</v>
      </c>
      <c r="Z1454">
        <v>100295</v>
      </c>
      <c r="AA1454" t="s">
        <v>3127</v>
      </c>
      <c r="AB1454" t="s">
        <v>3041</v>
      </c>
      <c r="AC1454" s="9">
        <v>2</v>
      </c>
      <c r="AD1454" s="9" t="str">
        <f t="shared" si="147"/>
        <v>N/A</v>
      </c>
      <c r="AE1454" s="11" t="e">
        <f t="shared" si="149"/>
        <v>#VALUE!</v>
      </c>
    </row>
    <row r="1455" spans="1:31" x14ac:dyDescent="0.3">
      <c r="A1455">
        <v>38</v>
      </c>
      <c r="B1455">
        <v>4734245</v>
      </c>
      <c r="C1455" t="s">
        <v>217</v>
      </c>
      <c r="D1455">
        <v>1036945</v>
      </c>
      <c r="E1455" t="s">
        <v>4885</v>
      </c>
      <c r="F1455" t="s">
        <v>50</v>
      </c>
      <c r="G1455" t="s">
        <v>4896</v>
      </c>
      <c r="H1455" t="s">
        <v>1202</v>
      </c>
      <c r="I1455" t="s">
        <v>3273</v>
      </c>
      <c r="J1455">
        <v>51151512716</v>
      </c>
      <c r="K1455" t="s">
        <v>3353</v>
      </c>
      <c r="L1455" t="s">
        <v>3352</v>
      </c>
      <c r="M1455">
        <v>504</v>
      </c>
      <c r="N1455" s="10">
        <v>21.0745</v>
      </c>
      <c r="O1455" s="10">
        <f t="shared" si="145"/>
        <v>10621.548000000001</v>
      </c>
      <c r="P1455" s="10">
        <v>0</v>
      </c>
      <c r="Q1455" s="10">
        <v>0</v>
      </c>
      <c r="R1455" s="10">
        <f>IF(COUNTIF($J$2:J1455,J1455)=1,SUMIFS($O:$O,$J:$J,J1455)+SUMIFS($P:$P,$J:$J,J1455)+SUMIFS($Q:$Q,$J:$J,J1455),"")</f>
        <v>16464.708000000002</v>
      </c>
      <c r="S1455" s="10">
        <v>20138.189999999999</v>
      </c>
      <c r="T1455" s="11" t="str">
        <f t="shared" si="148"/>
        <v>Check</v>
      </c>
      <c r="U1455" s="12">
        <v>46107</v>
      </c>
      <c r="V1455" s="10">
        <v>153.04</v>
      </c>
      <c r="W1455" s="10" t="str">
        <f t="shared" si="146"/>
        <v>Short Paid</v>
      </c>
      <c r="X1455" t="s">
        <v>468</v>
      </c>
      <c r="Y1455" t="s">
        <v>436</v>
      </c>
      <c r="Z1455">
        <v>100216</v>
      </c>
      <c r="AA1455" t="s">
        <v>3140</v>
      </c>
      <c r="AB1455" t="s">
        <v>3042</v>
      </c>
      <c r="AC1455" s="9">
        <v>3</v>
      </c>
      <c r="AD1455" s="9" t="str">
        <f t="shared" si="147"/>
        <v>Check</v>
      </c>
      <c r="AE1455" s="11">
        <f t="shared" si="149"/>
        <v>-3673.4819999999963</v>
      </c>
    </row>
    <row r="1456" spans="1:31" x14ac:dyDescent="0.3">
      <c r="A1456">
        <v>38</v>
      </c>
      <c r="B1456">
        <v>4734245</v>
      </c>
      <c r="C1456" t="s">
        <v>217</v>
      </c>
      <c r="D1456">
        <v>1036945</v>
      </c>
      <c r="E1456" t="s">
        <v>4885</v>
      </c>
      <c r="F1456" t="s">
        <v>50</v>
      </c>
      <c r="G1456" t="s">
        <v>4896</v>
      </c>
      <c r="H1456" t="s">
        <v>1202</v>
      </c>
      <c r="I1456" t="s">
        <v>3300</v>
      </c>
      <c r="J1456">
        <v>51151512716</v>
      </c>
      <c r="K1456" t="s">
        <v>3266</v>
      </c>
      <c r="L1456" t="s">
        <v>4136</v>
      </c>
      <c r="M1456">
        <v>108</v>
      </c>
      <c r="N1456" s="10">
        <v>15.16</v>
      </c>
      <c r="O1456" s="10">
        <f t="shared" si="145"/>
        <v>1637.28</v>
      </c>
      <c r="P1456" s="10" t="s">
        <v>5006</v>
      </c>
      <c r="Q1456" s="10" t="s">
        <v>5006</v>
      </c>
      <c r="R1456" s="10" t="str">
        <f>IF(COUNTIF($J$2:J1456,J1456)=1,SUMIFS($O:$O,$J:$J,J1456)+SUMIFS($P:$P,$J:$J,J1456)+SUMIFS($Q:$Q,$J:$J,J1456),"")</f>
        <v/>
      </c>
      <c r="S1456" s="10" t="s">
        <v>5006</v>
      </c>
      <c r="T1456" s="11" t="str">
        <f t="shared" si="148"/>
        <v>Check</v>
      </c>
      <c r="U1456" s="12">
        <v>46107</v>
      </c>
      <c r="V1456" s="10">
        <v>153.04</v>
      </c>
      <c r="W1456" s="10" t="str">
        <f t="shared" si="146"/>
        <v>N/A</v>
      </c>
      <c r="X1456" t="s">
        <v>468</v>
      </c>
      <c r="Y1456" t="s">
        <v>436</v>
      </c>
      <c r="Z1456">
        <v>100216</v>
      </c>
      <c r="AA1456" t="s">
        <v>3140</v>
      </c>
      <c r="AB1456" t="s">
        <v>3042</v>
      </c>
      <c r="AC1456" s="9">
        <v>3</v>
      </c>
      <c r="AD1456" s="9" t="str">
        <f t="shared" si="147"/>
        <v>N/A</v>
      </c>
      <c r="AE1456" s="11" t="e">
        <f t="shared" si="149"/>
        <v>#VALUE!</v>
      </c>
    </row>
    <row r="1457" spans="1:31" x14ac:dyDescent="0.3">
      <c r="A1457">
        <v>38</v>
      </c>
      <c r="B1457">
        <v>4734245</v>
      </c>
      <c r="C1457" t="s">
        <v>217</v>
      </c>
      <c r="D1457">
        <v>1036945</v>
      </c>
      <c r="E1457" t="s">
        <v>4885</v>
      </c>
      <c r="F1457" t="s">
        <v>50</v>
      </c>
      <c r="G1457" t="s">
        <v>4896</v>
      </c>
      <c r="H1457" t="s">
        <v>1202</v>
      </c>
      <c r="I1457" t="s">
        <v>3300</v>
      </c>
      <c r="J1457">
        <v>51151512716</v>
      </c>
      <c r="K1457" t="s">
        <v>3266</v>
      </c>
      <c r="L1457" t="s">
        <v>4300</v>
      </c>
      <c r="M1457">
        <v>252</v>
      </c>
      <c r="N1457" s="10">
        <v>16.690000000000001</v>
      </c>
      <c r="O1457" s="10">
        <f t="shared" si="145"/>
        <v>4205.88</v>
      </c>
      <c r="P1457" s="10" t="s">
        <v>5006</v>
      </c>
      <c r="Q1457" s="10" t="s">
        <v>5006</v>
      </c>
      <c r="R1457" s="10" t="str">
        <f>IF(COUNTIF($J$2:J1457,J1457)=1,SUMIFS($O:$O,$J:$J,J1457)+SUMIFS($P:$P,$J:$J,J1457)+SUMIFS($Q:$Q,$J:$J,J1457),"")</f>
        <v/>
      </c>
      <c r="S1457" s="10" t="s">
        <v>5006</v>
      </c>
      <c r="T1457" s="11" t="str">
        <f t="shared" si="148"/>
        <v>Check</v>
      </c>
      <c r="U1457" s="12">
        <v>46107</v>
      </c>
      <c r="V1457" s="10">
        <v>153.04</v>
      </c>
      <c r="W1457" s="10" t="str">
        <f t="shared" si="146"/>
        <v>N/A</v>
      </c>
      <c r="X1457" t="s">
        <v>468</v>
      </c>
      <c r="Y1457" t="s">
        <v>436</v>
      </c>
      <c r="Z1457">
        <v>100216</v>
      </c>
      <c r="AA1457" t="s">
        <v>3140</v>
      </c>
      <c r="AB1457" t="s">
        <v>3042</v>
      </c>
      <c r="AC1457" s="9">
        <v>3</v>
      </c>
      <c r="AD1457" s="9" t="str">
        <f t="shared" si="147"/>
        <v>N/A</v>
      </c>
      <c r="AE1457" s="11" t="e">
        <f t="shared" si="149"/>
        <v>#VALUE!</v>
      </c>
    </row>
    <row r="1458" spans="1:31" x14ac:dyDescent="0.3">
      <c r="A1458">
        <v>28</v>
      </c>
      <c r="B1458">
        <v>4775153</v>
      </c>
      <c r="C1458" t="s">
        <v>239</v>
      </c>
      <c r="D1458">
        <v>1079286</v>
      </c>
      <c r="E1458" t="s">
        <v>629</v>
      </c>
      <c r="F1458" t="s">
        <v>20</v>
      </c>
      <c r="G1458" t="s">
        <v>1357</v>
      </c>
      <c r="H1458" t="s">
        <v>1358</v>
      </c>
      <c r="I1458" t="s">
        <v>3551</v>
      </c>
      <c r="J1458">
        <v>51151595159</v>
      </c>
      <c r="K1458" t="s">
        <v>3375</v>
      </c>
      <c r="L1458" t="s">
        <v>3428</v>
      </c>
      <c r="M1458">
        <v>10000</v>
      </c>
      <c r="N1458" s="10">
        <v>0.13750000000000001</v>
      </c>
      <c r="O1458" s="10">
        <f t="shared" si="145"/>
        <v>1375</v>
      </c>
      <c r="P1458" s="10">
        <v>0</v>
      </c>
      <c r="Q1458" s="10">
        <v>1694.52</v>
      </c>
      <c r="R1458" s="10">
        <f>IF(COUNTIF($J$2:J1458,J1458)=1,SUMIFS($O:$O,$J:$J,J1458)+SUMIFS($P:$P,$J:$J,J1458)+SUMIFS($Q:$Q,$J:$J,J1458),"")</f>
        <v>4689.5200000000004</v>
      </c>
      <c r="S1458" s="10">
        <v>8372.02</v>
      </c>
      <c r="T1458" s="11" t="str">
        <f t="shared" si="148"/>
        <v>Check</v>
      </c>
      <c r="U1458" s="12">
        <v>45815</v>
      </c>
      <c r="V1458" s="10">
        <v>4934.5200000000004</v>
      </c>
      <c r="W1458" s="10" t="str">
        <f t="shared" si="146"/>
        <v>Short Paid</v>
      </c>
      <c r="X1458" t="s">
        <v>476</v>
      </c>
      <c r="Y1458" t="s">
        <v>28</v>
      </c>
      <c r="Z1458">
        <v>100115</v>
      </c>
      <c r="AA1458" t="s">
        <v>504</v>
      </c>
      <c r="AB1458" t="s">
        <v>521</v>
      </c>
      <c r="AC1458" s="9">
        <v>2</v>
      </c>
      <c r="AD1458" s="9" t="str">
        <f t="shared" si="147"/>
        <v>Check</v>
      </c>
      <c r="AE1458" s="11">
        <f t="shared" si="149"/>
        <v>-3682.5</v>
      </c>
    </row>
    <row r="1459" spans="1:31" x14ac:dyDescent="0.3">
      <c r="A1459">
        <v>28</v>
      </c>
      <c r="B1459">
        <v>4775153</v>
      </c>
      <c r="C1459" t="s">
        <v>239</v>
      </c>
      <c r="D1459">
        <v>1079286</v>
      </c>
      <c r="E1459" t="s">
        <v>629</v>
      </c>
      <c r="F1459" t="s">
        <v>20</v>
      </c>
      <c r="G1459" t="s">
        <v>1357</v>
      </c>
      <c r="H1459" t="s">
        <v>1358</v>
      </c>
      <c r="I1459" t="s">
        <v>3325</v>
      </c>
      <c r="J1459">
        <v>51151595159</v>
      </c>
      <c r="K1459" t="s">
        <v>3229</v>
      </c>
      <c r="L1459" t="s">
        <v>4301</v>
      </c>
      <c r="M1459">
        <v>30000</v>
      </c>
      <c r="N1459" s="10">
        <v>5.3999999999999999E-2</v>
      </c>
      <c r="O1459" s="10">
        <f t="shared" si="145"/>
        <v>1620</v>
      </c>
      <c r="P1459" s="10" t="s">
        <v>5006</v>
      </c>
      <c r="Q1459" s="10" t="s">
        <v>5006</v>
      </c>
      <c r="R1459" s="10" t="str">
        <f>IF(COUNTIF($J$2:J1459,J1459)=1,SUMIFS($O:$O,$J:$J,J1459)+SUMIFS($P:$P,$J:$J,J1459)+SUMIFS($Q:$Q,$J:$J,J1459),"")</f>
        <v/>
      </c>
      <c r="S1459" s="10" t="s">
        <v>5006</v>
      </c>
      <c r="T1459" s="11" t="str">
        <f t="shared" si="148"/>
        <v>Check</v>
      </c>
      <c r="U1459" s="12">
        <v>45815</v>
      </c>
      <c r="V1459" s="10">
        <v>4934.5200000000004</v>
      </c>
      <c r="W1459" s="10" t="str">
        <f t="shared" si="146"/>
        <v>N/A</v>
      </c>
      <c r="X1459" t="s">
        <v>476</v>
      </c>
      <c r="Y1459" t="s">
        <v>28</v>
      </c>
      <c r="Z1459">
        <v>100115</v>
      </c>
      <c r="AA1459" t="s">
        <v>504</v>
      </c>
      <c r="AB1459" t="s">
        <v>521</v>
      </c>
      <c r="AC1459" s="9">
        <v>2</v>
      </c>
      <c r="AD1459" s="9" t="str">
        <f t="shared" si="147"/>
        <v>N/A</v>
      </c>
      <c r="AE1459" s="11" t="e">
        <f t="shared" si="149"/>
        <v>#VALUE!</v>
      </c>
    </row>
    <row r="1460" spans="1:31" x14ac:dyDescent="0.3">
      <c r="A1460">
        <v>28</v>
      </c>
      <c r="B1460">
        <v>4773762</v>
      </c>
      <c r="C1460" t="s">
        <v>239</v>
      </c>
      <c r="D1460">
        <v>1079286</v>
      </c>
      <c r="E1460" t="s">
        <v>629</v>
      </c>
      <c r="F1460" t="s">
        <v>20</v>
      </c>
      <c r="G1460" t="s">
        <v>1340</v>
      </c>
      <c r="H1460" t="s">
        <v>1341</v>
      </c>
      <c r="I1460" t="s">
        <v>3359</v>
      </c>
      <c r="J1460">
        <v>51151613364</v>
      </c>
      <c r="K1460" t="s">
        <v>3223</v>
      </c>
      <c r="L1460" t="s">
        <v>4302</v>
      </c>
      <c r="M1460">
        <v>36000</v>
      </c>
      <c r="N1460" s="10">
        <v>0.34789999999999993</v>
      </c>
      <c r="O1460" s="10">
        <f t="shared" si="145"/>
        <v>12524.399999999998</v>
      </c>
      <c r="P1460" s="10">
        <v>0</v>
      </c>
      <c r="Q1460" s="10">
        <v>0</v>
      </c>
      <c r="R1460" s="10">
        <f>IF(COUNTIF($J$2:J1460,J1460)=1,SUMIFS($O:$O,$J:$J,J1460)+SUMIFS($P:$P,$J:$J,J1460)+SUMIFS($Q:$Q,$J:$J,J1460),"")</f>
        <v>14840.449999999997</v>
      </c>
      <c r="S1460" s="10">
        <v>18321.55</v>
      </c>
      <c r="T1460" s="11" t="str">
        <f t="shared" si="148"/>
        <v>Check</v>
      </c>
      <c r="U1460" s="12">
        <v>45807</v>
      </c>
      <c r="V1460" s="10">
        <v>15655.5</v>
      </c>
      <c r="W1460" s="10" t="str">
        <f t="shared" si="146"/>
        <v>Short Paid</v>
      </c>
      <c r="X1460" t="s">
        <v>476</v>
      </c>
      <c r="Y1460" t="s">
        <v>28</v>
      </c>
      <c r="Z1460">
        <v>100205</v>
      </c>
      <c r="AA1460" t="s">
        <v>3075</v>
      </c>
      <c r="AB1460" t="s">
        <v>521</v>
      </c>
      <c r="AC1460" s="9">
        <v>3</v>
      </c>
      <c r="AD1460" s="9" t="str">
        <f t="shared" si="147"/>
        <v>Check</v>
      </c>
      <c r="AE1460" s="11">
        <f t="shared" si="149"/>
        <v>-3481.1000000000022</v>
      </c>
    </row>
    <row r="1461" spans="1:31" x14ac:dyDescent="0.3">
      <c r="A1461">
        <v>28</v>
      </c>
      <c r="B1461">
        <v>4773762</v>
      </c>
      <c r="C1461" t="s">
        <v>239</v>
      </c>
      <c r="D1461">
        <v>1079286</v>
      </c>
      <c r="E1461" t="s">
        <v>629</v>
      </c>
      <c r="F1461" t="s">
        <v>20</v>
      </c>
      <c r="G1461" t="s">
        <v>1340</v>
      </c>
      <c r="H1461" t="s">
        <v>1341</v>
      </c>
      <c r="I1461" t="s">
        <v>3323</v>
      </c>
      <c r="J1461">
        <v>51151613364</v>
      </c>
      <c r="K1461" t="s">
        <v>3338</v>
      </c>
      <c r="L1461" t="s">
        <v>4303</v>
      </c>
      <c r="M1461">
        <v>5</v>
      </c>
      <c r="N1461" s="10">
        <v>283.20999999999998</v>
      </c>
      <c r="O1461" s="10">
        <f t="shared" si="145"/>
        <v>1416.05</v>
      </c>
      <c r="P1461" s="10" t="s">
        <v>5006</v>
      </c>
      <c r="Q1461" s="10" t="s">
        <v>5006</v>
      </c>
      <c r="R1461" s="10" t="str">
        <f>IF(COUNTIF($J$2:J1461,J1461)=1,SUMIFS($O:$O,$J:$J,J1461)+SUMIFS($P:$P,$J:$J,J1461)+SUMIFS($Q:$Q,$J:$J,J1461),"")</f>
        <v/>
      </c>
      <c r="S1461" s="10" t="s">
        <v>5006</v>
      </c>
      <c r="T1461" s="11" t="str">
        <f t="shared" si="148"/>
        <v>Check</v>
      </c>
      <c r="U1461" s="12">
        <v>45807</v>
      </c>
      <c r="V1461" s="10">
        <v>15655.5</v>
      </c>
      <c r="W1461" s="10" t="str">
        <f t="shared" si="146"/>
        <v>N/A</v>
      </c>
      <c r="X1461" t="s">
        <v>476</v>
      </c>
      <c r="Y1461" t="s">
        <v>28</v>
      </c>
      <c r="Z1461">
        <v>100205</v>
      </c>
      <c r="AA1461" t="s">
        <v>3075</v>
      </c>
      <c r="AB1461" t="s">
        <v>521</v>
      </c>
      <c r="AC1461" s="9">
        <v>3</v>
      </c>
      <c r="AD1461" s="9" t="str">
        <f t="shared" si="147"/>
        <v>N/A</v>
      </c>
      <c r="AE1461" s="11" t="e">
        <f t="shared" si="149"/>
        <v>#VALUE!</v>
      </c>
    </row>
    <row r="1462" spans="1:31" x14ac:dyDescent="0.3">
      <c r="A1462">
        <v>28</v>
      </c>
      <c r="B1462">
        <v>4773762</v>
      </c>
      <c r="C1462" t="s">
        <v>239</v>
      </c>
      <c r="D1462">
        <v>1079286</v>
      </c>
      <c r="E1462" t="s">
        <v>629</v>
      </c>
      <c r="F1462" t="s">
        <v>20</v>
      </c>
      <c r="G1462" t="s">
        <v>1340</v>
      </c>
      <c r="H1462" t="s">
        <v>1341</v>
      </c>
      <c r="I1462" t="s">
        <v>3323</v>
      </c>
      <c r="J1462">
        <v>51151613364</v>
      </c>
      <c r="K1462" t="s">
        <v>3338</v>
      </c>
      <c r="L1462" t="s">
        <v>4304</v>
      </c>
      <c r="M1462">
        <v>1</v>
      </c>
      <c r="N1462" s="10">
        <v>900</v>
      </c>
      <c r="O1462" s="10">
        <f t="shared" si="145"/>
        <v>900</v>
      </c>
      <c r="P1462" s="10" t="s">
        <v>5006</v>
      </c>
      <c r="Q1462" s="10" t="s">
        <v>5006</v>
      </c>
      <c r="R1462" s="10" t="str">
        <f>IF(COUNTIF($J$2:J1462,J1462)=1,SUMIFS($O:$O,$J:$J,J1462)+SUMIFS($P:$P,$J:$J,J1462)+SUMIFS($Q:$Q,$J:$J,J1462),"")</f>
        <v/>
      </c>
      <c r="S1462" s="10" t="s">
        <v>5006</v>
      </c>
      <c r="T1462" s="11" t="str">
        <f t="shared" si="148"/>
        <v>Check</v>
      </c>
      <c r="U1462" s="12">
        <v>45807</v>
      </c>
      <c r="V1462" s="10">
        <v>15655.5</v>
      </c>
      <c r="W1462" s="10" t="str">
        <f t="shared" si="146"/>
        <v>N/A</v>
      </c>
      <c r="X1462" t="s">
        <v>476</v>
      </c>
      <c r="Y1462" t="s">
        <v>28</v>
      </c>
      <c r="Z1462">
        <v>100205</v>
      </c>
      <c r="AA1462" t="s">
        <v>3075</v>
      </c>
      <c r="AB1462" t="s">
        <v>521</v>
      </c>
      <c r="AC1462" s="9">
        <v>3</v>
      </c>
      <c r="AD1462" s="9" t="str">
        <f t="shared" si="147"/>
        <v>N/A</v>
      </c>
      <c r="AE1462" s="11" t="e">
        <f t="shared" si="149"/>
        <v>#VALUE!</v>
      </c>
    </row>
    <row r="1463" spans="1:31" x14ac:dyDescent="0.3">
      <c r="A1463">
        <v>30</v>
      </c>
      <c r="B1463">
        <v>4760404</v>
      </c>
      <c r="C1463" t="s">
        <v>60</v>
      </c>
      <c r="D1463">
        <v>1588891</v>
      </c>
      <c r="E1463" t="s">
        <v>61</v>
      </c>
      <c r="F1463" t="s">
        <v>18</v>
      </c>
      <c r="G1463" t="s">
        <v>2807</v>
      </c>
      <c r="H1463" t="s">
        <v>1306</v>
      </c>
      <c r="I1463" t="s">
        <v>3419</v>
      </c>
      <c r="J1463">
        <v>51151617062</v>
      </c>
      <c r="K1463" t="s">
        <v>3203</v>
      </c>
      <c r="L1463" t="s">
        <v>3642</v>
      </c>
      <c r="M1463">
        <v>40000</v>
      </c>
      <c r="N1463" s="10">
        <v>0.28159000000000001</v>
      </c>
      <c r="O1463" s="10">
        <f t="shared" si="145"/>
        <v>11263.6</v>
      </c>
      <c r="P1463" s="10">
        <v>0</v>
      </c>
      <c r="Q1463" s="10">
        <v>0</v>
      </c>
      <c r="R1463" s="10">
        <f>IF(COUNTIF($J$2:J1463,J1463)=1,SUMIFS($O:$O,$J:$J,J1463)+SUMIFS($P:$P,$J:$J,J1463)+SUMIFS($Q:$Q,$J:$J,J1463),"")</f>
        <v>66543.400000000009</v>
      </c>
      <c r="S1463" s="10">
        <v>66543.400000000009</v>
      </c>
      <c r="T1463" s="11" t="str">
        <f t="shared" si="148"/>
        <v>Ok</v>
      </c>
      <c r="U1463" s="12">
        <v>45996</v>
      </c>
      <c r="V1463" s="10">
        <v>1324.4</v>
      </c>
      <c r="W1463" s="10" t="str">
        <f t="shared" si="146"/>
        <v>Short Paid</v>
      </c>
      <c r="X1463" t="s">
        <v>438</v>
      </c>
      <c r="Y1463" t="s">
        <v>28</v>
      </c>
      <c r="Z1463">
        <v>100243</v>
      </c>
      <c r="AA1463" t="s">
        <v>446</v>
      </c>
      <c r="AB1463" t="s">
        <v>523</v>
      </c>
      <c r="AC1463" s="9">
        <v>2</v>
      </c>
      <c r="AD1463" s="9" t="str">
        <f t="shared" si="147"/>
        <v>Ok</v>
      </c>
      <c r="AE1463" s="11">
        <f t="shared" si="149"/>
        <v>0</v>
      </c>
    </row>
    <row r="1464" spans="1:31" x14ac:dyDescent="0.3">
      <c r="A1464">
        <v>30</v>
      </c>
      <c r="B1464">
        <v>4760404</v>
      </c>
      <c r="C1464" t="s">
        <v>60</v>
      </c>
      <c r="D1464">
        <v>1588891</v>
      </c>
      <c r="E1464" t="s">
        <v>61</v>
      </c>
      <c r="F1464" t="s">
        <v>18</v>
      </c>
      <c r="G1464" t="s">
        <v>2807</v>
      </c>
      <c r="H1464" t="s">
        <v>1306</v>
      </c>
      <c r="I1464" t="s">
        <v>3367</v>
      </c>
      <c r="J1464">
        <v>51151617062</v>
      </c>
      <c r="K1464" t="s">
        <v>3495</v>
      </c>
      <c r="L1464" t="s">
        <v>3538</v>
      </c>
      <c r="M1464">
        <v>540</v>
      </c>
      <c r="N1464" s="10">
        <v>102.37</v>
      </c>
      <c r="O1464" s="10">
        <f t="shared" si="145"/>
        <v>55279.8</v>
      </c>
      <c r="P1464" s="10" t="s">
        <v>5006</v>
      </c>
      <c r="Q1464" s="10" t="s">
        <v>5006</v>
      </c>
      <c r="R1464" s="10" t="str">
        <f>IF(COUNTIF($J$2:J1464,J1464)=1,SUMIFS($O:$O,$J:$J,J1464)+SUMIFS($P:$P,$J:$J,J1464)+SUMIFS($Q:$Q,$J:$J,J1464),"")</f>
        <v/>
      </c>
      <c r="S1464" s="10" t="s">
        <v>5006</v>
      </c>
      <c r="T1464" s="11" t="str">
        <f t="shared" si="148"/>
        <v>Ok</v>
      </c>
      <c r="U1464" s="12">
        <v>45996</v>
      </c>
      <c r="V1464" s="10">
        <v>1324.4</v>
      </c>
      <c r="W1464" s="10" t="str">
        <f t="shared" si="146"/>
        <v>N/A</v>
      </c>
      <c r="X1464" t="s">
        <v>438</v>
      </c>
      <c r="Y1464" t="s">
        <v>28</v>
      </c>
      <c r="Z1464">
        <v>100243</v>
      </c>
      <c r="AA1464" t="s">
        <v>446</v>
      </c>
      <c r="AB1464" t="s">
        <v>523</v>
      </c>
      <c r="AC1464" s="9">
        <v>2</v>
      </c>
      <c r="AD1464" s="9" t="str">
        <f t="shared" si="147"/>
        <v>N/A</v>
      </c>
      <c r="AE1464" s="11" t="e">
        <f t="shared" si="149"/>
        <v>#VALUE!</v>
      </c>
    </row>
    <row r="1465" spans="1:31" x14ac:dyDescent="0.3">
      <c r="A1465">
        <v>28</v>
      </c>
      <c r="B1465">
        <v>4774875</v>
      </c>
      <c r="C1465" t="s">
        <v>239</v>
      </c>
      <c r="D1465">
        <v>1079286</v>
      </c>
      <c r="E1465" t="s">
        <v>629</v>
      </c>
      <c r="F1465" t="s">
        <v>20</v>
      </c>
      <c r="G1465" t="s">
        <v>1355</v>
      </c>
      <c r="H1465" t="s">
        <v>1356</v>
      </c>
      <c r="I1465" t="s">
        <v>3283</v>
      </c>
      <c r="J1465">
        <v>51151742280</v>
      </c>
      <c r="K1465" t="s">
        <v>3226</v>
      </c>
      <c r="L1465" t="s">
        <v>3454</v>
      </c>
      <c r="M1465">
        <v>3300</v>
      </c>
      <c r="N1465" s="10">
        <v>0.26129999999999998</v>
      </c>
      <c r="O1465" s="10">
        <f t="shared" si="145"/>
        <v>862.29</v>
      </c>
      <c r="P1465" s="10">
        <v>0</v>
      </c>
      <c r="Q1465" s="10">
        <v>0</v>
      </c>
      <c r="R1465" s="10">
        <f>IF(COUNTIF($J$2:J1465,J1465)=1,SUMIFS($O:$O,$J:$J,J1465)+SUMIFS($P:$P,$J:$J,J1465)+SUMIFS($Q:$Q,$J:$J,J1465),"")</f>
        <v>9052.2900000000009</v>
      </c>
      <c r="S1465" s="10">
        <v>9052.2900000000009</v>
      </c>
      <c r="T1465" s="11" t="str">
        <f t="shared" si="148"/>
        <v>Ok</v>
      </c>
      <c r="U1465" s="12">
        <v>45807</v>
      </c>
      <c r="V1465" s="10">
        <v>8190</v>
      </c>
      <c r="W1465" s="10" t="str">
        <f t="shared" si="146"/>
        <v>Short Paid</v>
      </c>
      <c r="X1465" t="s">
        <v>476</v>
      </c>
      <c r="Y1465" t="s">
        <v>28</v>
      </c>
      <c r="Z1465">
        <v>100285</v>
      </c>
      <c r="AA1465" t="s">
        <v>501</v>
      </c>
      <c r="AB1465" t="s">
        <v>521</v>
      </c>
      <c r="AC1465" s="9">
        <v>2</v>
      </c>
      <c r="AD1465" s="9" t="str">
        <f t="shared" si="147"/>
        <v>Ok</v>
      </c>
      <c r="AE1465" s="11">
        <f t="shared" si="149"/>
        <v>0</v>
      </c>
    </row>
    <row r="1466" spans="1:31" x14ac:dyDescent="0.3">
      <c r="A1466">
        <v>28</v>
      </c>
      <c r="B1466">
        <v>4774875</v>
      </c>
      <c r="C1466" t="s">
        <v>239</v>
      </c>
      <c r="D1466">
        <v>1079286</v>
      </c>
      <c r="E1466" t="s">
        <v>629</v>
      </c>
      <c r="F1466" t="s">
        <v>20</v>
      </c>
      <c r="G1466" t="s">
        <v>1355</v>
      </c>
      <c r="H1466" t="s">
        <v>1356</v>
      </c>
      <c r="I1466" t="s">
        <v>3439</v>
      </c>
      <c r="J1466">
        <v>51151742280</v>
      </c>
      <c r="K1466" t="s">
        <v>3223</v>
      </c>
      <c r="L1466" t="s">
        <v>4305</v>
      </c>
      <c r="M1466">
        <v>45000</v>
      </c>
      <c r="N1466" s="10">
        <v>0.18200000000000002</v>
      </c>
      <c r="O1466" s="10">
        <f t="shared" si="145"/>
        <v>8190.0000000000009</v>
      </c>
      <c r="P1466" s="10" t="s">
        <v>5006</v>
      </c>
      <c r="Q1466" s="10" t="s">
        <v>5006</v>
      </c>
      <c r="R1466" s="10" t="str">
        <f>IF(COUNTIF($J$2:J1466,J1466)=1,SUMIFS($O:$O,$J:$J,J1466)+SUMIFS($P:$P,$J:$J,J1466)+SUMIFS($Q:$Q,$J:$J,J1466),"")</f>
        <v/>
      </c>
      <c r="S1466" s="10" t="s">
        <v>5006</v>
      </c>
      <c r="T1466" s="11" t="str">
        <f t="shared" si="148"/>
        <v>Ok</v>
      </c>
      <c r="U1466" s="12">
        <v>45807</v>
      </c>
      <c r="V1466" s="10">
        <v>8190</v>
      </c>
      <c r="W1466" s="10" t="str">
        <f t="shared" si="146"/>
        <v>N/A</v>
      </c>
      <c r="X1466" t="s">
        <v>476</v>
      </c>
      <c r="Y1466" t="s">
        <v>28</v>
      </c>
      <c r="Z1466">
        <v>100285</v>
      </c>
      <c r="AA1466" t="s">
        <v>501</v>
      </c>
      <c r="AB1466" t="s">
        <v>521</v>
      </c>
      <c r="AC1466" s="9">
        <v>2</v>
      </c>
      <c r="AD1466" s="9" t="str">
        <f t="shared" si="147"/>
        <v>N/A</v>
      </c>
      <c r="AE1466" s="11" t="e">
        <f t="shared" si="149"/>
        <v>#VALUE!</v>
      </c>
    </row>
    <row r="1467" spans="1:31" x14ac:dyDescent="0.3">
      <c r="A1467">
        <v>18</v>
      </c>
      <c r="B1467">
        <v>4859195</v>
      </c>
      <c r="C1467" t="s">
        <v>240</v>
      </c>
      <c r="D1467">
        <v>1372540</v>
      </c>
      <c r="E1467" t="s">
        <v>580</v>
      </c>
      <c r="F1467" t="s">
        <v>20</v>
      </c>
      <c r="G1467" t="s">
        <v>1581</v>
      </c>
      <c r="H1467" t="s">
        <v>1582</v>
      </c>
      <c r="I1467" t="s">
        <v>3485</v>
      </c>
      <c r="J1467">
        <v>51151760697</v>
      </c>
      <c r="K1467" t="s">
        <v>3370</v>
      </c>
      <c r="L1467" t="s">
        <v>4306</v>
      </c>
      <c r="M1467">
        <v>6000</v>
      </c>
      <c r="N1467" s="10">
        <v>4.3200000000000002E-2</v>
      </c>
      <c r="O1467" s="10">
        <f t="shared" si="145"/>
        <v>259.2</v>
      </c>
      <c r="P1467" s="10">
        <v>0</v>
      </c>
      <c r="Q1467" s="10">
        <v>0</v>
      </c>
      <c r="R1467" s="10">
        <f>IF(COUNTIF($J$2:J1467,J1467)=1,SUMIFS($O:$O,$J:$J,J1467)+SUMIFS($P:$P,$J:$J,J1467)+SUMIFS($Q:$Q,$J:$J,J1467),"")</f>
        <v>10550.259999999998</v>
      </c>
      <c r="S1467" s="10">
        <v>10776.26</v>
      </c>
      <c r="T1467" s="11" t="str">
        <f t="shared" si="148"/>
        <v>Check</v>
      </c>
      <c r="U1467" s="12">
        <v>46058</v>
      </c>
      <c r="V1467" s="10">
        <v>10517.06</v>
      </c>
      <c r="W1467" s="10" t="str">
        <f t="shared" si="146"/>
        <v>Short Paid</v>
      </c>
      <c r="X1467" t="s">
        <v>478</v>
      </c>
      <c r="Y1467" t="s">
        <v>28</v>
      </c>
      <c r="Z1467">
        <v>100152</v>
      </c>
      <c r="AA1467" t="s">
        <v>3101</v>
      </c>
      <c r="AB1467" t="s">
        <v>521</v>
      </c>
      <c r="AC1467" s="9">
        <v>7</v>
      </c>
      <c r="AD1467" s="9" t="str">
        <f t="shared" si="147"/>
        <v>Check</v>
      </c>
      <c r="AE1467" s="11">
        <f t="shared" si="149"/>
        <v>-226.00000000000182</v>
      </c>
    </row>
    <row r="1468" spans="1:31" x14ac:dyDescent="0.3">
      <c r="A1468">
        <v>18</v>
      </c>
      <c r="B1468">
        <v>4859195</v>
      </c>
      <c r="C1468" t="s">
        <v>240</v>
      </c>
      <c r="D1468">
        <v>1372540</v>
      </c>
      <c r="E1468" t="s">
        <v>580</v>
      </c>
      <c r="F1468" t="s">
        <v>20</v>
      </c>
      <c r="G1468" t="s">
        <v>1581</v>
      </c>
      <c r="H1468" t="s">
        <v>1582</v>
      </c>
      <c r="I1468" t="s">
        <v>3239</v>
      </c>
      <c r="J1468">
        <v>51151760697</v>
      </c>
      <c r="K1468" t="s">
        <v>3379</v>
      </c>
      <c r="L1468" t="s">
        <v>4307</v>
      </c>
      <c r="M1468">
        <v>48000</v>
      </c>
      <c r="N1468" s="10">
        <v>0.11912</v>
      </c>
      <c r="O1468" s="10">
        <f t="shared" si="145"/>
        <v>5717.76</v>
      </c>
      <c r="P1468" s="10" t="s">
        <v>5006</v>
      </c>
      <c r="Q1468" s="10" t="s">
        <v>5006</v>
      </c>
      <c r="R1468" s="10" t="str">
        <f>IF(COUNTIF($J$2:J1468,J1468)=1,SUMIFS($O:$O,$J:$J,J1468)+SUMIFS($P:$P,$J:$J,J1468)+SUMIFS($Q:$Q,$J:$J,J1468),"")</f>
        <v/>
      </c>
      <c r="S1468" s="10" t="s">
        <v>5006</v>
      </c>
      <c r="T1468" s="11" t="str">
        <f t="shared" si="148"/>
        <v>Check</v>
      </c>
      <c r="U1468" s="12">
        <v>46058</v>
      </c>
      <c r="V1468" s="10">
        <v>10517.06</v>
      </c>
      <c r="W1468" s="10" t="str">
        <f t="shared" si="146"/>
        <v>N/A</v>
      </c>
      <c r="X1468" t="s">
        <v>478</v>
      </c>
      <c r="Y1468" t="s">
        <v>28</v>
      </c>
      <c r="Z1468">
        <v>100152</v>
      </c>
      <c r="AA1468" t="s">
        <v>3101</v>
      </c>
      <c r="AB1468" t="s">
        <v>521</v>
      </c>
      <c r="AC1468" s="9">
        <v>7</v>
      </c>
      <c r="AD1468" s="9" t="str">
        <f t="shared" si="147"/>
        <v>N/A</v>
      </c>
      <c r="AE1468" s="11" t="e">
        <f t="shared" si="149"/>
        <v>#VALUE!</v>
      </c>
    </row>
    <row r="1469" spans="1:31" x14ac:dyDescent="0.3">
      <c r="A1469">
        <v>18</v>
      </c>
      <c r="B1469">
        <v>4859195</v>
      </c>
      <c r="C1469" t="s">
        <v>240</v>
      </c>
      <c r="D1469">
        <v>1372540</v>
      </c>
      <c r="E1469" t="s">
        <v>580</v>
      </c>
      <c r="F1469" t="s">
        <v>20</v>
      </c>
      <c r="G1469" t="s">
        <v>1581</v>
      </c>
      <c r="H1469" t="s">
        <v>1582</v>
      </c>
      <c r="I1469" t="s">
        <v>3239</v>
      </c>
      <c r="J1469">
        <v>51151760697</v>
      </c>
      <c r="K1469" t="s">
        <v>3379</v>
      </c>
      <c r="L1469" t="s">
        <v>4308</v>
      </c>
      <c r="M1469">
        <v>50000</v>
      </c>
      <c r="N1469" s="10">
        <v>7.0650000000000004E-2</v>
      </c>
      <c r="O1469" s="10">
        <f t="shared" si="145"/>
        <v>3532.5</v>
      </c>
      <c r="P1469" s="10" t="s">
        <v>5006</v>
      </c>
      <c r="Q1469" s="10" t="s">
        <v>5006</v>
      </c>
      <c r="R1469" s="10" t="str">
        <f>IF(COUNTIF($J$2:J1469,J1469)=1,SUMIFS($O:$O,$J:$J,J1469)+SUMIFS($P:$P,$J:$J,J1469)+SUMIFS($Q:$Q,$J:$J,J1469),"")</f>
        <v/>
      </c>
      <c r="S1469" s="10" t="s">
        <v>5006</v>
      </c>
      <c r="T1469" s="11" t="str">
        <f t="shared" si="148"/>
        <v>Check</v>
      </c>
      <c r="U1469" s="12">
        <v>46058</v>
      </c>
      <c r="V1469" s="10">
        <v>10517.06</v>
      </c>
      <c r="W1469" s="10" t="str">
        <f t="shared" si="146"/>
        <v>N/A</v>
      </c>
      <c r="X1469" t="s">
        <v>478</v>
      </c>
      <c r="Y1469" t="s">
        <v>28</v>
      </c>
      <c r="Z1469">
        <v>100152</v>
      </c>
      <c r="AA1469" t="s">
        <v>3101</v>
      </c>
      <c r="AB1469" t="s">
        <v>521</v>
      </c>
      <c r="AC1469" s="9">
        <v>7</v>
      </c>
      <c r="AD1469" s="9" t="str">
        <f t="shared" si="147"/>
        <v>N/A</v>
      </c>
      <c r="AE1469" s="11" t="e">
        <f t="shared" si="149"/>
        <v>#VALUE!</v>
      </c>
    </row>
    <row r="1470" spans="1:31" x14ac:dyDescent="0.3">
      <c r="A1470">
        <v>18</v>
      </c>
      <c r="B1470">
        <v>4859195</v>
      </c>
      <c r="C1470" t="s">
        <v>240</v>
      </c>
      <c r="D1470">
        <v>1372540</v>
      </c>
      <c r="E1470" t="s">
        <v>580</v>
      </c>
      <c r="F1470" t="s">
        <v>20</v>
      </c>
      <c r="G1470" t="s">
        <v>1581</v>
      </c>
      <c r="H1470" t="s">
        <v>1582</v>
      </c>
      <c r="I1470" t="s">
        <v>3239</v>
      </c>
      <c r="J1470">
        <v>51151760697</v>
      </c>
      <c r="K1470" t="s">
        <v>3379</v>
      </c>
      <c r="L1470" t="s">
        <v>4309</v>
      </c>
      <c r="M1470">
        <v>200000</v>
      </c>
      <c r="N1470" s="10">
        <v>7.9000000000000001E-4</v>
      </c>
      <c r="O1470" s="10">
        <f t="shared" si="145"/>
        <v>158</v>
      </c>
      <c r="P1470" s="10" t="s">
        <v>5006</v>
      </c>
      <c r="Q1470" s="10" t="s">
        <v>5006</v>
      </c>
      <c r="R1470" s="10" t="str">
        <f>IF(COUNTIF($J$2:J1470,J1470)=1,SUMIFS($O:$O,$J:$J,J1470)+SUMIFS($P:$P,$J:$J,J1470)+SUMIFS($Q:$Q,$J:$J,J1470),"")</f>
        <v/>
      </c>
      <c r="S1470" s="10" t="s">
        <v>5006</v>
      </c>
      <c r="T1470" s="11" t="str">
        <f t="shared" si="148"/>
        <v>Check</v>
      </c>
      <c r="U1470" s="12">
        <v>46058</v>
      </c>
      <c r="V1470" s="10">
        <v>10517.06</v>
      </c>
      <c r="W1470" s="10" t="str">
        <f t="shared" si="146"/>
        <v>N/A</v>
      </c>
      <c r="X1470" t="s">
        <v>478</v>
      </c>
      <c r="Y1470" t="s">
        <v>28</v>
      </c>
      <c r="Z1470">
        <v>100152</v>
      </c>
      <c r="AA1470" t="s">
        <v>3101</v>
      </c>
      <c r="AB1470" t="s">
        <v>521</v>
      </c>
      <c r="AC1470" s="9">
        <v>7</v>
      </c>
      <c r="AD1470" s="9" t="str">
        <f t="shared" si="147"/>
        <v>N/A</v>
      </c>
      <c r="AE1470" s="11" t="e">
        <f t="shared" si="149"/>
        <v>#VALUE!</v>
      </c>
    </row>
    <row r="1471" spans="1:31" x14ac:dyDescent="0.3">
      <c r="A1471">
        <v>18</v>
      </c>
      <c r="B1471">
        <v>4859195</v>
      </c>
      <c r="C1471" t="s">
        <v>240</v>
      </c>
      <c r="D1471">
        <v>1372540</v>
      </c>
      <c r="E1471" t="s">
        <v>580</v>
      </c>
      <c r="F1471" t="s">
        <v>20</v>
      </c>
      <c r="G1471" t="s">
        <v>1581</v>
      </c>
      <c r="H1471" t="s">
        <v>1582</v>
      </c>
      <c r="I1471" t="s">
        <v>3239</v>
      </c>
      <c r="J1471">
        <v>51151760697</v>
      </c>
      <c r="K1471" t="s">
        <v>3379</v>
      </c>
      <c r="L1471" t="s">
        <v>4310</v>
      </c>
      <c r="M1471">
        <v>100000</v>
      </c>
      <c r="N1471" s="10">
        <v>1E-3</v>
      </c>
      <c r="O1471" s="10">
        <f t="shared" si="145"/>
        <v>100</v>
      </c>
      <c r="P1471" s="10" t="s">
        <v>5006</v>
      </c>
      <c r="Q1471" s="10" t="s">
        <v>5006</v>
      </c>
      <c r="R1471" s="10" t="str">
        <f>IF(COUNTIF($J$2:J1471,J1471)=1,SUMIFS($O:$O,$J:$J,J1471)+SUMIFS($P:$P,$J:$J,J1471)+SUMIFS($Q:$Q,$J:$J,J1471),"")</f>
        <v/>
      </c>
      <c r="S1471" s="10" t="s">
        <v>5006</v>
      </c>
      <c r="T1471" s="11" t="str">
        <f t="shared" si="148"/>
        <v>Check</v>
      </c>
      <c r="U1471" s="12">
        <v>46058</v>
      </c>
      <c r="V1471" s="10">
        <v>10517.06</v>
      </c>
      <c r="W1471" s="10" t="str">
        <f t="shared" si="146"/>
        <v>N/A</v>
      </c>
      <c r="X1471" t="s">
        <v>478</v>
      </c>
      <c r="Y1471" t="s">
        <v>28</v>
      </c>
      <c r="Z1471">
        <v>100152</v>
      </c>
      <c r="AA1471" t="s">
        <v>3101</v>
      </c>
      <c r="AB1471" t="s">
        <v>521</v>
      </c>
      <c r="AC1471" s="9">
        <v>7</v>
      </c>
      <c r="AD1471" s="9" t="str">
        <f t="shared" si="147"/>
        <v>N/A</v>
      </c>
      <c r="AE1471" s="11" t="e">
        <f t="shared" si="149"/>
        <v>#VALUE!</v>
      </c>
    </row>
    <row r="1472" spans="1:31" x14ac:dyDescent="0.3">
      <c r="A1472">
        <v>18</v>
      </c>
      <c r="B1472">
        <v>4859195</v>
      </c>
      <c r="C1472" t="s">
        <v>240</v>
      </c>
      <c r="D1472">
        <v>1372540</v>
      </c>
      <c r="E1472" t="s">
        <v>580</v>
      </c>
      <c r="F1472" t="s">
        <v>20</v>
      </c>
      <c r="G1472" t="s">
        <v>1581</v>
      </c>
      <c r="H1472" t="s">
        <v>1582</v>
      </c>
      <c r="I1472" t="s">
        <v>3239</v>
      </c>
      <c r="J1472">
        <v>51151760697</v>
      </c>
      <c r="K1472" t="s">
        <v>3379</v>
      </c>
      <c r="L1472" t="s">
        <v>4311</v>
      </c>
      <c r="M1472">
        <v>40000</v>
      </c>
      <c r="N1472" s="10">
        <v>3.82E-3</v>
      </c>
      <c r="O1472" s="10">
        <f t="shared" si="145"/>
        <v>152.80000000000001</v>
      </c>
      <c r="P1472" s="10" t="s">
        <v>5006</v>
      </c>
      <c r="Q1472" s="10" t="s">
        <v>5006</v>
      </c>
      <c r="R1472" s="10" t="str">
        <f>IF(COUNTIF($J$2:J1472,J1472)=1,SUMIFS($O:$O,$J:$J,J1472)+SUMIFS($P:$P,$J:$J,J1472)+SUMIFS($Q:$Q,$J:$J,J1472),"")</f>
        <v/>
      </c>
      <c r="S1472" s="10" t="s">
        <v>5006</v>
      </c>
      <c r="T1472" s="11" t="str">
        <f t="shared" si="148"/>
        <v>Check</v>
      </c>
      <c r="U1472" s="12">
        <v>46058</v>
      </c>
      <c r="V1472" s="10">
        <v>10517.06</v>
      </c>
      <c r="W1472" s="10" t="str">
        <f t="shared" si="146"/>
        <v>N/A</v>
      </c>
      <c r="X1472" t="s">
        <v>478</v>
      </c>
      <c r="Y1472" t="s">
        <v>28</v>
      </c>
      <c r="Z1472">
        <v>100152</v>
      </c>
      <c r="AA1472" t="s">
        <v>3101</v>
      </c>
      <c r="AB1472" t="s">
        <v>521</v>
      </c>
      <c r="AC1472" s="9">
        <v>7</v>
      </c>
      <c r="AD1472" s="9" t="str">
        <f t="shared" si="147"/>
        <v>N/A</v>
      </c>
      <c r="AE1472" s="11" t="e">
        <f t="shared" si="149"/>
        <v>#VALUE!</v>
      </c>
    </row>
    <row r="1473" spans="1:31" x14ac:dyDescent="0.3">
      <c r="A1473">
        <v>18</v>
      </c>
      <c r="B1473">
        <v>4859195</v>
      </c>
      <c r="C1473" t="s">
        <v>240</v>
      </c>
      <c r="D1473">
        <v>1372540</v>
      </c>
      <c r="E1473" t="s">
        <v>580</v>
      </c>
      <c r="F1473" t="s">
        <v>20</v>
      </c>
      <c r="G1473" t="s">
        <v>1581</v>
      </c>
      <c r="H1473" t="s">
        <v>1582</v>
      </c>
      <c r="I1473" t="s">
        <v>3239</v>
      </c>
      <c r="J1473">
        <v>51151760697</v>
      </c>
      <c r="K1473" t="s">
        <v>3379</v>
      </c>
      <c r="L1473" t="s">
        <v>4312</v>
      </c>
      <c r="M1473">
        <v>30000</v>
      </c>
      <c r="N1473" s="10">
        <v>2.1000000000000001E-2</v>
      </c>
      <c r="O1473" s="10">
        <f t="shared" si="145"/>
        <v>630</v>
      </c>
      <c r="P1473" s="10" t="s">
        <v>5006</v>
      </c>
      <c r="Q1473" s="10" t="s">
        <v>5006</v>
      </c>
      <c r="R1473" s="10" t="str">
        <f>IF(COUNTIF($J$2:J1473,J1473)=1,SUMIFS($O:$O,$J:$J,J1473)+SUMIFS($P:$P,$J:$J,J1473)+SUMIFS($Q:$Q,$J:$J,J1473),"")</f>
        <v/>
      </c>
      <c r="S1473" s="10" t="s">
        <v>5006</v>
      </c>
      <c r="T1473" s="11" t="str">
        <f t="shared" si="148"/>
        <v>Check</v>
      </c>
      <c r="U1473" s="12">
        <v>46058</v>
      </c>
      <c r="V1473" s="10">
        <v>10517.06</v>
      </c>
      <c r="W1473" s="10" t="str">
        <f t="shared" si="146"/>
        <v>N/A</v>
      </c>
      <c r="X1473" t="s">
        <v>478</v>
      </c>
      <c r="Y1473" t="s">
        <v>28</v>
      </c>
      <c r="Z1473">
        <v>100152</v>
      </c>
      <c r="AA1473" t="s">
        <v>3101</v>
      </c>
      <c r="AB1473" t="s">
        <v>521</v>
      </c>
      <c r="AC1473" s="9">
        <v>7</v>
      </c>
      <c r="AD1473" s="9" t="str">
        <f t="shared" si="147"/>
        <v>N/A</v>
      </c>
      <c r="AE1473" s="11" t="e">
        <f t="shared" si="149"/>
        <v>#VALUE!</v>
      </c>
    </row>
    <row r="1474" spans="1:31" x14ac:dyDescent="0.3">
      <c r="A1474">
        <v>28</v>
      </c>
      <c r="B1474">
        <v>4771257</v>
      </c>
      <c r="C1474" t="s">
        <v>220</v>
      </c>
      <c r="D1474">
        <v>1469829</v>
      </c>
      <c r="E1474" t="s">
        <v>224</v>
      </c>
      <c r="F1474" t="s">
        <v>19</v>
      </c>
      <c r="G1474" t="s">
        <v>1344</v>
      </c>
      <c r="H1474" t="s">
        <v>1345</v>
      </c>
      <c r="I1474" t="s">
        <v>3513</v>
      </c>
      <c r="J1474">
        <v>51151893343</v>
      </c>
      <c r="K1474" t="s">
        <v>3479</v>
      </c>
      <c r="L1474" t="s">
        <v>3478</v>
      </c>
      <c r="M1474">
        <v>80000</v>
      </c>
      <c r="N1474" s="10">
        <v>1.6049999999999998E-2</v>
      </c>
      <c r="O1474" s="10">
        <f t="shared" ref="O1474:O1537" si="150">M1474*N1474</f>
        <v>1283.9999999999998</v>
      </c>
      <c r="P1474" s="10">
        <v>0</v>
      </c>
      <c r="Q1474" s="10">
        <v>0</v>
      </c>
      <c r="R1474" s="10">
        <f>IF(COUNTIF($J$2:J1474,J1474)=1,SUMIFS($O:$O,$J:$J,J1474)+SUMIFS($P:$P,$J:$J,J1474)+SUMIFS($Q:$Q,$J:$J,J1474),"")</f>
        <v>8919</v>
      </c>
      <c r="S1474" s="10">
        <v>9209</v>
      </c>
      <c r="T1474" s="11" t="str">
        <f t="shared" si="148"/>
        <v>Check</v>
      </c>
      <c r="U1474" s="12">
        <v>46092</v>
      </c>
      <c r="V1474" s="10">
        <v>540</v>
      </c>
      <c r="W1474" s="10" t="str">
        <f t="shared" ref="W1474:W1537" si="151">IF(OR(S1474="",V1474=""),"N/A",IF(S1474&lt;&gt;V1474,"Short Paid","Not Paid"))</f>
        <v>Short Paid</v>
      </c>
      <c r="X1474" t="s">
        <v>470</v>
      </c>
      <c r="Y1474" t="s">
        <v>28</v>
      </c>
      <c r="Z1474">
        <v>100238</v>
      </c>
      <c r="AA1474" t="s">
        <v>3078</v>
      </c>
      <c r="AB1474" t="s">
        <v>524</v>
      </c>
      <c r="AC1474" s="9">
        <v>3</v>
      </c>
      <c r="AD1474" s="9" t="str">
        <f t="shared" ref="AD1474:AD1537" si="152">IF(AND(R1474="",S1474=""),"N/A",IF(R1474=S1474,"Ok","Check"))</f>
        <v>Check</v>
      </c>
      <c r="AE1474" s="11">
        <f t="shared" si="149"/>
        <v>-290</v>
      </c>
    </row>
    <row r="1475" spans="1:31" x14ac:dyDescent="0.3">
      <c r="A1475">
        <v>28</v>
      </c>
      <c r="B1475">
        <v>4771257</v>
      </c>
      <c r="C1475" t="s">
        <v>220</v>
      </c>
      <c r="D1475">
        <v>1469829</v>
      </c>
      <c r="E1475" t="s">
        <v>224</v>
      </c>
      <c r="F1475" t="s">
        <v>19</v>
      </c>
      <c r="G1475" t="s">
        <v>1344</v>
      </c>
      <c r="H1475" t="s">
        <v>1345</v>
      </c>
      <c r="I1475" t="s">
        <v>3327</v>
      </c>
      <c r="J1475">
        <v>51151893343</v>
      </c>
      <c r="K1475" t="s">
        <v>3209</v>
      </c>
      <c r="L1475" t="s">
        <v>4313</v>
      </c>
      <c r="M1475">
        <v>500</v>
      </c>
      <c r="N1475" s="10">
        <v>14.77</v>
      </c>
      <c r="O1475" s="10">
        <f t="shared" si="150"/>
        <v>7385</v>
      </c>
      <c r="P1475" s="10" t="s">
        <v>5006</v>
      </c>
      <c r="Q1475" s="10" t="s">
        <v>5006</v>
      </c>
      <c r="R1475" s="10" t="str">
        <f>IF(COUNTIF($J$2:J1475,J1475)=1,SUMIFS($O:$O,$J:$J,J1475)+SUMIFS($P:$P,$J:$J,J1475)+SUMIFS($Q:$Q,$J:$J,J1475),"")</f>
        <v/>
      </c>
      <c r="S1475" s="10" t="s">
        <v>5006</v>
      </c>
      <c r="T1475" s="11" t="str">
        <f t="shared" ref="T1475:T1538" si="153">IFERROR(INDEX(AD:AD,MATCH(J1475,J:J,0)),"")</f>
        <v>Check</v>
      </c>
      <c r="U1475" s="12">
        <v>46092</v>
      </c>
      <c r="V1475" s="10">
        <v>540</v>
      </c>
      <c r="W1475" s="10" t="str">
        <f t="shared" si="151"/>
        <v>N/A</v>
      </c>
      <c r="X1475" t="s">
        <v>470</v>
      </c>
      <c r="Y1475" t="s">
        <v>28</v>
      </c>
      <c r="Z1475">
        <v>100238</v>
      </c>
      <c r="AA1475" t="s">
        <v>3078</v>
      </c>
      <c r="AB1475" t="s">
        <v>524</v>
      </c>
      <c r="AC1475" s="9">
        <v>3</v>
      </c>
      <c r="AD1475" s="9" t="str">
        <f t="shared" si="152"/>
        <v>N/A</v>
      </c>
      <c r="AE1475" s="11" t="e">
        <f t="shared" si="149"/>
        <v>#VALUE!</v>
      </c>
    </row>
    <row r="1476" spans="1:31" x14ac:dyDescent="0.3">
      <c r="A1476">
        <v>28</v>
      </c>
      <c r="B1476">
        <v>4771257</v>
      </c>
      <c r="C1476" t="s">
        <v>220</v>
      </c>
      <c r="D1476">
        <v>1469829</v>
      </c>
      <c r="E1476" t="s">
        <v>224</v>
      </c>
      <c r="F1476" t="s">
        <v>19</v>
      </c>
      <c r="G1476" t="s">
        <v>1344</v>
      </c>
      <c r="H1476" t="s">
        <v>1345</v>
      </c>
      <c r="I1476" t="s">
        <v>3327</v>
      </c>
      <c r="J1476">
        <v>51151893343</v>
      </c>
      <c r="K1476" t="s">
        <v>3209</v>
      </c>
      <c r="L1476" t="s">
        <v>4314</v>
      </c>
      <c r="M1476">
        <v>1</v>
      </c>
      <c r="N1476" s="10">
        <v>250</v>
      </c>
      <c r="O1476" s="10">
        <f t="shared" si="150"/>
        <v>250</v>
      </c>
      <c r="P1476" s="10" t="s">
        <v>5006</v>
      </c>
      <c r="Q1476" s="10" t="s">
        <v>5006</v>
      </c>
      <c r="R1476" s="10" t="str">
        <f>IF(COUNTIF($J$2:J1476,J1476)=1,SUMIFS($O:$O,$J:$J,J1476)+SUMIFS($P:$P,$J:$J,J1476)+SUMIFS($Q:$Q,$J:$J,J1476),"")</f>
        <v/>
      </c>
      <c r="S1476" s="10" t="s">
        <v>5006</v>
      </c>
      <c r="T1476" s="11" t="str">
        <f t="shared" si="153"/>
        <v>Check</v>
      </c>
      <c r="U1476" s="12">
        <v>46092</v>
      </c>
      <c r="V1476" s="10">
        <v>540</v>
      </c>
      <c r="W1476" s="10" t="str">
        <f t="shared" si="151"/>
        <v>N/A</v>
      </c>
      <c r="X1476" t="s">
        <v>470</v>
      </c>
      <c r="Y1476" t="s">
        <v>28</v>
      </c>
      <c r="Z1476">
        <v>100238</v>
      </c>
      <c r="AA1476" t="s">
        <v>3078</v>
      </c>
      <c r="AB1476" t="s">
        <v>524</v>
      </c>
      <c r="AC1476" s="9">
        <v>3</v>
      </c>
      <c r="AD1476" s="9" t="str">
        <f t="shared" si="152"/>
        <v>N/A</v>
      </c>
      <c r="AE1476" s="11" t="e">
        <f t="shared" si="149"/>
        <v>#VALUE!</v>
      </c>
    </row>
    <row r="1477" spans="1:31" x14ac:dyDescent="0.3">
      <c r="A1477">
        <v>27</v>
      </c>
      <c r="B1477">
        <v>4791015</v>
      </c>
      <c r="C1477" t="s">
        <v>60</v>
      </c>
      <c r="D1477">
        <v>1588891</v>
      </c>
      <c r="E1477" t="s">
        <v>61</v>
      </c>
      <c r="F1477" t="s">
        <v>27</v>
      </c>
      <c r="G1477" t="s">
        <v>1373</v>
      </c>
      <c r="H1477" t="s">
        <v>1374</v>
      </c>
      <c r="I1477" t="s">
        <v>3432</v>
      </c>
      <c r="J1477">
        <v>51152002252</v>
      </c>
      <c r="K1477" t="s">
        <v>3574</v>
      </c>
      <c r="L1477" t="s">
        <v>4315</v>
      </c>
      <c r="M1477">
        <v>1263</v>
      </c>
      <c r="N1477" s="10">
        <v>3.1764700000000001</v>
      </c>
      <c r="O1477" s="10">
        <f t="shared" si="150"/>
        <v>4011.8816100000004</v>
      </c>
      <c r="P1477" s="10">
        <v>0</v>
      </c>
      <c r="Q1477" s="10">
        <v>0</v>
      </c>
      <c r="R1477" s="10">
        <f>IF(COUNTIF($J$2:J1477,J1477)=1,SUMIFS($O:$O,$J:$J,J1477)+SUMIFS($P:$P,$J:$J,J1477)+SUMIFS($Q:$Q,$J:$J,J1477),"")</f>
        <v>5420.3816100000004</v>
      </c>
      <c r="S1477" s="10">
        <v>5420.38</v>
      </c>
      <c r="T1477" s="11" t="str">
        <f t="shared" si="153"/>
        <v>Check</v>
      </c>
      <c r="U1477" s="12">
        <v>45995</v>
      </c>
      <c r="V1477" s="10">
        <v>1270.5899999999999</v>
      </c>
      <c r="W1477" s="10" t="str">
        <f t="shared" si="151"/>
        <v>Short Paid</v>
      </c>
      <c r="X1477" t="s">
        <v>438</v>
      </c>
      <c r="Y1477" t="s">
        <v>436</v>
      </c>
      <c r="Z1477">
        <v>100213</v>
      </c>
      <c r="AA1477" t="s">
        <v>3085</v>
      </c>
      <c r="AB1477" t="s">
        <v>3034</v>
      </c>
      <c r="AC1477" s="9">
        <v>2</v>
      </c>
      <c r="AD1477" s="9" t="str">
        <f t="shared" si="152"/>
        <v>Check</v>
      </c>
      <c r="AE1477" s="11">
        <f t="shared" si="149"/>
        <v>1.6100000002552406E-3</v>
      </c>
    </row>
    <row r="1478" spans="1:31" x14ac:dyDescent="0.3">
      <c r="A1478">
        <v>27</v>
      </c>
      <c r="B1478">
        <v>4791015</v>
      </c>
      <c r="C1478" t="s">
        <v>60</v>
      </c>
      <c r="D1478">
        <v>1588891</v>
      </c>
      <c r="E1478" t="s">
        <v>61</v>
      </c>
      <c r="F1478" t="s">
        <v>27</v>
      </c>
      <c r="G1478" t="s">
        <v>1373</v>
      </c>
      <c r="H1478" t="s">
        <v>1374</v>
      </c>
      <c r="I1478" t="s">
        <v>3327</v>
      </c>
      <c r="J1478">
        <v>51152002252</v>
      </c>
      <c r="K1478" t="s">
        <v>3168</v>
      </c>
      <c r="L1478" t="s">
        <v>3348</v>
      </c>
      <c r="M1478">
        <v>45000</v>
      </c>
      <c r="N1478" s="10">
        <v>3.1300000000000001E-2</v>
      </c>
      <c r="O1478" s="10">
        <f t="shared" si="150"/>
        <v>1408.5</v>
      </c>
      <c r="P1478" s="10" t="s">
        <v>5006</v>
      </c>
      <c r="Q1478" s="10" t="s">
        <v>5006</v>
      </c>
      <c r="R1478" s="10" t="str">
        <f>IF(COUNTIF($J$2:J1478,J1478)=1,SUMIFS($O:$O,$J:$J,J1478)+SUMIFS($P:$P,$J:$J,J1478)+SUMIFS($Q:$Q,$J:$J,J1478),"")</f>
        <v/>
      </c>
      <c r="S1478" s="10" t="s">
        <v>5006</v>
      </c>
      <c r="T1478" s="11" t="str">
        <f t="shared" si="153"/>
        <v>Check</v>
      </c>
      <c r="U1478" s="12">
        <v>45995</v>
      </c>
      <c r="V1478" s="10">
        <v>1270.5899999999999</v>
      </c>
      <c r="W1478" s="10" t="str">
        <f t="shared" si="151"/>
        <v>N/A</v>
      </c>
      <c r="X1478" t="s">
        <v>438</v>
      </c>
      <c r="Y1478" t="s">
        <v>436</v>
      </c>
      <c r="Z1478">
        <v>100213</v>
      </c>
      <c r="AA1478" t="s">
        <v>3085</v>
      </c>
      <c r="AB1478" t="s">
        <v>3034</v>
      </c>
      <c r="AC1478" s="9">
        <v>2</v>
      </c>
      <c r="AD1478" s="9" t="str">
        <f t="shared" si="152"/>
        <v>N/A</v>
      </c>
      <c r="AE1478" s="11" t="e">
        <f t="shared" si="149"/>
        <v>#VALUE!</v>
      </c>
    </row>
    <row r="1479" spans="1:31" x14ac:dyDescent="0.3">
      <c r="A1479">
        <v>28</v>
      </c>
      <c r="B1479">
        <v>4774040</v>
      </c>
      <c r="C1479" t="s">
        <v>239</v>
      </c>
      <c r="D1479">
        <v>1079286</v>
      </c>
      <c r="E1479" t="s">
        <v>629</v>
      </c>
      <c r="F1479" t="s">
        <v>20</v>
      </c>
      <c r="G1479" t="s">
        <v>1338</v>
      </c>
      <c r="H1479" t="s">
        <v>1339</v>
      </c>
      <c r="I1479" t="s">
        <v>3230</v>
      </c>
      <c r="J1479">
        <v>51152009713</v>
      </c>
      <c r="K1479" t="s">
        <v>3338</v>
      </c>
      <c r="L1479" t="s">
        <v>4316</v>
      </c>
      <c r="M1479">
        <v>5</v>
      </c>
      <c r="N1479" s="10">
        <v>283.20999999999998</v>
      </c>
      <c r="O1479" s="10">
        <f t="shared" si="150"/>
        <v>1416.05</v>
      </c>
      <c r="P1479" s="10">
        <v>0</v>
      </c>
      <c r="Q1479" s="10">
        <v>0</v>
      </c>
      <c r="R1479" s="10">
        <f>IF(COUNTIF($J$2:J1479,J1479)=1,SUMIFS($O:$O,$J:$J,J1479)+SUMIFS($P:$P,$J:$J,J1479)+SUMIFS($Q:$Q,$J:$J,J1479),"")</f>
        <v>11379.05</v>
      </c>
      <c r="S1479" s="10">
        <v>11729.05</v>
      </c>
      <c r="T1479" s="11" t="str">
        <f t="shared" si="153"/>
        <v>Check</v>
      </c>
      <c r="U1479" s="12">
        <v>45807</v>
      </c>
      <c r="V1479" s="10">
        <v>9063</v>
      </c>
      <c r="W1479" s="10" t="str">
        <f t="shared" si="151"/>
        <v>Short Paid</v>
      </c>
      <c r="X1479" t="s">
        <v>476</v>
      </c>
      <c r="Y1479" t="s">
        <v>28</v>
      </c>
      <c r="Z1479">
        <v>100235</v>
      </c>
      <c r="AA1479" t="s">
        <v>509</v>
      </c>
      <c r="AB1479" t="s">
        <v>521</v>
      </c>
      <c r="AC1479" s="9">
        <v>3</v>
      </c>
      <c r="AD1479" s="9" t="str">
        <f t="shared" si="152"/>
        <v>Check</v>
      </c>
      <c r="AE1479" s="11">
        <f t="shared" ref="AE1479:AE1542" si="154">R1479-S1479</f>
        <v>-350</v>
      </c>
    </row>
    <row r="1480" spans="1:31" x14ac:dyDescent="0.3">
      <c r="A1480">
        <v>28</v>
      </c>
      <c r="B1480">
        <v>4774040</v>
      </c>
      <c r="C1480" t="s">
        <v>239</v>
      </c>
      <c r="D1480">
        <v>1079286</v>
      </c>
      <c r="E1480" t="s">
        <v>629</v>
      </c>
      <c r="F1480" t="s">
        <v>20</v>
      </c>
      <c r="G1480" t="s">
        <v>1338</v>
      </c>
      <c r="H1480" t="s">
        <v>1339</v>
      </c>
      <c r="I1480" t="s">
        <v>3230</v>
      </c>
      <c r="J1480">
        <v>51152009713</v>
      </c>
      <c r="K1480" t="s">
        <v>3338</v>
      </c>
      <c r="L1480" t="s">
        <v>4304</v>
      </c>
      <c r="M1480">
        <v>1</v>
      </c>
      <c r="N1480" s="10">
        <v>900</v>
      </c>
      <c r="O1480" s="10">
        <f t="shared" si="150"/>
        <v>900</v>
      </c>
      <c r="P1480" s="10" t="s">
        <v>5006</v>
      </c>
      <c r="Q1480" s="10" t="s">
        <v>5006</v>
      </c>
      <c r="R1480" s="10" t="str">
        <f>IF(COUNTIF($J$2:J1480,J1480)=1,SUMIFS($O:$O,$J:$J,J1480)+SUMIFS($P:$P,$J:$J,J1480)+SUMIFS($Q:$Q,$J:$J,J1480),"")</f>
        <v/>
      </c>
      <c r="S1480" s="10" t="s">
        <v>5006</v>
      </c>
      <c r="T1480" s="11" t="str">
        <f t="shared" si="153"/>
        <v>Check</v>
      </c>
      <c r="U1480" s="12">
        <v>45807</v>
      </c>
      <c r="V1480" s="10">
        <v>9063</v>
      </c>
      <c r="W1480" s="10" t="str">
        <f t="shared" si="151"/>
        <v>N/A</v>
      </c>
      <c r="X1480" t="s">
        <v>476</v>
      </c>
      <c r="Y1480" t="s">
        <v>28</v>
      </c>
      <c r="Z1480">
        <v>100235</v>
      </c>
      <c r="AA1480" t="s">
        <v>509</v>
      </c>
      <c r="AB1480" t="s">
        <v>521</v>
      </c>
      <c r="AC1480" s="9">
        <v>3</v>
      </c>
      <c r="AD1480" s="9" t="str">
        <f t="shared" si="152"/>
        <v>N/A</v>
      </c>
      <c r="AE1480" s="11" t="e">
        <f t="shared" si="154"/>
        <v>#VALUE!</v>
      </c>
    </row>
    <row r="1481" spans="1:31" x14ac:dyDescent="0.3">
      <c r="A1481">
        <v>28</v>
      </c>
      <c r="B1481">
        <v>4774040</v>
      </c>
      <c r="C1481" t="s">
        <v>239</v>
      </c>
      <c r="D1481">
        <v>1079286</v>
      </c>
      <c r="E1481" t="s">
        <v>629</v>
      </c>
      <c r="F1481" t="s">
        <v>20</v>
      </c>
      <c r="G1481" t="s">
        <v>1338</v>
      </c>
      <c r="H1481" t="s">
        <v>1339</v>
      </c>
      <c r="I1481" t="s">
        <v>3462</v>
      </c>
      <c r="J1481">
        <v>51152009713</v>
      </c>
      <c r="K1481" t="s">
        <v>3370</v>
      </c>
      <c r="L1481" t="s">
        <v>4317</v>
      </c>
      <c r="M1481">
        <v>57000</v>
      </c>
      <c r="N1481" s="10">
        <v>0.159</v>
      </c>
      <c r="O1481" s="10">
        <f t="shared" si="150"/>
        <v>9063</v>
      </c>
      <c r="P1481" s="10" t="s">
        <v>5006</v>
      </c>
      <c r="Q1481" s="10" t="s">
        <v>5006</v>
      </c>
      <c r="R1481" s="10" t="str">
        <f>IF(COUNTIF($J$2:J1481,J1481)=1,SUMIFS($O:$O,$J:$J,J1481)+SUMIFS($P:$P,$J:$J,J1481)+SUMIFS($Q:$Q,$J:$J,J1481),"")</f>
        <v/>
      </c>
      <c r="S1481" s="10" t="s">
        <v>5006</v>
      </c>
      <c r="T1481" s="11" t="str">
        <f t="shared" si="153"/>
        <v>Check</v>
      </c>
      <c r="U1481" s="12">
        <v>45807</v>
      </c>
      <c r="V1481" s="10">
        <v>9063</v>
      </c>
      <c r="W1481" s="10" t="str">
        <f t="shared" si="151"/>
        <v>N/A</v>
      </c>
      <c r="X1481" t="s">
        <v>476</v>
      </c>
      <c r="Y1481" t="s">
        <v>28</v>
      </c>
      <c r="Z1481">
        <v>100235</v>
      </c>
      <c r="AA1481" t="s">
        <v>509</v>
      </c>
      <c r="AB1481" t="s">
        <v>521</v>
      </c>
      <c r="AC1481" s="9">
        <v>3</v>
      </c>
      <c r="AD1481" s="9" t="str">
        <f t="shared" si="152"/>
        <v>N/A</v>
      </c>
      <c r="AE1481" s="11" t="e">
        <f t="shared" si="154"/>
        <v>#VALUE!</v>
      </c>
    </row>
    <row r="1482" spans="1:31" x14ac:dyDescent="0.3">
      <c r="A1482">
        <v>25</v>
      </c>
      <c r="B1482">
        <v>4821348</v>
      </c>
      <c r="C1482" t="s">
        <v>239</v>
      </c>
      <c r="D1482">
        <v>1079286</v>
      </c>
      <c r="E1482" t="s">
        <v>629</v>
      </c>
      <c r="F1482" t="s">
        <v>20</v>
      </c>
      <c r="G1482" t="s">
        <v>1419</v>
      </c>
      <c r="H1482" t="s">
        <v>1420</v>
      </c>
      <c r="I1482" t="s">
        <v>3524</v>
      </c>
      <c r="J1482">
        <v>51152041873</v>
      </c>
      <c r="K1482" t="s">
        <v>3370</v>
      </c>
      <c r="L1482" t="s">
        <v>4318</v>
      </c>
      <c r="M1482">
        <v>12000</v>
      </c>
      <c r="N1482" s="10">
        <v>1.0800000000000001E-2</v>
      </c>
      <c r="O1482" s="10">
        <f t="shared" si="150"/>
        <v>129.6</v>
      </c>
      <c r="P1482" s="10">
        <v>0</v>
      </c>
      <c r="Q1482" s="10">
        <v>0</v>
      </c>
      <c r="R1482" s="10">
        <f>IF(COUNTIF($J$2:J1482,J1482)=1,SUMIFS($O:$O,$J:$J,J1482)+SUMIFS($P:$P,$J:$J,J1482)+SUMIFS($Q:$Q,$J:$J,J1482),"")</f>
        <v>4364.1000000000004</v>
      </c>
      <c r="S1482" s="10">
        <v>4408.9000000000005</v>
      </c>
      <c r="T1482" s="11" t="str">
        <f t="shared" si="153"/>
        <v>Check</v>
      </c>
      <c r="U1482" s="12">
        <v>46001</v>
      </c>
      <c r="V1482" s="10">
        <v>44.8</v>
      </c>
      <c r="W1482" s="10" t="str">
        <f t="shared" si="151"/>
        <v>Short Paid</v>
      </c>
      <c r="X1482" t="s">
        <v>476</v>
      </c>
      <c r="Y1482" t="s">
        <v>28</v>
      </c>
      <c r="Z1482">
        <v>100235</v>
      </c>
      <c r="AA1482" t="s">
        <v>509</v>
      </c>
      <c r="AB1482" t="s">
        <v>521</v>
      </c>
      <c r="AC1482" s="9">
        <v>2</v>
      </c>
      <c r="AD1482" s="9" t="str">
        <f t="shared" si="152"/>
        <v>Check</v>
      </c>
      <c r="AE1482" s="11">
        <f t="shared" si="154"/>
        <v>-44.800000000000182</v>
      </c>
    </row>
    <row r="1483" spans="1:31" x14ac:dyDescent="0.3">
      <c r="A1483">
        <v>25</v>
      </c>
      <c r="B1483">
        <v>4821348</v>
      </c>
      <c r="C1483" t="s">
        <v>239</v>
      </c>
      <c r="D1483">
        <v>1079286</v>
      </c>
      <c r="E1483" t="s">
        <v>629</v>
      </c>
      <c r="F1483" t="s">
        <v>20</v>
      </c>
      <c r="G1483" t="s">
        <v>1419</v>
      </c>
      <c r="H1483" t="s">
        <v>1420</v>
      </c>
      <c r="I1483" t="s">
        <v>3524</v>
      </c>
      <c r="J1483">
        <v>51152041873</v>
      </c>
      <c r="K1483" t="s">
        <v>3168</v>
      </c>
      <c r="L1483" t="s">
        <v>4185</v>
      </c>
      <c r="M1483">
        <v>45000</v>
      </c>
      <c r="N1483" s="10">
        <v>9.4100000000000003E-2</v>
      </c>
      <c r="O1483" s="10">
        <f t="shared" si="150"/>
        <v>4234.5</v>
      </c>
      <c r="P1483" s="10" t="s">
        <v>5006</v>
      </c>
      <c r="Q1483" s="10" t="s">
        <v>5006</v>
      </c>
      <c r="R1483" s="10" t="str">
        <f>IF(COUNTIF($J$2:J1483,J1483)=1,SUMIFS($O:$O,$J:$J,J1483)+SUMIFS($P:$P,$J:$J,J1483)+SUMIFS($Q:$Q,$J:$J,J1483),"")</f>
        <v/>
      </c>
      <c r="S1483" s="10" t="s">
        <v>5006</v>
      </c>
      <c r="T1483" s="11" t="str">
        <f t="shared" si="153"/>
        <v>Check</v>
      </c>
      <c r="U1483" s="12">
        <v>46001</v>
      </c>
      <c r="V1483" s="10">
        <v>44.8</v>
      </c>
      <c r="W1483" s="10" t="str">
        <f t="shared" si="151"/>
        <v>N/A</v>
      </c>
      <c r="X1483" t="s">
        <v>476</v>
      </c>
      <c r="Y1483" t="s">
        <v>28</v>
      </c>
      <c r="Z1483">
        <v>100235</v>
      </c>
      <c r="AA1483" t="s">
        <v>509</v>
      </c>
      <c r="AB1483" t="s">
        <v>521</v>
      </c>
      <c r="AC1483" s="9">
        <v>2</v>
      </c>
      <c r="AD1483" s="9" t="str">
        <f t="shared" si="152"/>
        <v>N/A</v>
      </c>
      <c r="AE1483" s="11" t="e">
        <f t="shared" si="154"/>
        <v>#VALUE!</v>
      </c>
    </row>
    <row r="1484" spans="1:31" x14ac:dyDescent="0.3">
      <c r="A1484">
        <v>31</v>
      </c>
      <c r="B1484">
        <v>4751777</v>
      </c>
      <c r="C1484" t="s">
        <v>239</v>
      </c>
      <c r="D1484">
        <v>1035325</v>
      </c>
      <c r="E1484" t="s">
        <v>556</v>
      </c>
      <c r="F1484" t="s">
        <v>20</v>
      </c>
      <c r="G1484" t="s">
        <v>4897</v>
      </c>
      <c r="H1484" t="s">
        <v>1281</v>
      </c>
      <c r="I1484" t="s">
        <v>3336</v>
      </c>
      <c r="J1484">
        <v>51152059773</v>
      </c>
      <c r="K1484" t="s">
        <v>3216</v>
      </c>
      <c r="L1484" t="s">
        <v>3215</v>
      </c>
      <c r="M1484">
        <v>200000</v>
      </c>
      <c r="N1484" s="10">
        <v>1.8700000000000001E-2</v>
      </c>
      <c r="O1484" s="10">
        <f t="shared" si="150"/>
        <v>3740.0000000000005</v>
      </c>
      <c r="P1484" s="10">
        <v>0</v>
      </c>
      <c r="Q1484" s="10">
        <v>0</v>
      </c>
      <c r="R1484" s="10">
        <f>IF(COUNTIF($J$2:J1484,J1484)=1,SUMIFS($O:$O,$J:$J,J1484)+SUMIFS($P:$P,$J:$J,J1484)+SUMIFS($Q:$Q,$J:$J,J1484),"")</f>
        <v>32308.16</v>
      </c>
      <c r="S1484" s="10">
        <v>32308.16</v>
      </c>
      <c r="T1484" s="11" t="str">
        <f t="shared" si="153"/>
        <v>Ok</v>
      </c>
      <c r="U1484" s="12">
        <v>46160</v>
      </c>
      <c r="V1484" s="10">
        <v>6713.7</v>
      </c>
      <c r="W1484" s="10" t="str">
        <f t="shared" si="151"/>
        <v>Short Paid</v>
      </c>
      <c r="X1484" t="s">
        <v>476</v>
      </c>
      <c r="Y1484" t="s">
        <v>28</v>
      </c>
      <c r="Z1484">
        <v>100235</v>
      </c>
      <c r="AA1484" t="s">
        <v>509</v>
      </c>
      <c r="AB1484" t="s">
        <v>521</v>
      </c>
      <c r="AC1484" s="9">
        <v>6</v>
      </c>
      <c r="AD1484" s="9" t="str">
        <f t="shared" si="152"/>
        <v>Ok</v>
      </c>
      <c r="AE1484" s="11">
        <f t="shared" si="154"/>
        <v>0</v>
      </c>
    </row>
    <row r="1485" spans="1:31" x14ac:dyDescent="0.3">
      <c r="A1485">
        <v>31</v>
      </c>
      <c r="B1485">
        <v>4751777</v>
      </c>
      <c r="C1485" t="s">
        <v>239</v>
      </c>
      <c r="D1485">
        <v>1035325</v>
      </c>
      <c r="E1485" t="s">
        <v>556</v>
      </c>
      <c r="F1485" t="s">
        <v>20</v>
      </c>
      <c r="G1485" t="s">
        <v>4897</v>
      </c>
      <c r="H1485" t="s">
        <v>1281</v>
      </c>
      <c r="I1485" t="s">
        <v>3336</v>
      </c>
      <c r="J1485">
        <v>51152059773</v>
      </c>
      <c r="K1485" t="s">
        <v>3379</v>
      </c>
      <c r="L1485" t="s">
        <v>3504</v>
      </c>
      <c r="M1485">
        <v>100000</v>
      </c>
      <c r="N1485" s="10">
        <v>1.2999999999999999E-3</v>
      </c>
      <c r="O1485" s="10">
        <f t="shared" si="150"/>
        <v>130</v>
      </c>
      <c r="P1485" s="10" t="s">
        <v>5006</v>
      </c>
      <c r="Q1485" s="10" t="s">
        <v>5006</v>
      </c>
      <c r="R1485" s="10" t="str">
        <f>IF(COUNTIF($J$2:J1485,J1485)=1,SUMIFS($O:$O,$J:$J,J1485)+SUMIFS($P:$P,$J:$J,J1485)+SUMIFS($Q:$Q,$J:$J,J1485),"")</f>
        <v/>
      </c>
      <c r="S1485" s="10" t="s">
        <v>5006</v>
      </c>
      <c r="T1485" s="11" t="str">
        <f t="shared" si="153"/>
        <v>Ok</v>
      </c>
      <c r="U1485" s="12">
        <v>46160</v>
      </c>
      <c r="V1485" s="10">
        <v>6713.7</v>
      </c>
      <c r="W1485" s="10" t="str">
        <f t="shared" si="151"/>
        <v>N/A</v>
      </c>
      <c r="X1485" t="s">
        <v>476</v>
      </c>
      <c r="Y1485" t="s">
        <v>28</v>
      </c>
      <c r="Z1485">
        <v>100235</v>
      </c>
      <c r="AA1485" t="s">
        <v>509</v>
      </c>
      <c r="AB1485" t="s">
        <v>521</v>
      </c>
      <c r="AC1485" s="9">
        <v>6</v>
      </c>
      <c r="AD1485" s="9" t="str">
        <f t="shared" si="152"/>
        <v>N/A</v>
      </c>
      <c r="AE1485" s="11" t="e">
        <f t="shared" si="154"/>
        <v>#VALUE!</v>
      </c>
    </row>
    <row r="1486" spans="1:31" x14ac:dyDescent="0.3">
      <c r="A1486">
        <v>31</v>
      </c>
      <c r="B1486">
        <v>4751777</v>
      </c>
      <c r="C1486" t="s">
        <v>239</v>
      </c>
      <c r="D1486">
        <v>1035325</v>
      </c>
      <c r="E1486" t="s">
        <v>556</v>
      </c>
      <c r="F1486" t="s">
        <v>20</v>
      </c>
      <c r="G1486" t="s">
        <v>4897</v>
      </c>
      <c r="H1486" t="s">
        <v>1281</v>
      </c>
      <c r="I1486" t="s">
        <v>3336</v>
      </c>
      <c r="J1486">
        <v>51152059773</v>
      </c>
      <c r="K1486" t="s">
        <v>3488</v>
      </c>
      <c r="L1486" t="s">
        <v>3942</v>
      </c>
      <c r="M1486">
        <v>10000</v>
      </c>
      <c r="N1486" s="10">
        <v>7.6999999999999999E-2</v>
      </c>
      <c r="O1486" s="10">
        <f t="shared" si="150"/>
        <v>770</v>
      </c>
      <c r="P1486" s="10" t="s">
        <v>5006</v>
      </c>
      <c r="Q1486" s="10" t="s">
        <v>5006</v>
      </c>
      <c r="R1486" s="10" t="str">
        <f>IF(COUNTIF($J$2:J1486,J1486)=1,SUMIFS($O:$O,$J:$J,J1486)+SUMIFS($P:$P,$J:$J,J1486)+SUMIFS($Q:$Q,$J:$J,J1486),"")</f>
        <v/>
      </c>
      <c r="S1486" s="10" t="s">
        <v>5006</v>
      </c>
      <c r="T1486" s="11" t="str">
        <f t="shared" si="153"/>
        <v>Ok</v>
      </c>
      <c r="U1486" s="12">
        <v>46160</v>
      </c>
      <c r="V1486" s="10">
        <v>6713.7</v>
      </c>
      <c r="W1486" s="10" t="str">
        <f t="shared" si="151"/>
        <v>N/A</v>
      </c>
      <c r="X1486" t="s">
        <v>476</v>
      </c>
      <c r="Y1486" t="s">
        <v>28</v>
      </c>
      <c r="Z1486">
        <v>100235</v>
      </c>
      <c r="AA1486" t="s">
        <v>509</v>
      </c>
      <c r="AB1486" t="s">
        <v>521</v>
      </c>
      <c r="AC1486" s="9">
        <v>6</v>
      </c>
      <c r="AD1486" s="9" t="str">
        <f t="shared" si="152"/>
        <v>N/A</v>
      </c>
      <c r="AE1486" s="11" t="e">
        <f t="shared" si="154"/>
        <v>#VALUE!</v>
      </c>
    </row>
    <row r="1487" spans="1:31" x14ac:dyDescent="0.3">
      <c r="A1487">
        <v>31</v>
      </c>
      <c r="B1487">
        <v>4751777</v>
      </c>
      <c r="C1487" t="s">
        <v>239</v>
      </c>
      <c r="D1487">
        <v>1035325</v>
      </c>
      <c r="E1487" t="s">
        <v>556</v>
      </c>
      <c r="F1487" t="s">
        <v>20</v>
      </c>
      <c r="G1487" t="s">
        <v>4897</v>
      </c>
      <c r="H1487" t="s">
        <v>1281</v>
      </c>
      <c r="I1487" t="s">
        <v>3336</v>
      </c>
      <c r="J1487">
        <v>51152059773</v>
      </c>
      <c r="K1487" t="s">
        <v>3488</v>
      </c>
      <c r="L1487" t="s">
        <v>3721</v>
      </c>
      <c r="M1487">
        <v>49320</v>
      </c>
      <c r="N1487" s="10">
        <v>0.48799999999999999</v>
      </c>
      <c r="O1487" s="10">
        <f t="shared" si="150"/>
        <v>24068.16</v>
      </c>
      <c r="P1487" s="10" t="s">
        <v>5006</v>
      </c>
      <c r="Q1487" s="10" t="s">
        <v>5006</v>
      </c>
      <c r="R1487" s="10" t="str">
        <f>IF(COUNTIF($J$2:J1487,J1487)=1,SUMIFS($O:$O,$J:$J,J1487)+SUMIFS($P:$P,$J:$J,J1487)+SUMIFS($Q:$Q,$J:$J,J1487),"")</f>
        <v/>
      </c>
      <c r="S1487" s="10" t="s">
        <v>5006</v>
      </c>
      <c r="T1487" s="11" t="str">
        <f t="shared" si="153"/>
        <v>Ok</v>
      </c>
      <c r="U1487" s="12">
        <v>46160</v>
      </c>
      <c r="V1487" s="10">
        <v>6713.7</v>
      </c>
      <c r="W1487" s="10" t="str">
        <f t="shared" si="151"/>
        <v>N/A</v>
      </c>
      <c r="X1487" t="s">
        <v>476</v>
      </c>
      <c r="Y1487" t="s">
        <v>28</v>
      </c>
      <c r="Z1487">
        <v>100235</v>
      </c>
      <c r="AA1487" t="s">
        <v>509</v>
      </c>
      <c r="AB1487" t="s">
        <v>521</v>
      </c>
      <c r="AC1487" s="9">
        <v>6</v>
      </c>
      <c r="AD1487" s="9" t="str">
        <f t="shared" si="152"/>
        <v>N/A</v>
      </c>
      <c r="AE1487" s="11" t="e">
        <f t="shared" si="154"/>
        <v>#VALUE!</v>
      </c>
    </row>
    <row r="1488" spans="1:31" x14ac:dyDescent="0.3">
      <c r="A1488">
        <v>31</v>
      </c>
      <c r="B1488">
        <v>4751777</v>
      </c>
      <c r="C1488" t="s">
        <v>239</v>
      </c>
      <c r="D1488">
        <v>1035325</v>
      </c>
      <c r="E1488" t="s">
        <v>556</v>
      </c>
      <c r="F1488" t="s">
        <v>20</v>
      </c>
      <c r="G1488" t="s">
        <v>4897</v>
      </c>
      <c r="H1488" t="s">
        <v>1281</v>
      </c>
      <c r="I1488" t="s">
        <v>3336</v>
      </c>
      <c r="J1488">
        <v>51152059773</v>
      </c>
      <c r="K1488" t="s">
        <v>3207</v>
      </c>
      <c r="L1488" t="s">
        <v>3724</v>
      </c>
      <c r="M1488">
        <v>30000</v>
      </c>
      <c r="N1488" s="10">
        <v>2.3000000000000003E-2</v>
      </c>
      <c r="O1488" s="10">
        <f t="shared" si="150"/>
        <v>690.00000000000011</v>
      </c>
      <c r="P1488" s="10" t="s">
        <v>5006</v>
      </c>
      <c r="Q1488" s="10" t="s">
        <v>5006</v>
      </c>
      <c r="R1488" s="10" t="str">
        <f>IF(COUNTIF($J$2:J1488,J1488)=1,SUMIFS($O:$O,$J:$J,J1488)+SUMIFS($P:$P,$J:$J,J1488)+SUMIFS($Q:$Q,$J:$J,J1488),"")</f>
        <v/>
      </c>
      <c r="S1488" s="10" t="s">
        <v>5006</v>
      </c>
      <c r="T1488" s="11" t="str">
        <f t="shared" si="153"/>
        <v>Ok</v>
      </c>
      <c r="U1488" s="12">
        <v>46160</v>
      </c>
      <c r="V1488" s="10">
        <v>6713.7</v>
      </c>
      <c r="W1488" s="10" t="str">
        <f t="shared" si="151"/>
        <v>N/A</v>
      </c>
      <c r="X1488" t="s">
        <v>476</v>
      </c>
      <c r="Y1488" t="s">
        <v>28</v>
      </c>
      <c r="Z1488">
        <v>100235</v>
      </c>
      <c r="AA1488" t="s">
        <v>509</v>
      </c>
      <c r="AB1488" t="s">
        <v>521</v>
      </c>
      <c r="AC1488" s="9">
        <v>6</v>
      </c>
      <c r="AD1488" s="9" t="str">
        <f t="shared" si="152"/>
        <v>N/A</v>
      </c>
      <c r="AE1488" s="11" t="e">
        <f t="shared" si="154"/>
        <v>#VALUE!</v>
      </c>
    </row>
    <row r="1489" spans="1:31" x14ac:dyDescent="0.3">
      <c r="A1489">
        <v>31</v>
      </c>
      <c r="B1489">
        <v>4751777</v>
      </c>
      <c r="C1489" t="s">
        <v>239</v>
      </c>
      <c r="D1489">
        <v>1035325</v>
      </c>
      <c r="E1489" t="s">
        <v>556</v>
      </c>
      <c r="F1489" t="s">
        <v>20</v>
      </c>
      <c r="G1489" t="s">
        <v>4897</v>
      </c>
      <c r="H1489" t="s">
        <v>1281</v>
      </c>
      <c r="I1489" t="s">
        <v>3336</v>
      </c>
      <c r="J1489">
        <v>51152059773</v>
      </c>
      <c r="K1489" t="s">
        <v>3207</v>
      </c>
      <c r="L1489" t="s">
        <v>3870</v>
      </c>
      <c r="M1489">
        <v>100000</v>
      </c>
      <c r="N1489" s="10">
        <v>2.9100000000000001E-2</v>
      </c>
      <c r="O1489" s="10">
        <f t="shared" si="150"/>
        <v>2910</v>
      </c>
      <c r="P1489" s="10" t="s">
        <v>5006</v>
      </c>
      <c r="Q1489" s="10" t="s">
        <v>5006</v>
      </c>
      <c r="R1489" s="10" t="str">
        <f>IF(COUNTIF($J$2:J1489,J1489)=1,SUMIFS($O:$O,$J:$J,J1489)+SUMIFS($P:$P,$J:$J,J1489)+SUMIFS($Q:$Q,$J:$J,J1489),"")</f>
        <v/>
      </c>
      <c r="S1489" s="10" t="s">
        <v>5006</v>
      </c>
      <c r="T1489" s="11" t="str">
        <f t="shared" si="153"/>
        <v>Ok</v>
      </c>
      <c r="U1489" s="12">
        <v>46160</v>
      </c>
      <c r="V1489" s="10">
        <v>6713.7</v>
      </c>
      <c r="W1489" s="10" t="str">
        <f t="shared" si="151"/>
        <v>N/A</v>
      </c>
      <c r="X1489" t="s">
        <v>476</v>
      </c>
      <c r="Y1489" t="s">
        <v>28</v>
      </c>
      <c r="Z1489">
        <v>100235</v>
      </c>
      <c r="AA1489" t="s">
        <v>509</v>
      </c>
      <c r="AB1489" t="s">
        <v>521</v>
      </c>
      <c r="AC1489" s="9">
        <v>6</v>
      </c>
      <c r="AD1489" s="9" t="str">
        <f t="shared" si="152"/>
        <v>N/A</v>
      </c>
      <c r="AE1489" s="11" t="e">
        <f t="shared" si="154"/>
        <v>#VALUE!</v>
      </c>
    </row>
    <row r="1490" spans="1:31" x14ac:dyDescent="0.3">
      <c r="A1490">
        <v>38</v>
      </c>
      <c r="B1490">
        <v>4731184</v>
      </c>
      <c r="C1490" t="s">
        <v>94</v>
      </c>
      <c r="D1490">
        <v>1200599</v>
      </c>
      <c r="E1490" t="s">
        <v>656</v>
      </c>
      <c r="F1490" t="s">
        <v>19</v>
      </c>
      <c r="G1490" t="s">
        <v>1225</v>
      </c>
      <c r="H1490" t="s">
        <v>1226</v>
      </c>
      <c r="I1490" t="s">
        <v>3365</v>
      </c>
      <c r="J1490">
        <v>51152121697</v>
      </c>
      <c r="K1490" t="s">
        <v>3572</v>
      </c>
      <c r="L1490" t="s">
        <v>4319</v>
      </c>
      <c r="M1490">
        <v>5000</v>
      </c>
      <c r="N1490" s="10">
        <v>0.63800000000000001</v>
      </c>
      <c r="O1490" s="10">
        <f t="shared" si="150"/>
        <v>3190</v>
      </c>
      <c r="P1490" s="10">
        <v>0</v>
      </c>
      <c r="Q1490" s="10">
        <v>0</v>
      </c>
      <c r="R1490" s="10">
        <f>IF(COUNTIF($J$2:J1490,J1490)=1,SUMIFS($O:$O,$J:$J,J1490)+SUMIFS($P:$P,$J:$J,J1490)+SUMIFS($Q:$Q,$J:$J,J1490),"")</f>
        <v>3424</v>
      </c>
      <c r="S1490" s="10">
        <v>3424</v>
      </c>
      <c r="T1490" s="11" t="str">
        <f t="shared" si="153"/>
        <v>Ok</v>
      </c>
      <c r="U1490" s="12">
        <v>46087</v>
      </c>
      <c r="V1490" s="10">
        <v>3190</v>
      </c>
      <c r="W1490" s="10" t="str">
        <f t="shared" si="151"/>
        <v>Short Paid</v>
      </c>
      <c r="X1490" t="s">
        <v>450</v>
      </c>
      <c r="Y1490" t="s">
        <v>28</v>
      </c>
      <c r="Z1490">
        <v>100157</v>
      </c>
      <c r="AA1490" t="s">
        <v>3124</v>
      </c>
      <c r="AB1490" t="s">
        <v>524</v>
      </c>
      <c r="AC1490" s="9">
        <v>2</v>
      </c>
      <c r="AD1490" s="9" t="str">
        <f t="shared" si="152"/>
        <v>Ok</v>
      </c>
      <c r="AE1490" s="11">
        <f t="shared" si="154"/>
        <v>0</v>
      </c>
    </row>
    <row r="1491" spans="1:31" x14ac:dyDescent="0.3">
      <c r="A1491">
        <v>38</v>
      </c>
      <c r="B1491">
        <v>4731184</v>
      </c>
      <c r="C1491" t="s">
        <v>94</v>
      </c>
      <c r="D1491">
        <v>1200599</v>
      </c>
      <c r="E1491" t="s">
        <v>656</v>
      </c>
      <c r="F1491" t="s">
        <v>19</v>
      </c>
      <c r="G1491" t="s">
        <v>1225</v>
      </c>
      <c r="H1491" t="s">
        <v>1226</v>
      </c>
      <c r="I1491" t="s">
        <v>3283</v>
      </c>
      <c r="J1491">
        <v>51152121697</v>
      </c>
      <c r="K1491" t="s">
        <v>3177</v>
      </c>
      <c r="L1491" t="s">
        <v>3561</v>
      </c>
      <c r="M1491">
        <v>52000</v>
      </c>
      <c r="N1491" s="10">
        <v>4.4999999999999997E-3</v>
      </c>
      <c r="O1491" s="10">
        <f t="shared" si="150"/>
        <v>233.99999999999997</v>
      </c>
      <c r="P1491" s="10" t="s">
        <v>5006</v>
      </c>
      <c r="Q1491" s="10" t="s">
        <v>5006</v>
      </c>
      <c r="R1491" s="10" t="str">
        <f>IF(COUNTIF($J$2:J1491,J1491)=1,SUMIFS($O:$O,$J:$J,J1491)+SUMIFS($P:$P,$J:$J,J1491)+SUMIFS($Q:$Q,$J:$J,J1491),"")</f>
        <v/>
      </c>
      <c r="S1491" s="10" t="s">
        <v>5006</v>
      </c>
      <c r="T1491" s="11" t="str">
        <f t="shared" si="153"/>
        <v>Ok</v>
      </c>
      <c r="U1491" s="12">
        <v>46087</v>
      </c>
      <c r="V1491" s="10">
        <v>3190</v>
      </c>
      <c r="W1491" s="10" t="str">
        <f t="shared" si="151"/>
        <v>N/A</v>
      </c>
      <c r="X1491" t="s">
        <v>450</v>
      </c>
      <c r="Y1491" t="s">
        <v>28</v>
      </c>
      <c r="Z1491">
        <v>100157</v>
      </c>
      <c r="AA1491" t="s">
        <v>3124</v>
      </c>
      <c r="AB1491" t="s">
        <v>524</v>
      </c>
      <c r="AC1491" s="9">
        <v>2</v>
      </c>
      <c r="AD1491" s="9" t="str">
        <f t="shared" si="152"/>
        <v>N/A</v>
      </c>
      <c r="AE1491" s="11" t="e">
        <f t="shared" si="154"/>
        <v>#VALUE!</v>
      </c>
    </row>
    <row r="1492" spans="1:31" x14ac:dyDescent="0.3">
      <c r="A1492">
        <v>2</v>
      </c>
      <c r="B1492">
        <v>4973570</v>
      </c>
      <c r="C1492" t="s">
        <v>56</v>
      </c>
      <c r="D1492">
        <v>1880594</v>
      </c>
      <c r="E1492" t="s">
        <v>397</v>
      </c>
      <c r="F1492" t="s">
        <v>24</v>
      </c>
      <c r="G1492" t="s">
        <v>2992</v>
      </c>
      <c r="H1492" t="s">
        <v>1916</v>
      </c>
      <c r="I1492" t="s">
        <v>3419</v>
      </c>
      <c r="J1492">
        <v>51152140926</v>
      </c>
      <c r="K1492" t="s">
        <v>3203</v>
      </c>
      <c r="L1492" t="s">
        <v>4320</v>
      </c>
      <c r="M1492">
        <v>100</v>
      </c>
      <c r="N1492" s="10">
        <v>0.50012999999999996</v>
      </c>
      <c r="O1492" s="10">
        <f t="shared" si="150"/>
        <v>50.012999999999998</v>
      </c>
      <c r="P1492" s="10">
        <v>0</v>
      </c>
      <c r="Q1492" s="10">
        <v>4.75</v>
      </c>
      <c r="R1492" s="10">
        <f>IF(COUNTIF($J$2:J1492,J1492)=1,SUMIFS($O:$O,$J:$J,J1492)+SUMIFS($P:$P,$J:$J,J1492)+SUMIFS($Q:$Q,$J:$J,J1492),"")</f>
        <v>568.60299999999995</v>
      </c>
      <c r="S1492" s="10">
        <v>568.6</v>
      </c>
      <c r="T1492" s="11" t="str">
        <f t="shared" si="153"/>
        <v>Check</v>
      </c>
      <c r="U1492" s="12">
        <v>46157</v>
      </c>
      <c r="V1492" s="10">
        <v>50.01</v>
      </c>
      <c r="W1492" s="10" t="str">
        <f t="shared" si="151"/>
        <v>Short Paid</v>
      </c>
      <c r="X1492" t="s">
        <v>435</v>
      </c>
      <c r="Y1492" t="s">
        <v>40</v>
      </c>
      <c r="Z1492">
        <v>100141</v>
      </c>
      <c r="AA1492" t="s">
        <v>440</v>
      </c>
      <c r="AB1492" t="s">
        <v>522</v>
      </c>
      <c r="AC1492" s="9">
        <v>2</v>
      </c>
      <c r="AD1492" s="9" t="str">
        <f t="shared" si="152"/>
        <v>Check</v>
      </c>
      <c r="AE1492" s="11">
        <f t="shared" si="154"/>
        <v>2.9999999999290594E-3</v>
      </c>
    </row>
    <row r="1493" spans="1:31" x14ac:dyDescent="0.3">
      <c r="A1493">
        <v>2</v>
      </c>
      <c r="B1493">
        <v>4973570</v>
      </c>
      <c r="C1493" t="s">
        <v>56</v>
      </c>
      <c r="D1493">
        <v>1880594</v>
      </c>
      <c r="E1493" t="s">
        <v>397</v>
      </c>
      <c r="F1493" t="s">
        <v>24</v>
      </c>
      <c r="G1493" t="s">
        <v>2992</v>
      </c>
      <c r="H1493" t="s">
        <v>1916</v>
      </c>
      <c r="I1493" t="s">
        <v>3387</v>
      </c>
      <c r="J1493">
        <v>51152140926</v>
      </c>
      <c r="K1493" t="s">
        <v>3177</v>
      </c>
      <c r="L1493" t="s">
        <v>3667</v>
      </c>
      <c r="M1493">
        <v>12000</v>
      </c>
      <c r="N1493" s="10">
        <v>4.2819999999999997E-2</v>
      </c>
      <c r="O1493" s="10">
        <f t="shared" si="150"/>
        <v>513.83999999999992</v>
      </c>
      <c r="P1493" s="10" t="s">
        <v>5006</v>
      </c>
      <c r="Q1493" s="10" t="s">
        <v>5006</v>
      </c>
      <c r="R1493" s="10" t="str">
        <f>IF(COUNTIF($J$2:J1493,J1493)=1,SUMIFS($O:$O,$J:$J,J1493)+SUMIFS($P:$P,$J:$J,J1493)+SUMIFS($Q:$Q,$J:$J,J1493),"")</f>
        <v/>
      </c>
      <c r="S1493" s="10" t="s">
        <v>5006</v>
      </c>
      <c r="T1493" s="11" t="str">
        <f t="shared" si="153"/>
        <v>Check</v>
      </c>
      <c r="U1493" s="12">
        <v>46157</v>
      </c>
      <c r="V1493" s="10">
        <v>50.01</v>
      </c>
      <c r="W1493" s="10" t="str">
        <f t="shared" si="151"/>
        <v>N/A</v>
      </c>
      <c r="X1493" t="s">
        <v>435</v>
      </c>
      <c r="Y1493" t="s">
        <v>40</v>
      </c>
      <c r="Z1493">
        <v>100141</v>
      </c>
      <c r="AA1493" t="s">
        <v>440</v>
      </c>
      <c r="AB1493" t="s">
        <v>522</v>
      </c>
      <c r="AC1493" s="9">
        <v>2</v>
      </c>
      <c r="AD1493" s="9" t="str">
        <f t="shared" si="152"/>
        <v>N/A</v>
      </c>
      <c r="AE1493" s="11" t="e">
        <f t="shared" si="154"/>
        <v>#VALUE!</v>
      </c>
    </row>
    <row r="1494" spans="1:31" x14ac:dyDescent="0.3">
      <c r="A1494">
        <v>38</v>
      </c>
      <c r="B1494">
        <v>4733132</v>
      </c>
      <c r="C1494" t="s">
        <v>239</v>
      </c>
      <c r="D1494">
        <v>1067606</v>
      </c>
      <c r="E1494" t="s">
        <v>374</v>
      </c>
      <c r="F1494" t="s">
        <v>19</v>
      </c>
      <c r="G1494" t="s">
        <v>1205</v>
      </c>
      <c r="H1494" t="s">
        <v>1206</v>
      </c>
      <c r="I1494" t="s">
        <v>3254</v>
      </c>
      <c r="J1494">
        <v>51152181130</v>
      </c>
      <c r="K1494" t="s">
        <v>3353</v>
      </c>
      <c r="L1494" t="s">
        <v>3352</v>
      </c>
      <c r="M1494">
        <v>912</v>
      </c>
      <c r="N1494" s="10">
        <v>21.0745</v>
      </c>
      <c r="O1494" s="10">
        <f t="shared" si="150"/>
        <v>19219.944</v>
      </c>
      <c r="P1494" s="10">
        <v>0</v>
      </c>
      <c r="Q1494" s="10">
        <v>0</v>
      </c>
      <c r="R1494" s="10">
        <f>IF(COUNTIF($J$2:J1494,J1494)=1,SUMIFS($O:$O,$J:$J,J1494)+SUMIFS($P:$P,$J:$J,J1494)+SUMIFS($Q:$Q,$J:$J,J1494),"")</f>
        <v>19737.981</v>
      </c>
      <c r="S1494" s="10">
        <v>19737.98</v>
      </c>
      <c r="T1494" s="11" t="str">
        <f t="shared" si="153"/>
        <v>Check</v>
      </c>
      <c r="U1494" s="12">
        <v>46093</v>
      </c>
      <c r="V1494" s="10">
        <v>518.04</v>
      </c>
      <c r="W1494" s="10" t="str">
        <f t="shared" si="151"/>
        <v>Short Paid</v>
      </c>
      <c r="X1494" t="s">
        <v>476</v>
      </c>
      <c r="Y1494" t="s">
        <v>28</v>
      </c>
      <c r="Z1494">
        <v>100285</v>
      </c>
      <c r="AA1494" t="s">
        <v>501</v>
      </c>
      <c r="AB1494" t="s">
        <v>524</v>
      </c>
      <c r="AC1494" s="9">
        <v>2</v>
      </c>
      <c r="AD1494" s="9" t="str">
        <f t="shared" si="152"/>
        <v>Check</v>
      </c>
      <c r="AE1494" s="11">
        <f t="shared" si="154"/>
        <v>1.0000000002037268E-3</v>
      </c>
    </row>
    <row r="1495" spans="1:31" x14ac:dyDescent="0.3">
      <c r="A1495">
        <v>38</v>
      </c>
      <c r="B1495">
        <v>4733132</v>
      </c>
      <c r="C1495" t="s">
        <v>239</v>
      </c>
      <c r="D1495">
        <v>1067606</v>
      </c>
      <c r="E1495" t="s">
        <v>374</v>
      </c>
      <c r="F1495" t="s">
        <v>19</v>
      </c>
      <c r="G1495" t="s">
        <v>1205</v>
      </c>
      <c r="H1495" t="s">
        <v>1206</v>
      </c>
      <c r="I1495" t="s">
        <v>3253</v>
      </c>
      <c r="J1495">
        <v>51152181130</v>
      </c>
      <c r="K1495" t="s">
        <v>3429</v>
      </c>
      <c r="L1495" t="s">
        <v>4321</v>
      </c>
      <c r="M1495">
        <v>3700</v>
      </c>
      <c r="N1495" s="10">
        <v>0.14001</v>
      </c>
      <c r="O1495" s="10">
        <f t="shared" si="150"/>
        <v>518.03700000000003</v>
      </c>
      <c r="P1495" s="10" t="s">
        <v>5006</v>
      </c>
      <c r="Q1495" s="10" t="s">
        <v>5006</v>
      </c>
      <c r="R1495" s="10" t="str">
        <f>IF(COUNTIF($J$2:J1495,J1495)=1,SUMIFS($O:$O,$J:$J,J1495)+SUMIFS($P:$P,$J:$J,J1495)+SUMIFS($Q:$Q,$J:$J,J1495),"")</f>
        <v/>
      </c>
      <c r="S1495" s="10" t="s">
        <v>5006</v>
      </c>
      <c r="T1495" s="11" t="str">
        <f t="shared" si="153"/>
        <v>Check</v>
      </c>
      <c r="U1495" s="12">
        <v>46093</v>
      </c>
      <c r="V1495" s="10">
        <v>518.04</v>
      </c>
      <c r="W1495" s="10" t="str">
        <f t="shared" si="151"/>
        <v>N/A</v>
      </c>
      <c r="X1495" t="s">
        <v>476</v>
      </c>
      <c r="Y1495" t="s">
        <v>28</v>
      </c>
      <c r="Z1495">
        <v>100285</v>
      </c>
      <c r="AA1495" t="s">
        <v>501</v>
      </c>
      <c r="AB1495" t="s">
        <v>524</v>
      </c>
      <c r="AC1495" s="9">
        <v>2</v>
      </c>
      <c r="AD1495" s="9" t="str">
        <f t="shared" si="152"/>
        <v>N/A</v>
      </c>
      <c r="AE1495" s="11" t="e">
        <f t="shared" si="154"/>
        <v>#VALUE!</v>
      </c>
    </row>
    <row r="1496" spans="1:31" x14ac:dyDescent="0.3">
      <c r="A1496">
        <v>27</v>
      </c>
      <c r="B1496">
        <v>4788511</v>
      </c>
      <c r="C1496" t="s">
        <v>167</v>
      </c>
      <c r="D1496">
        <v>1241713</v>
      </c>
      <c r="E1496" t="s">
        <v>614</v>
      </c>
      <c r="F1496" t="s">
        <v>20</v>
      </c>
      <c r="G1496" t="s">
        <v>1367</v>
      </c>
      <c r="H1496" t="s">
        <v>1368</v>
      </c>
      <c r="I1496" t="s">
        <v>3256</v>
      </c>
      <c r="J1496">
        <v>51152281401</v>
      </c>
      <c r="K1496" t="s">
        <v>3226</v>
      </c>
      <c r="L1496" t="s">
        <v>3454</v>
      </c>
      <c r="M1496">
        <v>3300</v>
      </c>
      <c r="N1496" s="10">
        <v>0.26129999999999998</v>
      </c>
      <c r="O1496" s="10">
        <f t="shared" si="150"/>
        <v>862.29</v>
      </c>
      <c r="P1496" s="10">
        <v>0</v>
      </c>
      <c r="Q1496" s="10">
        <v>0</v>
      </c>
      <c r="R1496" s="10">
        <f>IF(COUNTIF($J$2:J1496,J1496)=1,SUMIFS($O:$O,$J:$J,J1496)+SUMIFS($P:$P,$J:$J,J1496)+SUMIFS($Q:$Q,$J:$J,J1496),"")</f>
        <v>9402.2900000000009</v>
      </c>
      <c r="S1496" s="10">
        <v>9402.2900000000009</v>
      </c>
      <c r="T1496" s="11" t="str">
        <f t="shared" si="153"/>
        <v>Ok</v>
      </c>
      <c r="U1496" s="12">
        <v>46077</v>
      </c>
      <c r="V1496" s="10">
        <v>3440</v>
      </c>
      <c r="W1496" s="10" t="str">
        <f t="shared" si="151"/>
        <v>Short Paid</v>
      </c>
      <c r="X1496" t="s">
        <v>455</v>
      </c>
      <c r="Y1496" t="s">
        <v>28</v>
      </c>
      <c r="Z1496">
        <v>100270</v>
      </c>
      <c r="AA1496" t="s">
        <v>464</v>
      </c>
      <c r="AB1496" t="s">
        <v>521</v>
      </c>
      <c r="AC1496" s="9">
        <v>2</v>
      </c>
      <c r="AD1496" s="9" t="str">
        <f t="shared" si="152"/>
        <v>Ok</v>
      </c>
      <c r="AE1496" s="11">
        <f t="shared" si="154"/>
        <v>0</v>
      </c>
    </row>
    <row r="1497" spans="1:31" x14ac:dyDescent="0.3">
      <c r="A1497">
        <v>27</v>
      </c>
      <c r="B1497">
        <v>4788511</v>
      </c>
      <c r="C1497" t="s">
        <v>167</v>
      </c>
      <c r="D1497">
        <v>1241713</v>
      </c>
      <c r="E1497" t="s">
        <v>614</v>
      </c>
      <c r="F1497" t="s">
        <v>20</v>
      </c>
      <c r="G1497" t="s">
        <v>1367</v>
      </c>
      <c r="H1497" t="s">
        <v>1368</v>
      </c>
      <c r="I1497" t="s">
        <v>3357</v>
      </c>
      <c r="J1497">
        <v>51152281401</v>
      </c>
      <c r="K1497" t="s">
        <v>3194</v>
      </c>
      <c r="L1497" t="s">
        <v>4322</v>
      </c>
      <c r="M1497">
        <v>2000</v>
      </c>
      <c r="N1497" s="10">
        <v>4.2699999999999996</v>
      </c>
      <c r="O1497" s="10">
        <f t="shared" si="150"/>
        <v>8540</v>
      </c>
      <c r="P1497" s="10" t="s">
        <v>5006</v>
      </c>
      <c r="Q1497" s="10" t="s">
        <v>5006</v>
      </c>
      <c r="R1497" s="10" t="str">
        <f>IF(COUNTIF($J$2:J1497,J1497)=1,SUMIFS($O:$O,$J:$J,J1497)+SUMIFS($P:$P,$J:$J,J1497)+SUMIFS($Q:$Q,$J:$J,J1497),"")</f>
        <v/>
      </c>
      <c r="S1497" s="10" t="s">
        <v>5006</v>
      </c>
      <c r="T1497" s="11" t="str">
        <f t="shared" si="153"/>
        <v>Ok</v>
      </c>
      <c r="U1497" s="12">
        <v>46077</v>
      </c>
      <c r="V1497" s="10">
        <v>3440</v>
      </c>
      <c r="W1497" s="10" t="str">
        <f t="shared" si="151"/>
        <v>N/A</v>
      </c>
      <c r="X1497" t="s">
        <v>455</v>
      </c>
      <c r="Y1497" t="s">
        <v>28</v>
      </c>
      <c r="Z1497">
        <v>100270</v>
      </c>
      <c r="AA1497" t="s">
        <v>464</v>
      </c>
      <c r="AB1497" t="s">
        <v>521</v>
      </c>
      <c r="AC1497" s="9">
        <v>2</v>
      </c>
      <c r="AD1497" s="9" t="str">
        <f t="shared" si="152"/>
        <v>N/A</v>
      </c>
      <c r="AE1497" s="11" t="e">
        <f t="shared" si="154"/>
        <v>#VALUE!</v>
      </c>
    </row>
    <row r="1498" spans="1:31" x14ac:dyDescent="0.3">
      <c r="A1498">
        <v>28</v>
      </c>
      <c r="B1498">
        <v>4787398</v>
      </c>
      <c r="C1498" t="s">
        <v>167</v>
      </c>
      <c r="D1498">
        <v>1246361</v>
      </c>
      <c r="E1498" t="s">
        <v>623</v>
      </c>
      <c r="F1498" t="s">
        <v>49</v>
      </c>
      <c r="G1498" t="s">
        <v>1361</v>
      </c>
      <c r="H1498" t="s">
        <v>1362</v>
      </c>
      <c r="I1498" t="s">
        <v>3462</v>
      </c>
      <c r="J1498">
        <v>51152281425</v>
      </c>
      <c r="K1498" t="s">
        <v>3165</v>
      </c>
      <c r="L1498" t="s">
        <v>3793</v>
      </c>
      <c r="M1498">
        <v>10</v>
      </c>
      <c r="N1498" s="10">
        <v>25200</v>
      </c>
      <c r="O1498" s="10">
        <f t="shared" si="150"/>
        <v>252000</v>
      </c>
      <c r="P1498" s="10">
        <v>15750</v>
      </c>
      <c r="Q1498" s="10">
        <v>0</v>
      </c>
      <c r="R1498" s="10">
        <f>IF(COUNTIF($J$2:J1498,J1498)=1,SUMIFS($O:$O,$J:$J,J1498)+SUMIFS($P:$P,$J:$J,J1498)+SUMIFS($Q:$Q,$J:$J,J1498),"")</f>
        <v>272768</v>
      </c>
      <c r="S1498" s="10">
        <v>272768</v>
      </c>
      <c r="T1498" s="11" t="str">
        <f t="shared" si="153"/>
        <v>Ok</v>
      </c>
      <c r="U1498" s="12">
        <v>46100</v>
      </c>
      <c r="V1498" s="10">
        <v>15750</v>
      </c>
      <c r="W1498" s="10" t="str">
        <f t="shared" si="151"/>
        <v>Short Paid</v>
      </c>
      <c r="X1498" t="s">
        <v>455</v>
      </c>
      <c r="Y1498" t="s">
        <v>29</v>
      </c>
      <c r="Z1498">
        <v>100290</v>
      </c>
      <c r="AA1498" t="s">
        <v>3136</v>
      </c>
      <c r="AB1498" t="s">
        <v>3041</v>
      </c>
      <c r="AC1498" s="9">
        <v>2</v>
      </c>
      <c r="AD1498" s="9" t="str">
        <f t="shared" si="152"/>
        <v>Ok</v>
      </c>
      <c r="AE1498" s="11">
        <f t="shared" si="154"/>
        <v>0</v>
      </c>
    </row>
    <row r="1499" spans="1:31" x14ac:dyDescent="0.3">
      <c r="A1499">
        <v>28</v>
      </c>
      <c r="B1499">
        <v>4787398</v>
      </c>
      <c r="C1499" t="s">
        <v>167</v>
      </c>
      <c r="D1499">
        <v>1246361</v>
      </c>
      <c r="E1499" t="s">
        <v>623</v>
      </c>
      <c r="F1499" t="s">
        <v>49</v>
      </c>
      <c r="G1499" t="s">
        <v>1361</v>
      </c>
      <c r="H1499" t="s">
        <v>1362</v>
      </c>
      <c r="I1499" t="s">
        <v>3441</v>
      </c>
      <c r="J1499">
        <v>51152281425</v>
      </c>
      <c r="K1499" t="s">
        <v>3375</v>
      </c>
      <c r="L1499" t="s">
        <v>4323</v>
      </c>
      <c r="M1499">
        <v>65000</v>
      </c>
      <c r="N1499" s="10">
        <v>7.7200000000000005E-2</v>
      </c>
      <c r="O1499" s="10">
        <f t="shared" si="150"/>
        <v>5018</v>
      </c>
      <c r="P1499" s="10" t="s">
        <v>5006</v>
      </c>
      <c r="Q1499" s="10" t="s">
        <v>5006</v>
      </c>
      <c r="R1499" s="10" t="str">
        <f>IF(COUNTIF($J$2:J1499,J1499)=1,SUMIFS($O:$O,$J:$J,J1499)+SUMIFS($P:$P,$J:$J,J1499)+SUMIFS($Q:$Q,$J:$J,J1499),"")</f>
        <v/>
      </c>
      <c r="S1499" s="10" t="s">
        <v>5006</v>
      </c>
      <c r="T1499" s="11" t="str">
        <f t="shared" si="153"/>
        <v>Ok</v>
      </c>
      <c r="U1499" s="12">
        <v>46100</v>
      </c>
      <c r="V1499" s="10">
        <v>15750</v>
      </c>
      <c r="W1499" s="10" t="str">
        <f t="shared" si="151"/>
        <v>N/A</v>
      </c>
      <c r="X1499" t="s">
        <v>455</v>
      </c>
      <c r="Y1499" t="s">
        <v>29</v>
      </c>
      <c r="Z1499">
        <v>100290</v>
      </c>
      <c r="AA1499" t="s">
        <v>3136</v>
      </c>
      <c r="AB1499" t="s">
        <v>3041</v>
      </c>
      <c r="AC1499" s="9">
        <v>2</v>
      </c>
      <c r="AD1499" s="9" t="str">
        <f t="shared" si="152"/>
        <v>N/A</v>
      </c>
      <c r="AE1499" s="11" t="e">
        <f t="shared" si="154"/>
        <v>#VALUE!</v>
      </c>
    </row>
    <row r="1500" spans="1:31" x14ac:dyDescent="0.3">
      <c r="A1500">
        <v>27</v>
      </c>
      <c r="B1500">
        <v>4792685</v>
      </c>
      <c r="C1500" t="s">
        <v>239</v>
      </c>
      <c r="D1500">
        <v>1098309</v>
      </c>
      <c r="E1500" t="s">
        <v>544</v>
      </c>
      <c r="F1500" t="s">
        <v>49</v>
      </c>
      <c r="G1500" t="s">
        <v>1379</v>
      </c>
      <c r="H1500" t="s">
        <v>1380</v>
      </c>
      <c r="I1500" t="s">
        <v>3329</v>
      </c>
      <c r="J1500">
        <v>51152429186</v>
      </c>
      <c r="K1500" t="s">
        <v>3630</v>
      </c>
      <c r="L1500" t="s">
        <v>4012</v>
      </c>
      <c r="M1500">
        <v>15000</v>
      </c>
      <c r="N1500" s="10">
        <v>0.35699999999999998</v>
      </c>
      <c r="O1500" s="10">
        <f t="shared" si="150"/>
        <v>5355</v>
      </c>
      <c r="P1500" s="10">
        <v>1317.03</v>
      </c>
      <c r="Q1500" s="10">
        <v>0</v>
      </c>
      <c r="R1500" s="10">
        <f>IF(COUNTIF($J$2:J1500,J1500)=1,SUMIFS($O:$O,$J:$J,J1500)+SUMIFS($P:$P,$J:$J,J1500)+SUMIFS($Q:$Q,$J:$J,J1500),"")</f>
        <v>20180.03</v>
      </c>
      <c r="S1500" s="10">
        <v>20180.03</v>
      </c>
      <c r="T1500" s="11" t="str">
        <f t="shared" si="153"/>
        <v>Ok</v>
      </c>
      <c r="U1500" s="12">
        <v>46104</v>
      </c>
      <c r="V1500" s="10">
        <v>1317.03</v>
      </c>
      <c r="W1500" s="10" t="str">
        <f t="shared" si="151"/>
        <v>Short Paid</v>
      </c>
      <c r="X1500" t="s">
        <v>476</v>
      </c>
      <c r="Y1500" t="s">
        <v>29</v>
      </c>
      <c r="Z1500">
        <v>100295</v>
      </c>
      <c r="AA1500" t="s">
        <v>3127</v>
      </c>
      <c r="AB1500" t="s">
        <v>3041</v>
      </c>
      <c r="AC1500" s="9">
        <v>2</v>
      </c>
      <c r="AD1500" s="9" t="str">
        <f t="shared" si="152"/>
        <v>Ok</v>
      </c>
      <c r="AE1500" s="11">
        <f t="shared" si="154"/>
        <v>0</v>
      </c>
    </row>
    <row r="1501" spans="1:31" x14ac:dyDescent="0.3">
      <c r="A1501">
        <v>27</v>
      </c>
      <c r="B1501">
        <v>4792685</v>
      </c>
      <c r="C1501" t="s">
        <v>239</v>
      </c>
      <c r="D1501">
        <v>1098309</v>
      </c>
      <c r="E1501" t="s">
        <v>544</v>
      </c>
      <c r="F1501" t="s">
        <v>49</v>
      </c>
      <c r="G1501" t="s">
        <v>1379</v>
      </c>
      <c r="H1501" t="s">
        <v>1380</v>
      </c>
      <c r="I1501" t="s">
        <v>3169</v>
      </c>
      <c r="J1501">
        <v>51152429186</v>
      </c>
      <c r="K1501" t="s">
        <v>3736</v>
      </c>
      <c r="L1501" t="s">
        <v>4324</v>
      </c>
      <c r="M1501">
        <v>1</v>
      </c>
      <c r="N1501" s="10">
        <v>13508</v>
      </c>
      <c r="O1501" s="10">
        <f t="shared" si="150"/>
        <v>13508</v>
      </c>
      <c r="P1501" s="10" t="s">
        <v>5006</v>
      </c>
      <c r="Q1501" s="10" t="s">
        <v>5006</v>
      </c>
      <c r="R1501" s="10" t="str">
        <f>IF(COUNTIF($J$2:J1501,J1501)=1,SUMIFS($O:$O,$J:$J,J1501)+SUMIFS($P:$P,$J:$J,J1501)+SUMIFS($Q:$Q,$J:$J,J1501),"")</f>
        <v/>
      </c>
      <c r="S1501" s="10" t="s">
        <v>5006</v>
      </c>
      <c r="T1501" s="11" t="str">
        <f t="shared" si="153"/>
        <v>Ok</v>
      </c>
      <c r="U1501" s="12">
        <v>46104</v>
      </c>
      <c r="V1501" s="10">
        <v>1317.03</v>
      </c>
      <c r="W1501" s="10" t="str">
        <f t="shared" si="151"/>
        <v>N/A</v>
      </c>
      <c r="X1501" t="s">
        <v>476</v>
      </c>
      <c r="Y1501" t="s">
        <v>29</v>
      </c>
      <c r="Z1501">
        <v>100295</v>
      </c>
      <c r="AA1501" t="s">
        <v>3127</v>
      </c>
      <c r="AB1501" t="s">
        <v>3041</v>
      </c>
      <c r="AC1501" s="9">
        <v>2</v>
      </c>
      <c r="AD1501" s="9" t="str">
        <f t="shared" si="152"/>
        <v>N/A</v>
      </c>
      <c r="AE1501" s="11" t="e">
        <f t="shared" si="154"/>
        <v>#VALUE!</v>
      </c>
    </row>
    <row r="1502" spans="1:31" x14ac:dyDescent="0.3">
      <c r="A1502">
        <v>27</v>
      </c>
      <c r="B1502">
        <v>4792129</v>
      </c>
      <c r="C1502" t="s">
        <v>239</v>
      </c>
      <c r="D1502">
        <v>1098309</v>
      </c>
      <c r="E1502" t="s">
        <v>544</v>
      </c>
      <c r="F1502" t="s">
        <v>49</v>
      </c>
      <c r="G1502" t="s">
        <v>1375</v>
      </c>
      <c r="H1502" t="s">
        <v>1376</v>
      </c>
      <c r="I1502" t="s">
        <v>3323</v>
      </c>
      <c r="J1502">
        <v>51152473268</v>
      </c>
      <c r="K1502" t="s">
        <v>3246</v>
      </c>
      <c r="L1502" t="s">
        <v>4325</v>
      </c>
      <c r="M1502">
        <v>2000</v>
      </c>
      <c r="N1502" s="10">
        <v>0.98604999999999998</v>
      </c>
      <c r="O1502" s="10">
        <f t="shared" si="150"/>
        <v>1972.1</v>
      </c>
      <c r="P1502" s="10">
        <v>214.76</v>
      </c>
      <c r="Q1502" s="10">
        <v>0</v>
      </c>
      <c r="R1502" s="10">
        <f>IF(COUNTIF($J$2:J1502,J1502)=1,SUMIFS($O:$O,$J:$J,J1502)+SUMIFS($P:$P,$J:$J,J1502)+SUMIFS($Q:$Q,$J:$J,J1502),"")</f>
        <v>5623.02</v>
      </c>
      <c r="S1502" s="10">
        <v>5623.02</v>
      </c>
      <c r="T1502" s="11" t="str">
        <f t="shared" si="153"/>
        <v>Ok</v>
      </c>
      <c r="U1502" s="12">
        <v>46100</v>
      </c>
      <c r="V1502" s="10">
        <v>214.76</v>
      </c>
      <c r="W1502" s="10" t="str">
        <f t="shared" si="151"/>
        <v>Short Paid</v>
      </c>
      <c r="X1502" t="s">
        <v>476</v>
      </c>
      <c r="Y1502" t="s">
        <v>29</v>
      </c>
      <c r="Z1502">
        <v>100295</v>
      </c>
      <c r="AA1502" t="s">
        <v>3127</v>
      </c>
      <c r="AB1502" t="s">
        <v>3041</v>
      </c>
      <c r="AC1502" s="9">
        <v>2</v>
      </c>
      <c r="AD1502" s="9" t="str">
        <f t="shared" si="152"/>
        <v>Ok</v>
      </c>
      <c r="AE1502" s="11">
        <f t="shared" si="154"/>
        <v>0</v>
      </c>
    </row>
    <row r="1503" spans="1:31" x14ac:dyDescent="0.3">
      <c r="A1503">
        <v>27</v>
      </c>
      <c r="B1503">
        <v>4792129</v>
      </c>
      <c r="C1503" t="s">
        <v>239</v>
      </c>
      <c r="D1503">
        <v>1098309</v>
      </c>
      <c r="E1503" t="s">
        <v>544</v>
      </c>
      <c r="F1503" t="s">
        <v>49</v>
      </c>
      <c r="G1503" t="s">
        <v>1375</v>
      </c>
      <c r="H1503" t="s">
        <v>1376</v>
      </c>
      <c r="I1503" t="s">
        <v>3441</v>
      </c>
      <c r="J1503">
        <v>51152473268</v>
      </c>
      <c r="K1503" t="s">
        <v>3599</v>
      </c>
      <c r="L1503" t="s">
        <v>4326</v>
      </c>
      <c r="M1503">
        <v>8</v>
      </c>
      <c r="N1503" s="10">
        <v>429.52</v>
      </c>
      <c r="O1503" s="10">
        <f t="shared" si="150"/>
        <v>3436.16</v>
      </c>
      <c r="P1503" s="10" t="s">
        <v>5006</v>
      </c>
      <c r="Q1503" s="10" t="s">
        <v>5006</v>
      </c>
      <c r="R1503" s="10" t="str">
        <f>IF(COUNTIF($J$2:J1503,J1503)=1,SUMIFS($O:$O,$J:$J,J1503)+SUMIFS($P:$P,$J:$J,J1503)+SUMIFS($Q:$Q,$J:$J,J1503),"")</f>
        <v/>
      </c>
      <c r="S1503" s="10" t="s">
        <v>5006</v>
      </c>
      <c r="T1503" s="11" t="str">
        <f t="shared" si="153"/>
        <v>Ok</v>
      </c>
      <c r="U1503" s="12">
        <v>46100</v>
      </c>
      <c r="V1503" s="10">
        <v>214.76</v>
      </c>
      <c r="W1503" s="10" t="str">
        <f t="shared" si="151"/>
        <v>N/A</v>
      </c>
      <c r="X1503" t="s">
        <v>476</v>
      </c>
      <c r="Y1503" t="s">
        <v>29</v>
      </c>
      <c r="Z1503">
        <v>100295</v>
      </c>
      <c r="AA1503" t="s">
        <v>3127</v>
      </c>
      <c r="AB1503" t="s">
        <v>3041</v>
      </c>
      <c r="AC1503" s="9">
        <v>2</v>
      </c>
      <c r="AD1503" s="9" t="str">
        <f t="shared" si="152"/>
        <v>N/A</v>
      </c>
      <c r="AE1503" s="11" t="e">
        <f t="shared" si="154"/>
        <v>#VALUE!</v>
      </c>
    </row>
    <row r="1504" spans="1:31" x14ac:dyDescent="0.3">
      <c r="A1504">
        <v>30</v>
      </c>
      <c r="B1504">
        <v>4758178</v>
      </c>
      <c r="C1504" t="s">
        <v>160</v>
      </c>
      <c r="D1504">
        <v>1507117</v>
      </c>
      <c r="E1504" t="s">
        <v>161</v>
      </c>
      <c r="F1504" t="s">
        <v>24</v>
      </c>
      <c r="G1504" t="s">
        <v>2803</v>
      </c>
      <c r="H1504" t="s">
        <v>2804</v>
      </c>
      <c r="I1504" t="s">
        <v>3397</v>
      </c>
      <c r="J1504">
        <v>51152578810</v>
      </c>
      <c r="K1504" t="s">
        <v>3338</v>
      </c>
      <c r="L1504" t="s">
        <v>4327</v>
      </c>
      <c r="M1504">
        <v>100</v>
      </c>
      <c r="N1504" s="10">
        <v>502.42</v>
      </c>
      <c r="O1504" s="10">
        <f t="shared" si="150"/>
        <v>50242</v>
      </c>
      <c r="P1504" s="10">
        <v>0</v>
      </c>
      <c r="Q1504" s="10">
        <v>0</v>
      </c>
      <c r="R1504" s="10">
        <f>IF(COUNTIF($J$2:J1504,J1504)=1,SUMIFS($O:$O,$J:$J,J1504)+SUMIFS($P:$P,$J:$J,J1504)+SUMIFS($Q:$Q,$J:$J,J1504),"")</f>
        <v>51965.17</v>
      </c>
      <c r="S1504" s="10">
        <v>52788.34</v>
      </c>
      <c r="T1504" s="11" t="str">
        <f t="shared" si="153"/>
        <v>Check</v>
      </c>
      <c r="U1504" s="12">
        <v>46062</v>
      </c>
      <c r="V1504" s="10">
        <v>900</v>
      </c>
      <c r="W1504" s="10" t="str">
        <f t="shared" si="151"/>
        <v>Short Paid</v>
      </c>
      <c r="X1504" t="s">
        <v>453</v>
      </c>
      <c r="Y1504" t="s">
        <v>40</v>
      </c>
      <c r="Z1504">
        <v>100104</v>
      </c>
      <c r="AA1504" t="s">
        <v>3077</v>
      </c>
      <c r="AB1504" t="s">
        <v>522</v>
      </c>
      <c r="AC1504" s="9">
        <v>3</v>
      </c>
      <c r="AD1504" s="9" t="str">
        <f t="shared" si="152"/>
        <v>Check</v>
      </c>
      <c r="AE1504" s="11">
        <f t="shared" si="154"/>
        <v>-823.16999999999825</v>
      </c>
    </row>
    <row r="1505" spans="1:31" x14ac:dyDescent="0.3">
      <c r="A1505">
        <v>30</v>
      </c>
      <c r="B1505">
        <v>4758178</v>
      </c>
      <c r="C1505" t="s">
        <v>160</v>
      </c>
      <c r="D1505">
        <v>1507117</v>
      </c>
      <c r="E1505" t="s">
        <v>161</v>
      </c>
      <c r="F1505" t="s">
        <v>24</v>
      </c>
      <c r="G1505" t="s">
        <v>2803</v>
      </c>
      <c r="H1505" t="s">
        <v>2804</v>
      </c>
      <c r="I1505" t="s">
        <v>3397</v>
      </c>
      <c r="J1505">
        <v>51152578810</v>
      </c>
      <c r="K1505" t="s">
        <v>3338</v>
      </c>
      <c r="L1505" t="s">
        <v>4304</v>
      </c>
      <c r="M1505">
        <v>1</v>
      </c>
      <c r="N1505" s="10">
        <v>900</v>
      </c>
      <c r="O1505" s="10">
        <f t="shared" si="150"/>
        <v>900</v>
      </c>
      <c r="P1505" s="10" t="s">
        <v>5006</v>
      </c>
      <c r="Q1505" s="10" t="s">
        <v>5006</v>
      </c>
      <c r="R1505" s="10" t="str">
        <f>IF(COUNTIF($J$2:J1505,J1505)=1,SUMIFS($O:$O,$J:$J,J1505)+SUMIFS($P:$P,$J:$J,J1505)+SUMIFS($Q:$Q,$J:$J,J1505),"")</f>
        <v/>
      </c>
      <c r="S1505" s="10" t="s">
        <v>5006</v>
      </c>
      <c r="T1505" s="11" t="str">
        <f t="shared" si="153"/>
        <v>Check</v>
      </c>
      <c r="U1505" s="12">
        <v>46062</v>
      </c>
      <c r="V1505" s="10">
        <v>900</v>
      </c>
      <c r="W1505" s="10" t="str">
        <f t="shared" si="151"/>
        <v>N/A</v>
      </c>
      <c r="X1505" t="s">
        <v>453</v>
      </c>
      <c r="Y1505" t="s">
        <v>40</v>
      </c>
      <c r="Z1505">
        <v>100104</v>
      </c>
      <c r="AA1505" t="s">
        <v>3077</v>
      </c>
      <c r="AB1505" t="s">
        <v>522</v>
      </c>
      <c r="AC1505" s="9">
        <v>3</v>
      </c>
      <c r="AD1505" s="9" t="str">
        <f t="shared" si="152"/>
        <v>N/A</v>
      </c>
      <c r="AE1505" s="11" t="e">
        <f t="shared" si="154"/>
        <v>#VALUE!</v>
      </c>
    </row>
    <row r="1506" spans="1:31" x14ac:dyDescent="0.3">
      <c r="A1506">
        <v>30</v>
      </c>
      <c r="B1506">
        <v>4758178</v>
      </c>
      <c r="C1506" t="s">
        <v>160</v>
      </c>
      <c r="D1506">
        <v>1507117</v>
      </c>
      <c r="E1506" t="s">
        <v>161</v>
      </c>
      <c r="F1506" t="s">
        <v>24</v>
      </c>
      <c r="G1506" t="s">
        <v>2803</v>
      </c>
      <c r="H1506" t="s">
        <v>2804</v>
      </c>
      <c r="I1506" t="s">
        <v>3498</v>
      </c>
      <c r="J1506">
        <v>51152578810</v>
      </c>
      <c r="K1506" t="s">
        <v>3289</v>
      </c>
      <c r="L1506" t="s">
        <v>3511</v>
      </c>
      <c r="M1506">
        <v>1000</v>
      </c>
      <c r="N1506" s="10">
        <v>0.82316999999999996</v>
      </c>
      <c r="O1506" s="10">
        <f t="shared" si="150"/>
        <v>823.17</v>
      </c>
      <c r="P1506" s="10" t="s">
        <v>5006</v>
      </c>
      <c r="Q1506" s="10" t="s">
        <v>5006</v>
      </c>
      <c r="R1506" s="10" t="str">
        <f>IF(COUNTIF($J$2:J1506,J1506)=1,SUMIFS($O:$O,$J:$J,J1506)+SUMIFS($P:$P,$J:$J,J1506)+SUMIFS($Q:$Q,$J:$J,J1506),"")</f>
        <v/>
      </c>
      <c r="S1506" s="10" t="s">
        <v>5006</v>
      </c>
      <c r="T1506" s="11" t="str">
        <f t="shared" si="153"/>
        <v>Check</v>
      </c>
      <c r="U1506" s="12">
        <v>46062</v>
      </c>
      <c r="V1506" s="10">
        <v>900</v>
      </c>
      <c r="W1506" s="10" t="str">
        <f t="shared" si="151"/>
        <v>N/A</v>
      </c>
      <c r="X1506" t="s">
        <v>453</v>
      </c>
      <c r="Y1506" t="s">
        <v>40</v>
      </c>
      <c r="Z1506">
        <v>100104</v>
      </c>
      <c r="AA1506" t="s">
        <v>3077</v>
      </c>
      <c r="AB1506" t="s">
        <v>522</v>
      </c>
      <c r="AC1506" s="9">
        <v>3</v>
      </c>
      <c r="AD1506" s="9" t="str">
        <f t="shared" si="152"/>
        <v>N/A</v>
      </c>
      <c r="AE1506" s="11" t="e">
        <f t="shared" si="154"/>
        <v>#VALUE!</v>
      </c>
    </row>
    <row r="1507" spans="1:31" x14ac:dyDescent="0.3">
      <c r="A1507">
        <v>18</v>
      </c>
      <c r="B1507">
        <v>4858360</v>
      </c>
      <c r="C1507" t="s">
        <v>239</v>
      </c>
      <c r="D1507">
        <v>1038870</v>
      </c>
      <c r="E1507" t="s">
        <v>551</v>
      </c>
      <c r="F1507" t="s">
        <v>22</v>
      </c>
      <c r="G1507" t="s">
        <v>1579</v>
      </c>
      <c r="H1507" t="s">
        <v>1580</v>
      </c>
      <c r="I1507" t="s">
        <v>3195</v>
      </c>
      <c r="J1507">
        <v>51152606230</v>
      </c>
      <c r="K1507" t="s">
        <v>3401</v>
      </c>
      <c r="L1507" t="s">
        <v>4328</v>
      </c>
      <c r="M1507">
        <v>10700</v>
      </c>
      <c r="N1507" s="10">
        <v>0.1278</v>
      </c>
      <c r="O1507" s="10">
        <f t="shared" si="150"/>
        <v>1367.46</v>
      </c>
      <c r="P1507" s="10">
        <v>0</v>
      </c>
      <c r="Q1507" s="10">
        <v>0</v>
      </c>
      <c r="R1507" s="10">
        <f>IF(COUNTIF($J$2:J1507,J1507)=1,SUMIFS($O:$O,$J:$J,J1507)+SUMIFS($P:$P,$J:$J,J1507)+SUMIFS($Q:$Q,$J:$J,J1507),"")</f>
        <v>1389.96</v>
      </c>
      <c r="S1507" s="10">
        <v>1389.96</v>
      </c>
      <c r="T1507" s="11" t="str">
        <f t="shared" si="153"/>
        <v>Ok</v>
      </c>
      <c r="U1507" s="12">
        <v>45982</v>
      </c>
      <c r="V1507" s="10">
        <v>22.5</v>
      </c>
      <c r="W1507" s="10" t="str">
        <f t="shared" si="151"/>
        <v>Short Paid</v>
      </c>
      <c r="X1507" t="s">
        <v>476</v>
      </c>
      <c r="Y1507" t="s">
        <v>28</v>
      </c>
      <c r="Z1507">
        <v>100285</v>
      </c>
      <c r="AA1507" t="s">
        <v>501</v>
      </c>
      <c r="AB1507" t="s">
        <v>3035</v>
      </c>
      <c r="AC1507" s="9">
        <v>2</v>
      </c>
      <c r="AD1507" s="9" t="str">
        <f t="shared" si="152"/>
        <v>Ok</v>
      </c>
      <c r="AE1507" s="11">
        <f t="shared" si="154"/>
        <v>0</v>
      </c>
    </row>
    <row r="1508" spans="1:31" x14ac:dyDescent="0.3">
      <c r="A1508">
        <v>18</v>
      </c>
      <c r="B1508">
        <v>4858360</v>
      </c>
      <c r="C1508" t="s">
        <v>239</v>
      </c>
      <c r="D1508">
        <v>1038870</v>
      </c>
      <c r="E1508" t="s">
        <v>551</v>
      </c>
      <c r="F1508" t="s">
        <v>22</v>
      </c>
      <c r="G1508" t="s">
        <v>1579</v>
      </c>
      <c r="H1508" t="s">
        <v>1580</v>
      </c>
      <c r="I1508" t="s">
        <v>3596</v>
      </c>
      <c r="J1508">
        <v>51152606230</v>
      </c>
      <c r="K1508" t="s">
        <v>3379</v>
      </c>
      <c r="L1508" t="s">
        <v>4329</v>
      </c>
      <c r="M1508">
        <v>15000</v>
      </c>
      <c r="N1508" s="10">
        <v>1.5E-3</v>
      </c>
      <c r="O1508" s="10">
        <f t="shared" si="150"/>
        <v>22.5</v>
      </c>
      <c r="P1508" s="10" t="s">
        <v>5006</v>
      </c>
      <c r="Q1508" s="10" t="s">
        <v>5006</v>
      </c>
      <c r="R1508" s="10" t="str">
        <f>IF(COUNTIF($J$2:J1508,J1508)=1,SUMIFS($O:$O,$J:$J,J1508)+SUMIFS($P:$P,$J:$J,J1508)+SUMIFS($Q:$Q,$J:$J,J1508),"")</f>
        <v/>
      </c>
      <c r="S1508" s="10" t="s">
        <v>5006</v>
      </c>
      <c r="T1508" s="11" t="str">
        <f t="shared" si="153"/>
        <v>Ok</v>
      </c>
      <c r="U1508" s="12">
        <v>45982</v>
      </c>
      <c r="V1508" s="10">
        <v>22.5</v>
      </c>
      <c r="W1508" s="10" t="str">
        <f t="shared" si="151"/>
        <v>N/A</v>
      </c>
      <c r="X1508" t="s">
        <v>476</v>
      </c>
      <c r="Y1508" t="s">
        <v>28</v>
      </c>
      <c r="Z1508">
        <v>100285</v>
      </c>
      <c r="AA1508" t="s">
        <v>501</v>
      </c>
      <c r="AB1508" t="s">
        <v>3035</v>
      </c>
      <c r="AC1508" s="9">
        <v>2</v>
      </c>
      <c r="AD1508" s="9" t="str">
        <f t="shared" si="152"/>
        <v>N/A</v>
      </c>
      <c r="AE1508" s="11" t="e">
        <f t="shared" si="154"/>
        <v>#VALUE!</v>
      </c>
    </row>
    <row r="1509" spans="1:31" x14ac:dyDescent="0.3">
      <c r="A1509">
        <v>27</v>
      </c>
      <c r="B1509">
        <v>4788233</v>
      </c>
      <c r="C1509" t="s">
        <v>217</v>
      </c>
      <c r="D1509">
        <v>1505916</v>
      </c>
      <c r="E1509" t="s">
        <v>4898</v>
      </c>
      <c r="F1509" t="s">
        <v>20</v>
      </c>
      <c r="G1509" t="s">
        <v>1365</v>
      </c>
      <c r="H1509" t="s">
        <v>1366</v>
      </c>
      <c r="I1509" t="s">
        <v>3221</v>
      </c>
      <c r="J1509">
        <v>51152610952</v>
      </c>
      <c r="K1509" t="s">
        <v>3479</v>
      </c>
      <c r="L1509" t="s">
        <v>4256</v>
      </c>
      <c r="M1509">
        <v>400000</v>
      </c>
      <c r="N1509" s="10">
        <v>4.1000000000000003E-3</v>
      </c>
      <c r="O1509" s="10">
        <f t="shared" si="150"/>
        <v>1640.0000000000002</v>
      </c>
      <c r="P1509" s="10">
        <v>0</v>
      </c>
      <c r="Q1509" s="10">
        <v>0</v>
      </c>
      <c r="R1509" s="10">
        <f>IF(COUNTIF($J$2:J1509,J1509)=1,SUMIFS($O:$O,$J:$J,J1509)+SUMIFS($P:$P,$J:$J,J1509)+SUMIFS($Q:$Q,$J:$J,J1509),"")</f>
        <v>4773.5</v>
      </c>
      <c r="S1509" s="10">
        <v>7963.35</v>
      </c>
      <c r="T1509" s="11" t="str">
        <f t="shared" si="153"/>
        <v>Check</v>
      </c>
      <c r="U1509" s="12">
        <v>46122</v>
      </c>
      <c r="V1509" s="10">
        <v>3191.35</v>
      </c>
      <c r="W1509" s="10" t="str">
        <f t="shared" si="151"/>
        <v>Short Paid</v>
      </c>
      <c r="X1509" t="s">
        <v>468</v>
      </c>
      <c r="Y1509" t="s">
        <v>28</v>
      </c>
      <c r="Z1509">
        <v>100246</v>
      </c>
      <c r="AA1509" t="s">
        <v>3060</v>
      </c>
      <c r="AB1509" t="s">
        <v>521</v>
      </c>
      <c r="AC1509" s="9">
        <v>2</v>
      </c>
      <c r="AD1509" s="9" t="str">
        <f t="shared" si="152"/>
        <v>Check</v>
      </c>
      <c r="AE1509" s="11">
        <f t="shared" si="154"/>
        <v>-3189.8500000000004</v>
      </c>
    </row>
    <row r="1510" spans="1:31" x14ac:dyDescent="0.3">
      <c r="A1510">
        <v>27</v>
      </c>
      <c r="B1510">
        <v>4788233</v>
      </c>
      <c r="C1510" t="s">
        <v>217</v>
      </c>
      <c r="D1510">
        <v>1505916</v>
      </c>
      <c r="E1510" t="s">
        <v>4898</v>
      </c>
      <c r="F1510" t="s">
        <v>20</v>
      </c>
      <c r="G1510" t="s">
        <v>1365</v>
      </c>
      <c r="H1510" t="s">
        <v>1366</v>
      </c>
      <c r="I1510" t="s">
        <v>3247</v>
      </c>
      <c r="J1510">
        <v>51152610952</v>
      </c>
      <c r="K1510" t="s">
        <v>3266</v>
      </c>
      <c r="L1510" t="s">
        <v>4330</v>
      </c>
      <c r="M1510">
        <v>50</v>
      </c>
      <c r="N1510" s="10">
        <v>62.67</v>
      </c>
      <c r="O1510" s="10">
        <f t="shared" si="150"/>
        <v>3133.5</v>
      </c>
      <c r="P1510" s="10" t="s">
        <v>5006</v>
      </c>
      <c r="Q1510" s="10" t="s">
        <v>5006</v>
      </c>
      <c r="R1510" s="10" t="str">
        <f>IF(COUNTIF($J$2:J1510,J1510)=1,SUMIFS($O:$O,$J:$J,J1510)+SUMIFS($P:$P,$J:$J,J1510)+SUMIFS($Q:$Q,$J:$J,J1510),"")</f>
        <v/>
      </c>
      <c r="S1510" s="10" t="s">
        <v>5006</v>
      </c>
      <c r="T1510" s="11" t="str">
        <f t="shared" si="153"/>
        <v>Check</v>
      </c>
      <c r="U1510" s="12">
        <v>46122</v>
      </c>
      <c r="V1510" s="10">
        <v>3191.35</v>
      </c>
      <c r="W1510" s="10" t="str">
        <f t="shared" si="151"/>
        <v>N/A</v>
      </c>
      <c r="X1510" t="s">
        <v>468</v>
      </c>
      <c r="Y1510" t="s">
        <v>28</v>
      </c>
      <c r="Z1510">
        <v>100246</v>
      </c>
      <c r="AA1510" t="s">
        <v>3060</v>
      </c>
      <c r="AB1510" t="s">
        <v>521</v>
      </c>
      <c r="AC1510" s="9">
        <v>2</v>
      </c>
      <c r="AD1510" s="9" t="str">
        <f t="shared" si="152"/>
        <v>N/A</v>
      </c>
      <c r="AE1510" s="11" t="e">
        <f t="shared" si="154"/>
        <v>#VALUE!</v>
      </c>
    </row>
    <row r="1511" spans="1:31" x14ac:dyDescent="0.3">
      <c r="A1511">
        <v>25</v>
      </c>
      <c r="B1511">
        <v>4816061</v>
      </c>
      <c r="C1511" t="s">
        <v>239</v>
      </c>
      <c r="D1511">
        <v>1079286</v>
      </c>
      <c r="E1511" t="s">
        <v>629</v>
      </c>
      <c r="F1511" t="s">
        <v>20</v>
      </c>
      <c r="G1511" t="s">
        <v>1409</v>
      </c>
      <c r="H1511" t="s">
        <v>1410</v>
      </c>
      <c r="I1511" t="s">
        <v>3453</v>
      </c>
      <c r="J1511">
        <v>51152777972</v>
      </c>
      <c r="K1511" t="s">
        <v>3375</v>
      </c>
      <c r="L1511" t="s">
        <v>4331</v>
      </c>
      <c r="M1511">
        <v>3000</v>
      </c>
      <c r="N1511" s="10">
        <v>0.15</v>
      </c>
      <c r="O1511" s="10">
        <f t="shared" si="150"/>
        <v>450</v>
      </c>
      <c r="P1511" s="10">
        <v>37.130000000000003</v>
      </c>
      <c r="Q1511" s="10">
        <v>0</v>
      </c>
      <c r="R1511" s="10">
        <f>IF(COUNTIF($J$2:J1511,J1511)=1,SUMIFS($O:$O,$J:$J,J1511)+SUMIFS($P:$P,$J:$J,J1511)+SUMIFS($Q:$Q,$J:$J,J1511),"")</f>
        <v>569.13</v>
      </c>
      <c r="S1511" s="10">
        <v>569.13</v>
      </c>
      <c r="T1511" s="11" t="str">
        <f t="shared" si="153"/>
        <v>Ok</v>
      </c>
      <c r="U1511" s="12">
        <v>45972</v>
      </c>
      <c r="V1511" s="10">
        <v>82</v>
      </c>
      <c r="W1511" s="10" t="str">
        <f t="shared" si="151"/>
        <v>Short Paid</v>
      </c>
      <c r="X1511" t="s">
        <v>476</v>
      </c>
      <c r="Y1511" t="s">
        <v>28</v>
      </c>
      <c r="Z1511">
        <v>100245</v>
      </c>
      <c r="AA1511" t="s">
        <v>507</v>
      </c>
      <c r="AB1511" t="s">
        <v>521</v>
      </c>
      <c r="AC1511" s="9">
        <v>2</v>
      </c>
      <c r="AD1511" s="9" t="str">
        <f t="shared" si="152"/>
        <v>Ok</v>
      </c>
      <c r="AE1511" s="11">
        <f t="shared" si="154"/>
        <v>0</v>
      </c>
    </row>
    <row r="1512" spans="1:31" x14ac:dyDescent="0.3">
      <c r="A1512">
        <v>25</v>
      </c>
      <c r="B1512">
        <v>4816061</v>
      </c>
      <c r="C1512" t="s">
        <v>239</v>
      </c>
      <c r="D1512">
        <v>1079286</v>
      </c>
      <c r="E1512" t="s">
        <v>629</v>
      </c>
      <c r="F1512" t="s">
        <v>20</v>
      </c>
      <c r="G1512" t="s">
        <v>1409</v>
      </c>
      <c r="H1512" t="s">
        <v>1410</v>
      </c>
      <c r="I1512" t="s">
        <v>3365</v>
      </c>
      <c r="J1512">
        <v>51152777972</v>
      </c>
      <c r="K1512" t="s">
        <v>3370</v>
      </c>
      <c r="L1512" t="s">
        <v>4332</v>
      </c>
      <c r="M1512">
        <v>1000</v>
      </c>
      <c r="N1512" s="10">
        <v>8.2000000000000003E-2</v>
      </c>
      <c r="O1512" s="10">
        <f t="shared" si="150"/>
        <v>82</v>
      </c>
      <c r="P1512" s="10" t="s">
        <v>5006</v>
      </c>
      <c r="Q1512" s="10" t="s">
        <v>5006</v>
      </c>
      <c r="R1512" s="10" t="str">
        <f>IF(COUNTIF($J$2:J1512,J1512)=1,SUMIFS($O:$O,$J:$J,J1512)+SUMIFS($P:$P,$J:$J,J1512)+SUMIFS($Q:$Q,$J:$J,J1512),"")</f>
        <v/>
      </c>
      <c r="S1512" s="10" t="s">
        <v>5006</v>
      </c>
      <c r="T1512" s="11" t="str">
        <f t="shared" si="153"/>
        <v>Ok</v>
      </c>
      <c r="U1512" s="12">
        <v>45972</v>
      </c>
      <c r="V1512" s="10">
        <v>82</v>
      </c>
      <c r="W1512" s="10" t="str">
        <f t="shared" si="151"/>
        <v>N/A</v>
      </c>
      <c r="X1512" t="s">
        <v>476</v>
      </c>
      <c r="Y1512" t="s">
        <v>28</v>
      </c>
      <c r="Z1512">
        <v>100245</v>
      </c>
      <c r="AA1512" t="s">
        <v>507</v>
      </c>
      <c r="AB1512" t="s">
        <v>521</v>
      </c>
      <c r="AC1512" s="9">
        <v>2</v>
      </c>
      <c r="AD1512" s="9" t="str">
        <f t="shared" si="152"/>
        <v>N/A</v>
      </c>
      <c r="AE1512" s="11" t="e">
        <f t="shared" si="154"/>
        <v>#VALUE!</v>
      </c>
    </row>
    <row r="1513" spans="1:31" x14ac:dyDescent="0.3">
      <c r="A1513">
        <v>27</v>
      </c>
      <c r="B1513">
        <v>4792407</v>
      </c>
      <c r="C1513" t="s">
        <v>239</v>
      </c>
      <c r="D1513">
        <v>1098309</v>
      </c>
      <c r="E1513" t="s">
        <v>544</v>
      </c>
      <c r="F1513" t="s">
        <v>49</v>
      </c>
      <c r="G1513" t="s">
        <v>1377</v>
      </c>
      <c r="H1513" t="s">
        <v>1378</v>
      </c>
      <c r="I1513" t="s">
        <v>3283</v>
      </c>
      <c r="J1513">
        <v>51152821447</v>
      </c>
      <c r="K1513" t="s">
        <v>3736</v>
      </c>
      <c r="L1513" t="s">
        <v>4268</v>
      </c>
      <c r="M1513">
        <v>1</v>
      </c>
      <c r="N1513" s="10">
        <v>24060</v>
      </c>
      <c r="O1513" s="10">
        <f t="shared" si="150"/>
        <v>24060</v>
      </c>
      <c r="P1513" s="10">
        <v>2015.03</v>
      </c>
      <c r="Q1513" s="10">
        <v>0</v>
      </c>
      <c r="R1513" s="10">
        <f>IF(COUNTIF($J$2:J1513,J1513)=1,SUMIFS($O:$O,$J:$J,J1513)+SUMIFS($P:$P,$J:$J,J1513)+SUMIFS($Q:$Q,$J:$J,J1513),"")</f>
        <v>29372.18</v>
      </c>
      <c r="S1513" s="10">
        <v>29372.18</v>
      </c>
      <c r="T1513" s="11" t="str">
        <f t="shared" si="153"/>
        <v>Ok</v>
      </c>
      <c r="U1513" s="12">
        <v>46101</v>
      </c>
      <c r="V1513" s="10">
        <v>2015.03</v>
      </c>
      <c r="W1513" s="10" t="str">
        <f t="shared" si="151"/>
        <v>Short Paid</v>
      </c>
      <c r="X1513" t="s">
        <v>476</v>
      </c>
      <c r="Y1513" t="s">
        <v>29</v>
      </c>
      <c r="Z1513">
        <v>100295</v>
      </c>
      <c r="AA1513" t="s">
        <v>3127</v>
      </c>
      <c r="AB1513" t="s">
        <v>3041</v>
      </c>
      <c r="AC1513" s="9">
        <v>2</v>
      </c>
      <c r="AD1513" s="9" t="str">
        <f t="shared" si="152"/>
        <v>Ok</v>
      </c>
      <c r="AE1513" s="11">
        <f t="shared" si="154"/>
        <v>0</v>
      </c>
    </row>
    <row r="1514" spans="1:31" x14ac:dyDescent="0.3">
      <c r="A1514">
        <v>27</v>
      </c>
      <c r="B1514">
        <v>4792407</v>
      </c>
      <c r="C1514" t="s">
        <v>239</v>
      </c>
      <c r="D1514">
        <v>1098309</v>
      </c>
      <c r="E1514" t="s">
        <v>544</v>
      </c>
      <c r="F1514" t="s">
        <v>49</v>
      </c>
      <c r="G1514" t="s">
        <v>1377</v>
      </c>
      <c r="H1514" t="s">
        <v>1378</v>
      </c>
      <c r="I1514" t="s">
        <v>3208</v>
      </c>
      <c r="J1514">
        <v>51152821447</v>
      </c>
      <c r="K1514" t="s">
        <v>3168</v>
      </c>
      <c r="L1514" t="s">
        <v>3205</v>
      </c>
      <c r="M1514">
        <v>51000</v>
      </c>
      <c r="N1514" s="10">
        <v>6.4649999999999999E-2</v>
      </c>
      <c r="O1514" s="10">
        <f t="shared" si="150"/>
        <v>3297.15</v>
      </c>
      <c r="P1514" s="10" t="s">
        <v>5006</v>
      </c>
      <c r="Q1514" s="10" t="s">
        <v>5006</v>
      </c>
      <c r="R1514" s="10" t="str">
        <f>IF(COUNTIF($J$2:J1514,J1514)=1,SUMIFS($O:$O,$J:$J,J1514)+SUMIFS($P:$P,$J:$J,J1514)+SUMIFS($Q:$Q,$J:$J,J1514),"")</f>
        <v/>
      </c>
      <c r="S1514" s="10" t="s">
        <v>5006</v>
      </c>
      <c r="T1514" s="11" t="str">
        <f t="shared" si="153"/>
        <v>Ok</v>
      </c>
      <c r="U1514" s="12">
        <v>46101</v>
      </c>
      <c r="V1514" s="10">
        <v>2015.03</v>
      </c>
      <c r="W1514" s="10" t="str">
        <f t="shared" si="151"/>
        <v>N/A</v>
      </c>
      <c r="X1514" t="s">
        <v>476</v>
      </c>
      <c r="Y1514" t="s">
        <v>29</v>
      </c>
      <c r="Z1514">
        <v>100295</v>
      </c>
      <c r="AA1514" t="s">
        <v>3127</v>
      </c>
      <c r="AB1514" t="s">
        <v>3041</v>
      </c>
      <c r="AC1514" s="9">
        <v>2</v>
      </c>
      <c r="AD1514" s="9" t="str">
        <f t="shared" si="152"/>
        <v>N/A</v>
      </c>
      <c r="AE1514" s="11" t="e">
        <f t="shared" si="154"/>
        <v>#VALUE!</v>
      </c>
    </row>
    <row r="1515" spans="1:31" x14ac:dyDescent="0.3">
      <c r="A1515">
        <v>28</v>
      </c>
      <c r="B1515">
        <v>4787676</v>
      </c>
      <c r="C1515" t="s">
        <v>239</v>
      </c>
      <c r="D1515">
        <v>1508455</v>
      </c>
      <c r="E1515" t="s">
        <v>693</v>
      </c>
      <c r="F1515" t="s">
        <v>20</v>
      </c>
      <c r="G1515" t="s">
        <v>1363</v>
      </c>
      <c r="H1515" t="s">
        <v>1364</v>
      </c>
      <c r="I1515" t="s">
        <v>3224</v>
      </c>
      <c r="J1515">
        <v>51152913054</v>
      </c>
      <c r="K1515" t="s">
        <v>3289</v>
      </c>
      <c r="L1515" t="s">
        <v>4333</v>
      </c>
      <c r="M1515">
        <v>9000</v>
      </c>
      <c r="N1515" s="10">
        <v>6.3200000000000006E-2</v>
      </c>
      <c r="O1515" s="10">
        <f t="shared" si="150"/>
        <v>568.80000000000007</v>
      </c>
      <c r="P1515" s="10">
        <v>0</v>
      </c>
      <c r="Q1515" s="10">
        <v>0</v>
      </c>
      <c r="R1515" s="10">
        <f>IF(COUNTIF($J$2:J1515,J1515)=1,SUMIFS($O:$O,$J:$J,J1515)+SUMIFS($P:$P,$J:$J,J1515)+SUMIFS($Q:$Q,$J:$J,J1515),"")</f>
        <v>3363.3</v>
      </c>
      <c r="S1515" s="10">
        <v>3363.3</v>
      </c>
      <c r="T1515" s="11" t="str">
        <f t="shared" si="153"/>
        <v>Ok</v>
      </c>
      <c r="U1515" s="12">
        <v>46156</v>
      </c>
      <c r="V1515" s="10">
        <v>568.79999999999995</v>
      </c>
      <c r="W1515" s="10" t="str">
        <f t="shared" si="151"/>
        <v>Short Paid</v>
      </c>
      <c r="X1515" t="s">
        <v>476</v>
      </c>
      <c r="Y1515" t="s">
        <v>28</v>
      </c>
      <c r="Z1515">
        <v>100205</v>
      </c>
      <c r="AA1515" t="s">
        <v>3075</v>
      </c>
      <c r="AB1515" t="s">
        <v>521</v>
      </c>
      <c r="AC1515" s="9">
        <v>2</v>
      </c>
      <c r="AD1515" s="9" t="str">
        <f t="shared" si="152"/>
        <v>Ok</v>
      </c>
      <c r="AE1515" s="11">
        <f t="shared" si="154"/>
        <v>0</v>
      </c>
    </row>
    <row r="1516" spans="1:31" x14ac:dyDescent="0.3">
      <c r="A1516">
        <v>28</v>
      </c>
      <c r="B1516">
        <v>4787676</v>
      </c>
      <c r="C1516" t="s">
        <v>239</v>
      </c>
      <c r="D1516">
        <v>1508455</v>
      </c>
      <c r="E1516" t="s">
        <v>693</v>
      </c>
      <c r="F1516" t="s">
        <v>20</v>
      </c>
      <c r="G1516" t="s">
        <v>1363</v>
      </c>
      <c r="H1516" t="s">
        <v>1364</v>
      </c>
      <c r="I1516" t="s">
        <v>3210</v>
      </c>
      <c r="J1516">
        <v>51152913054</v>
      </c>
      <c r="K1516" t="s">
        <v>3168</v>
      </c>
      <c r="L1516" t="s">
        <v>3521</v>
      </c>
      <c r="M1516">
        <v>135000</v>
      </c>
      <c r="N1516" s="10">
        <v>2.07E-2</v>
      </c>
      <c r="O1516" s="10">
        <f t="shared" si="150"/>
        <v>2794.5</v>
      </c>
      <c r="P1516" s="10" t="s">
        <v>5006</v>
      </c>
      <c r="Q1516" s="10" t="s">
        <v>5006</v>
      </c>
      <c r="R1516" s="10" t="str">
        <f>IF(COUNTIF($J$2:J1516,J1516)=1,SUMIFS($O:$O,$J:$J,J1516)+SUMIFS($P:$P,$J:$J,J1516)+SUMIFS($Q:$Q,$J:$J,J1516),"")</f>
        <v/>
      </c>
      <c r="S1516" s="10" t="s">
        <v>5006</v>
      </c>
      <c r="T1516" s="11" t="str">
        <f t="shared" si="153"/>
        <v>Ok</v>
      </c>
      <c r="U1516" s="12">
        <v>46156</v>
      </c>
      <c r="V1516" s="10">
        <v>568.79999999999995</v>
      </c>
      <c r="W1516" s="10" t="str">
        <f t="shared" si="151"/>
        <v>N/A</v>
      </c>
      <c r="X1516" t="s">
        <v>476</v>
      </c>
      <c r="Y1516" t="s">
        <v>28</v>
      </c>
      <c r="Z1516">
        <v>100205</v>
      </c>
      <c r="AA1516" t="s">
        <v>3075</v>
      </c>
      <c r="AB1516" t="s">
        <v>521</v>
      </c>
      <c r="AC1516" s="9">
        <v>2</v>
      </c>
      <c r="AD1516" s="9" t="str">
        <f t="shared" si="152"/>
        <v>N/A</v>
      </c>
      <c r="AE1516" s="11" t="e">
        <f t="shared" si="154"/>
        <v>#VALUE!</v>
      </c>
    </row>
    <row r="1517" spans="1:31" x14ac:dyDescent="0.3">
      <c r="A1517">
        <v>30</v>
      </c>
      <c r="B1517">
        <v>4758456</v>
      </c>
      <c r="C1517" t="s">
        <v>220</v>
      </c>
      <c r="D1517">
        <v>1019927</v>
      </c>
      <c r="E1517" t="s">
        <v>4899</v>
      </c>
      <c r="F1517" t="s">
        <v>20</v>
      </c>
      <c r="G1517" t="s">
        <v>4900</v>
      </c>
      <c r="H1517" t="s">
        <v>1300</v>
      </c>
      <c r="I1517" t="s">
        <v>3551</v>
      </c>
      <c r="J1517">
        <v>51152973229</v>
      </c>
      <c r="K1517" t="s">
        <v>4335</v>
      </c>
      <c r="L1517" t="s">
        <v>4334</v>
      </c>
      <c r="M1517">
        <v>105</v>
      </c>
      <c r="N1517" s="10">
        <v>144.21</v>
      </c>
      <c r="O1517" s="10">
        <f t="shared" si="150"/>
        <v>15142.050000000001</v>
      </c>
      <c r="P1517" s="10">
        <v>0</v>
      </c>
      <c r="Q1517" s="10">
        <v>0</v>
      </c>
      <c r="R1517" s="10">
        <f>IF(COUNTIF($J$2:J1517,J1517)=1,SUMIFS($O:$O,$J:$J,J1517)+SUMIFS($P:$P,$J:$J,J1517)+SUMIFS($Q:$Q,$J:$J,J1517),"")</f>
        <v>36587.29</v>
      </c>
      <c r="S1517" s="10">
        <v>36605.4</v>
      </c>
      <c r="T1517" s="11" t="str">
        <f t="shared" si="153"/>
        <v>Check</v>
      </c>
      <c r="U1517" s="12">
        <v>46093</v>
      </c>
      <c r="V1517" s="10">
        <v>15160.16</v>
      </c>
      <c r="W1517" s="10" t="str">
        <f t="shared" si="151"/>
        <v>Short Paid</v>
      </c>
      <c r="X1517" t="s">
        <v>470</v>
      </c>
      <c r="Y1517" t="s">
        <v>28</v>
      </c>
      <c r="Z1517">
        <v>100118</v>
      </c>
      <c r="AA1517" t="s">
        <v>494</v>
      </c>
      <c r="AB1517" t="s">
        <v>521</v>
      </c>
      <c r="AC1517" s="9">
        <v>2</v>
      </c>
      <c r="AD1517" s="9" t="str">
        <f t="shared" si="152"/>
        <v>Check</v>
      </c>
      <c r="AE1517" s="11">
        <f t="shared" si="154"/>
        <v>-18.110000000000582</v>
      </c>
    </row>
    <row r="1518" spans="1:31" x14ac:dyDescent="0.3">
      <c r="A1518">
        <v>30</v>
      </c>
      <c r="B1518">
        <v>4758456</v>
      </c>
      <c r="C1518" t="s">
        <v>220</v>
      </c>
      <c r="D1518">
        <v>1019927</v>
      </c>
      <c r="E1518" t="s">
        <v>4899</v>
      </c>
      <c r="F1518" t="s">
        <v>20</v>
      </c>
      <c r="G1518" t="s">
        <v>4900</v>
      </c>
      <c r="H1518" t="s">
        <v>1300</v>
      </c>
      <c r="I1518" t="s">
        <v>3581</v>
      </c>
      <c r="J1518">
        <v>51152973229</v>
      </c>
      <c r="K1518" t="s">
        <v>3168</v>
      </c>
      <c r="L1518" t="s">
        <v>3214</v>
      </c>
      <c r="M1518">
        <v>4</v>
      </c>
      <c r="N1518" s="10">
        <v>5361.31</v>
      </c>
      <c r="O1518" s="10">
        <f t="shared" si="150"/>
        <v>21445.24</v>
      </c>
      <c r="P1518" s="10" t="s">
        <v>5006</v>
      </c>
      <c r="Q1518" s="10" t="s">
        <v>5006</v>
      </c>
      <c r="R1518" s="10" t="str">
        <f>IF(COUNTIF($J$2:J1518,J1518)=1,SUMIFS($O:$O,$J:$J,J1518)+SUMIFS($P:$P,$J:$J,J1518)+SUMIFS($Q:$Q,$J:$J,J1518),"")</f>
        <v/>
      </c>
      <c r="S1518" s="10" t="s">
        <v>5006</v>
      </c>
      <c r="T1518" s="11" t="str">
        <f t="shared" si="153"/>
        <v>Check</v>
      </c>
      <c r="U1518" s="12">
        <v>46093</v>
      </c>
      <c r="V1518" s="10">
        <v>15160.16</v>
      </c>
      <c r="W1518" s="10" t="str">
        <f t="shared" si="151"/>
        <v>N/A</v>
      </c>
      <c r="X1518" t="s">
        <v>470</v>
      </c>
      <c r="Y1518" t="s">
        <v>28</v>
      </c>
      <c r="Z1518">
        <v>100118</v>
      </c>
      <c r="AA1518" t="s">
        <v>494</v>
      </c>
      <c r="AB1518" t="s">
        <v>521</v>
      </c>
      <c r="AC1518" s="9">
        <v>2</v>
      </c>
      <c r="AD1518" s="9" t="str">
        <f t="shared" si="152"/>
        <v>N/A</v>
      </c>
      <c r="AE1518" s="11" t="e">
        <f t="shared" si="154"/>
        <v>#VALUE!</v>
      </c>
    </row>
    <row r="1519" spans="1:31" x14ac:dyDescent="0.3">
      <c r="A1519">
        <v>27</v>
      </c>
      <c r="B1519">
        <v>4788789</v>
      </c>
      <c r="C1519" t="s">
        <v>160</v>
      </c>
      <c r="D1519">
        <v>1422097</v>
      </c>
      <c r="E1519" t="s">
        <v>388</v>
      </c>
      <c r="F1519" t="s">
        <v>19</v>
      </c>
      <c r="G1519" t="s">
        <v>1369</v>
      </c>
      <c r="H1519" t="s">
        <v>1370</v>
      </c>
      <c r="I1519" t="s">
        <v>3315</v>
      </c>
      <c r="J1519">
        <v>51153020430</v>
      </c>
      <c r="K1519" t="s">
        <v>3479</v>
      </c>
      <c r="L1519" t="s">
        <v>4256</v>
      </c>
      <c r="M1519">
        <v>400000</v>
      </c>
      <c r="N1519" s="10">
        <v>4.1000000000000003E-3</v>
      </c>
      <c r="O1519" s="10">
        <f t="shared" si="150"/>
        <v>1640.0000000000002</v>
      </c>
      <c r="P1519" s="10">
        <v>0</v>
      </c>
      <c r="Q1519" s="10">
        <v>57</v>
      </c>
      <c r="R1519" s="10">
        <f>IF(COUNTIF($J$2:J1519,J1519)=1,SUMIFS($O:$O,$J:$J,J1519)+SUMIFS($P:$P,$J:$J,J1519)+SUMIFS($Q:$Q,$J:$J,J1519),"")</f>
        <v>3617.14</v>
      </c>
      <c r="S1519" s="10">
        <v>3617.1400000000003</v>
      </c>
      <c r="T1519" s="11" t="str">
        <f t="shared" si="153"/>
        <v>Ok</v>
      </c>
      <c r="U1519" s="12">
        <v>46094</v>
      </c>
      <c r="V1519" s="10">
        <v>600</v>
      </c>
      <c r="W1519" s="10" t="str">
        <f t="shared" si="151"/>
        <v>Short Paid</v>
      </c>
      <c r="X1519" t="s">
        <v>453</v>
      </c>
      <c r="Y1519" t="s">
        <v>28</v>
      </c>
      <c r="Z1519">
        <v>100284</v>
      </c>
      <c r="AA1519" t="s">
        <v>3062</v>
      </c>
      <c r="AB1519" t="s">
        <v>524</v>
      </c>
      <c r="AC1519" s="9">
        <v>3</v>
      </c>
      <c r="AD1519" s="9" t="str">
        <f t="shared" si="152"/>
        <v>Ok</v>
      </c>
      <c r="AE1519" s="11">
        <f t="shared" si="154"/>
        <v>0</v>
      </c>
    </row>
    <row r="1520" spans="1:31" x14ac:dyDescent="0.3">
      <c r="A1520">
        <v>27</v>
      </c>
      <c r="B1520">
        <v>4788789</v>
      </c>
      <c r="C1520" t="s">
        <v>160</v>
      </c>
      <c r="D1520">
        <v>1422097</v>
      </c>
      <c r="E1520" t="s">
        <v>388</v>
      </c>
      <c r="F1520" t="s">
        <v>19</v>
      </c>
      <c r="G1520" t="s">
        <v>1369</v>
      </c>
      <c r="H1520" t="s">
        <v>1370</v>
      </c>
      <c r="I1520" t="s">
        <v>3192</v>
      </c>
      <c r="J1520">
        <v>51153020430</v>
      </c>
      <c r="K1520" t="s">
        <v>3320</v>
      </c>
      <c r="L1520" t="s">
        <v>3762</v>
      </c>
      <c r="M1520">
        <v>1</v>
      </c>
      <c r="N1520" s="10">
        <v>600</v>
      </c>
      <c r="O1520" s="10">
        <f t="shared" si="150"/>
        <v>600</v>
      </c>
      <c r="P1520" s="10" t="s">
        <v>5006</v>
      </c>
      <c r="Q1520" s="10" t="s">
        <v>5006</v>
      </c>
      <c r="R1520" s="10" t="str">
        <f>IF(COUNTIF($J$2:J1520,J1520)=1,SUMIFS($O:$O,$J:$J,J1520)+SUMIFS($P:$P,$J:$J,J1520)+SUMIFS($Q:$Q,$J:$J,J1520),"")</f>
        <v/>
      </c>
      <c r="S1520" s="10" t="s">
        <v>5006</v>
      </c>
      <c r="T1520" s="11" t="str">
        <f t="shared" si="153"/>
        <v>Ok</v>
      </c>
      <c r="U1520" s="12">
        <v>46094</v>
      </c>
      <c r="V1520" s="10">
        <v>600</v>
      </c>
      <c r="W1520" s="10" t="str">
        <f t="shared" si="151"/>
        <v>N/A</v>
      </c>
      <c r="X1520" t="s">
        <v>453</v>
      </c>
      <c r="Y1520" t="s">
        <v>28</v>
      </c>
      <c r="Z1520">
        <v>100284</v>
      </c>
      <c r="AA1520" t="s">
        <v>3062</v>
      </c>
      <c r="AB1520" t="s">
        <v>524</v>
      </c>
      <c r="AC1520" s="9">
        <v>3</v>
      </c>
      <c r="AD1520" s="9" t="str">
        <f t="shared" si="152"/>
        <v>N/A</v>
      </c>
      <c r="AE1520" s="11" t="e">
        <f t="shared" si="154"/>
        <v>#VALUE!</v>
      </c>
    </row>
    <row r="1521" spans="1:31" x14ac:dyDescent="0.3">
      <c r="A1521">
        <v>27</v>
      </c>
      <c r="B1521">
        <v>4788789</v>
      </c>
      <c r="C1521" t="s">
        <v>160</v>
      </c>
      <c r="D1521">
        <v>1422097</v>
      </c>
      <c r="E1521" t="s">
        <v>388</v>
      </c>
      <c r="F1521" t="s">
        <v>19</v>
      </c>
      <c r="G1521" t="s">
        <v>1369</v>
      </c>
      <c r="H1521" t="s">
        <v>1370</v>
      </c>
      <c r="I1521" t="s">
        <v>3192</v>
      </c>
      <c r="J1521">
        <v>51153020430</v>
      </c>
      <c r="K1521" t="s">
        <v>3320</v>
      </c>
      <c r="L1521" t="s">
        <v>4336</v>
      </c>
      <c r="M1521">
        <v>149</v>
      </c>
      <c r="N1521" s="10">
        <v>8.86</v>
      </c>
      <c r="O1521" s="10">
        <f t="shared" si="150"/>
        <v>1320.1399999999999</v>
      </c>
      <c r="P1521" s="10" t="s">
        <v>5006</v>
      </c>
      <c r="Q1521" s="10" t="s">
        <v>5006</v>
      </c>
      <c r="R1521" s="10" t="str">
        <f>IF(COUNTIF($J$2:J1521,J1521)=1,SUMIFS($O:$O,$J:$J,J1521)+SUMIFS($P:$P,$J:$J,J1521)+SUMIFS($Q:$Q,$J:$J,J1521),"")</f>
        <v/>
      </c>
      <c r="S1521" s="10" t="s">
        <v>5006</v>
      </c>
      <c r="T1521" s="11" t="str">
        <f t="shared" si="153"/>
        <v>Ok</v>
      </c>
      <c r="U1521" s="12">
        <v>46094</v>
      </c>
      <c r="V1521" s="10">
        <v>600</v>
      </c>
      <c r="W1521" s="10" t="str">
        <f t="shared" si="151"/>
        <v>N/A</v>
      </c>
      <c r="X1521" t="s">
        <v>453</v>
      </c>
      <c r="Y1521" t="s">
        <v>28</v>
      </c>
      <c r="Z1521">
        <v>100284</v>
      </c>
      <c r="AA1521" t="s">
        <v>3062</v>
      </c>
      <c r="AB1521" t="s">
        <v>524</v>
      </c>
      <c r="AC1521" s="9">
        <v>3</v>
      </c>
      <c r="AD1521" s="9" t="str">
        <f t="shared" si="152"/>
        <v>N/A</v>
      </c>
      <c r="AE1521" s="11" t="e">
        <f t="shared" si="154"/>
        <v>#VALUE!</v>
      </c>
    </row>
    <row r="1522" spans="1:31" x14ac:dyDescent="0.3">
      <c r="A1522">
        <v>15</v>
      </c>
      <c r="B1522">
        <v>4873666</v>
      </c>
      <c r="C1522" t="s">
        <v>160</v>
      </c>
      <c r="D1522">
        <v>1860581</v>
      </c>
      <c r="E1522" t="s">
        <v>732</v>
      </c>
      <c r="F1522" t="s">
        <v>19</v>
      </c>
      <c r="G1522" t="s">
        <v>1632</v>
      </c>
      <c r="H1522" t="s">
        <v>1633</v>
      </c>
      <c r="I1522" t="s">
        <v>3469</v>
      </c>
      <c r="J1522">
        <v>51153071505</v>
      </c>
      <c r="K1522" t="s">
        <v>3473</v>
      </c>
      <c r="L1522" t="s">
        <v>4337</v>
      </c>
      <c r="M1522">
        <v>1000</v>
      </c>
      <c r="N1522" s="10">
        <v>2.8799999999999999E-2</v>
      </c>
      <c r="O1522" s="10">
        <f t="shared" si="150"/>
        <v>28.8</v>
      </c>
      <c r="P1522" s="10">
        <v>707.15</v>
      </c>
      <c r="Q1522" s="10">
        <v>1602.8</v>
      </c>
      <c r="R1522" s="10">
        <f>IF(COUNTIF($J$2:J1522,J1522)=1,SUMIFS($O:$O,$J:$J,J1522)+SUMIFS($P:$P,$J:$J,J1522)+SUMIFS($Q:$Q,$J:$J,J1522),"")</f>
        <v>9307.4499999999989</v>
      </c>
      <c r="S1522" s="10">
        <v>9307.4499999999989</v>
      </c>
      <c r="T1522" s="11" t="str">
        <f t="shared" si="153"/>
        <v>Ok</v>
      </c>
      <c r="U1522" s="12">
        <v>46105</v>
      </c>
      <c r="V1522" s="10">
        <v>28.8</v>
      </c>
      <c r="W1522" s="10" t="str">
        <f t="shared" si="151"/>
        <v>Short Paid</v>
      </c>
      <c r="X1522" t="s">
        <v>453</v>
      </c>
      <c r="Y1522" t="s">
        <v>28</v>
      </c>
      <c r="Z1522">
        <v>100194</v>
      </c>
      <c r="AA1522" t="s">
        <v>487</v>
      </c>
      <c r="AB1522" t="s">
        <v>524</v>
      </c>
      <c r="AC1522" s="9">
        <v>2</v>
      </c>
      <c r="AD1522" s="9" t="str">
        <f t="shared" si="152"/>
        <v>Ok</v>
      </c>
      <c r="AE1522" s="11">
        <f t="shared" si="154"/>
        <v>0</v>
      </c>
    </row>
    <row r="1523" spans="1:31" x14ac:dyDescent="0.3">
      <c r="A1523">
        <v>15</v>
      </c>
      <c r="B1523">
        <v>4873666</v>
      </c>
      <c r="C1523" t="s">
        <v>160</v>
      </c>
      <c r="D1523">
        <v>1860581</v>
      </c>
      <c r="E1523" t="s">
        <v>732</v>
      </c>
      <c r="F1523" t="s">
        <v>19</v>
      </c>
      <c r="G1523" t="s">
        <v>1632</v>
      </c>
      <c r="H1523" t="s">
        <v>1633</v>
      </c>
      <c r="I1523" t="s">
        <v>3204</v>
      </c>
      <c r="J1523">
        <v>51153071505</v>
      </c>
      <c r="K1523" t="s">
        <v>3532</v>
      </c>
      <c r="L1523" t="s">
        <v>3531</v>
      </c>
      <c r="M1523">
        <v>9000</v>
      </c>
      <c r="N1523" s="10">
        <v>0.77429999999999999</v>
      </c>
      <c r="O1523" s="10">
        <f t="shared" si="150"/>
        <v>6968.7</v>
      </c>
      <c r="P1523" s="10" t="s">
        <v>5006</v>
      </c>
      <c r="Q1523" s="10" t="s">
        <v>5006</v>
      </c>
      <c r="R1523" s="10" t="str">
        <f>IF(COUNTIF($J$2:J1523,J1523)=1,SUMIFS($O:$O,$J:$J,J1523)+SUMIFS($P:$P,$J:$J,J1523)+SUMIFS($Q:$Q,$J:$J,J1523),"")</f>
        <v/>
      </c>
      <c r="S1523" s="10" t="s">
        <v>5006</v>
      </c>
      <c r="T1523" s="11" t="str">
        <f t="shared" si="153"/>
        <v>Ok</v>
      </c>
      <c r="U1523" s="12">
        <v>46105</v>
      </c>
      <c r="V1523" s="10">
        <v>28.8</v>
      </c>
      <c r="W1523" s="10" t="str">
        <f t="shared" si="151"/>
        <v>N/A</v>
      </c>
      <c r="X1523" t="s">
        <v>453</v>
      </c>
      <c r="Y1523" t="s">
        <v>28</v>
      </c>
      <c r="Z1523">
        <v>100194</v>
      </c>
      <c r="AA1523" t="s">
        <v>487</v>
      </c>
      <c r="AB1523" t="s">
        <v>524</v>
      </c>
      <c r="AC1523" s="9">
        <v>2</v>
      </c>
      <c r="AD1523" s="9" t="str">
        <f t="shared" si="152"/>
        <v>N/A</v>
      </c>
      <c r="AE1523" s="11" t="e">
        <f t="shared" si="154"/>
        <v>#VALUE!</v>
      </c>
    </row>
    <row r="1524" spans="1:31" x14ac:dyDescent="0.3">
      <c r="A1524">
        <v>25</v>
      </c>
      <c r="B1524">
        <v>4816896</v>
      </c>
      <c r="C1524" t="s">
        <v>239</v>
      </c>
      <c r="D1524">
        <v>1079286</v>
      </c>
      <c r="E1524" t="s">
        <v>629</v>
      </c>
      <c r="F1524" t="s">
        <v>20</v>
      </c>
      <c r="G1524" t="s">
        <v>1401</v>
      </c>
      <c r="H1524" t="s">
        <v>1402</v>
      </c>
      <c r="I1524" t="s">
        <v>3355</v>
      </c>
      <c r="J1524">
        <v>51153133679</v>
      </c>
      <c r="K1524" t="s">
        <v>3207</v>
      </c>
      <c r="L1524" t="s">
        <v>4338</v>
      </c>
      <c r="M1524">
        <v>4000</v>
      </c>
      <c r="N1524" s="10">
        <v>2.9600000000000001E-2</v>
      </c>
      <c r="O1524" s="10">
        <f t="shared" si="150"/>
        <v>118.4</v>
      </c>
      <c r="P1524" s="10">
        <v>28.450000000000003</v>
      </c>
      <c r="Q1524" s="10">
        <v>0</v>
      </c>
      <c r="R1524" s="10">
        <f>IF(COUNTIF($J$2:J1524,J1524)=1,SUMIFS($O:$O,$J:$J,J1524)+SUMIFS($P:$P,$J:$J,J1524)+SUMIFS($Q:$Q,$J:$J,J1524),"")</f>
        <v>5356.3499999999995</v>
      </c>
      <c r="S1524" s="10">
        <v>5356.35</v>
      </c>
      <c r="T1524" s="11" t="str">
        <f t="shared" si="153"/>
        <v>Ok</v>
      </c>
      <c r="U1524" s="12">
        <v>45972</v>
      </c>
      <c r="V1524" s="10">
        <v>4983</v>
      </c>
      <c r="W1524" s="10" t="str">
        <f t="shared" si="151"/>
        <v>Short Paid</v>
      </c>
      <c r="X1524" t="s">
        <v>476</v>
      </c>
      <c r="Y1524" t="s">
        <v>28</v>
      </c>
      <c r="Z1524">
        <v>100115</v>
      </c>
      <c r="AA1524" t="s">
        <v>504</v>
      </c>
      <c r="AB1524" t="s">
        <v>521</v>
      </c>
      <c r="AC1524" s="9">
        <v>3</v>
      </c>
      <c r="AD1524" s="9" t="str">
        <f t="shared" si="152"/>
        <v>Ok</v>
      </c>
      <c r="AE1524" s="11">
        <f t="shared" si="154"/>
        <v>0</v>
      </c>
    </row>
    <row r="1525" spans="1:31" x14ac:dyDescent="0.3">
      <c r="A1525">
        <v>25</v>
      </c>
      <c r="B1525">
        <v>4816896</v>
      </c>
      <c r="C1525" t="s">
        <v>239</v>
      </c>
      <c r="D1525">
        <v>1079286</v>
      </c>
      <c r="E1525" t="s">
        <v>629</v>
      </c>
      <c r="F1525" t="s">
        <v>20</v>
      </c>
      <c r="G1525" t="s">
        <v>1401</v>
      </c>
      <c r="H1525" t="s">
        <v>1402</v>
      </c>
      <c r="I1525" t="s">
        <v>3355</v>
      </c>
      <c r="J1525">
        <v>51153133679</v>
      </c>
      <c r="K1525" t="s">
        <v>3209</v>
      </c>
      <c r="L1525" t="s">
        <v>3552</v>
      </c>
      <c r="M1525">
        <v>15000</v>
      </c>
      <c r="N1525" s="10">
        <v>1.5100000000000001E-2</v>
      </c>
      <c r="O1525" s="10">
        <f t="shared" si="150"/>
        <v>226.5</v>
      </c>
      <c r="P1525" s="10" t="s">
        <v>5006</v>
      </c>
      <c r="Q1525" s="10" t="s">
        <v>5006</v>
      </c>
      <c r="R1525" s="10" t="str">
        <f>IF(COUNTIF($J$2:J1525,J1525)=1,SUMIFS($O:$O,$J:$J,J1525)+SUMIFS($P:$P,$J:$J,J1525)+SUMIFS($Q:$Q,$J:$J,J1525),"")</f>
        <v/>
      </c>
      <c r="S1525" s="10" t="s">
        <v>5006</v>
      </c>
      <c r="T1525" s="11" t="str">
        <f t="shared" si="153"/>
        <v>Ok</v>
      </c>
      <c r="U1525" s="12">
        <v>45972</v>
      </c>
      <c r="V1525" s="10">
        <v>4983</v>
      </c>
      <c r="W1525" s="10" t="str">
        <f t="shared" si="151"/>
        <v>N/A</v>
      </c>
      <c r="X1525" t="s">
        <v>476</v>
      </c>
      <c r="Y1525" t="s">
        <v>28</v>
      </c>
      <c r="Z1525">
        <v>100115</v>
      </c>
      <c r="AA1525" t="s">
        <v>504</v>
      </c>
      <c r="AB1525" t="s">
        <v>521</v>
      </c>
      <c r="AC1525" s="9">
        <v>3</v>
      </c>
      <c r="AD1525" s="9" t="str">
        <f t="shared" si="152"/>
        <v>N/A</v>
      </c>
      <c r="AE1525" s="11" t="e">
        <f t="shared" si="154"/>
        <v>#VALUE!</v>
      </c>
    </row>
    <row r="1526" spans="1:31" x14ac:dyDescent="0.3">
      <c r="A1526">
        <v>25</v>
      </c>
      <c r="B1526">
        <v>4816896</v>
      </c>
      <c r="C1526" t="s">
        <v>239</v>
      </c>
      <c r="D1526">
        <v>1079286</v>
      </c>
      <c r="E1526" t="s">
        <v>629</v>
      </c>
      <c r="F1526" t="s">
        <v>20</v>
      </c>
      <c r="G1526" t="s">
        <v>1401</v>
      </c>
      <c r="H1526" t="s">
        <v>1402</v>
      </c>
      <c r="I1526" t="s">
        <v>3208</v>
      </c>
      <c r="J1526">
        <v>51153133679</v>
      </c>
      <c r="K1526" t="s">
        <v>3177</v>
      </c>
      <c r="L1526" t="s">
        <v>4339</v>
      </c>
      <c r="M1526">
        <v>10000</v>
      </c>
      <c r="N1526" s="10">
        <v>0.49830000000000002</v>
      </c>
      <c r="O1526" s="10">
        <f t="shared" si="150"/>
        <v>4983</v>
      </c>
      <c r="P1526" s="10" t="s">
        <v>5006</v>
      </c>
      <c r="Q1526" s="10" t="s">
        <v>5006</v>
      </c>
      <c r="R1526" s="10" t="str">
        <f>IF(COUNTIF($J$2:J1526,J1526)=1,SUMIFS($O:$O,$J:$J,J1526)+SUMIFS($P:$P,$J:$J,J1526)+SUMIFS($Q:$Q,$J:$J,J1526),"")</f>
        <v/>
      </c>
      <c r="S1526" s="10" t="s">
        <v>5006</v>
      </c>
      <c r="T1526" s="11" t="str">
        <f t="shared" si="153"/>
        <v>Ok</v>
      </c>
      <c r="U1526" s="12">
        <v>45972</v>
      </c>
      <c r="V1526" s="10">
        <v>4983</v>
      </c>
      <c r="W1526" s="10" t="str">
        <f t="shared" si="151"/>
        <v>N/A</v>
      </c>
      <c r="X1526" t="s">
        <v>476</v>
      </c>
      <c r="Y1526" t="s">
        <v>28</v>
      </c>
      <c r="Z1526">
        <v>100115</v>
      </c>
      <c r="AA1526" t="s">
        <v>504</v>
      </c>
      <c r="AB1526" t="s">
        <v>521</v>
      </c>
      <c r="AC1526" s="9">
        <v>3</v>
      </c>
      <c r="AD1526" s="9" t="str">
        <f t="shared" si="152"/>
        <v>N/A</v>
      </c>
      <c r="AE1526" s="11" t="e">
        <f t="shared" si="154"/>
        <v>#VALUE!</v>
      </c>
    </row>
    <row r="1527" spans="1:31" x14ac:dyDescent="0.3">
      <c r="A1527">
        <v>25</v>
      </c>
      <c r="B1527">
        <v>4811608</v>
      </c>
      <c r="C1527" t="s">
        <v>239</v>
      </c>
      <c r="D1527">
        <v>1079286</v>
      </c>
      <c r="E1527" t="s">
        <v>629</v>
      </c>
      <c r="F1527" t="s">
        <v>20</v>
      </c>
      <c r="G1527" t="s">
        <v>1403</v>
      </c>
      <c r="H1527" t="s">
        <v>1404</v>
      </c>
      <c r="I1527" t="s">
        <v>3206</v>
      </c>
      <c r="J1527">
        <v>51153143868</v>
      </c>
      <c r="K1527" t="s">
        <v>3618</v>
      </c>
      <c r="L1527" t="s">
        <v>4340</v>
      </c>
      <c r="M1527">
        <v>154</v>
      </c>
      <c r="N1527" s="10">
        <v>8.1</v>
      </c>
      <c r="O1527" s="10">
        <f t="shared" si="150"/>
        <v>1247.3999999999999</v>
      </c>
      <c r="P1527" s="10">
        <v>0</v>
      </c>
      <c r="Q1527" s="10">
        <v>0</v>
      </c>
      <c r="R1527" s="10">
        <f>IF(COUNTIF($J$2:J1527,J1527)=1,SUMIFS($O:$O,$J:$J,J1527)+SUMIFS($P:$P,$J:$J,J1527)+SUMIFS($Q:$Q,$J:$J,J1527),"")</f>
        <v>1825.6499999999999</v>
      </c>
      <c r="S1527" s="10">
        <v>1825.65</v>
      </c>
      <c r="T1527" s="11" t="str">
        <f t="shared" si="153"/>
        <v>Ok</v>
      </c>
      <c r="U1527" s="12">
        <v>45964</v>
      </c>
      <c r="V1527" s="10">
        <v>578.25</v>
      </c>
      <c r="W1527" s="10" t="str">
        <f t="shared" si="151"/>
        <v>Short Paid</v>
      </c>
      <c r="X1527" t="s">
        <v>476</v>
      </c>
      <c r="Y1527" t="s">
        <v>28</v>
      </c>
      <c r="Z1527">
        <v>100125</v>
      </c>
      <c r="AA1527" t="s">
        <v>477</v>
      </c>
      <c r="AB1527" t="s">
        <v>521</v>
      </c>
      <c r="AC1527" s="9">
        <v>2</v>
      </c>
      <c r="AD1527" s="9" t="str">
        <f t="shared" si="152"/>
        <v>Ok</v>
      </c>
      <c r="AE1527" s="11">
        <f t="shared" si="154"/>
        <v>0</v>
      </c>
    </row>
    <row r="1528" spans="1:31" x14ac:dyDescent="0.3">
      <c r="A1528">
        <v>25</v>
      </c>
      <c r="B1528">
        <v>4811608</v>
      </c>
      <c r="C1528" t="s">
        <v>239</v>
      </c>
      <c r="D1528">
        <v>1079286</v>
      </c>
      <c r="E1528" t="s">
        <v>629</v>
      </c>
      <c r="F1528" t="s">
        <v>20</v>
      </c>
      <c r="G1528" t="s">
        <v>1403</v>
      </c>
      <c r="H1528" t="s">
        <v>1404</v>
      </c>
      <c r="I1528" t="s">
        <v>3376</v>
      </c>
      <c r="J1528">
        <v>51153143868</v>
      </c>
      <c r="K1528" t="s">
        <v>3389</v>
      </c>
      <c r="L1528" t="s">
        <v>4341</v>
      </c>
      <c r="M1528">
        <v>4500</v>
      </c>
      <c r="N1528" s="10">
        <v>0.1285</v>
      </c>
      <c r="O1528" s="10">
        <f t="shared" si="150"/>
        <v>578.25</v>
      </c>
      <c r="P1528" s="10" t="s">
        <v>5006</v>
      </c>
      <c r="Q1528" s="10" t="s">
        <v>5006</v>
      </c>
      <c r="R1528" s="10" t="str">
        <f>IF(COUNTIF($J$2:J1528,J1528)=1,SUMIFS($O:$O,$J:$J,J1528)+SUMIFS($P:$P,$J:$J,J1528)+SUMIFS($Q:$Q,$J:$J,J1528),"")</f>
        <v/>
      </c>
      <c r="S1528" s="10" t="s">
        <v>5006</v>
      </c>
      <c r="T1528" s="11" t="str">
        <f t="shared" si="153"/>
        <v>Ok</v>
      </c>
      <c r="U1528" s="12">
        <v>45964</v>
      </c>
      <c r="V1528" s="10">
        <v>578.25</v>
      </c>
      <c r="W1528" s="10" t="str">
        <f t="shared" si="151"/>
        <v>N/A</v>
      </c>
      <c r="X1528" t="s">
        <v>476</v>
      </c>
      <c r="Y1528" t="s">
        <v>28</v>
      </c>
      <c r="Z1528">
        <v>100125</v>
      </c>
      <c r="AA1528" t="s">
        <v>477</v>
      </c>
      <c r="AB1528" t="s">
        <v>521</v>
      </c>
      <c r="AC1528" s="9">
        <v>2</v>
      </c>
      <c r="AD1528" s="9" t="str">
        <f t="shared" si="152"/>
        <v>N/A</v>
      </c>
      <c r="AE1528" s="11" t="e">
        <f t="shared" si="154"/>
        <v>#VALUE!</v>
      </c>
    </row>
    <row r="1529" spans="1:31" x14ac:dyDescent="0.3">
      <c r="A1529">
        <v>22</v>
      </c>
      <c r="B1529">
        <v>4840550</v>
      </c>
      <c r="C1529" t="s">
        <v>220</v>
      </c>
      <c r="D1529">
        <v>1125734</v>
      </c>
      <c r="E1529" t="s">
        <v>532</v>
      </c>
      <c r="F1529" t="s">
        <v>19</v>
      </c>
      <c r="G1529" t="s">
        <v>1483</v>
      </c>
      <c r="H1529" t="s">
        <v>1484</v>
      </c>
      <c r="I1529" t="s">
        <v>3322</v>
      </c>
      <c r="J1529">
        <v>51153157434</v>
      </c>
      <c r="K1529" t="s">
        <v>3194</v>
      </c>
      <c r="L1529" t="s">
        <v>4342</v>
      </c>
      <c r="M1529">
        <v>1000</v>
      </c>
      <c r="N1529" s="10">
        <v>1.69</v>
      </c>
      <c r="O1529" s="10">
        <f t="shared" si="150"/>
        <v>1690</v>
      </c>
      <c r="P1529" s="10">
        <v>69.22</v>
      </c>
      <c r="Q1529" s="10">
        <v>0</v>
      </c>
      <c r="R1529" s="10">
        <f>IF(COUNTIF($J$2:J1529,J1529)=1,SUMIFS($O:$O,$J:$J,J1529)+SUMIFS($P:$P,$J:$J,J1529)+SUMIFS($Q:$Q,$J:$J,J1529),"")</f>
        <v>2598.2107999999998</v>
      </c>
      <c r="S1529" s="10">
        <v>2598.21</v>
      </c>
      <c r="T1529" s="11" t="str">
        <f t="shared" si="153"/>
        <v>Check</v>
      </c>
      <c r="U1529" s="12">
        <v>45979</v>
      </c>
      <c r="V1529" s="10">
        <v>1690</v>
      </c>
      <c r="W1529" s="10" t="str">
        <f t="shared" si="151"/>
        <v>Short Paid</v>
      </c>
      <c r="X1529" t="s">
        <v>470</v>
      </c>
      <c r="Y1529" t="s">
        <v>28</v>
      </c>
      <c r="Z1529">
        <v>100208</v>
      </c>
      <c r="AA1529" t="s">
        <v>3098</v>
      </c>
      <c r="AB1529" t="s">
        <v>524</v>
      </c>
      <c r="AC1529" s="9">
        <v>2</v>
      </c>
      <c r="AD1529" s="9" t="str">
        <f t="shared" si="152"/>
        <v>Check</v>
      </c>
      <c r="AE1529" s="11">
        <f t="shared" si="154"/>
        <v>7.9999999979918357E-4</v>
      </c>
    </row>
    <row r="1530" spans="1:31" x14ac:dyDescent="0.3">
      <c r="A1530">
        <v>22</v>
      </c>
      <c r="B1530">
        <v>4840550</v>
      </c>
      <c r="C1530" t="s">
        <v>220</v>
      </c>
      <c r="D1530">
        <v>1125734</v>
      </c>
      <c r="E1530" t="s">
        <v>532</v>
      </c>
      <c r="F1530" t="s">
        <v>19</v>
      </c>
      <c r="G1530" t="s">
        <v>1483</v>
      </c>
      <c r="H1530" t="s">
        <v>1484</v>
      </c>
      <c r="I1530" t="s">
        <v>3236</v>
      </c>
      <c r="J1530">
        <v>51153157434</v>
      </c>
      <c r="K1530" t="s">
        <v>3194</v>
      </c>
      <c r="L1530" t="s">
        <v>4343</v>
      </c>
      <c r="M1530">
        <v>72</v>
      </c>
      <c r="N1530" s="10">
        <v>11.65265</v>
      </c>
      <c r="O1530" s="10">
        <f t="shared" si="150"/>
        <v>838.99079999999992</v>
      </c>
      <c r="P1530" s="10" t="s">
        <v>5006</v>
      </c>
      <c r="Q1530" s="10" t="s">
        <v>5006</v>
      </c>
      <c r="R1530" s="10" t="str">
        <f>IF(COUNTIF($J$2:J1530,J1530)=1,SUMIFS($O:$O,$J:$J,J1530)+SUMIFS($P:$P,$J:$J,J1530)+SUMIFS($Q:$Q,$J:$J,J1530),"")</f>
        <v/>
      </c>
      <c r="S1530" s="10" t="s">
        <v>5006</v>
      </c>
      <c r="T1530" s="11" t="str">
        <f t="shared" si="153"/>
        <v>Check</v>
      </c>
      <c r="U1530" s="12">
        <v>45979</v>
      </c>
      <c r="V1530" s="10">
        <v>1690</v>
      </c>
      <c r="W1530" s="10" t="str">
        <f t="shared" si="151"/>
        <v>N/A</v>
      </c>
      <c r="X1530" t="s">
        <v>470</v>
      </c>
      <c r="Y1530" t="s">
        <v>28</v>
      </c>
      <c r="Z1530">
        <v>100208</v>
      </c>
      <c r="AA1530" t="s">
        <v>3098</v>
      </c>
      <c r="AB1530" t="s">
        <v>524</v>
      </c>
      <c r="AC1530" s="9">
        <v>2</v>
      </c>
      <c r="AD1530" s="9" t="str">
        <f t="shared" si="152"/>
        <v>N/A</v>
      </c>
      <c r="AE1530" s="11" t="e">
        <f t="shared" si="154"/>
        <v>#VALUE!</v>
      </c>
    </row>
    <row r="1531" spans="1:31" x14ac:dyDescent="0.3">
      <c r="A1531">
        <v>30</v>
      </c>
      <c r="B1531">
        <v>4758734</v>
      </c>
      <c r="C1531" t="s">
        <v>160</v>
      </c>
      <c r="D1531">
        <v>1023669</v>
      </c>
      <c r="E1531" t="s">
        <v>655</v>
      </c>
      <c r="F1531" t="s">
        <v>24</v>
      </c>
      <c r="G1531" t="s">
        <v>2806</v>
      </c>
      <c r="H1531" t="s">
        <v>1301</v>
      </c>
      <c r="I1531" t="s">
        <v>3494</v>
      </c>
      <c r="J1531">
        <v>51153175068</v>
      </c>
      <c r="K1531" t="s">
        <v>3168</v>
      </c>
      <c r="L1531" t="s">
        <v>3214</v>
      </c>
      <c r="M1531">
        <v>1</v>
      </c>
      <c r="N1531" s="10">
        <v>5361.31</v>
      </c>
      <c r="O1531" s="10">
        <f t="shared" si="150"/>
        <v>5361.31</v>
      </c>
      <c r="P1531" s="10">
        <v>0</v>
      </c>
      <c r="Q1531" s="10">
        <v>0</v>
      </c>
      <c r="R1531" s="10">
        <f>IF(COUNTIF($J$2:J1531,J1531)=1,SUMIFS($O:$O,$J:$J,J1531)+SUMIFS($P:$P,$J:$J,J1531)+SUMIFS($Q:$Q,$J:$J,J1531),"")</f>
        <v>6080.51</v>
      </c>
      <c r="S1531" s="10">
        <v>6080.51</v>
      </c>
      <c r="T1531" s="11" t="str">
        <f t="shared" si="153"/>
        <v>Ok</v>
      </c>
      <c r="U1531" s="12">
        <v>46064</v>
      </c>
      <c r="V1531" s="10">
        <v>108.09</v>
      </c>
      <c r="W1531" s="10" t="str">
        <f t="shared" si="151"/>
        <v>Short Paid</v>
      </c>
      <c r="X1531" t="s">
        <v>453</v>
      </c>
      <c r="Y1531" t="s">
        <v>40</v>
      </c>
      <c r="Z1531">
        <v>100144</v>
      </c>
      <c r="AA1531" t="s">
        <v>3076</v>
      </c>
      <c r="AB1531" t="s">
        <v>522</v>
      </c>
      <c r="AC1531" s="9">
        <v>2</v>
      </c>
      <c r="AD1531" s="9" t="str">
        <f t="shared" si="152"/>
        <v>Ok</v>
      </c>
      <c r="AE1531" s="11">
        <f t="shared" si="154"/>
        <v>0</v>
      </c>
    </row>
    <row r="1532" spans="1:31" x14ac:dyDescent="0.3">
      <c r="A1532">
        <v>30</v>
      </c>
      <c r="B1532">
        <v>4758734</v>
      </c>
      <c r="C1532" t="s">
        <v>160</v>
      </c>
      <c r="D1532">
        <v>1023669</v>
      </c>
      <c r="E1532" t="s">
        <v>655</v>
      </c>
      <c r="F1532" t="s">
        <v>24</v>
      </c>
      <c r="G1532" t="s">
        <v>2806</v>
      </c>
      <c r="H1532" t="s">
        <v>1301</v>
      </c>
      <c r="I1532" t="s">
        <v>3367</v>
      </c>
      <c r="J1532">
        <v>51153175068</v>
      </c>
      <c r="K1532" t="s">
        <v>3180</v>
      </c>
      <c r="L1532" t="s">
        <v>4344</v>
      </c>
      <c r="M1532">
        <v>1000</v>
      </c>
      <c r="N1532" s="10">
        <v>0.71919999999999995</v>
      </c>
      <c r="O1532" s="10">
        <f t="shared" si="150"/>
        <v>719.19999999999993</v>
      </c>
      <c r="P1532" s="10" t="s">
        <v>5006</v>
      </c>
      <c r="Q1532" s="10" t="s">
        <v>5006</v>
      </c>
      <c r="R1532" s="10" t="str">
        <f>IF(COUNTIF($J$2:J1532,J1532)=1,SUMIFS($O:$O,$J:$J,J1532)+SUMIFS($P:$P,$J:$J,J1532)+SUMIFS($Q:$Q,$J:$J,J1532),"")</f>
        <v/>
      </c>
      <c r="S1532" s="10" t="s">
        <v>5006</v>
      </c>
      <c r="T1532" s="11" t="str">
        <f t="shared" si="153"/>
        <v>Ok</v>
      </c>
      <c r="U1532" s="12">
        <v>46064</v>
      </c>
      <c r="V1532" s="10">
        <v>108.09</v>
      </c>
      <c r="W1532" s="10" t="str">
        <f t="shared" si="151"/>
        <v>N/A</v>
      </c>
      <c r="X1532" t="s">
        <v>453</v>
      </c>
      <c r="Y1532" t="s">
        <v>40</v>
      </c>
      <c r="Z1532">
        <v>100144</v>
      </c>
      <c r="AA1532" t="s">
        <v>3076</v>
      </c>
      <c r="AB1532" t="s">
        <v>522</v>
      </c>
      <c r="AC1532" s="9">
        <v>2</v>
      </c>
      <c r="AD1532" s="9" t="str">
        <f t="shared" si="152"/>
        <v>N/A</v>
      </c>
      <c r="AE1532" s="11" t="e">
        <f t="shared" si="154"/>
        <v>#VALUE!</v>
      </c>
    </row>
    <row r="1533" spans="1:31" x14ac:dyDescent="0.3">
      <c r="A1533">
        <v>25</v>
      </c>
      <c r="B1533">
        <v>4816339</v>
      </c>
      <c r="C1533" t="s">
        <v>239</v>
      </c>
      <c r="D1533">
        <v>1079286</v>
      </c>
      <c r="E1533" t="s">
        <v>629</v>
      </c>
      <c r="F1533" t="s">
        <v>20</v>
      </c>
      <c r="G1533" t="s">
        <v>1411</v>
      </c>
      <c r="H1533" t="s">
        <v>1412</v>
      </c>
      <c r="I1533" t="s">
        <v>3312</v>
      </c>
      <c r="J1533">
        <v>51153175111</v>
      </c>
      <c r="K1533" t="s">
        <v>3209</v>
      </c>
      <c r="L1533" t="s">
        <v>3235</v>
      </c>
      <c r="M1533">
        <v>10000</v>
      </c>
      <c r="N1533" s="10">
        <v>1.5599999999999999E-2</v>
      </c>
      <c r="O1533" s="10">
        <f t="shared" si="150"/>
        <v>156</v>
      </c>
      <c r="P1533" s="10">
        <v>12.87</v>
      </c>
      <c r="Q1533" s="10">
        <v>0</v>
      </c>
      <c r="R1533" s="10">
        <f>IF(COUNTIF($J$2:J1533,J1533)=1,SUMIFS($O:$O,$J:$J,J1533)+SUMIFS($P:$P,$J:$J,J1533)+SUMIFS($Q:$Q,$J:$J,J1533),"")</f>
        <v>1375.87</v>
      </c>
      <c r="S1533" s="10">
        <v>1943.87</v>
      </c>
      <c r="T1533" s="11" t="str">
        <f t="shared" si="153"/>
        <v>Check</v>
      </c>
      <c r="U1533" s="12">
        <v>45972</v>
      </c>
      <c r="V1533" s="10">
        <v>1775</v>
      </c>
      <c r="W1533" s="10" t="str">
        <f t="shared" si="151"/>
        <v>Short Paid</v>
      </c>
      <c r="X1533" t="s">
        <v>476</v>
      </c>
      <c r="Y1533" t="s">
        <v>28</v>
      </c>
      <c r="Z1533">
        <v>100275</v>
      </c>
      <c r="AA1533" t="s">
        <v>492</v>
      </c>
      <c r="AB1533" t="s">
        <v>521</v>
      </c>
      <c r="AC1533" s="9">
        <v>2</v>
      </c>
      <c r="AD1533" s="9" t="str">
        <f t="shared" si="152"/>
        <v>Check</v>
      </c>
      <c r="AE1533" s="11">
        <f t="shared" si="154"/>
        <v>-568</v>
      </c>
    </row>
    <row r="1534" spans="1:31" x14ac:dyDescent="0.3">
      <c r="A1534">
        <v>25</v>
      </c>
      <c r="B1534">
        <v>4816339</v>
      </c>
      <c r="C1534" t="s">
        <v>239</v>
      </c>
      <c r="D1534">
        <v>1079286</v>
      </c>
      <c r="E1534" t="s">
        <v>629</v>
      </c>
      <c r="F1534" t="s">
        <v>20</v>
      </c>
      <c r="G1534" t="s">
        <v>1411</v>
      </c>
      <c r="H1534" t="s">
        <v>1412</v>
      </c>
      <c r="I1534" t="s">
        <v>3551</v>
      </c>
      <c r="J1534">
        <v>51153175111</v>
      </c>
      <c r="K1534" t="s">
        <v>3488</v>
      </c>
      <c r="L1534" t="s">
        <v>4285</v>
      </c>
      <c r="M1534">
        <v>34000</v>
      </c>
      <c r="N1534" s="10">
        <v>3.5499999999999997E-2</v>
      </c>
      <c r="O1534" s="10">
        <f t="shared" si="150"/>
        <v>1207</v>
      </c>
      <c r="P1534" s="10" t="s">
        <v>5006</v>
      </c>
      <c r="Q1534" s="10" t="s">
        <v>5006</v>
      </c>
      <c r="R1534" s="10" t="str">
        <f>IF(COUNTIF($J$2:J1534,J1534)=1,SUMIFS($O:$O,$J:$J,J1534)+SUMIFS($P:$P,$J:$J,J1534)+SUMIFS($Q:$Q,$J:$J,J1534),"")</f>
        <v/>
      </c>
      <c r="S1534" s="10" t="s">
        <v>5006</v>
      </c>
      <c r="T1534" s="11" t="str">
        <f t="shared" si="153"/>
        <v>Check</v>
      </c>
      <c r="U1534" s="12">
        <v>45972</v>
      </c>
      <c r="V1534" s="10">
        <v>1775</v>
      </c>
      <c r="W1534" s="10" t="str">
        <f t="shared" si="151"/>
        <v>N/A</v>
      </c>
      <c r="X1534" t="s">
        <v>476</v>
      </c>
      <c r="Y1534" t="s">
        <v>28</v>
      </c>
      <c r="Z1534">
        <v>100275</v>
      </c>
      <c r="AA1534" t="s">
        <v>492</v>
      </c>
      <c r="AB1534" t="s">
        <v>521</v>
      </c>
      <c r="AC1534" s="9">
        <v>2</v>
      </c>
      <c r="AD1534" s="9" t="str">
        <f t="shared" si="152"/>
        <v>N/A</v>
      </c>
      <c r="AE1534" s="11" t="e">
        <f t="shared" si="154"/>
        <v>#VALUE!</v>
      </c>
    </row>
    <row r="1535" spans="1:31" x14ac:dyDescent="0.3">
      <c r="A1535">
        <v>18</v>
      </c>
      <c r="B1535">
        <v>4860308</v>
      </c>
      <c r="C1535" t="s">
        <v>220</v>
      </c>
      <c r="D1535">
        <v>1379208</v>
      </c>
      <c r="E1535" t="s">
        <v>603</v>
      </c>
      <c r="F1535" t="s">
        <v>20</v>
      </c>
      <c r="G1535" t="s">
        <v>1585</v>
      </c>
      <c r="H1535" t="s">
        <v>1586</v>
      </c>
      <c r="I1535" t="s">
        <v>3477</v>
      </c>
      <c r="J1535">
        <v>51153282283</v>
      </c>
      <c r="K1535" s="12">
        <v>46082</v>
      </c>
      <c r="L1535" t="s">
        <v>3592</v>
      </c>
      <c r="M1535">
        <v>72</v>
      </c>
      <c r="N1535" s="10">
        <v>7.37</v>
      </c>
      <c r="O1535" s="10">
        <f t="shared" si="150"/>
        <v>530.64</v>
      </c>
      <c r="P1535" s="10">
        <v>0</v>
      </c>
      <c r="Q1535" s="10" t="s">
        <v>5006</v>
      </c>
      <c r="R1535" s="10">
        <f>IF(COUNTIF($J$2:J1535,J1535)=1,SUMIFS($O:$O,$J:$J,J1535)+SUMIFS($P:$P,$J:$J,J1535)+SUMIFS($Q:$Q,$J:$J,J1535),"")</f>
        <v>860.64</v>
      </c>
      <c r="S1535" s="10">
        <v>860.64</v>
      </c>
      <c r="T1535" s="11" t="str">
        <f t="shared" si="153"/>
        <v>Ok</v>
      </c>
      <c r="U1535" s="12">
        <v>46129</v>
      </c>
      <c r="V1535" s="10">
        <v>530.64</v>
      </c>
      <c r="W1535" s="10" t="str">
        <f t="shared" si="151"/>
        <v>Short Paid</v>
      </c>
      <c r="X1535" t="s">
        <v>470</v>
      </c>
      <c r="Y1535" t="s">
        <v>28</v>
      </c>
      <c r="Z1535">
        <v>100238</v>
      </c>
      <c r="AA1535" t="s">
        <v>3078</v>
      </c>
      <c r="AB1535" t="s">
        <v>521</v>
      </c>
      <c r="AC1535" s="9">
        <v>2</v>
      </c>
      <c r="AD1535" s="9" t="str">
        <f t="shared" si="152"/>
        <v>Ok</v>
      </c>
      <c r="AE1535" s="11">
        <f t="shared" si="154"/>
        <v>0</v>
      </c>
    </row>
    <row r="1536" spans="1:31" x14ac:dyDescent="0.3">
      <c r="A1536">
        <v>18</v>
      </c>
      <c r="B1536">
        <v>4860308</v>
      </c>
      <c r="C1536" t="s">
        <v>220</v>
      </c>
      <c r="D1536">
        <v>1379208</v>
      </c>
      <c r="E1536" t="s">
        <v>603</v>
      </c>
      <c r="F1536" t="s">
        <v>20</v>
      </c>
      <c r="G1536" t="s">
        <v>1585</v>
      </c>
      <c r="H1536" t="s">
        <v>1586</v>
      </c>
      <c r="I1536" t="s">
        <v>3419</v>
      </c>
      <c r="J1536">
        <v>51153282283</v>
      </c>
      <c r="K1536" t="s">
        <v>3370</v>
      </c>
      <c r="L1536" t="s">
        <v>4345</v>
      </c>
      <c r="M1536">
        <v>6000</v>
      </c>
      <c r="N1536" s="10">
        <v>5.5E-2</v>
      </c>
      <c r="O1536" s="10">
        <f t="shared" si="150"/>
        <v>330</v>
      </c>
      <c r="P1536" s="10" t="s">
        <v>5006</v>
      </c>
      <c r="Q1536" s="10" t="s">
        <v>5006</v>
      </c>
      <c r="R1536" s="10" t="str">
        <f>IF(COUNTIF($J$2:J1536,J1536)=1,SUMIFS($O:$O,$J:$J,J1536)+SUMIFS($P:$P,$J:$J,J1536)+SUMIFS($Q:$Q,$J:$J,J1536),"")</f>
        <v/>
      </c>
      <c r="S1536" s="10" t="s">
        <v>5006</v>
      </c>
      <c r="T1536" s="11" t="str">
        <f t="shared" si="153"/>
        <v>Ok</v>
      </c>
      <c r="U1536" s="12">
        <v>46129</v>
      </c>
      <c r="V1536" s="10">
        <v>530.64</v>
      </c>
      <c r="W1536" s="10" t="str">
        <f t="shared" si="151"/>
        <v>N/A</v>
      </c>
      <c r="X1536" t="s">
        <v>470</v>
      </c>
      <c r="Y1536" t="s">
        <v>28</v>
      </c>
      <c r="Z1536">
        <v>100238</v>
      </c>
      <c r="AA1536" t="s">
        <v>3078</v>
      </c>
      <c r="AB1536" t="s">
        <v>521</v>
      </c>
      <c r="AC1536" s="9">
        <v>2</v>
      </c>
      <c r="AD1536" s="9" t="str">
        <f t="shared" si="152"/>
        <v>N/A</v>
      </c>
      <c r="AE1536" s="11" t="e">
        <f t="shared" si="154"/>
        <v>#VALUE!</v>
      </c>
    </row>
    <row r="1537" spans="1:31" x14ac:dyDescent="0.3">
      <c r="A1537">
        <v>18</v>
      </c>
      <c r="B1537">
        <v>4860030</v>
      </c>
      <c r="C1537" t="s">
        <v>220</v>
      </c>
      <c r="D1537">
        <v>1379208</v>
      </c>
      <c r="E1537" t="s">
        <v>603</v>
      </c>
      <c r="F1537" t="s">
        <v>20</v>
      </c>
      <c r="G1537" t="s">
        <v>1583</v>
      </c>
      <c r="H1537" t="s">
        <v>1584</v>
      </c>
      <c r="I1537" t="s">
        <v>3416</v>
      </c>
      <c r="J1537">
        <v>51153285104</v>
      </c>
      <c r="K1537" t="s">
        <v>3370</v>
      </c>
      <c r="L1537" t="s">
        <v>3578</v>
      </c>
      <c r="M1537">
        <v>5000</v>
      </c>
      <c r="N1537" s="10">
        <v>2.8899999999999999E-2</v>
      </c>
      <c r="O1537" s="10">
        <f t="shared" si="150"/>
        <v>144.5</v>
      </c>
      <c r="P1537" s="10">
        <v>0</v>
      </c>
      <c r="Q1537" s="10" t="s">
        <v>5006</v>
      </c>
      <c r="R1537" s="10">
        <f>IF(COUNTIF($J$2:J1537,J1537)=1,SUMIFS($O:$O,$J:$J,J1537)+SUMIFS($P:$P,$J:$J,J1537)+SUMIFS($Q:$Q,$J:$J,J1537),"")</f>
        <v>1205.78</v>
      </c>
      <c r="S1537" s="10">
        <v>1350.28</v>
      </c>
      <c r="T1537" s="11" t="str">
        <f t="shared" si="153"/>
        <v>Check</v>
      </c>
      <c r="U1537" s="12">
        <v>46129</v>
      </c>
      <c r="V1537" s="10">
        <v>1061.28</v>
      </c>
      <c r="W1537" s="10" t="str">
        <f t="shared" si="151"/>
        <v>Short Paid</v>
      </c>
      <c r="X1537" t="s">
        <v>470</v>
      </c>
      <c r="Y1537" t="s">
        <v>28</v>
      </c>
      <c r="Z1537">
        <v>100208</v>
      </c>
      <c r="AA1537" t="s">
        <v>3098</v>
      </c>
      <c r="AB1537" t="s">
        <v>521</v>
      </c>
      <c r="AC1537" s="9">
        <v>2</v>
      </c>
      <c r="AD1537" s="9" t="str">
        <f t="shared" si="152"/>
        <v>Check</v>
      </c>
      <c r="AE1537" s="11">
        <f t="shared" si="154"/>
        <v>-144.5</v>
      </c>
    </row>
    <row r="1538" spans="1:31" x14ac:dyDescent="0.3">
      <c r="A1538">
        <v>18</v>
      </c>
      <c r="B1538">
        <v>4860030</v>
      </c>
      <c r="C1538" t="s">
        <v>220</v>
      </c>
      <c r="D1538">
        <v>1379208</v>
      </c>
      <c r="E1538" t="s">
        <v>603</v>
      </c>
      <c r="F1538" t="s">
        <v>20</v>
      </c>
      <c r="G1538" t="s">
        <v>1583</v>
      </c>
      <c r="H1538" t="s">
        <v>1584</v>
      </c>
      <c r="I1538" t="s">
        <v>3224</v>
      </c>
      <c r="J1538">
        <v>51153285104</v>
      </c>
      <c r="K1538" s="12">
        <v>46082</v>
      </c>
      <c r="L1538" t="s">
        <v>3592</v>
      </c>
      <c r="M1538">
        <v>144</v>
      </c>
      <c r="N1538" s="10">
        <v>7.37</v>
      </c>
      <c r="O1538" s="10">
        <f t="shared" ref="O1538:O1601" si="155">M1538*N1538</f>
        <v>1061.28</v>
      </c>
      <c r="P1538" s="10" t="s">
        <v>5006</v>
      </c>
      <c r="Q1538" s="10" t="s">
        <v>5006</v>
      </c>
      <c r="R1538" s="10" t="str">
        <f>IF(COUNTIF($J$2:J1538,J1538)=1,SUMIFS($O:$O,$J:$J,J1538)+SUMIFS($P:$P,$J:$J,J1538)+SUMIFS($Q:$Q,$J:$J,J1538),"")</f>
        <v/>
      </c>
      <c r="S1538" s="10" t="s">
        <v>5006</v>
      </c>
      <c r="T1538" s="11" t="str">
        <f t="shared" si="153"/>
        <v>Check</v>
      </c>
      <c r="U1538" s="12">
        <v>46129</v>
      </c>
      <c r="V1538" s="10">
        <v>1061.28</v>
      </c>
      <c r="W1538" s="10" t="str">
        <f t="shared" ref="W1538:W1601" si="156">IF(OR(S1538="",V1538=""),"N/A",IF(S1538&lt;&gt;V1538,"Short Paid","Not Paid"))</f>
        <v>N/A</v>
      </c>
      <c r="X1538" t="s">
        <v>470</v>
      </c>
      <c r="Y1538" t="s">
        <v>28</v>
      </c>
      <c r="Z1538">
        <v>100208</v>
      </c>
      <c r="AA1538" t="s">
        <v>3098</v>
      </c>
      <c r="AB1538" t="s">
        <v>521</v>
      </c>
      <c r="AC1538" s="9">
        <v>2</v>
      </c>
      <c r="AD1538" s="9" t="str">
        <f t="shared" ref="AD1538:AD1601" si="157">IF(AND(R1538="",S1538=""),"N/A",IF(R1538=S1538,"Ok","Check"))</f>
        <v>N/A</v>
      </c>
      <c r="AE1538" s="11" t="e">
        <f t="shared" si="154"/>
        <v>#VALUE!</v>
      </c>
    </row>
    <row r="1539" spans="1:31" x14ac:dyDescent="0.3">
      <c r="A1539">
        <v>25</v>
      </c>
      <c r="B1539">
        <v>4816618</v>
      </c>
      <c r="C1539" t="s">
        <v>239</v>
      </c>
      <c r="D1539">
        <v>1079286</v>
      </c>
      <c r="E1539" t="s">
        <v>629</v>
      </c>
      <c r="F1539" t="s">
        <v>20</v>
      </c>
      <c r="G1539" t="s">
        <v>1413</v>
      </c>
      <c r="H1539" t="s">
        <v>1414</v>
      </c>
      <c r="I1539" t="s">
        <v>3410</v>
      </c>
      <c r="J1539">
        <v>51153285110</v>
      </c>
      <c r="K1539" t="s">
        <v>3266</v>
      </c>
      <c r="L1539" t="s">
        <v>4346</v>
      </c>
      <c r="M1539">
        <v>3000</v>
      </c>
      <c r="N1539" s="10">
        <v>0.83099999999999996</v>
      </c>
      <c r="O1539" s="10">
        <f t="shared" si="155"/>
        <v>2493</v>
      </c>
      <c r="P1539" s="10">
        <v>205.67</v>
      </c>
      <c r="Q1539" s="10">
        <v>0</v>
      </c>
      <c r="R1539" s="10">
        <f>IF(COUNTIF($J$2:J1539,J1539)=1,SUMIFS($O:$O,$J:$J,J1539)+SUMIFS($P:$P,$J:$J,J1539)+SUMIFS($Q:$Q,$J:$J,J1539),"")</f>
        <v>2840.67</v>
      </c>
      <c r="S1539" s="10">
        <v>2840.67</v>
      </c>
      <c r="T1539" s="11" t="str">
        <f t="shared" ref="T1539:T1602" si="158">IFERROR(INDEX(AD:AD,MATCH(J1539,J:J,0)),"")</f>
        <v>Ok</v>
      </c>
      <c r="U1539" s="12">
        <v>45972</v>
      </c>
      <c r="V1539" s="10">
        <v>142</v>
      </c>
      <c r="W1539" s="10" t="str">
        <f t="shared" si="156"/>
        <v>Short Paid</v>
      </c>
      <c r="X1539" t="s">
        <v>476</v>
      </c>
      <c r="Y1539" t="s">
        <v>28</v>
      </c>
      <c r="Z1539">
        <v>100285</v>
      </c>
      <c r="AA1539" t="s">
        <v>501</v>
      </c>
      <c r="AB1539" t="s">
        <v>521</v>
      </c>
      <c r="AC1539" s="9">
        <v>2</v>
      </c>
      <c r="AD1539" s="9" t="str">
        <f t="shared" si="157"/>
        <v>Ok</v>
      </c>
      <c r="AE1539" s="11">
        <f t="shared" si="154"/>
        <v>0</v>
      </c>
    </row>
    <row r="1540" spans="1:31" x14ac:dyDescent="0.3">
      <c r="A1540">
        <v>25</v>
      </c>
      <c r="B1540">
        <v>4816618</v>
      </c>
      <c r="C1540" t="s">
        <v>239</v>
      </c>
      <c r="D1540">
        <v>1079286</v>
      </c>
      <c r="E1540" t="s">
        <v>629</v>
      </c>
      <c r="F1540" t="s">
        <v>20</v>
      </c>
      <c r="G1540" t="s">
        <v>1413</v>
      </c>
      <c r="H1540" t="s">
        <v>1414</v>
      </c>
      <c r="I1540" t="s">
        <v>3505</v>
      </c>
      <c r="J1540">
        <v>51153285110</v>
      </c>
      <c r="K1540" t="s">
        <v>3488</v>
      </c>
      <c r="L1540" t="s">
        <v>4285</v>
      </c>
      <c r="M1540">
        <v>4000</v>
      </c>
      <c r="N1540" s="10">
        <v>3.5499999999999997E-2</v>
      </c>
      <c r="O1540" s="10">
        <f t="shared" si="155"/>
        <v>142</v>
      </c>
      <c r="P1540" s="10" t="s">
        <v>5006</v>
      </c>
      <c r="Q1540" s="10" t="s">
        <v>5006</v>
      </c>
      <c r="R1540" s="10" t="str">
        <f>IF(COUNTIF($J$2:J1540,J1540)=1,SUMIFS($O:$O,$J:$J,J1540)+SUMIFS($P:$P,$J:$J,J1540)+SUMIFS($Q:$Q,$J:$J,J1540),"")</f>
        <v/>
      </c>
      <c r="S1540" s="10" t="s">
        <v>5006</v>
      </c>
      <c r="T1540" s="11" t="str">
        <f t="shared" si="158"/>
        <v>Ok</v>
      </c>
      <c r="U1540" s="12">
        <v>45972</v>
      </c>
      <c r="V1540" s="10">
        <v>142</v>
      </c>
      <c r="W1540" s="10" t="str">
        <f t="shared" si="156"/>
        <v>N/A</v>
      </c>
      <c r="X1540" t="s">
        <v>476</v>
      </c>
      <c r="Y1540" t="s">
        <v>28</v>
      </c>
      <c r="Z1540">
        <v>100285</v>
      </c>
      <c r="AA1540" t="s">
        <v>501</v>
      </c>
      <c r="AB1540" t="s">
        <v>521</v>
      </c>
      <c r="AC1540" s="9">
        <v>2</v>
      </c>
      <c r="AD1540" s="9" t="str">
        <f t="shared" si="157"/>
        <v>N/A</v>
      </c>
      <c r="AE1540" s="11" t="e">
        <f t="shared" si="154"/>
        <v>#VALUE!</v>
      </c>
    </row>
    <row r="1541" spans="1:31" x14ac:dyDescent="0.3">
      <c r="A1541">
        <v>27</v>
      </c>
      <c r="B1541">
        <v>4792963</v>
      </c>
      <c r="C1541" t="s">
        <v>239</v>
      </c>
      <c r="D1541">
        <v>1098309</v>
      </c>
      <c r="E1541" t="s">
        <v>544</v>
      </c>
      <c r="F1541" t="s">
        <v>49</v>
      </c>
      <c r="G1541" t="s">
        <v>1381</v>
      </c>
      <c r="H1541" t="s">
        <v>1382</v>
      </c>
      <c r="I1541" t="s">
        <v>3411</v>
      </c>
      <c r="J1541">
        <v>51153289405</v>
      </c>
      <c r="K1541" t="s">
        <v>3183</v>
      </c>
      <c r="L1541" t="s">
        <v>3182</v>
      </c>
      <c r="M1541">
        <v>180</v>
      </c>
      <c r="N1541" s="10">
        <v>83.1</v>
      </c>
      <c r="O1541" s="10">
        <f t="shared" si="155"/>
        <v>14957.999999999998</v>
      </c>
      <c r="P1541" s="10">
        <v>728.6099999999999</v>
      </c>
      <c r="Q1541" s="10" t="s">
        <v>5006</v>
      </c>
      <c r="R1541" s="10">
        <f>IF(COUNTIF($J$2:J1541,J1541)=1,SUMIFS($O:$O,$J:$J,J1541)+SUMIFS($P:$P,$J:$J,J1541)+SUMIFS($Q:$Q,$J:$J,J1541),"")</f>
        <v>19879.11</v>
      </c>
      <c r="S1541" s="10">
        <v>27344.36</v>
      </c>
      <c r="T1541" s="11" t="str">
        <f t="shared" si="158"/>
        <v>Check</v>
      </c>
      <c r="U1541" s="12">
        <v>46099</v>
      </c>
      <c r="V1541" s="10">
        <v>728.61</v>
      </c>
      <c r="W1541" s="10" t="str">
        <f t="shared" si="156"/>
        <v>Short Paid</v>
      </c>
      <c r="X1541" t="s">
        <v>476</v>
      </c>
      <c r="Y1541" t="s">
        <v>29</v>
      </c>
      <c r="Z1541">
        <v>100295</v>
      </c>
      <c r="AA1541" t="s">
        <v>3127</v>
      </c>
      <c r="AB1541" t="s">
        <v>3041</v>
      </c>
      <c r="AC1541" s="9">
        <v>2</v>
      </c>
      <c r="AD1541" s="9" t="str">
        <f t="shared" si="157"/>
        <v>Check</v>
      </c>
      <c r="AE1541" s="11">
        <f t="shared" si="154"/>
        <v>-7465.25</v>
      </c>
    </row>
    <row r="1542" spans="1:31" x14ac:dyDescent="0.3">
      <c r="A1542">
        <v>27</v>
      </c>
      <c r="B1542">
        <v>4792963</v>
      </c>
      <c r="C1542" t="s">
        <v>239</v>
      </c>
      <c r="D1542">
        <v>1098309</v>
      </c>
      <c r="E1542" t="s">
        <v>544</v>
      </c>
      <c r="F1542" t="s">
        <v>49</v>
      </c>
      <c r="G1542" t="s">
        <v>1381</v>
      </c>
      <c r="H1542" t="s">
        <v>1382</v>
      </c>
      <c r="I1542" t="s">
        <v>3202</v>
      </c>
      <c r="J1542">
        <v>51153289405</v>
      </c>
      <c r="K1542" t="s">
        <v>3743</v>
      </c>
      <c r="L1542" t="s">
        <v>4347</v>
      </c>
      <c r="M1542">
        <v>25</v>
      </c>
      <c r="N1542" s="10">
        <v>167.7</v>
      </c>
      <c r="O1542" s="10">
        <f t="shared" si="155"/>
        <v>4192.5</v>
      </c>
      <c r="P1542" s="10" t="s">
        <v>5006</v>
      </c>
      <c r="Q1542" s="10" t="s">
        <v>5006</v>
      </c>
      <c r="R1542" s="10" t="str">
        <f>IF(COUNTIF($J$2:J1542,J1542)=1,SUMIFS($O:$O,$J:$J,J1542)+SUMIFS($P:$P,$J:$J,J1542)+SUMIFS($Q:$Q,$J:$J,J1542),"")</f>
        <v/>
      </c>
      <c r="S1542" s="10" t="s">
        <v>5006</v>
      </c>
      <c r="T1542" s="11" t="str">
        <f t="shared" si="158"/>
        <v>Check</v>
      </c>
      <c r="U1542" s="12">
        <v>46099</v>
      </c>
      <c r="V1542" s="10">
        <v>728.61</v>
      </c>
      <c r="W1542" s="10" t="str">
        <f t="shared" si="156"/>
        <v>N/A</v>
      </c>
      <c r="X1542" t="s">
        <v>476</v>
      </c>
      <c r="Y1542" t="s">
        <v>29</v>
      </c>
      <c r="Z1542">
        <v>100295</v>
      </c>
      <c r="AA1542" t="s">
        <v>3127</v>
      </c>
      <c r="AB1542" t="s">
        <v>3041</v>
      </c>
      <c r="AC1542" s="9">
        <v>2</v>
      </c>
      <c r="AD1542" s="9" t="str">
        <f t="shared" si="157"/>
        <v>N/A</v>
      </c>
      <c r="AE1542" s="11" t="e">
        <f t="shared" si="154"/>
        <v>#VALUE!</v>
      </c>
    </row>
    <row r="1543" spans="1:31" x14ac:dyDescent="0.3">
      <c r="A1543">
        <v>22</v>
      </c>
      <c r="B1543">
        <v>4838602</v>
      </c>
      <c r="C1543" t="s">
        <v>240</v>
      </c>
      <c r="D1543">
        <v>1452228</v>
      </c>
      <c r="E1543" t="s">
        <v>577</v>
      </c>
      <c r="F1543" t="s">
        <v>24</v>
      </c>
      <c r="G1543" t="s">
        <v>1506</v>
      </c>
      <c r="H1543" t="s">
        <v>1507</v>
      </c>
      <c r="I1543" t="s">
        <v>3309</v>
      </c>
      <c r="J1543">
        <v>51153405911</v>
      </c>
      <c r="K1543" t="s">
        <v>3379</v>
      </c>
      <c r="L1543" t="s">
        <v>3378</v>
      </c>
      <c r="M1543">
        <v>30000</v>
      </c>
      <c r="N1543" s="10">
        <v>0.16250000000000001</v>
      </c>
      <c r="O1543" s="10">
        <f t="shared" si="155"/>
        <v>4875</v>
      </c>
      <c r="P1543" s="10">
        <v>0</v>
      </c>
      <c r="Q1543" s="10">
        <v>0</v>
      </c>
      <c r="R1543" s="10">
        <f>IF(COUNTIF($J$2:J1543,J1543)=1,SUMIFS($O:$O,$J:$J,J1543)+SUMIFS($P:$P,$J:$J,J1543)+SUMIFS($Q:$Q,$J:$J,J1543),"")</f>
        <v>5538</v>
      </c>
      <c r="S1543" s="10">
        <v>5557</v>
      </c>
      <c r="T1543" s="11" t="str">
        <f t="shared" si="158"/>
        <v>Check</v>
      </c>
      <c r="U1543" s="12">
        <v>46044</v>
      </c>
      <c r="V1543" s="10">
        <v>633</v>
      </c>
      <c r="W1543" s="10" t="str">
        <f t="shared" si="156"/>
        <v>Short Paid</v>
      </c>
      <c r="X1543" t="s">
        <v>478</v>
      </c>
      <c r="Y1543" t="s">
        <v>40</v>
      </c>
      <c r="Z1543">
        <v>100222</v>
      </c>
      <c r="AA1543" t="s">
        <v>3146</v>
      </c>
      <c r="AB1543" t="s">
        <v>522</v>
      </c>
      <c r="AC1543" s="9">
        <v>3</v>
      </c>
      <c r="AD1543" s="9" t="str">
        <f t="shared" si="157"/>
        <v>Check</v>
      </c>
      <c r="AE1543" s="11">
        <f t="shared" ref="AE1543:AE1606" si="159">R1543-S1543</f>
        <v>-19</v>
      </c>
    </row>
    <row r="1544" spans="1:31" x14ac:dyDescent="0.3">
      <c r="A1544">
        <v>22</v>
      </c>
      <c r="B1544">
        <v>4838602</v>
      </c>
      <c r="C1544" t="s">
        <v>240</v>
      </c>
      <c r="D1544">
        <v>1452228</v>
      </c>
      <c r="E1544" t="s">
        <v>577</v>
      </c>
      <c r="F1544" t="s">
        <v>24</v>
      </c>
      <c r="G1544" t="s">
        <v>1506</v>
      </c>
      <c r="H1544" t="s">
        <v>1507</v>
      </c>
      <c r="I1544" t="s">
        <v>3316</v>
      </c>
      <c r="J1544">
        <v>51153405911</v>
      </c>
      <c r="K1544" t="s">
        <v>3209</v>
      </c>
      <c r="L1544" t="s">
        <v>4348</v>
      </c>
      <c r="M1544">
        <v>5000</v>
      </c>
      <c r="N1544" s="10">
        <v>6.0000000000000001E-3</v>
      </c>
      <c r="O1544" s="10">
        <f t="shared" si="155"/>
        <v>30</v>
      </c>
      <c r="P1544" s="10" t="s">
        <v>5006</v>
      </c>
      <c r="Q1544" s="10" t="s">
        <v>5006</v>
      </c>
      <c r="R1544" s="10" t="str">
        <f>IF(COUNTIF($J$2:J1544,J1544)=1,SUMIFS($O:$O,$J:$J,J1544)+SUMIFS($P:$P,$J:$J,J1544)+SUMIFS($Q:$Q,$J:$J,J1544),"")</f>
        <v/>
      </c>
      <c r="S1544" s="10" t="s">
        <v>5006</v>
      </c>
      <c r="T1544" s="11" t="str">
        <f t="shared" si="158"/>
        <v>Check</v>
      </c>
      <c r="U1544" s="12">
        <v>46044</v>
      </c>
      <c r="V1544" s="10">
        <v>633</v>
      </c>
      <c r="W1544" s="10" t="str">
        <f t="shared" si="156"/>
        <v>N/A</v>
      </c>
      <c r="X1544" t="s">
        <v>478</v>
      </c>
      <c r="Y1544" t="s">
        <v>40</v>
      </c>
      <c r="Z1544">
        <v>100222</v>
      </c>
      <c r="AA1544" t="s">
        <v>3146</v>
      </c>
      <c r="AB1544" t="s">
        <v>522</v>
      </c>
      <c r="AC1544" s="9">
        <v>3</v>
      </c>
      <c r="AD1544" s="9" t="str">
        <f t="shared" si="157"/>
        <v>N/A</v>
      </c>
      <c r="AE1544" s="11" t="e">
        <f t="shared" si="159"/>
        <v>#VALUE!</v>
      </c>
    </row>
    <row r="1545" spans="1:31" x14ac:dyDescent="0.3">
      <c r="A1545">
        <v>22</v>
      </c>
      <c r="B1545">
        <v>4838602</v>
      </c>
      <c r="C1545" t="s">
        <v>240</v>
      </c>
      <c r="D1545">
        <v>1452228</v>
      </c>
      <c r="E1545" t="s">
        <v>577</v>
      </c>
      <c r="F1545" t="s">
        <v>24</v>
      </c>
      <c r="G1545" t="s">
        <v>1506</v>
      </c>
      <c r="H1545" t="s">
        <v>1507</v>
      </c>
      <c r="I1545" t="s">
        <v>3316</v>
      </c>
      <c r="J1545">
        <v>51153405911</v>
      </c>
      <c r="K1545" t="s">
        <v>3180</v>
      </c>
      <c r="L1545" t="s">
        <v>4349</v>
      </c>
      <c r="M1545">
        <v>3000</v>
      </c>
      <c r="N1545" s="10">
        <v>0.21099999999999999</v>
      </c>
      <c r="O1545" s="10">
        <f t="shared" si="155"/>
        <v>633</v>
      </c>
      <c r="P1545" s="10" t="s">
        <v>5006</v>
      </c>
      <c r="Q1545" s="10" t="s">
        <v>5006</v>
      </c>
      <c r="R1545" s="10" t="str">
        <f>IF(COUNTIF($J$2:J1545,J1545)=1,SUMIFS($O:$O,$J:$J,J1545)+SUMIFS($P:$P,$J:$J,J1545)+SUMIFS($Q:$Q,$J:$J,J1545),"")</f>
        <v/>
      </c>
      <c r="S1545" s="10" t="s">
        <v>5006</v>
      </c>
      <c r="T1545" s="11" t="str">
        <f t="shared" si="158"/>
        <v>Check</v>
      </c>
      <c r="U1545" s="12">
        <v>46044</v>
      </c>
      <c r="V1545" s="10">
        <v>633</v>
      </c>
      <c r="W1545" s="10" t="str">
        <f t="shared" si="156"/>
        <v>N/A</v>
      </c>
      <c r="X1545" t="s">
        <v>478</v>
      </c>
      <c r="Y1545" t="s">
        <v>40</v>
      </c>
      <c r="Z1545">
        <v>100222</v>
      </c>
      <c r="AA1545" t="s">
        <v>3146</v>
      </c>
      <c r="AB1545" t="s">
        <v>522</v>
      </c>
      <c r="AC1545" s="9">
        <v>3</v>
      </c>
      <c r="AD1545" s="9" t="str">
        <f t="shared" si="157"/>
        <v>N/A</v>
      </c>
      <c r="AE1545" s="11" t="e">
        <f t="shared" si="159"/>
        <v>#VALUE!</v>
      </c>
    </row>
    <row r="1546" spans="1:31" x14ac:dyDescent="0.3">
      <c r="A1546">
        <v>15</v>
      </c>
      <c r="B1546">
        <v>4873388</v>
      </c>
      <c r="C1546" t="s">
        <v>38</v>
      </c>
      <c r="D1546">
        <v>1852662</v>
      </c>
      <c r="E1546" t="s">
        <v>584</v>
      </c>
      <c r="F1546" t="s">
        <v>24</v>
      </c>
      <c r="G1546" t="s">
        <v>2876</v>
      </c>
      <c r="H1546" t="s">
        <v>2877</v>
      </c>
      <c r="I1546" t="s">
        <v>3325</v>
      </c>
      <c r="J1546">
        <v>51153420246</v>
      </c>
      <c r="K1546" t="s">
        <v>3229</v>
      </c>
      <c r="L1546" t="s">
        <v>4350</v>
      </c>
      <c r="M1546">
        <v>1</v>
      </c>
      <c r="N1546" s="10">
        <v>1875</v>
      </c>
      <c r="O1546" s="10">
        <f t="shared" si="155"/>
        <v>1875</v>
      </c>
      <c r="P1546" s="10">
        <v>0</v>
      </c>
      <c r="Q1546" s="10">
        <v>178.13</v>
      </c>
      <c r="R1546" s="10">
        <f>IF(COUNTIF($J$2:J1546,J1546)=1,SUMIFS($O:$O,$J:$J,J1546)+SUMIFS($P:$P,$J:$J,J1546)+SUMIFS($Q:$Q,$J:$J,J1546),"")</f>
        <v>2947.13</v>
      </c>
      <c r="S1546" s="10">
        <v>2947.13</v>
      </c>
      <c r="T1546" s="11" t="str">
        <f t="shared" si="158"/>
        <v>Ok</v>
      </c>
      <c r="U1546" s="12">
        <v>46148</v>
      </c>
      <c r="V1546" s="10">
        <v>1072.1300000000001</v>
      </c>
      <c r="W1546" s="10" t="str">
        <f t="shared" si="156"/>
        <v>Short Paid</v>
      </c>
      <c r="X1546" t="s">
        <v>474</v>
      </c>
      <c r="Y1546" t="s">
        <v>40</v>
      </c>
      <c r="Z1546">
        <v>100189</v>
      </c>
      <c r="AA1546" t="s">
        <v>3150</v>
      </c>
      <c r="AB1546" t="s">
        <v>522</v>
      </c>
      <c r="AC1546" s="9">
        <v>2</v>
      </c>
      <c r="AD1546" s="9" t="str">
        <f t="shared" si="157"/>
        <v>Ok</v>
      </c>
      <c r="AE1546" s="11">
        <f t="shared" si="159"/>
        <v>0</v>
      </c>
    </row>
    <row r="1547" spans="1:31" x14ac:dyDescent="0.3">
      <c r="A1547">
        <v>15</v>
      </c>
      <c r="B1547">
        <v>4873388</v>
      </c>
      <c r="C1547" t="s">
        <v>38</v>
      </c>
      <c r="D1547">
        <v>1852662</v>
      </c>
      <c r="E1547" t="s">
        <v>584</v>
      </c>
      <c r="F1547" t="s">
        <v>24</v>
      </c>
      <c r="G1547" t="s">
        <v>2876</v>
      </c>
      <c r="H1547" t="s">
        <v>2877</v>
      </c>
      <c r="I1547" t="s">
        <v>3325</v>
      </c>
      <c r="J1547">
        <v>51153420246</v>
      </c>
      <c r="K1547" t="s">
        <v>3229</v>
      </c>
      <c r="L1547" t="s">
        <v>4351</v>
      </c>
      <c r="M1547">
        <v>100</v>
      </c>
      <c r="N1547" s="10">
        <v>8.94</v>
      </c>
      <c r="O1547" s="10">
        <f t="shared" si="155"/>
        <v>894</v>
      </c>
      <c r="P1547" s="10" t="s">
        <v>5006</v>
      </c>
      <c r="Q1547" s="10" t="s">
        <v>5006</v>
      </c>
      <c r="R1547" s="10" t="str">
        <f>IF(COUNTIF($J$2:J1547,J1547)=1,SUMIFS($O:$O,$J:$J,J1547)+SUMIFS($P:$P,$J:$J,J1547)+SUMIFS($Q:$Q,$J:$J,J1547),"")</f>
        <v/>
      </c>
      <c r="S1547" s="10" t="s">
        <v>5006</v>
      </c>
      <c r="T1547" s="11" t="str">
        <f t="shared" si="158"/>
        <v>Ok</v>
      </c>
      <c r="U1547" s="12">
        <v>46148</v>
      </c>
      <c r="V1547" s="10">
        <v>1072.1300000000001</v>
      </c>
      <c r="W1547" s="10" t="str">
        <f t="shared" si="156"/>
        <v>N/A</v>
      </c>
      <c r="X1547" t="s">
        <v>474</v>
      </c>
      <c r="Y1547" t="s">
        <v>40</v>
      </c>
      <c r="Z1547">
        <v>100189</v>
      </c>
      <c r="AA1547" t="s">
        <v>3150</v>
      </c>
      <c r="AB1547" t="s">
        <v>522</v>
      </c>
      <c r="AC1547" s="9">
        <v>2</v>
      </c>
      <c r="AD1547" s="9" t="str">
        <f t="shared" si="157"/>
        <v>N/A</v>
      </c>
      <c r="AE1547" s="11" t="e">
        <f t="shared" si="159"/>
        <v>#VALUE!</v>
      </c>
    </row>
    <row r="1548" spans="1:31" x14ac:dyDescent="0.3">
      <c r="A1548">
        <v>25</v>
      </c>
      <c r="B1548">
        <v>4813000</v>
      </c>
      <c r="C1548" t="s">
        <v>239</v>
      </c>
      <c r="D1548">
        <v>1079286</v>
      </c>
      <c r="E1548" t="s">
        <v>629</v>
      </c>
      <c r="F1548" t="s">
        <v>20</v>
      </c>
      <c r="G1548" t="s">
        <v>1407</v>
      </c>
      <c r="H1548" t="s">
        <v>1408</v>
      </c>
      <c r="I1548" t="s">
        <v>3217</v>
      </c>
      <c r="J1548">
        <v>51153431953</v>
      </c>
      <c r="K1548" t="s">
        <v>3375</v>
      </c>
      <c r="L1548" t="s">
        <v>3380</v>
      </c>
      <c r="M1548">
        <v>7500</v>
      </c>
      <c r="N1548" s="10">
        <v>0.27429999999999999</v>
      </c>
      <c r="O1548" s="10">
        <f t="shared" si="155"/>
        <v>2057.25</v>
      </c>
      <c r="P1548" s="10">
        <v>0</v>
      </c>
      <c r="Q1548" s="10">
        <v>0</v>
      </c>
      <c r="R1548" s="10">
        <f>IF(COUNTIF($J$2:J1548,J1548)=1,SUMIFS($O:$O,$J:$J,J1548)+SUMIFS($P:$P,$J:$J,J1548)+SUMIFS($Q:$Q,$J:$J,J1548),"")</f>
        <v>3468</v>
      </c>
      <c r="S1548" s="10">
        <v>3468</v>
      </c>
      <c r="T1548" s="11" t="str">
        <f t="shared" si="158"/>
        <v>Ok</v>
      </c>
      <c r="U1548" s="12">
        <v>45967</v>
      </c>
      <c r="V1548" s="10">
        <v>1410.75</v>
      </c>
      <c r="W1548" s="10" t="str">
        <f t="shared" si="156"/>
        <v>Short Paid</v>
      </c>
      <c r="X1548" t="s">
        <v>476</v>
      </c>
      <c r="Y1548" t="s">
        <v>28</v>
      </c>
      <c r="Z1548">
        <v>100235</v>
      </c>
      <c r="AA1548" t="s">
        <v>509</v>
      </c>
      <c r="AB1548" t="s">
        <v>521</v>
      </c>
      <c r="AC1548" s="9">
        <v>2</v>
      </c>
      <c r="AD1548" s="9" t="str">
        <f t="shared" si="157"/>
        <v>Ok</v>
      </c>
      <c r="AE1548" s="11">
        <f t="shared" si="159"/>
        <v>0</v>
      </c>
    </row>
    <row r="1549" spans="1:31" x14ac:dyDescent="0.3">
      <c r="A1549">
        <v>25</v>
      </c>
      <c r="B1549">
        <v>4813000</v>
      </c>
      <c r="C1549" t="s">
        <v>239</v>
      </c>
      <c r="D1549">
        <v>1079286</v>
      </c>
      <c r="E1549" t="s">
        <v>629</v>
      </c>
      <c r="F1549" t="s">
        <v>20</v>
      </c>
      <c r="G1549" t="s">
        <v>1407</v>
      </c>
      <c r="H1549" t="s">
        <v>1408</v>
      </c>
      <c r="I1549" t="s">
        <v>3247</v>
      </c>
      <c r="J1549">
        <v>51153431953</v>
      </c>
      <c r="K1549" t="s">
        <v>3556</v>
      </c>
      <c r="L1549" t="s">
        <v>3555</v>
      </c>
      <c r="M1549">
        <v>4950</v>
      </c>
      <c r="N1549" s="10">
        <v>0.28499999999999998</v>
      </c>
      <c r="O1549" s="10">
        <f t="shared" si="155"/>
        <v>1410.7499999999998</v>
      </c>
      <c r="P1549" s="10" t="s">
        <v>5006</v>
      </c>
      <c r="Q1549" s="10" t="s">
        <v>5006</v>
      </c>
      <c r="R1549" s="10" t="str">
        <f>IF(COUNTIF($J$2:J1549,J1549)=1,SUMIFS($O:$O,$J:$J,J1549)+SUMIFS($P:$P,$J:$J,J1549)+SUMIFS($Q:$Q,$J:$J,J1549),"")</f>
        <v/>
      </c>
      <c r="S1549" s="10" t="s">
        <v>5006</v>
      </c>
      <c r="T1549" s="11" t="str">
        <f t="shared" si="158"/>
        <v>Ok</v>
      </c>
      <c r="U1549" s="12">
        <v>45967</v>
      </c>
      <c r="V1549" s="10">
        <v>1410.75</v>
      </c>
      <c r="W1549" s="10" t="str">
        <f t="shared" si="156"/>
        <v>N/A</v>
      </c>
      <c r="X1549" t="s">
        <v>476</v>
      </c>
      <c r="Y1549" t="s">
        <v>28</v>
      </c>
      <c r="Z1549">
        <v>100235</v>
      </c>
      <c r="AA1549" t="s">
        <v>509</v>
      </c>
      <c r="AB1549" t="s">
        <v>521</v>
      </c>
      <c r="AC1549" s="9">
        <v>2</v>
      </c>
      <c r="AD1549" s="9" t="str">
        <f t="shared" si="157"/>
        <v>N/A</v>
      </c>
      <c r="AE1549" s="11" t="e">
        <f t="shared" si="159"/>
        <v>#VALUE!</v>
      </c>
    </row>
    <row r="1550" spans="1:31" x14ac:dyDescent="0.3">
      <c r="A1550">
        <v>15</v>
      </c>
      <c r="B1550">
        <v>4872275</v>
      </c>
      <c r="C1550" t="s">
        <v>38</v>
      </c>
      <c r="D1550">
        <v>1852662</v>
      </c>
      <c r="E1550" t="s">
        <v>584</v>
      </c>
      <c r="F1550" t="s">
        <v>24</v>
      </c>
      <c r="G1550" t="s">
        <v>1624</v>
      </c>
      <c r="H1550" t="s">
        <v>1625</v>
      </c>
      <c r="I1550" t="s">
        <v>3359</v>
      </c>
      <c r="J1550">
        <v>51153516760</v>
      </c>
      <c r="K1550" t="s">
        <v>3229</v>
      </c>
      <c r="L1550" t="s">
        <v>4352</v>
      </c>
      <c r="M1550">
        <v>1</v>
      </c>
      <c r="N1550" s="10">
        <v>1875</v>
      </c>
      <c r="O1550" s="10">
        <f t="shared" si="155"/>
        <v>1875</v>
      </c>
      <c r="P1550" s="10">
        <v>0</v>
      </c>
      <c r="Q1550" s="10">
        <v>178.13</v>
      </c>
      <c r="R1550" s="10">
        <f>IF(COUNTIF($J$2:J1550,J1550)=1,SUMIFS($O:$O,$J:$J,J1550)+SUMIFS($P:$P,$J:$J,J1550)+SUMIFS($Q:$Q,$J:$J,J1550),"")</f>
        <v>24372.370000000003</v>
      </c>
      <c r="S1550" s="10">
        <v>45817.61</v>
      </c>
      <c r="T1550" s="11" t="str">
        <f t="shared" si="158"/>
        <v>Check</v>
      </c>
      <c r="U1550" s="12">
        <v>46158</v>
      </c>
      <c r="V1550" s="10">
        <v>1052.1300000000001</v>
      </c>
      <c r="W1550" s="10" t="str">
        <f t="shared" si="156"/>
        <v>Short Paid</v>
      </c>
      <c r="X1550" t="s">
        <v>474</v>
      </c>
      <c r="Y1550" t="s">
        <v>40</v>
      </c>
      <c r="Z1550">
        <v>100229</v>
      </c>
      <c r="AA1550" t="s">
        <v>515</v>
      </c>
      <c r="AB1550" t="s">
        <v>522</v>
      </c>
      <c r="AC1550" s="9">
        <v>3</v>
      </c>
      <c r="AD1550" s="9" t="str">
        <f t="shared" si="157"/>
        <v>Check</v>
      </c>
      <c r="AE1550" s="11">
        <f t="shared" si="159"/>
        <v>-21445.239999999998</v>
      </c>
    </row>
    <row r="1551" spans="1:31" x14ac:dyDescent="0.3">
      <c r="A1551">
        <v>15</v>
      </c>
      <c r="B1551">
        <v>4872275</v>
      </c>
      <c r="C1551" t="s">
        <v>38</v>
      </c>
      <c r="D1551">
        <v>1852662</v>
      </c>
      <c r="E1551" t="s">
        <v>584</v>
      </c>
      <c r="F1551" t="s">
        <v>24</v>
      </c>
      <c r="G1551" t="s">
        <v>1624</v>
      </c>
      <c r="H1551" t="s">
        <v>1625</v>
      </c>
      <c r="I1551" t="s">
        <v>3359</v>
      </c>
      <c r="J1551">
        <v>51153516760</v>
      </c>
      <c r="K1551" t="s">
        <v>3229</v>
      </c>
      <c r="L1551" t="s">
        <v>4353</v>
      </c>
      <c r="M1551">
        <v>100</v>
      </c>
      <c r="N1551" s="10">
        <v>8.74</v>
      </c>
      <c r="O1551" s="10">
        <f t="shared" si="155"/>
        <v>874</v>
      </c>
      <c r="P1551" s="10" t="s">
        <v>5006</v>
      </c>
      <c r="Q1551" s="10" t="s">
        <v>5006</v>
      </c>
      <c r="R1551" s="10" t="str">
        <f>IF(COUNTIF($J$2:J1551,J1551)=1,SUMIFS($O:$O,$J:$J,J1551)+SUMIFS($P:$P,$J:$J,J1551)+SUMIFS($Q:$Q,$J:$J,J1551),"")</f>
        <v/>
      </c>
      <c r="S1551" s="10" t="s">
        <v>5006</v>
      </c>
      <c r="T1551" s="11" t="str">
        <f t="shared" si="158"/>
        <v>Check</v>
      </c>
      <c r="U1551" s="12">
        <v>46158</v>
      </c>
      <c r="V1551" s="10">
        <v>1052.1300000000001</v>
      </c>
      <c r="W1551" s="10" t="str">
        <f t="shared" si="156"/>
        <v>N/A</v>
      </c>
      <c r="X1551" t="s">
        <v>474</v>
      </c>
      <c r="Y1551" t="s">
        <v>40</v>
      </c>
      <c r="Z1551">
        <v>100229</v>
      </c>
      <c r="AA1551" t="s">
        <v>515</v>
      </c>
      <c r="AB1551" t="s">
        <v>522</v>
      </c>
      <c r="AC1551" s="9">
        <v>3</v>
      </c>
      <c r="AD1551" s="9" t="str">
        <f t="shared" si="157"/>
        <v>N/A</v>
      </c>
      <c r="AE1551" s="11" t="e">
        <f t="shared" si="159"/>
        <v>#VALUE!</v>
      </c>
    </row>
    <row r="1552" spans="1:31" x14ac:dyDescent="0.3">
      <c r="A1552">
        <v>15</v>
      </c>
      <c r="B1552">
        <v>4872275</v>
      </c>
      <c r="C1552" t="s">
        <v>38</v>
      </c>
      <c r="D1552">
        <v>1852662</v>
      </c>
      <c r="E1552" t="s">
        <v>584</v>
      </c>
      <c r="F1552" t="s">
        <v>24</v>
      </c>
      <c r="G1552" t="s">
        <v>1624</v>
      </c>
      <c r="H1552" t="s">
        <v>1625</v>
      </c>
      <c r="I1552" t="s">
        <v>3166</v>
      </c>
      <c r="J1552">
        <v>51153516760</v>
      </c>
      <c r="K1552" t="s">
        <v>3168</v>
      </c>
      <c r="L1552" t="s">
        <v>3214</v>
      </c>
      <c r="M1552">
        <v>4</v>
      </c>
      <c r="N1552" s="10">
        <v>5361.31</v>
      </c>
      <c r="O1552" s="10">
        <f t="shared" si="155"/>
        <v>21445.24</v>
      </c>
      <c r="P1552" s="10" t="s">
        <v>5006</v>
      </c>
      <c r="Q1552" s="10" t="s">
        <v>5006</v>
      </c>
      <c r="R1552" s="10" t="str">
        <f>IF(COUNTIF($J$2:J1552,J1552)=1,SUMIFS($O:$O,$J:$J,J1552)+SUMIFS($P:$P,$J:$J,J1552)+SUMIFS($Q:$Q,$J:$J,J1552),"")</f>
        <v/>
      </c>
      <c r="S1552" s="10" t="s">
        <v>5006</v>
      </c>
      <c r="T1552" s="11" t="str">
        <f t="shared" si="158"/>
        <v>Check</v>
      </c>
      <c r="U1552" s="12">
        <v>46158</v>
      </c>
      <c r="V1552" s="10">
        <v>1052.1300000000001</v>
      </c>
      <c r="W1552" s="10" t="str">
        <f t="shared" si="156"/>
        <v>N/A</v>
      </c>
      <c r="X1552" t="s">
        <v>474</v>
      </c>
      <c r="Y1552" t="s">
        <v>40</v>
      </c>
      <c r="Z1552">
        <v>100229</v>
      </c>
      <c r="AA1552" t="s">
        <v>515</v>
      </c>
      <c r="AB1552" t="s">
        <v>522</v>
      </c>
      <c r="AC1552" s="9">
        <v>3</v>
      </c>
      <c r="AD1552" s="9" t="str">
        <f t="shared" si="157"/>
        <v>N/A</v>
      </c>
      <c r="AE1552" s="11" t="e">
        <f t="shared" si="159"/>
        <v>#VALUE!</v>
      </c>
    </row>
    <row r="1553" spans="1:31" x14ac:dyDescent="0.3">
      <c r="A1553">
        <v>15</v>
      </c>
      <c r="B1553">
        <v>4871718</v>
      </c>
      <c r="C1553" t="s">
        <v>38</v>
      </c>
      <c r="D1553">
        <v>1852662</v>
      </c>
      <c r="E1553" t="s">
        <v>584</v>
      </c>
      <c r="F1553" t="s">
        <v>24</v>
      </c>
      <c r="G1553" t="s">
        <v>1620</v>
      </c>
      <c r="H1553" t="s">
        <v>1621</v>
      </c>
      <c r="I1553" t="s">
        <v>3387</v>
      </c>
      <c r="J1553">
        <v>51153516762</v>
      </c>
      <c r="K1553" t="s">
        <v>3229</v>
      </c>
      <c r="L1553" t="s">
        <v>4354</v>
      </c>
      <c r="M1553">
        <v>1</v>
      </c>
      <c r="N1553" s="10">
        <v>1875</v>
      </c>
      <c r="O1553" s="10">
        <f t="shared" si="155"/>
        <v>1875</v>
      </c>
      <c r="P1553" s="10">
        <v>34.159999999999997</v>
      </c>
      <c r="Q1553" s="10">
        <v>178.13</v>
      </c>
      <c r="R1553" s="10">
        <f>IF(COUNTIF($J$2:J1553,J1553)=1,SUMIFS($O:$O,$J:$J,J1553)+SUMIFS($P:$P,$J:$J,J1553)+SUMIFS($Q:$Q,$J:$J,J1553),"")</f>
        <v>3395.29</v>
      </c>
      <c r="S1553" s="10">
        <v>3395.29</v>
      </c>
      <c r="T1553" s="11" t="str">
        <f t="shared" si="158"/>
        <v>Ok</v>
      </c>
      <c r="U1553" s="12">
        <v>46150</v>
      </c>
      <c r="V1553" s="10">
        <v>1072.1300000000001</v>
      </c>
      <c r="W1553" s="10" t="str">
        <f t="shared" si="156"/>
        <v>Short Paid</v>
      </c>
      <c r="X1553" t="s">
        <v>474</v>
      </c>
      <c r="Y1553" t="s">
        <v>40</v>
      </c>
      <c r="Z1553">
        <v>100149</v>
      </c>
      <c r="AA1553" t="s">
        <v>3115</v>
      </c>
      <c r="AB1553" t="s">
        <v>522</v>
      </c>
      <c r="AC1553" s="9">
        <v>3</v>
      </c>
      <c r="AD1553" s="9" t="str">
        <f t="shared" si="157"/>
        <v>Ok</v>
      </c>
      <c r="AE1553" s="11">
        <f t="shared" si="159"/>
        <v>0</v>
      </c>
    </row>
    <row r="1554" spans="1:31" x14ac:dyDescent="0.3">
      <c r="A1554">
        <v>15</v>
      </c>
      <c r="B1554">
        <v>4871718</v>
      </c>
      <c r="C1554" t="s">
        <v>38</v>
      </c>
      <c r="D1554">
        <v>1852662</v>
      </c>
      <c r="E1554" t="s">
        <v>584</v>
      </c>
      <c r="F1554" t="s">
        <v>24</v>
      </c>
      <c r="G1554" t="s">
        <v>1620</v>
      </c>
      <c r="H1554" t="s">
        <v>1621</v>
      </c>
      <c r="I1554" t="s">
        <v>3387</v>
      </c>
      <c r="J1554">
        <v>51153516762</v>
      </c>
      <c r="K1554" t="s">
        <v>3229</v>
      </c>
      <c r="L1554" t="s">
        <v>4355</v>
      </c>
      <c r="M1554">
        <v>100</v>
      </c>
      <c r="N1554" s="10">
        <v>8.94</v>
      </c>
      <c r="O1554" s="10">
        <f t="shared" si="155"/>
        <v>894</v>
      </c>
      <c r="P1554" s="10" t="s">
        <v>5006</v>
      </c>
      <c r="Q1554" s="10" t="s">
        <v>5006</v>
      </c>
      <c r="R1554" s="10" t="str">
        <f>IF(COUNTIF($J$2:J1554,J1554)=1,SUMIFS($O:$O,$J:$J,J1554)+SUMIFS($P:$P,$J:$J,J1554)+SUMIFS($Q:$Q,$J:$J,J1554),"")</f>
        <v/>
      </c>
      <c r="S1554" s="10" t="s">
        <v>5006</v>
      </c>
      <c r="T1554" s="11" t="str">
        <f t="shared" si="158"/>
        <v>Ok</v>
      </c>
      <c r="U1554" s="12">
        <v>46150</v>
      </c>
      <c r="V1554" s="10">
        <v>1072.1300000000001</v>
      </c>
      <c r="W1554" s="10" t="str">
        <f t="shared" si="156"/>
        <v>N/A</v>
      </c>
      <c r="X1554" t="s">
        <v>474</v>
      </c>
      <c r="Y1554" t="s">
        <v>40</v>
      </c>
      <c r="Z1554">
        <v>100149</v>
      </c>
      <c r="AA1554" t="s">
        <v>3115</v>
      </c>
      <c r="AB1554" t="s">
        <v>522</v>
      </c>
      <c r="AC1554" s="9">
        <v>3</v>
      </c>
      <c r="AD1554" s="9" t="str">
        <f t="shared" si="157"/>
        <v>N/A</v>
      </c>
      <c r="AE1554" s="11" t="e">
        <f t="shared" si="159"/>
        <v>#VALUE!</v>
      </c>
    </row>
    <row r="1555" spans="1:31" x14ac:dyDescent="0.3">
      <c r="A1555">
        <v>15</v>
      </c>
      <c r="B1555">
        <v>4871718</v>
      </c>
      <c r="C1555" t="s">
        <v>38</v>
      </c>
      <c r="D1555">
        <v>1852662</v>
      </c>
      <c r="E1555" t="s">
        <v>584</v>
      </c>
      <c r="F1555" t="s">
        <v>24</v>
      </c>
      <c r="G1555" t="s">
        <v>1620</v>
      </c>
      <c r="H1555" t="s">
        <v>1621</v>
      </c>
      <c r="I1555" t="s">
        <v>3387</v>
      </c>
      <c r="J1555">
        <v>51153516762</v>
      </c>
      <c r="K1555" t="s">
        <v>3209</v>
      </c>
      <c r="L1555" t="s">
        <v>3547</v>
      </c>
      <c r="M1555">
        <v>20000</v>
      </c>
      <c r="N1555" s="10">
        <v>2.07E-2</v>
      </c>
      <c r="O1555" s="10">
        <f t="shared" si="155"/>
        <v>414</v>
      </c>
      <c r="P1555" s="10" t="s">
        <v>5006</v>
      </c>
      <c r="Q1555" s="10" t="s">
        <v>5006</v>
      </c>
      <c r="R1555" s="10" t="str">
        <f>IF(COUNTIF($J$2:J1555,J1555)=1,SUMIFS($O:$O,$J:$J,J1555)+SUMIFS($P:$P,$J:$J,J1555)+SUMIFS($Q:$Q,$J:$J,J1555),"")</f>
        <v/>
      </c>
      <c r="S1555" s="10" t="s">
        <v>5006</v>
      </c>
      <c r="T1555" s="11" t="str">
        <f t="shared" si="158"/>
        <v>Ok</v>
      </c>
      <c r="U1555" s="12">
        <v>46150</v>
      </c>
      <c r="V1555" s="10">
        <v>1072.1300000000001</v>
      </c>
      <c r="W1555" s="10" t="str">
        <f t="shared" si="156"/>
        <v>N/A</v>
      </c>
      <c r="X1555" t="s">
        <v>474</v>
      </c>
      <c r="Y1555" t="s">
        <v>40</v>
      </c>
      <c r="Z1555">
        <v>100149</v>
      </c>
      <c r="AA1555" t="s">
        <v>3115</v>
      </c>
      <c r="AB1555" t="s">
        <v>522</v>
      </c>
      <c r="AC1555" s="9">
        <v>3</v>
      </c>
      <c r="AD1555" s="9" t="str">
        <f t="shared" si="157"/>
        <v>N/A</v>
      </c>
      <c r="AE1555" s="11" t="e">
        <f t="shared" si="159"/>
        <v>#VALUE!</v>
      </c>
    </row>
    <row r="1556" spans="1:31" x14ac:dyDescent="0.3">
      <c r="A1556">
        <v>9</v>
      </c>
      <c r="B1556">
        <v>4908730</v>
      </c>
      <c r="C1556" t="s">
        <v>160</v>
      </c>
      <c r="D1556">
        <v>1259030</v>
      </c>
      <c r="E1556" t="s">
        <v>587</v>
      </c>
      <c r="F1556" t="s">
        <v>19</v>
      </c>
      <c r="G1556" t="s">
        <v>2902</v>
      </c>
      <c r="H1556" t="s">
        <v>2903</v>
      </c>
      <c r="I1556" t="s">
        <v>3206</v>
      </c>
      <c r="J1556">
        <v>51153579299</v>
      </c>
      <c r="K1556" t="s">
        <v>3506</v>
      </c>
      <c r="L1556" t="s">
        <v>4356</v>
      </c>
      <c r="M1556">
        <v>150</v>
      </c>
      <c r="N1556" s="10">
        <v>3.73</v>
      </c>
      <c r="O1556" s="10">
        <f t="shared" si="155"/>
        <v>559.5</v>
      </c>
      <c r="P1556" s="10">
        <v>69.89</v>
      </c>
      <c r="Q1556" s="10">
        <v>467.74999999999994</v>
      </c>
      <c r="R1556" s="10">
        <f>IF(COUNTIF($J$2:J1556,J1556)=1,SUMIFS($O:$O,$J:$J,J1556)+SUMIFS($P:$P,$J:$J,J1556)+SUMIFS($Q:$Q,$J:$J,J1556),"")</f>
        <v>5071.54</v>
      </c>
      <c r="S1556" s="10">
        <v>5205.9399999999996</v>
      </c>
      <c r="T1556" s="11" t="str">
        <f t="shared" si="158"/>
        <v>Check</v>
      </c>
      <c r="U1556" s="12">
        <v>46128</v>
      </c>
      <c r="V1556" s="10">
        <v>4598.45</v>
      </c>
      <c r="W1556" s="10" t="str">
        <f t="shared" si="156"/>
        <v>Short Paid</v>
      </c>
      <c r="X1556" t="s">
        <v>453</v>
      </c>
      <c r="Y1556" t="s">
        <v>28</v>
      </c>
      <c r="Z1556">
        <v>100114</v>
      </c>
      <c r="AA1556" t="s">
        <v>498</v>
      </c>
      <c r="AB1556" t="s">
        <v>524</v>
      </c>
      <c r="AC1556" s="9">
        <v>5</v>
      </c>
      <c r="AD1556" s="9" t="str">
        <f t="shared" si="157"/>
        <v>Check</v>
      </c>
      <c r="AE1556" s="11">
        <f t="shared" si="159"/>
        <v>-134.39999999999964</v>
      </c>
    </row>
    <row r="1557" spans="1:31" x14ac:dyDescent="0.3">
      <c r="A1557">
        <v>9</v>
      </c>
      <c r="B1557">
        <v>4908730</v>
      </c>
      <c r="C1557" t="s">
        <v>160</v>
      </c>
      <c r="D1557">
        <v>1259030</v>
      </c>
      <c r="E1557" t="s">
        <v>587</v>
      </c>
      <c r="F1557" t="s">
        <v>19</v>
      </c>
      <c r="G1557" t="s">
        <v>2902</v>
      </c>
      <c r="H1557" t="s">
        <v>2903</v>
      </c>
      <c r="I1557" t="s">
        <v>3206</v>
      </c>
      <c r="J1557">
        <v>51153579299</v>
      </c>
      <c r="K1557" t="s">
        <v>3324</v>
      </c>
      <c r="L1557" t="s">
        <v>4357</v>
      </c>
      <c r="M1557">
        <v>1000</v>
      </c>
      <c r="N1557" s="10">
        <v>1.1499999999999999</v>
      </c>
      <c r="O1557" s="10">
        <f t="shared" si="155"/>
        <v>1150</v>
      </c>
      <c r="P1557" s="10" t="s">
        <v>5006</v>
      </c>
      <c r="Q1557" s="10" t="s">
        <v>5006</v>
      </c>
      <c r="R1557" s="10" t="str">
        <f>IF(COUNTIF($J$2:J1557,J1557)=1,SUMIFS($O:$O,$J:$J,J1557)+SUMIFS($P:$P,$J:$J,J1557)+SUMIFS($Q:$Q,$J:$J,J1557),"")</f>
        <v/>
      </c>
      <c r="S1557" s="10" t="s">
        <v>5006</v>
      </c>
      <c r="T1557" s="11" t="str">
        <f t="shared" si="158"/>
        <v>Check</v>
      </c>
      <c r="U1557" s="12">
        <v>46128</v>
      </c>
      <c r="V1557" s="10">
        <v>4598.45</v>
      </c>
      <c r="W1557" s="10" t="str">
        <f t="shared" si="156"/>
        <v>N/A</v>
      </c>
      <c r="X1557" t="s">
        <v>453</v>
      </c>
      <c r="Y1557" t="s">
        <v>28</v>
      </c>
      <c r="Z1557">
        <v>100114</v>
      </c>
      <c r="AA1557" t="s">
        <v>498</v>
      </c>
      <c r="AB1557" t="s">
        <v>524</v>
      </c>
      <c r="AC1557" s="9">
        <v>5</v>
      </c>
      <c r="AD1557" s="9" t="str">
        <f t="shared" si="157"/>
        <v>N/A</v>
      </c>
      <c r="AE1557" s="11" t="e">
        <f t="shared" si="159"/>
        <v>#VALUE!</v>
      </c>
    </row>
    <row r="1558" spans="1:31" x14ac:dyDescent="0.3">
      <c r="A1558">
        <v>9</v>
      </c>
      <c r="B1558">
        <v>4908730</v>
      </c>
      <c r="C1558" t="s">
        <v>160</v>
      </c>
      <c r="D1558">
        <v>1259030</v>
      </c>
      <c r="E1558" t="s">
        <v>587</v>
      </c>
      <c r="F1558" t="s">
        <v>19</v>
      </c>
      <c r="G1558" t="s">
        <v>2902</v>
      </c>
      <c r="H1558" t="s">
        <v>2903</v>
      </c>
      <c r="I1558" t="s">
        <v>3206</v>
      </c>
      <c r="J1558">
        <v>51153579299</v>
      </c>
      <c r="K1558" t="s">
        <v>3266</v>
      </c>
      <c r="L1558" t="s">
        <v>4358</v>
      </c>
      <c r="M1558">
        <v>1960</v>
      </c>
      <c r="N1558" s="10">
        <v>0.17</v>
      </c>
      <c r="O1558" s="10">
        <f t="shared" si="155"/>
        <v>333.20000000000005</v>
      </c>
      <c r="P1558" s="10" t="s">
        <v>5006</v>
      </c>
      <c r="Q1558" s="10" t="s">
        <v>5006</v>
      </c>
      <c r="R1558" s="10" t="str">
        <f>IF(COUNTIF($J$2:J1558,J1558)=1,SUMIFS($O:$O,$J:$J,J1558)+SUMIFS($P:$P,$J:$J,J1558)+SUMIFS($Q:$Q,$J:$J,J1558),"")</f>
        <v/>
      </c>
      <c r="S1558" s="10" t="s">
        <v>5006</v>
      </c>
      <c r="T1558" s="11" t="str">
        <f t="shared" si="158"/>
        <v>Check</v>
      </c>
      <c r="U1558" s="12">
        <v>46128</v>
      </c>
      <c r="V1558" s="10">
        <v>4598.45</v>
      </c>
      <c r="W1558" s="10" t="str">
        <f t="shared" si="156"/>
        <v>N/A</v>
      </c>
      <c r="X1558" t="s">
        <v>453</v>
      </c>
      <c r="Y1558" t="s">
        <v>28</v>
      </c>
      <c r="Z1558">
        <v>100114</v>
      </c>
      <c r="AA1558" t="s">
        <v>498</v>
      </c>
      <c r="AB1558" t="s">
        <v>524</v>
      </c>
      <c r="AC1558" s="9">
        <v>5</v>
      </c>
      <c r="AD1558" s="9" t="str">
        <f t="shared" si="157"/>
        <v>N/A</v>
      </c>
      <c r="AE1558" s="11" t="e">
        <f t="shared" si="159"/>
        <v>#VALUE!</v>
      </c>
    </row>
    <row r="1559" spans="1:31" x14ac:dyDescent="0.3">
      <c r="A1559">
        <v>9</v>
      </c>
      <c r="B1559">
        <v>4908730</v>
      </c>
      <c r="C1559" t="s">
        <v>160</v>
      </c>
      <c r="D1559">
        <v>1259030</v>
      </c>
      <c r="E1559" t="s">
        <v>587</v>
      </c>
      <c r="F1559" t="s">
        <v>19</v>
      </c>
      <c r="G1559" t="s">
        <v>2902</v>
      </c>
      <c r="H1559" t="s">
        <v>2903</v>
      </c>
      <c r="I1559" t="s">
        <v>3206</v>
      </c>
      <c r="J1559">
        <v>51153579299</v>
      </c>
      <c r="K1559" t="s">
        <v>3203</v>
      </c>
      <c r="L1559" t="s">
        <v>4359</v>
      </c>
      <c r="M1559">
        <v>30000</v>
      </c>
      <c r="N1559" s="10">
        <v>6.9599999999999995E-2</v>
      </c>
      <c r="O1559" s="10">
        <f t="shared" si="155"/>
        <v>2088</v>
      </c>
      <c r="P1559" s="10" t="s">
        <v>5006</v>
      </c>
      <c r="Q1559" s="10" t="s">
        <v>5006</v>
      </c>
      <c r="R1559" s="10" t="str">
        <f>IF(COUNTIF($J$2:J1559,J1559)=1,SUMIFS($O:$O,$J:$J,J1559)+SUMIFS($P:$P,$J:$J,J1559)+SUMIFS($Q:$Q,$J:$J,J1559),"")</f>
        <v/>
      </c>
      <c r="S1559" s="10" t="s">
        <v>5006</v>
      </c>
      <c r="T1559" s="11" t="str">
        <f t="shared" si="158"/>
        <v>Check</v>
      </c>
      <c r="U1559" s="12">
        <v>46128</v>
      </c>
      <c r="V1559" s="10">
        <v>4598.45</v>
      </c>
      <c r="W1559" s="10" t="str">
        <f t="shared" si="156"/>
        <v>N/A</v>
      </c>
      <c r="X1559" t="s">
        <v>453</v>
      </c>
      <c r="Y1559" t="s">
        <v>28</v>
      </c>
      <c r="Z1559">
        <v>100114</v>
      </c>
      <c r="AA1559" t="s">
        <v>498</v>
      </c>
      <c r="AB1559" t="s">
        <v>524</v>
      </c>
      <c r="AC1559" s="9">
        <v>5</v>
      </c>
      <c r="AD1559" s="9" t="str">
        <f t="shared" si="157"/>
        <v>N/A</v>
      </c>
      <c r="AE1559" s="11" t="e">
        <f t="shared" si="159"/>
        <v>#VALUE!</v>
      </c>
    </row>
    <row r="1560" spans="1:31" x14ac:dyDescent="0.3">
      <c r="A1560">
        <v>9</v>
      </c>
      <c r="B1560">
        <v>4908730</v>
      </c>
      <c r="C1560" t="s">
        <v>160</v>
      </c>
      <c r="D1560">
        <v>1259030</v>
      </c>
      <c r="E1560" t="s">
        <v>587</v>
      </c>
      <c r="F1560" t="s">
        <v>19</v>
      </c>
      <c r="G1560" t="s">
        <v>2902</v>
      </c>
      <c r="H1560" t="s">
        <v>2903</v>
      </c>
      <c r="I1560" t="s">
        <v>3185</v>
      </c>
      <c r="J1560">
        <v>51153579299</v>
      </c>
      <c r="K1560" t="s">
        <v>3252</v>
      </c>
      <c r="L1560" t="s">
        <v>3613</v>
      </c>
      <c r="M1560">
        <v>90000</v>
      </c>
      <c r="N1560" s="10">
        <v>4.4799999999999996E-3</v>
      </c>
      <c r="O1560" s="10">
        <f t="shared" si="155"/>
        <v>403.2</v>
      </c>
      <c r="P1560" s="10" t="s">
        <v>5006</v>
      </c>
      <c r="Q1560" s="10" t="s">
        <v>5006</v>
      </c>
      <c r="R1560" s="10" t="str">
        <f>IF(COUNTIF($J$2:J1560,J1560)=1,SUMIFS($O:$O,$J:$J,J1560)+SUMIFS($P:$P,$J:$J,J1560)+SUMIFS($Q:$Q,$J:$J,J1560),"")</f>
        <v/>
      </c>
      <c r="S1560" s="10" t="s">
        <v>5006</v>
      </c>
      <c r="T1560" s="11" t="str">
        <f t="shared" si="158"/>
        <v>Check</v>
      </c>
      <c r="U1560" s="12">
        <v>46128</v>
      </c>
      <c r="V1560" s="10">
        <v>4598.45</v>
      </c>
      <c r="W1560" s="10" t="str">
        <f t="shared" si="156"/>
        <v>N/A</v>
      </c>
      <c r="X1560" t="s">
        <v>453</v>
      </c>
      <c r="Y1560" t="s">
        <v>28</v>
      </c>
      <c r="Z1560">
        <v>100114</v>
      </c>
      <c r="AA1560" t="s">
        <v>498</v>
      </c>
      <c r="AB1560" t="s">
        <v>524</v>
      </c>
      <c r="AC1560" s="9">
        <v>5</v>
      </c>
      <c r="AD1560" s="9" t="str">
        <f t="shared" si="157"/>
        <v>N/A</v>
      </c>
      <c r="AE1560" s="11" t="e">
        <f t="shared" si="159"/>
        <v>#VALUE!</v>
      </c>
    </row>
    <row r="1561" spans="1:31" x14ac:dyDescent="0.3">
      <c r="A1561">
        <v>15</v>
      </c>
      <c r="B1561">
        <v>4871996</v>
      </c>
      <c r="C1561" t="s">
        <v>38</v>
      </c>
      <c r="D1561">
        <v>1852662</v>
      </c>
      <c r="E1561" t="s">
        <v>584</v>
      </c>
      <c r="F1561" t="s">
        <v>24</v>
      </c>
      <c r="G1561" t="s">
        <v>2878</v>
      </c>
      <c r="H1561" t="s">
        <v>2879</v>
      </c>
      <c r="I1561" t="s">
        <v>3296</v>
      </c>
      <c r="J1561">
        <v>51153648551</v>
      </c>
      <c r="K1561" t="s">
        <v>3229</v>
      </c>
      <c r="L1561" t="s">
        <v>4360</v>
      </c>
      <c r="M1561">
        <v>1</v>
      </c>
      <c r="N1561" s="10">
        <v>1875</v>
      </c>
      <c r="O1561" s="10">
        <f t="shared" si="155"/>
        <v>1875</v>
      </c>
      <c r="P1561" s="10">
        <v>0</v>
      </c>
      <c r="Q1561" s="10">
        <v>178.13</v>
      </c>
      <c r="R1561" s="10">
        <f>IF(COUNTIF($J$2:J1561,J1561)=1,SUMIFS($O:$O,$J:$J,J1561)+SUMIFS($P:$P,$J:$J,J1561)+SUMIFS($Q:$Q,$J:$J,J1561),"")</f>
        <v>2927.13</v>
      </c>
      <c r="S1561" s="10">
        <v>2927.13</v>
      </c>
      <c r="T1561" s="11" t="str">
        <f t="shared" si="158"/>
        <v>Ok</v>
      </c>
      <c r="U1561" s="12">
        <v>46150</v>
      </c>
      <c r="V1561" s="10">
        <v>1052.1300000000001</v>
      </c>
      <c r="W1561" s="10" t="str">
        <f t="shared" si="156"/>
        <v>Short Paid</v>
      </c>
      <c r="X1561" t="s">
        <v>474</v>
      </c>
      <c r="Y1561" t="s">
        <v>40</v>
      </c>
      <c r="Z1561">
        <v>100189</v>
      </c>
      <c r="AA1561" t="s">
        <v>3150</v>
      </c>
      <c r="AB1561" t="s">
        <v>522</v>
      </c>
      <c r="AC1561" s="9">
        <v>2</v>
      </c>
      <c r="AD1561" s="9" t="str">
        <f t="shared" si="157"/>
        <v>Ok</v>
      </c>
      <c r="AE1561" s="11">
        <f t="shared" si="159"/>
        <v>0</v>
      </c>
    </row>
    <row r="1562" spans="1:31" x14ac:dyDescent="0.3">
      <c r="A1562">
        <v>15</v>
      </c>
      <c r="B1562">
        <v>4871996</v>
      </c>
      <c r="C1562" t="s">
        <v>38</v>
      </c>
      <c r="D1562">
        <v>1852662</v>
      </c>
      <c r="E1562" t="s">
        <v>584</v>
      </c>
      <c r="F1562" t="s">
        <v>24</v>
      </c>
      <c r="G1562" t="s">
        <v>2878</v>
      </c>
      <c r="H1562" t="s">
        <v>2879</v>
      </c>
      <c r="I1562" t="s">
        <v>3296</v>
      </c>
      <c r="J1562">
        <v>51153648551</v>
      </c>
      <c r="K1562" t="s">
        <v>3229</v>
      </c>
      <c r="L1562" t="s">
        <v>4361</v>
      </c>
      <c r="M1562">
        <v>100</v>
      </c>
      <c r="N1562" s="10">
        <v>8.74</v>
      </c>
      <c r="O1562" s="10">
        <f t="shared" si="155"/>
        <v>874</v>
      </c>
      <c r="P1562" s="10" t="s">
        <v>5006</v>
      </c>
      <c r="Q1562" s="10" t="s">
        <v>5006</v>
      </c>
      <c r="R1562" s="10" t="str">
        <f>IF(COUNTIF($J$2:J1562,J1562)=1,SUMIFS($O:$O,$J:$J,J1562)+SUMIFS($P:$P,$J:$J,J1562)+SUMIFS($Q:$Q,$J:$J,J1562),"")</f>
        <v/>
      </c>
      <c r="S1562" s="10" t="s">
        <v>5006</v>
      </c>
      <c r="T1562" s="11" t="str">
        <f t="shared" si="158"/>
        <v>Ok</v>
      </c>
      <c r="U1562" s="12">
        <v>46150</v>
      </c>
      <c r="V1562" s="10">
        <v>1052.1300000000001</v>
      </c>
      <c r="W1562" s="10" t="str">
        <f t="shared" si="156"/>
        <v>N/A</v>
      </c>
      <c r="X1562" t="s">
        <v>474</v>
      </c>
      <c r="Y1562" t="s">
        <v>40</v>
      </c>
      <c r="Z1562">
        <v>100189</v>
      </c>
      <c r="AA1562" t="s">
        <v>3150</v>
      </c>
      <c r="AB1562" t="s">
        <v>522</v>
      </c>
      <c r="AC1562" s="9">
        <v>2</v>
      </c>
      <c r="AD1562" s="9" t="str">
        <f t="shared" si="157"/>
        <v>N/A</v>
      </c>
      <c r="AE1562" s="11" t="e">
        <f t="shared" si="159"/>
        <v>#VALUE!</v>
      </c>
    </row>
    <row r="1563" spans="1:31" x14ac:dyDescent="0.3">
      <c r="A1563">
        <v>15</v>
      </c>
      <c r="B1563">
        <v>4872553</v>
      </c>
      <c r="C1563" t="s">
        <v>38</v>
      </c>
      <c r="D1563">
        <v>1852662</v>
      </c>
      <c r="E1563" t="s">
        <v>584</v>
      </c>
      <c r="F1563" t="s">
        <v>24</v>
      </c>
      <c r="G1563" t="s">
        <v>1626</v>
      </c>
      <c r="H1563" t="s">
        <v>1627</v>
      </c>
      <c r="I1563" t="s">
        <v>3175</v>
      </c>
      <c r="J1563">
        <v>51153654369</v>
      </c>
      <c r="K1563" t="s">
        <v>3168</v>
      </c>
      <c r="L1563" t="s">
        <v>4362</v>
      </c>
      <c r="M1563">
        <v>5</v>
      </c>
      <c r="N1563" s="10">
        <v>4207.54</v>
      </c>
      <c r="O1563" s="10">
        <f t="shared" si="155"/>
        <v>21037.7</v>
      </c>
      <c r="P1563" s="10">
        <v>0</v>
      </c>
      <c r="Q1563" s="10">
        <v>178.13</v>
      </c>
      <c r="R1563" s="10">
        <f>IF(COUNTIF($J$2:J1563,J1563)=1,SUMIFS($O:$O,$J:$J,J1563)+SUMIFS($P:$P,$J:$J,J1563)+SUMIFS($Q:$Q,$J:$J,J1563),"")</f>
        <v>23984.83</v>
      </c>
      <c r="S1563" s="10">
        <v>23984.83</v>
      </c>
      <c r="T1563" s="11" t="str">
        <f t="shared" si="158"/>
        <v>Ok</v>
      </c>
      <c r="U1563" s="12">
        <v>46157</v>
      </c>
      <c r="V1563" s="10">
        <v>1072.1300000000001</v>
      </c>
      <c r="W1563" s="10" t="str">
        <f t="shared" si="156"/>
        <v>Short Paid</v>
      </c>
      <c r="X1563" t="s">
        <v>474</v>
      </c>
      <c r="Y1563" t="s">
        <v>40</v>
      </c>
      <c r="Z1563">
        <v>100269</v>
      </c>
      <c r="AA1563" t="s">
        <v>3152</v>
      </c>
      <c r="AB1563" t="s">
        <v>522</v>
      </c>
      <c r="AC1563" s="9">
        <v>3</v>
      </c>
      <c r="AD1563" s="9" t="str">
        <f t="shared" si="157"/>
        <v>Ok</v>
      </c>
      <c r="AE1563" s="11">
        <f t="shared" si="159"/>
        <v>0</v>
      </c>
    </row>
    <row r="1564" spans="1:31" x14ac:dyDescent="0.3">
      <c r="A1564">
        <v>15</v>
      </c>
      <c r="B1564">
        <v>4872553</v>
      </c>
      <c r="C1564" t="s">
        <v>38</v>
      </c>
      <c r="D1564">
        <v>1852662</v>
      </c>
      <c r="E1564" t="s">
        <v>584</v>
      </c>
      <c r="F1564" t="s">
        <v>24</v>
      </c>
      <c r="G1564" t="s">
        <v>1626</v>
      </c>
      <c r="H1564" t="s">
        <v>1627</v>
      </c>
      <c r="I1564" t="s">
        <v>3250</v>
      </c>
      <c r="J1564">
        <v>51153654369</v>
      </c>
      <c r="K1564" t="s">
        <v>3229</v>
      </c>
      <c r="L1564" t="s">
        <v>4363</v>
      </c>
      <c r="M1564">
        <v>1</v>
      </c>
      <c r="N1564" s="10">
        <v>1875</v>
      </c>
      <c r="O1564" s="10">
        <f t="shared" si="155"/>
        <v>1875</v>
      </c>
      <c r="P1564" s="10" t="s">
        <v>5006</v>
      </c>
      <c r="Q1564" s="10" t="s">
        <v>5006</v>
      </c>
      <c r="R1564" s="10" t="str">
        <f>IF(COUNTIF($J$2:J1564,J1564)=1,SUMIFS($O:$O,$J:$J,J1564)+SUMIFS($P:$P,$J:$J,J1564)+SUMIFS($Q:$Q,$J:$J,J1564),"")</f>
        <v/>
      </c>
      <c r="S1564" s="10" t="s">
        <v>5006</v>
      </c>
      <c r="T1564" s="11" t="str">
        <f t="shared" si="158"/>
        <v>Ok</v>
      </c>
      <c r="U1564" s="12">
        <v>46157</v>
      </c>
      <c r="V1564" s="10">
        <v>1072.1300000000001</v>
      </c>
      <c r="W1564" s="10" t="str">
        <f t="shared" si="156"/>
        <v>N/A</v>
      </c>
      <c r="X1564" t="s">
        <v>474</v>
      </c>
      <c r="Y1564" t="s">
        <v>40</v>
      </c>
      <c r="Z1564">
        <v>100269</v>
      </c>
      <c r="AA1564" t="s">
        <v>3152</v>
      </c>
      <c r="AB1564" t="s">
        <v>522</v>
      </c>
      <c r="AC1564" s="9">
        <v>3</v>
      </c>
      <c r="AD1564" s="9" t="str">
        <f t="shared" si="157"/>
        <v>N/A</v>
      </c>
      <c r="AE1564" s="11" t="e">
        <f t="shared" si="159"/>
        <v>#VALUE!</v>
      </c>
    </row>
    <row r="1565" spans="1:31" x14ac:dyDescent="0.3">
      <c r="A1565">
        <v>15</v>
      </c>
      <c r="B1565">
        <v>4872553</v>
      </c>
      <c r="C1565" t="s">
        <v>38</v>
      </c>
      <c r="D1565">
        <v>1852662</v>
      </c>
      <c r="E1565" t="s">
        <v>584</v>
      </c>
      <c r="F1565" t="s">
        <v>24</v>
      </c>
      <c r="G1565" t="s">
        <v>1626</v>
      </c>
      <c r="H1565" t="s">
        <v>1627</v>
      </c>
      <c r="I1565" t="s">
        <v>3250</v>
      </c>
      <c r="J1565">
        <v>51153654369</v>
      </c>
      <c r="K1565" t="s">
        <v>3229</v>
      </c>
      <c r="L1565" t="s">
        <v>4364</v>
      </c>
      <c r="M1565">
        <v>100</v>
      </c>
      <c r="N1565" s="10">
        <v>8.94</v>
      </c>
      <c r="O1565" s="10">
        <f t="shared" si="155"/>
        <v>894</v>
      </c>
      <c r="P1565" s="10" t="s">
        <v>5006</v>
      </c>
      <c r="Q1565" s="10" t="s">
        <v>5006</v>
      </c>
      <c r="R1565" s="10" t="str">
        <f>IF(COUNTIF($J$2:J1565,J1565)=1,SUMIFS($O:$O,$J:$J,J1565)+SUMIFS($P:$P,$J:$J,J1565)+SUMIFS($Q:$Q,$J:$J,J1565),"")</f>
        <v/>
      </c>
      <c r="S1565" s="10" t="s">
        <v>5006</v>
      </c>
      <c r="T1565" s="11" t="str">
        <f t="shared" si="158"/>
        <v>Ok</v>
      </c>
      <c r="U1565" s="12">
        <v>46157</v>
      </c>
      <c r="V1565" s="10">
        <v>1072.1300000000001</v>
      </c>
      <c r="W1565" s="10" t="str">
        <f t="shared" si="156"/>
        <v>N/A</v>
      </c>
      <c r="X1565" t="s">
        <v>474</v>
      </c>
      <c r="Y1565" t="s">
        <v>40</v>
      </c>
      <c r="Z1565">
        <v>100269</v>
      </c>
      <c r="AA1565" t="s">
        <v>3152</v>
      </c>
      <c r="AB1565" t="s">
        <v>522</v>
      </c>
      <c r="AC1565" s="9">
        <v>3</v>
      </c>
      <c r="AD1565" s="9" t="str">
        <f t="shared" si="157"/>
        <v>N/A</v>
      </c>
      <c r="AE1565" s="11" t="e">
        <f t="shared" si="159"/>
        <v>#VALUE!</v>
      </c>
    </row>
    <row r="1566" spans="1:31" x14ac:dyDescent="0.3">
      <c r="A1566">
        <v>15</v>
      </c>
      <c r="B1566">
        <v>4872831</v>
      </c>
      <c r="C1566" t="s">
        <v>38</v>
      </c>
      <c r="D1566">
        <v>1852662</v>
      </c>
      <c r="E1566" t="s">
        <v>584</v>
      </c>
      <c r="F1566" t="s">
        <v>24</v>
      </c>
      <c r="G1566" t="s">
        <v>2882</v>
      </c>
      <c r="H1566" t="s">
        <v>2883</v>
      </c>
      <c r="I1566" t="s">
        <v>3253</v>
      </c>
      <c r="J1566">
        <v>51153666338</v>
      </c>
      <c r="K1566" t="s">
        <v>3229</v>
      </c>
      <c r="L1566" t="s">
        <v>4365</v>
      </c>
      <c r="M1566">
        <v>1</v>
      </c>
      <c r="N1566" s="10">
        <v>1875</v>
      </c>
      <c r="O1566" s="10">
        <f t="shared" si="155"/>
        <v>1875</v>
      </c>
      <c r="P1566" s="10">
        <v>0</v>
      </c>
      <c r="Q1566" s="10">
        <v>178.13</v>
      </c>
      <c r="R1566" s="10">
        <f>IF(COUNTIF($J$2:J1566,J1566)=1,SUMIFS($O:$O,$J:$J,J1566)+SUMIFS($P:$P,$J:$J,J1566)+SUMIFS($Q:$Q,$J:$J,J1566),"")</f>
        <v>2927.13</v>
      </c>
      <c r="S1566" s="10">
        <v>2927.13</v>
      </c>
      <c r="T1566" s="11" t="str">
        <f t="shared" si="158"/>
        <v>Ok</v>
      </c>
      <c r="U1566" s="12">
        <v>46157</v>
      </c>
      <c r="V1566" s="10">
        <v>1052.1300000000001</v>
      </c>
      <c r="W1566" s="10" t="str">
        <f t="shared" si="156"/>
        <v>Short Paid</v>
      </c>
      <c r="X1566" t="s">
        <v>474</v>
      </c>
      <c r="Y1566" t="s">
        <v>40</v>
      </c>
      <c r="Z1566">
        <v>100109</v>
      </c>
      <c r="AA1566" t="s">
        <v>3151</v>
      </c>
      <c r="AB1566" t="s">
        <v>522</v>
      </c>
      <c r="AC1566" s="9">
        <v>2</v>
      </c>
      <c r="AD1566" s="9" t="str">
        <f t="shared" si="157"/>
        <v>Ok</v>
      </c>
      <c r="AE1566" s="11">
        <f t="shared" si="159"/>
        <v>0</v>
      </c>
    </row>
    <row r="1567" spans="1:31" x14ac:dyDescent="0.3">
      <c r="A1567">
        <v>15</v>
      </c>
      <c r="B1567">
        <v>4872831</v>
      </c>
      <c r="C1567" t="s">
        <v>38</v>
      </c>
      <c r="D1567">
        <v>1852662</v>
      </c>
      <c r="E1567" t="s">
        <v>584</v>
      </c>
      <c r="F1567" t="s">
        <v>24</v>
      </c>
      <c r="G1567" t="s">
        <v>2882</v>
      </c>
      <c r="H1567" t="s">
        <v>2883</v>
      </c>
      <c r="I1567" t="s">
        <v>3253</v>
      </c>
      <c r="J1567">
        <v>51153666338</v>
      </c>
      <c r="K1567" t="s">
        <v>3229</v>
      </c>
      <c r="L1567" t="s">
        <v>4366</v>
      </c>
      <c r="M1567">
        <v>100</v>
      </c>
      <c r="N1567" s="10">
        <v>8.74</v>
      </c>
      <c r="O1567" s="10">
        <f t="shared" si="155"/>
        <v>874</v>
      </c>
      <c r="P1567" s="10" t="s">
        <v>5006</v>
      </c>
      <c r="Q1567" s="10" t="s">
        <v>5006</v>
      </c>
      <c r="R1567" s="10" t="str">
        <f>IF(COUNTIF($J$2:J1567,J1567)=1,SUMIFS($O:$O,$J:$J,J1567)+SUMIFS($P:$P,$J:$J,J1567)+SUMIFS($Q:$Q,$J:$J,J1567),"")</f>
        <v/>
      </c>
      <c r="S1567" s="10" t="s">
        <v>5006</v>
      </c>
      <c r="T1567" s="11" t="str">
        <f t="shared" si="158"/>
        <v>Ok</v>
      </c>
      <c r="U1567" s="12">
        <v>46157</v>
      </c>
      <c r="V1567" s="10">
        <v>1052.1300000000001</v>
      </c>
      <c r="W1567" s="10" t="str">
        <f t="shared" si="156"/>
        <v>N/A</v>
      </c>
      <c r="X1567" t="s">
        <v>474</v>
      </c>
      <c r="Y1567" t="s">
        <v>40</v>
      </c>
      <c r="Z1567">
        <v>100109</v>
      </c>
      <c r="AA1567" t="s">
        <v>3151</v>
      </c>
      <c r="AB1567" t="s">
        <v>522</v>
      </c>
      <c r="AC1567" s="9">
        <v>2</v>
      </c>
      <c r="AD1567" s="9" t="str">
        <f t="shared" si="157"/>
        <v>N/A</v>
      </c>
      <c r="AE1567" s="11" t="e">
        <f t="shared" si="159"/>
        <v>#VALUE!</v>
      </c>
    </row>
    <row r="1568" spans="1:31" x14ac:dyDescent="0.3">
      <c r="A1568">
        <v>29</v>
      </c>
      <c r="B1568">
        <v>4764022</v>
      </c>
      <c r="C1568" t="s">
        <v>239</v>
      </c>
      <c r="D1568">
        <v>1079286</v>
      </c>
      <c r="E1568" t="s">
        <v>629</v>
      </c>
      <c r="F1568" t="s">
        <v>20</v>
      </c>
      <c r="G1568" t="s">
        <v>1324</v>
      </c>
      <c r="H1568" t="s">
        <v>1325</v>
      </c>
      <c r="I1568" t="s">
        <v>3525</v>
      </c>
      <c r="J1568">
        <v>51153876629</v>
      </c>
      <c r="K1568" t="s">
        <v>3212</v>
      </c>
      <c r="L1568" t="s">
        <v>4367</v>
      </c>
      <c r="M1568">
        <v>90000</v>
      </c>
      <c r="N1568" s="10">
        <v>1.2999999999999999E-2</v>
      </c>
      <c r="O1568" s="10">
        <f t="shared" si="155"/>
        <v>1170</v>
      </c>
      <c r="P1568" s="10">
        <v>0</v>
      </c>
      <c r="Q1568" s="10">
        <v>0</v>
      </c>
      <c r="R1568" s="10">
        <f>IF(COUNTIF($J$2:J1568,J1568)=1,SUMIFS($O:$O,$J:$J,J1568)+SUMIFS($P:$P,$J:$J,J1568)+SUMIFS($Q:$Q,$J:$J,J1568),"")</f>
        <v>4105.26</v>
      </c>
      <c r="S1568" s="10">
        <v>4105.26</v>
      </c>
      <c r="T1568" s="11" t="str">
        <f t="shared" si="158"/>
        <v>Ok</v>
      </c>
      <c r="U1568" s="12">
        <v>45601</v>
      </c>
      <c r="V1568" s="10">
        <v>1170</v>
      </c>
      <c r="W1568" s="10" t="str">
        <f t="shared" si="156"/>
        <v>Short Paid</v>
      </c>
      <c r="X1568" t="s">
        <v>476</v>
      </c>
      <c r="Y1568" t="s">
        <v>28</v>
      </c>
      <c r="Z1568">
        <v>100115</v>
      </c>
      <c r="AA1568" t="s">
        <v>504</v>
      </c>
      <c r="AB1568" t="s">
        <v>521</v>
      </c>
      <c r="AC1568" s="9">
        <v>2</v>
      </c>
      <c r="AD1568" s="9" t="str">
        <f t="shared" si="157"/>
        <v>Ok</v>
      </c>
      <c r="AE1568" s="11">
        <f t="shared" si="159"/>
        <v>0</v>
      </c>
    </row>
    <row r="1569" spans="1:31" x14ac:dyDescent="0.3">
      <c r="A1569">
        <v>29</v>
      </c>
      <c r="B1569">
        <v>4764022</v>
      </c>
      <c r="C1569" t="s">
        <v>239</v>
      </c>
      <c r="D1569">
        <v>1079286</v>
      </c>
      <c r="E1569" t="s">
        <v>629</v>
      </c>
      <c r="F1569" t="s">
        <v>20</v>
      </c>
      <c r="G1569" t="s">
        <v>1324</v>
      </c>
      <c r="H1569" t="s">
        <v>1325</v>
      </c>
      <c r="I1569" t="s">
        <v>3260</v>
      </c>
      <c r="J1569">
        <v>51153876629</v>
      </c>
      <c r="K1569" t="s">
        <v>3168</v>
      </c>
      <c r="L1569" t="s">
        <v>4368</v>
      </c>
      <c r="M1569">
        <v>207000</v>
      </c>
      <c r="N1569" s="10">
        <v>1.418E-2</v>
      </c>
      <c r="O1569" s="10">
        <f t="shared" si="155"/>
        <v>2935.2599999999998</v>
      </c>
      <c r="P1569" s="10" t="s">
        <v>5006</v>
      </c>
      <c r="Q1569" s="10" t="s">
        <v>5006</v>
      </c>
      <c r="R1569" s="10" t="str">
        <f>IF(COUNTIF($J$2:J1569,J1569)=1,SUMIFS($O:$O,$J:$J,J1569)+SUMIFS($P:$P,$J:$J,J1569)+SUMIFS($Q:$Q,$J:$J,J1569),"")</f>
        <v/>
      </c>
      <c r="S1569" s="10" t="s">
        <v>5006</v>
      </c>
      <c r="T1569" s="11" t="str">
        <f t="shared" si="158"/>
        <v>Ok</v>
      </c>
      <c r="U1569" s="12">
        <v>45601</v>
      </c>
      <c r="V1569" s="10">
        <v>1170</v>
      </c>
      <c r="W1569" s="10" t="str">
        <f t="shared" si="156"/>
        <v>N/A</v>
      </c>
      <c r="X1569" t="s">
        <v>476</v>
      </c>
      <c r="Y1569" t="s">
        <v>28</v>
      </c>
      <c r="Z1569">
        <v>100115</v>
      </c>
      <c r="AA1569" t="s">
        <v>504</v>
      </c>
      <c r="AB1569" t="s">
        <v>521</v>
      </c>
      <c r="AC1569" s="9">
        <v>2</v>
      </c>
      <c r="AD1569" s="9" t="str">
        <f t="shared" si="157"/>
        <v>N/A</v>
      </c>
      <c r="AE1569" s="11" t="e">
        <f t="shared" si="159"/>
        <v>#VALUE!</v>
      </c>
    </row>
    <row r="1570" spans="1:31" x14ac:dyDescent="0.3">
      <c r="A1570">
        <v>29</v>
      </c>
      <c r="B1570">
        <v>4764857</v>
      </c>
      <c r="C1570" t="s">
        <v>239</v>
      </c>
      <c r="D1570">
        <v>1079286</v>
      </c>
      <c r="E1570" t="s">
        <v>629</v>
      </c>
      <c r="F1570" t="s">
        <v>20</v>
      </c>
      <c r="G1570" t="s">
        <v>1328</v>
      </c>
      <c r="H1570" t="s">
        <v>1329</v>
      </c>
      <c r="I1570" t="s">
        <v>3257</v>
      </c>
      <c r="J1570">
        <v>51153876636</v>
      </c>
      <c r="K1570" t="s">
        <v>3374</v>
      </c>
      <c r="L1570" t="s">
        <v>4369</v>
      </c>
      <c r="M1570">
        <v>24000</v>
      </c>
      <c r="N1570" s="10">
        <v>7.5199999999999998E-3</v>
      </c>
      <c r="O1570" s="10">
        <f t="shared" si="155"/>
        <v>180.48</v>
      </c>
      <c r="P1570" s="10">
        <v>0</v>
      </c>
      <c r="Q1570" s="10">
        <v>0</v>
      </c>
      <c r="R1570" s="10">
        <f>IF(COUNTIF($J$2:J1570,J1570)=1,SUMIFS($O:$O,$J:$J,J1570)+SUMIFS($P:$P,$J:$J,J1570)+SUMIFS($Q:$Q,$J:$J,J1570),"")</f>
        <v>300.48</v>
      </c>
      <c r="S1570" s="10">
        <v>300.48</v>
      </c>
      <c r="T1570" s="11" t="str">
        <f t="shared" si="158"/>
        <v>Ok</v>
      </c>
      <c r="U1570" s="12">
        <v>45601</v>
      </c>
      <c r="V1570" s="10">
        <v>120</v>
      </c>
      <c r="W1570" s="10" t="str">
        <f t="shared" si="156"/>
        <v>Short Paid</v>
      </c>
      <c r="X1570" t="s">
        <v>476</v>
      </c>
      <c r="Y1570" t="s">
        <v>28</v>
      </c>
      <c r="Z1570">
        <v>100165</v>
      </c>
      <c r="AA1570" t="s">
        <v>3100</v>
      </c>
      <c r="AB1570" t="s">
        <v>521</v>
      </c>
      <c r="AC1570" s="9">
        <v>2</v>
      </c>
      <c r="AD1570" s="9" t="str">
        <f t="shared" si="157"/>
        <v>Ok</v>
      </c>
      <c r="AE1570" s="11">
        <f t="shared" si="159"/>
        <v>0</v>
      </c>
    </row>
    <row r="1571" spans="1:31" x14ac:dyDescent="0.3">
      <c r="A1571">
        <v>29</v>
      </c>
      <c r="B1571">
        <v>4764857</v>
      </c>
      <c r="C1571" t="s">
        <v>239</v>
      </c>
      <c r="D1571">
        <v>1079286</v>
      </c>
      <c r="E1571" t="s">
        <v>629</v>
      </c>
      <c r="F1571" t="s">
        <v>20</v>
      </c>
      <c r="G1571" t="s">
        <v>1328</v>
      </c>
      <c r="H1571" t="s">
        <v>1329</v>
      </c>
      <c r="I1571" t="s">
        <v>3525</v>
      </c>
      <c r="J1571">
        <v>51153876636</v>
      </c>
      <c r="K1571" t="s">
        <v>3488</v>
      </c>
      <c r="L1571" t="s">
        <v>4284</v>
      </c>
      <c r="M1571">
        <v>2000</v>
      </c>
      <c r="N1571" s="10">
        <v>0.06</v>
      </c>
      <c r="O1571" s="10">
        <f t="shared" si="155"/>
        <v>120</v>
      </c>
      <c r="P1571" s="10" t="s">
        <v>5006</v>
      </c>
      <c r="Q1571" s="10" t="s">
        <v>5006</v>
      </c>
      <c r="R1571" s="10" t="str">
        <f>IF(COUNTIF($J$2:J1571,J1571)=1,SUMIFS($O:$O,$J:$J,J1571)+SUMIFS($P:$P,$J:$J,J1571)+SUMIFS($Q:$Q,$J:$J,J1571),"")</f>
        <v/>
      </c>
      <c r="S1571" s="10" t="s">
        <v>5006</v>
      </c>
      <c r="T1571" s="11" t="str">
        <f t="shared" si="158"/>
        <v>Ok</v>
      </c>
      <c r="U1571" s="12">
        <v>45601</v>
      </c>
      <c r="V1571" s="10">
        <v>120</v>
      </c>
      <c r="W1571" s="10" t="str">
        <f t="shared" si="156"/>
        <v>N/A</v>
      </c>
      <c r="X1571" t="s">
        <v>476</v>
      </c>
      <c r="Y1571" t="s">
        <v>28</v>
      </c>
      <c r="Z1571">
        <v>100165</v>
      </c>
      <c r="AA1571" t="s">
        <v>3100</v>
      </c>
      <c r="AB1571" t="s">
        <v>521</v>
      </c>
      <c r="AC1571" s="9">
        <v>2</v>
      </c>
      <c r="AD1571" s="9" t="str">
        <f t="shared" si="157"/>
        <v>N/A</v>
      </c>
      <c r="AE1571" s="11" t="e">
        <f t="shared" si="159"/>
        <v>#VALUE!</v>
      </c>
    </row>
    <row r="1572" spans="1:31" x14ac:dyDescent="0.3">
      <c r="A1572">
        <v>29</v>
      </c>
      <c r="B1572">
        <v>4764578</v>
      </c>
      <c r="C1572" t="s">
        <v>239</v>
      </c>
      <c r="D1572">
        <v>1079286</v>
      </c>
      <c r="E1572" t="s">
        <v>629</v>
      </c>
      <c r="F1572" t="s">
        <v>20</v>
      </c>
      <c r="G1572" t="s">
        <v>1326</v>
      </c>
      <c r="H1572" t="s">
        <v>1327</v>
      </c>
      <c r="I1572" t="s">
        <v>3468</v>
      </c>
      <c r="J1572">
        <v>51153876657</v>
      </c>
      <c r="K1572" t="s">
        <v>3241</v>
      </c>
      <c r="L1572" t="s">
        <v>4370</v>
      </c>
      <c r="M1572">
        <v>30000</v>
      </c>
      <c r="N1572" s="10">
        <v>4.4999999999999999E-4</v>
      </c>
      <c r="O1572" s="10">
        <f t="shared" si="155"/>
        <v>13.5</v>
      </c>
      <c r="P1572" s="10">
        <v>0</v>
      </c>
      <c r="Q1572" s="10">
        <v>0</v>
      </c>
      <c r="R1572" s="10">
        <f>IF(COUNTIF($J$2:J1572,J1572)=1,SUMIFS($O:$O,$J:$J,J1572)+SUMIFS($P:$P,$J:$J,J1572)+SUMIFS($Q:$Q,$J:$J,J1572),"")</f>
        <v>981.9</v>
      </c>
      <c r="S1572" s="10">
        <v>981.9</v>
      </c>
      <c r="T1572" s="11" t="str">
        <f t="shared" si="158"/>
        <v>Ok</v>
      </c>
      <c r="U1572" s="12">
        <v>45601</v>
      </c>
      <c r="V1572" s="10">
        <v>13.5</v>
      </c>
      <c r="W1572" s="10" t="str">
        <f t="shared" si="156"/>
        <v>Short Paid</v>
      </c>
      <c r="X1572" t="s">
        <v>476</v>
      </c>
      <c r="Y1572" t="s">
        <v>28</v>
      </c>
      <c r="Z1572">
        <v>100155</v>
      </c>
      <c r="AA1572" t="s">
        <v>3072</v>
      </c>
      <c r="AB1572" t="s">
        <v>521</v>
      </c>
      <c r="AC1572" s="9">
        <v>2</v>
      </c>
      <c r="AD1572" s="9" t="str">
        <f t="shared" si="157"/>
        <v>Ok</v>
      </c>
      <c r="AE1572" s="11">
        <f t="shared" si="159"/>
        <v>0</v>
      </c>
    </row>
    <row r="1573" spans="1:31" x14ac:dyDescent="0.3">
      <c r="A1573">
        <v>29</v>
      </c>
      <c r="B1573">
        <v>4764578</v>
      </c>
      <c r="C1573" t="s">
        <v>239</v>
      </c>
      <c r="D1573">
        <v>1079286</v>
      </c>
      <c r="E1573" t="s">
        <v>629</v>
      </c>
      <c r="F1573" t="s">
        <v>20</v>
      </c>
      <c r="G1573" t="s">
        <v>1326</v>
      </c>
      <c r="H1573" t="s">
        <v>1327</v>
      </c>
      <c r="I1573" t="s">
        <v>3528</v>
      </c>
      <c r="J1573">
        <v>51153876657</v>
      </c>
      <c r="K1573" t="s">
        <v>3177</v>
      </c>
      <c r="L1573" t="s">
        <v>4371</v>
      </c>
      <c r="M1573">
        <v>18000</v>
      </c>
      <c r="N1573" s="10">
        <v>5.3800000000000001E-2</v>
      </c>
      <c r="O1573" s="10">
        <f t="shared" si="155"/>
        <v>968.4</v>
      </c>
      <c r="P1573" s="10" t="s">
        <v>5006</v>
      </c>
      <c r="Q1573" s="10" t="s">
        <v>5006</v>
      </c>
      <c r="R1573" s="10" t="str">
        <f>IF(COUNTIF($J$2:J1573,J1573)=1,SUMIFS($O:$O,$J:$J,J1573)+SUMIFS($P:$P,$J:$J,J1573)+SUMIFS($Q:$Q,$J:$J,J1573),"")</f>
        <v/>
      </c>
      <c r="S1573" s="10" t="s">
        <v>5006</v>
      </c>
      <c r="T1573" s="11" t="str">
        <f t="shared" si="158"/>
        <v>Ok</v>
      </c>
      <c r="U1573" s="12">
        <v>45601</v>
      </c>
      <c r="V1573" s="10">
        <v>13.5</v>
      </c>
      <c r="W1573" s="10" t="str">
        <f t="shared" si="156"/>
        <v>N/A</v>
      </c>
      <c r="X1573" t="s">
        <v>476</v>
      </c>
      <c r="Y1573" t="s">
        <v>28</v>
      </c>
      <c r="Z1573">
        <v>100155</v>
      </c>
      <c r="AA1573" t="s">
        <v>3072</v>
      </c>
      <c r="AB1573" t="s">
        <v>521</v>
      </c>
      <c r="AC1573" s="9">
        <v>2</v>
      </c>
      <c r="AD1573" s="9" t="str">
        <f t="shared" si="157"/>
        <v>N/A</v>
      </c>
      <c r="AE1573" s="11" t="e">
        <f t="shared" si="159"/>
        <v>#VALUE!</v>
      </c>
    </row>
    <row r="1574" spans="1:31" x14ac:dyDescent="0.3">
      <c r="A1574">
        <v>29</v>
      </c>
      <c r="B1574">
        <v>4764300</v>
      </c>
      <c r="C1574" t="s">
        <v>239</v>
      </c>
      <c r="D1574">
        <v>1079286</v>
      </c>
      <c r="E1574" t="s">
        <v>629</v>
      </c>
      <c r="F1574" t="s">
        <v>20</v>
      </c>
      <c r="G1574" t="s">
        <v>2808</v>
      </c>
      <c r="H1574" t="s">
        <v>2809</v>
      </c>
      <c r="I1574" t="s">
        <v>3412</v>
      </c>
      <c r="J1574">
        <v>51153876728</v>
      </c>
      <c r="K1574" t="s">
        <v>3488</v>
      </c>
      <c r="L1574" t="s">
        <v>4372</v>
      </c>
      <c r="M1574">
        <v>3000</v>
      </c>
      <c r="N1574" s="10">
        <v>3.5000000000000003E-2</v>
      </c>
      <c r="O1574" s="10">
        <f t="shared" si="155"/>
        <v>105.00000000000001</v>
      </c>
      <c r="P1574" s="10">
        <v>0</v>
      </c>
      <c r="Q1574" s="10">
        <v>0</v>
      </c>
      <c r="R1574" s="10">
        <f>IF(COUNTIF($J$2:J1574,J1574)=1,SUMIFS($O:$O,$J:$J,J1574)+SUMIFS($P:$P,$J:$J,J1574)+SUMIFS($Q:$Q,$J:$J,J1574),"")</f>
        <v>785.64</v>
      </c>
      <c r="S1574" s="10">
        <v>1040.8800000000001</v>
      </c>
      <c r="T1574" s="11" t="str">
        <f t="shared" si="158"/>
        <v>Check</v>
      </c>
      <c r="U1574" s="12">
        <v>45601</v>
      </c>
      <c r="V1574" s="10">
        <v>105</v>
      </c>
      <c r="W1574" s="10" t="str">
        <f t="shared" si="156"/>
        <v>Short Paid</v>
      </c>
      <c r="X1574" t="s">
        <v>476</v>
      </c>
      <c r="Y1574" t="s">
        <v>28</v>
      </c>
      <c r="Z1574">
        <v>100125</v>
      </c>
      <c r="AA1574" t="s">
        <v>477</v>
      </c>
      <c r="AB1574" t="s">
        <v>521</v>
      </c>
      <c r="AC1574" s="9">
        <v>2</v>
      </c>
      <c r="AD1574" s="9" t="str">
        <f t="shared" si="157"/>
        <v>Check</v>
      </c>
      <c r="AE1574" s="11">
        <f t="shared" si="159"/>
        <v>-255.24000000000012</v>
      </c>
    </row>
    <row r="1575" spans="1:31" x14ac:dyDescent="0.3">
      <c r="A1575">
        <v>29</v>
      </c>
      <c r="B1575">
        <v>4764300</v>
      </c>
      <c r="C1575" t="s">
        <v>239</v>
      </c>
      <c r="D1575">
        <v>1079286</v>
      </c>
      <c r="E1575" t="s">
        <v>629</v>
      </c>
      <c r="F1575" t="s">
        <v>20</v>
      </c>
      <c r="G1575" t="s">
        <v>2808</v>
      </c>
      <c r="H1575" t="s">
        <v>2809</v>
      </c>
      <c r="I1575" t="s">
        <v>3355</v>
      </c>
      <c r="J1575">
        <v>51153876728</v>
      </c>
      <c r="K1575" t="s">
        <v>3168</v>
      </c>
      <c r="L1575" t="s">
        <v>4373</v>
      </c>
      <c r="M1575">
        <v>48000</v>
      </c>
      <c r="N1575" s="10">
        <v>1.418E-2</v>
      </c>
      <c r="O1575" s="10">
        <f t="shared" si="155"/>
        <v>680.64</v>
      </c>
      <c r="P1575" s="10" t="s">
        <v>5006</v>
      </c>
      <c r="Q1575" s="10" t="s">
        <v>5006</v>
      </c>
      <c r="R1575" s="10" t="str">
        <f>IF(COUNTIF($J$2:J1575,J1575)=1,SUMIFS($O:$O,$J:$J,J1575)+SUMIFS($P:$P,$J:$J,J1575)+SUMIFS($Q:$Q,$J:$J,J1575),"")</f>
        <v/>
      </c>
      <c r="S1575" s="10" t="s">
        <v>5006</v>
      </c>
      <c r="T1575" s="11" t="str">
        <f t="shared" si="158"/>
        <v>Check</v>
      </c>
      <c r="U1575" s="12">
        <v>45601</v>
      </c>
      <c r="V1575" s="10">
        <v>105</v>
      </c>
      <c r="W1575" s="10" t="str">
        <f t="shared" si="156"/>
        <v>N/A</v>
      </c>
      <c r="X1575" t="s">
        <v>476</v>
      </c>
      <c r="Y1575" t="s">
        <v>28</v>
      </c>
      <c r="Z1575">
        <v>100125</v>
      </c>
      <c r="AA1575" t="s">
        <v>477</v>
      </c>
      <c r="AB1575" t="s">
        <v>521</v>
      </c>
      <c r="AC1575" s="9">
        <v>2</v>
      </c>
      <c r="AD1575" s="9" t="str">
        <f t="shared" si="157"/>
        <v>N/A</v>
      </c>
      <c r="AE1575" s="11" t="e">
        <f t="shared" si="159"/>
        <v>#VALUE!</v>
      </c>
    </row>
    <row r="1576" spans="1:31" x14ac:dyDescent="0.3">
      <c r="A1576">
        <v>29</v>
      </c>
      <c r="B1576">
        <v>4763187</v>
      </c>
      <c r="C1576" t="s">
        <v>38</v>
      </c>
      <c r="D1576">
        <v>1963277</v>
      </c>
      <c r="E1576" t="s">
        <v>250</v>
      </c>
      <c r="F1576" t="s">
        <v>18</v>
      </c>
      <c r="G1576" t="s">
        <v>1322</v>
      </c>
      <c r="H1576" t="s">
        <v>1323</v>
      </c>
      <c r="I1576" t="s">
        <v>3307</v>
      </c>
      <c r="J1576">
        <v>51153876742</v>
      </c>
      <c r="K1576" t="s">
        <v>3177</v>
      </c>
      <c r="L1576" t="s">
        <v>3231</v>
      </c>
      <c r="M1576">
        <v>20000</v>
      </c>
      <c r="N1576" s="10">
        <v>1.6469999999999999E-2</v>
      </c>
      <c r="O1576" s="10">
        <f t="shared" si="155"/>
        <v>329.4</v>
      </c>
      <c r="P1576" s="10">
        <v>0</v>
      </c>
      <c r="Q1576" s="10">
        <v>0</v>
      </c>
      <c r="R1576" s="10">
        <f>IF(COUNTIF($J$2:J1576,J1576)=1,SUMIFS($O:$O,$J:$J,J1576)+SUMIFS($P:$P,$J:$J,J1576)+SUMIFS($Q:$Q,$J:$J,J1576),"")</f>
        <v>1393.65</v>
      </c>
      <c r="S1576" s="10">
        <v>1748.4</v>
      </c>
      <c r="T1576" s="11" t="str">
        <f t="shared" si="158"/>
        <v>Check</v>
      </c>
      <c r="U1576" s="12">
        <v>46058</v>
      </c>
      <c r="V1576" s="10">
        <v>1059</v>
      </c>
      <c r="W1576" s="10" t="str">
        <f t="shared" si="156"/>
        <v>Short Paid</v>
      </c>
      <c r="X1576" t="s">
        <v>474</v>
      </c>
      <c r="Y1576" t="s">
        <v>28</v>
      </c>
      <c r="Z1576">
        <v>100249</v>
      </c>
      <c r="AA1576" t="s">
        <v>484</v>
      </c>
      <c r="AB1576" t="s">
        <v>523</v>
      </c>
      <c r="AC1576" s="9">
        <v>2</v>
      </c>
      <c r="AD1576" s="9" t="str">
        <f t="shared" si="157"/>
        <v>Check</v>
      </c>
      <c r="AE1576" s="11">
        <f t="shared" si="159"/>
        <v>-354.75</v>
      </c>
    </row>
    <row r="1577" spans="1:31" x14ac:dyDescent="0.3">
      <c r="A1577">
        <v>29</v>
      </c>
      <c r="B1577">
        <v>4763187</v>
      </c>
      <c r="C1577" t="s">
        <v>38</v>
      </c>
      <c r="D1577">
        <v>1963277</v>
      </c>
      <c r="E1577" t="s">
        <v>250</v>
      </c>
      <c r="F1577" t="s">
        <v>18</v>
      </c>
      <c r="G1577" t="s">
        <v>1322</v>
      </c>
      <c r="H1577" t="s">
        <v>1323</v>
      </c>
      <c r="I1577" t="s">
        <v>3325</v>
      </c>
      <c r="J1577">
        <v>51153876742</v>
      </c>
      <c r="K1577" t="s">
        <v>3517</v>
      </c>
      <c r="L1577" t="s">
        <v>3516</v>
      </c>
      <c r="M1577">
        <v>9000</v>
      </c>
      <c r="N1577" s="10">
        <v>0.11825000000000001</v>
      </c>
      <c r="O1577" s="10">
        <f t="shared" si="155"/>
        <v>1064.25</v>
      </c>
      <c r="P1577" s="10" t="s">
        <v>5006</v>
      </c>
      <c r="Q1577" s="10" t="s">
        <v>5006</v>
      </c>
      <c r="R1577" s="10" t="str">
        <f>IF(COUNTIF($J$2:J1577,J1577)=1,SUMIFS($O:$O,$J:$J,J1577)+SUMIFS($P:$P,$J:$J,J1577)+SUMIFS($Q:$Q,$J:$J,J1577),"")</f>
        <v/>
      </c>
      <c r="S1577" s="10" t="s">
        <v>5006</v>
      </c>
      <c r="T1577" s="11" t="str">
        <f t="shared" si="158"/>
        <v>Check</v>
      </c>
      <c r="U1577" s="12">
        <v>46058</v>
      </c>
      <c r="V1577" s="10">
        <v>1059</v>
      </c>
      <c r="W1577" s="10" t="str">
        <f t="shared" si="156"/>
        <v>N/A</v>
      </c>
      <c r="X1577" t="s">
        <v>474</v>
      </c>
      <c r="Y1577" t="s">
        <v>28</v>
      </c>
      <c r="Z1577">
        <v>100249</v>
      </c>
      <c r="AA1577" t="s">
        <v>484</v>
      </c>
      <c r="AB1577" t="s">
        <v>523</v>
      </c>
      <c r="AC1577" s="9">
        <v>2</v>
      </c>
      <c r="AD1577" s="9" t="str">
        <f t="shared" si="157"/>
        <v>N/A</v>
      </c>
      <c r="AE1577" s="11" t="e">
        <f t="shared" si="159"/>
        <v>#VALUE!</v>
      </c>
    </row>
    <row r="1578" spans="1:31" x14ac:dyDescent="0.3">
      <c r="A1578">
        <v>29</v>
      </c>
      <c r="B1578">
        <v>4765135</v>
      </c>
      <c r="C1578" t="s">
        <v>239</v>
      </c>
      <c r="D1578">
        <v>1079286</v>
      </c>
      <c r="E1578" t="s">
        <v>629</v>
      </c>
      <c r="F1578" t="s">
        <v>20</v>
      </c>
      <c r="G1578" t="s">
        <v>1330</v>
      </c>
      <c r="H1578" t="s">
        <v>1331</v>
      </c>
      <c r="I1578" t="s">
        <v>3441</v>
      </c>
      <c r="J1578">
        <v>51153876845</v>
      </c>
      <c r="K1578" t="s">
        <v>3488</v>
      </c>
      <c r="L1578" t="s">
        <v>4284</v>
      </c>
      <c r="M1578">
        <v>4000</v>
      </c>
      <c r="N1578" s="10">
        <v>0.06</v>
      </c>
      <c r="O1578" s="10">
        <f t="shared" si="155"/>
        <v>240</v>
      </c>
      <c r="P1578" s="10">
        <v>0</v>
      </c>
      <c r="Q1578" s="10">
        <v>0</v>
      </c>
      <c r="R1578" s="10">
        <f>IF(COUNTIF($J$2:J1578,J1578)=1,SUMIFS($O:$O,$J:$J,J1578)+SUMIFS($P:$P,$J:$J,J1578)+SUMIFS($Q:$Q,$J:$J,J1578),"")</f>
        <v>6432</v>
      </c>
      <c r="S1578" s="10">
        <v>6432</v>
      </c>
      <c r="T1578" s="11" t="str">
        <f t="shared" si="158"/>
        <v>Ok</v>
      </c>
      <c r="U1578" s="12">
        <v>45608</v>
      </c>
      <c r="V1578" s="10">
        <v>240</v>
      </c>
      <c r="W1578" s="10" t="str">
        <f t="shared" si="156"/>
        <v>Short Paid</v>
      </c>
      <c r="X1578" t="s">
        <v>476</v>
      </c>
      <c r="Y1578" t="s">
        <v>28</v>
      </c>
      <c r="Z1578">
        <v>100195</v>
      </c>
      <c r="AA1578" t="s">
        <v>3070</v>
      </c>
      <c r="AB1578" t="s">
        <v>521</v>
      </c>
      <c r="AC1578" s="9">
        <v>2</v>
      </c>
      <c r="AD1578" s="9" t="str">
        <f t="shared" si="157"/>
        <v>Ok</v>
      </c>
      <c r="AE1578" s="11">
        <f t="shared" si="159"/>
        <v>0</v>
      </c>
    </row>
    <row r="1579" spans="1:31" x14ac:dyDescent="0.3">
      <c r="A1579">
        <v>29</v>
      </c>
      <c r="B1579">
        <v>4765135</v>
      </c>
      <c r="C1579" t="s">
        <v>239</v>
      </c>
      <c r="D1579">
        <v>1079286</v>
      </c>
      <c r="E1579" t="s">
        <v>629</v>
      </c>
      <c r="F1579" t="s">
        <v>20</v>
      </c>
      <c r="G1579" t="s">
        <v>1330</v>
      </c>
      <c r="H1579" t="s">
        <v>1331</v>
      </c>
      <c r="I1579" t="s">
        <v>3316</v>
      </c>
      <c r="J1579">
        <v>51153876845</v>
      </c>
      <c r="K1579" t="s">
        <v>3168</v>
      </c>
      <c r="L1579" t="s">
        <v>3541</v>
      </c>
      <c r="M1579">
        <v>90000</v>
      </c>
      <c r="N1579" s="10">
        <v>6.88E-2</v>
      </c>
      <c r="O1579" s="10">
        <f t="shared" si="155"/>
        <v>6192</v>
      </c>
      <c r="P1579" s="10" t="s">
        <v>5006</v>
      </c>
      <c r="Q1579" s="10" t="s">
        <v>5006</v>
      </c>
      <c r="R1579" s="10" t="str">
        <f>IF(COUNTIF($J$2:J1579,J1579)=1,SUMIFS($O:$O,$J:$J,J1579)+SUMIFS($P:$P,$J:$J,J1579)+SUMIFS($Q:$Q,$J:$J,J1579),"")</f>
        <v/>
      </c>
      <c r="S1579" s="10" t="s">
        <v>5006</v>
      </c>
      <c r="T1579" s="11" t="str">
        <f t="shared" si="158"/>
        <v>Ok</v>
      </c>
      <c r="U1579" s="12">
        <v>45608</v>
      </c>
      <c r="V1579" s="10">
        <v>240</v>
      </c>
      <c r="W1579" s="10" t="str">
        <f t="shared" si="156"/>
        <v>N/A</v>
      </c>
      <c r="X1579" t="s">
        <v>476</v>
      </c>
      <c r="Y1579" t="s">
        <v>28</v>
      </c>
      <c r="Z1579">
        <v>100195</v>
      </c>
      <c r="AA1579" t="s">
        <v>3070</v>
      </c>
      <c r="AB1579" t="s">
        <v>521</v>
      </c>
      <c r="AC1579" s="9">
        <v>2</v>
      </c>
      <c r="AD1579" s="9" t="str">
        <f t="shared" si="157"/>
        <v>N/A</v>
      </c>
      <c r="AE1579" s="11" t="e">
        <f t="shared" si="159"/>
        <v>#VALUE!</v>
      </c>
    </row>
    <row r="1580" spans="1:31" x14ac:dyDescent="0.3">
      <c r="A1580">
        <v>29</v>
      </c>
      <c r="B1580">
        <v>4762074</v>
      </c>
      <c r="C1580" t="s">
        <v>38</v>
      </c>
      <c r="D1580">
        <v>1028943</v>
      </c>
      <c r="E1580" t="s">
        <v>715</v>
      </c>
      <c r="F1580" t="s">
        <v>20</v>
      </c>
      <c r="G1580" t="s">
        <v>1320</v>
      </c>
      <c r="H1580" t="s">
        <v>1321</v>
      </c>
      <c r="I1580" t="s">
        <v>3329</v>
      </c>
      <c r="J1580">
        <v>51153876856</v>
      </c>
      <c r="K1580" t="s">
        <v>3379</v>
      </c>
      <c r="L1580" t="s">
        <v>4374</v>
      </c>
      <c r="M1580">
        <v>112000</v>
      </c>
      <c r="N1580" s="10">
        <v>2.0039999999999999E-2</v>
      </c>
      <c r="O1580" s="10">
        <f t="shared" si="155"/>
        <v>2244.48</v>
      </c>
      <c r="P1580" s="10">
        <v>0</v>
      </c>
      <c r="Q1580" s="10">
        <v>133.4</v>
      </c>
      <c r="R1580" s="10">
        <f>IF(COUNTIF($J$2:J1580,J1580)=1,SUMIFS($O:$O,$J:$J,J1580)+SUMIFS($P:$P,$J:$J,J1580)+SUMIFS($Q:$Q,$J:$J,J1580),"")</f>
        <v>2957.88</v>
      </c>
      <c r="S1580" s="10">
        <v>2957.88</v>
      </c>
      <c r="T1580" s="11" t="str">
        <f t="shared" si="158"/>
        <v>Ok</v>
      </c>
      <c r="U1580" s="12">
        <v>46112</v>
      </c>
      <c r="V1580" s="10">
        <v>713.4</v>
      </c>
      <c r="W1580" s="10" t="str">
        <f t="shared" si="156"/>
        <v>Short Paid</v>
      </c>
      <c r="X1580" t="s">
        <v>474</v>
      </c>
      <c r="Y1580" t="s">
        <v>28</v>
      </c>
      <c r="Z1580">
        <v>100169</v>
      </c>
      <c r="AA1580" t="s">
        <v>489</v>
      </c>
      <c r="AB1580" t="s">
        <v>521</v>
      </c>
      <c r="AC1580" s="9">
        <v>2</v>
      </c>
      <c r="AD1580" s="9" t="str">
        <f t="shared" si="157"/>
        <v>Ok</v>
      </c>
      <c r="AE1580" s="11">
        <f t="shared" si="159"/>
        <v>0</v>
      </c>
    </row>
    <row r="1581" spans="1:31" x14ac:dyDescent="0.3">
      <c r="A1581">
        <v>29</v>
      </c>
      <c r="B1581">
        <v>4762074</v>
      </c>
      <c r="C1581" t="s">
        <v>38</v>
      </c>
      <c r="D1581">
        <v>1028943</v>
      </c>
      <c r="E1581" t="s">
        <v>715</v>
      </c>
      <c r="F1581" t="s">
        <v>20</v>
      </c>
      <c r="G1581" t="s">
        <v>1320</v>
      </c>
      <c r="H1581" t="s">
        <v>1321</v>
      </c>
      <c r="I1581" t="s">
        <v>3219</v>
      </c>
      <c r="J1581">
        <v>51153876856</v>
      </c>
      <c r="K1581" t="s">
        <v>3203</v>
      </c>
      <c r="L1581" t="s">
        <v>4375</v>
      </c>
      <c r="M1581">
        <v>2000</v>
      </c>
      <c r="N1581" s="10">
        <v>0.28999999999999998</v>
      </c>
      <c r="O1581" s="10">
        <f t="shared" si="155"/>
        <v>580</v>
      </c>
      <c r="P1581" s="10" t="s">
        <v>5006</v>
      </c>
      <c r="Q1581" s="10" t="s">
        <v>5006</v>
      </c>
      <c r="R1581" s="10" t="str">
        <f>IF(COUNTIF($J$2:J1581,J1581)=1,SUMIFS($O:$O,$J:$J,J1581)+SUMIFS($P:$P,$J:$J,J1581)+SUMIFS($Q:$Q,$J:$J,J1581),"")</f>
        <v/>
      </c>
      <c r="S1581" s="10" t="s">
        <v>5006</v>
      </c>
      <c r="T1581" s="11" t="str">
        <f t="shared" si="158"/>
        <v>Ok</v>
      </c>
      <c r="U1581" s="12">
        <v>46112</v>
      </c>
      <c r="V1581" s="10">
        <v>713.4</v>
      </c>
      <c r="W1581" s="10" t="str">
        <f t="shared" si="156"/>
        <v>N/A</v>
      </c>
      <c r="X1581" t="s">
        <v>474</v>
      </c>
      <c r="Y1581" t="s">
        <v>28</v>
      </c>
      <c r="Z1581">
        <v>100169</v>
      </c>
      <c r="AA1581" t="s">
        <v>489</v>
      </c>
      <c r="AB1581" t="s">
        <v>521</v>
      </c>
      <c r="AC1581" s="9">
        <v>2</v>
      </c>
      <c r="AD1581" s="9" t="str">
        <f t="shared" si="157"/>
        <v>N/A</v>
      </c>
      <c r="AE1581" s="11" t="e">
        <f t="shared" si="159"/>
        <v>#VALUE!</v>
      </c>
    </row>
    <row r="1582" spans="1:31" x14ac:dyDescent="0.3">
      <c r="A1582">
        <v>29</v>
      </c>
      <c r="B1582">
        <v>4761796</v>
      </c>
      <c r="C1582" t="s">
        <v>38</v>
      </c>
      <c r="D1582">
        <v>1028943</v>
      </c>
      <c r="E1582" t="s">
        <v>715</v>
      </c>
      <c r="F1582" t="s">
        <v>20</v>
      </c>
      <c r="G1582" t="s">
        <v>1310</v>
      </c>
      <c r="H1582" t="s">
        <v>1311</v>
      </c>
      <c r="I1582" t="s">
        <v>3198</v>
      </c>
      <c r="J1582">
        <v>51153876907</v>
      </c>
      <c r="K1582" t="s">
        <v>3656</v>
      </c>
      <c r="L1582" t="s">
        <v>4376</v>
      </c>
      <c r="M1582">
        <v>24000</v>
      </c>
      <c r="N1582" s="10">
        <v>0.13800000000000001</v>
      </c>
      <c r="O1582" s="10">
        <f t="shared" si="155"/>
        <v>3312.0000000000005</v>
      </c>
      <c r="P1582" s="10">
        <v>0</v>
      </c>
      <c r="Q1582" s="10">
        <v>133.4</v>
      </c>
      <c r="R1582" s="10">
        <f>IF(COUNTIF($J$2:J1582,J1582)=1,SUMIFS($O:$O,$J:$J,J1582)+SUMIFS($P:$P,$J:$J,J1582)+SUMIFS($Q:$Q,$J:$J,J1582),"")</f>
        <v>4025.4000000000005</v>
      </c>
      <c r="S1582" s="10">
        <v>4025.4</v>
      </c>
      <c r="T1582" s="11" t="str">
        <f t="shared" si="158"/>
        <v>Ok</v>
      </c>
      <c r="U1582" s="12">
        <v>46111</v>
      </c>
      <c r="V1582" s="10">
        <v>713.4</v>
      </c>
      <c r="W1582" s="10" t="str">
        <f t="shared" si="156"/>
        <v>Short Paid</v>
      </c>
      <c r="X1582" t="s">
        <v>474</v>
      </c>
      <c r="Y1582" t="s">
        <v>28</v>
      </c>
      <c r="Z1582">
        <v>100159</v>
      </c>
      <c r="AA1582" t="s">
        <v>488</v>
      </c>
      <c r="AB1582" t="s">
        <v>521</v>
      </c>
      <c r="AC1582" s="9">
        <v>2</v>
      </c>
      <c r="AD1582" s="9" t="str">
        <f t="shared" si="157"/>
        <v>Ok</v>
      </c>
      <c r="AE1582" s="11">
        <f t="shared" si="159"/>
        <v>0</v>
      </c>
    </row>
    <row r="1583" spans="1:31" x14ac:dyDescent="0.3">
      <c r="A1583">
        <v>29</v>
      </c>
      <c r="B1583">
        <v>4761796</v>
      </c>
      <c r="C1583" t="s">
        <v>38</v>
      </c>
      <c r="D1583">
        <v>1028943</v>
      </c>
      <c r="E1583" t="s">
        <v>715</v>
      </c>
      <c r="F1583" t="s">
        <v>20</v>
      </c>
      <c r="G1583" t="s">
        <v>1310</v>
      </c>
      <c r="H1583" t="s">
        <v>1311</v>
      </c>
      <c r="I1583" t="s">
        <v>3312</v>
      </c>
      <c r="J1583">
        <v>51153876907</v>
      </c>
      <c r="K1583" t="s">
        <v>3203</v>
      </c>
      <c r="L1583" t="s">
        <v>4375</v>
      </c>
      <c r="M1583">
        <v>2000</v>
      </c>
      <c r="N1583" s="10">
        <v>0.28999999999999998</v>
      </c>
      <c r="O1583" s="10">
        <f t="shared" si="155"/>
        <v>580</v>
      </c>
      <c r="P1583" s="10" t="s">
        <v>5006</v>
      </c>
      <c r="Q1583" s="10" t="s">
        <v>5006</v>
      </c>
      <c r="R1583" s="10" t="str">
        <f>IF(COUNTIF($J$2:J1583,J1583)=1,SUMIFS($O:$O,$J:$J,J1583)+SUMIFS($P:$P,$J:$J,J1583)+SUMIFS($Q:$Q,$J:$J,J1583),"")</f>
        <v/>
      </c>
      <c r="S1583" s="10" t="s">
        <v>5006</v>
      </c>
      <c r="T1583" s="11" t="str">
        <f t="shared" si="158"/>
        <v>Ok</v>
      </c>
      <c r="U1583" s="12">
        <v>46111</v>
      </c>
      <c r="V1583" s="10">
        <v>713.4</v>
      </c>
      <c r="W1583" s="10" t="str">
        <f t="shared" si="156"/>
        <v>N/A</v>
      </c>
      <c r="X1583" t="s">
        <v>474</v>
      </c>
      <c r="Y1583" t="s">
        <v>28</v>
      </c>
      <c r="Z1583">
        <v>100159</v>
      </c>
      <c r="AA1583" t="s">
        <v>488</v>
      </c>
      <c r="AB1583" t="s">
        <v>521</v>
      </c>
      <c r="AC1583" s="9">
        <v>2</v>
      </c>
      <c r="AD1583" s="9" t="str">
        <f t="shared" si="157"/>
        <v>N/A</v>
      </c>
      <c r="AE1583" s="11" t="e">
        <f t="shared" si="159"/>
        <v>#VALUE!</v>
      </c>
    </row>
    <row r="1584" spans="1:31" x14ac:dyDescent="0.3">
      <c r="A1584">
        <v>29</v>
      </c>
      <c r="B1584">
        <v>4761517</v>
      </c>
      <c r="C1584" t="s">
        <v>160</v>
      </c>
      <c r="D1584">
        <v>1262308</v>
      </c>
      <c r="E1584" t="s">
        <v>611</v>
      </c>
      <c r="F1584" t="s">
        <v>24</v>
      </c>
      <c r="G1584" t="s">
        <v>1308</v>
      </c>
      <c r="H1584" t="s">
        <v>1309</v>
      </c>
      <c r="I1584" t="s">
        <v>3420</v>
      </c>
      <c r="J1584">
        <v>51153876918</v>
      </c>
      <c r="K1584" t="s">
        <v>3244</v>
      </c>
      <c r="L1584" t="s">
        <v>4377</v>
      </c>
      <c r="M1584">
        <v>2</v>
      </c>
      <c r="N1584" s="10">
        <v>1258</v>
      </c>
      <c r="O1584" s="10">
        <f t="shared" si="155"/>
        <v>2516</v>
      </c>
      <c r="P1584" s="10">
        <v>1431.6</v>
      </c>
      <c r="Q1584" s="10">
        <v>0</v>
      </c>
      <c r="R1584" s="10">
        <f>IF(COUNTIF($J$2:J1584,J1584)=1,SUMIFS($O:$O,$J:$J,J1584)+SUMIFS($P:$P,$J:$J,J1584)+SUMIFS($Q:$Q,$J:$J,J1584),"")</f>
        <v>24399.079999999998</v>
      </c>
      <c r="S1584" s="10">
        <v>24399.08</v>
      </c>
      <c r="T1584" s="11" t="str">
        <f t="shared" si="158"/>
        <v>Ok</v>
      </c>
      <c r="U1584" s="12">
        <v>46066</v>
      </c>
      <c r="V1584" s="10">
        <v>4067.1</v>
      </c>
      <c r="W1584" s="10" t="str">
        <f t="shared" si="156"/>
        <v>Short Paid</v>
      </c>
      <c r="X1584" t="s">
        <v>453</v>
      </c>
      <c r="Y1584" t="s">
        <v>40</v>
      </c>
      <c r="Z1584">
        <v>100184</v>
      </c>
      <c r="AA1584" t="s">
        <v>3080</v>
      </c>
      <c r="AB1584" t="s">
        <v>522</v>
      </c>
      <c r="AC1584" s="9">
        <v>2</v>
      </c>
      <c r="AD1584" s="9" t="str">
        <f t="shared" si="157"/>
        <v>Ok</v>
      </c>
      <c r="AE1584" s="11">
        <f t="shared" si="159"/>
        <v>0</v>
      </c>
    </row>
    <row r="1585" spans="1:31" x14ac:dyDescent="0.3">
      <c r="A1585">
        <v>29</v>
      </c>
      <c r="B1585">
        <v>4761517</v>
      </c>
      <c r="C1585" t="s">
        <v>160</v>
      </c>
      <c r="D1585">
        <v>1262308</v>
      </c>
      <c r="E1585" t="s">
        <v>611</v>
      </c>
      <c r="F1585" t="s">
        <v>24</v>
      </c>
      <c r="G1585" t="s">
        <v>1308</v>
      </c>
      <c r="H1585" t="s">
        <v>1309</v>
      </c>
      <c r="I1585" t="s">
        <v>3172</v>
      </c>
      <c r="J1585">
        <v>51153876918</v>
      </c>
      <c r="K1585" t="s">
        <v>3650</v>
      </c>
      <c r="L1585" t="s">
        <v>4378</v>
      </c>
      <c r="M1585">
        <v>5271</v>
      </c>
      <c r="N1585" s="10">
        <v>3.88</v>
      </c>
      <c r="O1585" s="10">
        <f t="shared" si="155"/>
        <v>20451.48</v>
      </c>
      <c r="P1585" s="10" t="s">
        <v>5006</v>
      </c>
      <c r="Q1585" s="10" t="s">
        <v>5006</v>
      </c>
      <c r="R1585" s="10" t="str">
        <f>IF(COUNTIF($J$2:J1585,J1585)=1,SUMIFS($O:$O,$J:$J,J1585)+SUMIFS($P:$P,$J:$J,J1585)+SUMIFS($Q:$Q,$J:$J,J1585),"")</f>
        <v/>
      </c>
      <c r="S1585" s="10" t="s">
        <v>5006</v>
      </c>
      <c r="T1585" s="11" t="str">
        <f t="shared" si="158"/>
        <v>Ok</v>
      </c>
      <c r="U1585" s="12">
        <v>46066</v>
      </c>
      <c r="V1585" s="10">
        <v>4067.1</v>
      </c>
      <c r="W1585" s="10" t="str">
        <f t="shared" si="156"/>
        <v>N/A</v>
      </c>
      <c r="X1585" t="s">
        <v>453</v>
      </c>
      <c r="Y1585" t="s">
        <v>40</v>
      </c>
      <c r="Z1585">
        <v>100184</v>
      </c>
      <c r="AA1585" t="s">
        <v>3080</v>
      </c>
      <c r="AB1585" t="s">
        <v>522</v>
      </c>
      <c r="AC1585" s="9">
        <v>2</v>
      </c>
      <c r="AD1585" s="9" t="str">
        <f t="shared" si="157"/>
        <v>N/A</v>
      </c>
      <c r="AE1585" s="11" t="e">
        <f t="shared" si="159"/>
        <v>#VALUE!</v>
      </c>
    </row>
    <row r="1586" spans="1:31" x14ac:dyDescent="0.3">
      <c r="A1586">
        <v>23</v>
      </c>
      <c r="B1586">
        <v>4836376</v>
      </c>
      <c r="C1586" t="s">
        <v>38</v>
      </c>
      <c r="D1586">
        <v>1963277</v>
      </c>
      <c r="E1586" t="s">
        <v>250</v>
      </c>
      <c r="F1586" t="s">
        <v>19</v>
      </c>
      <c r="G1586" t="s">
        <v>1497</v>
      </c>
      <c r="H1586" t="s">
        <v>1498</v>
      </c>
      <c r="I1586" t="s">
        <v>3467</v>
      </c>
      <c r="J1586">
        <v>51153917419</v>
      </c>
      <c r="K1586" t="s">
        <v>4089</v>
      </c>
      <c r="L1586" t="s">
        <v>4379</v>
      </c>
      <c r="M1586">
        <v>24000</v>
      </c>
      <c r="N1586" s="10">
        <v>0.22559999999999999</v>
      </c>
      <c r="O1586" s="10">
        <f t="shared" si="155"/>
        <v>5414.4</v>
      </c>
      <c r="P1586" s="10">
        <v>0</v>
      </c>
      <c r="Q1586" s="10">
        <v>0</v>
      </c>
      <c r="R1586" s="10">
        <f>IF(COUNTIF($J$2:J1586,J1586)=1,SUMIFS($O:$O,$J:$J,J1586)+SUMIFS($P:$P,$J:$J,J1586)+SUMIFS($Q:$Q,$J:$J,J1586),"")</f>
        <v>8406.4</v>
      </c>
      <c r="S1586" s="10">
        <v>8406.4</v>
      </c>
      <c r="T1586" s="11" t="str">
        <f t="shared" si="158"/>
        <v>Ok</v>
      </c>
      <c r="U1586" s="12">
        <v>46063</v>
      </c>
      <c r="V1586" s="10">
        <v>5414.4</v>
      </c>
      <c r="W1586" s="10" t="str">
        <f t="shared" si="156"/>
        <v>Short Paid</v>
      </c>
      <c r="X1586" t="s">
        <v>474</v>
      </c>
      <c r="Y1586" t="s">
        <v>28</v>
      </c>
      <c r="Z1586">
        <v>100119</v>
      </c>
      <c r="AA1586" t="s">
        <v>491</v>
      </c>
      <c r="AB1586" t="s">
        <v>524</v>
      </c>
      <c r="AC1586" s="9">
        <v>2</v>
      </c>
      <c r="AD1586" s="9" t="str">
        <f t="shared" si="157"/>
        <v>Ok</v>
      </c>
      <c r="AE1586" s="11">
        <f t="shared" si="159"/>
        <v>0</v>
      </c>
    </row>
    <row r="1587" spans="1:31" x14ac:dyDescent="0.3">
      <c r="A1587">
        <v>23</v>
      </c>
      <c r="B1587">
        <v>4836376</v>
      </c>
      <c r="C1587" t="s">
        <v>38</v>
      </c>
      <c r="D1587">
        <v>1963277</v>
      </c>
      <c r="E1587" t="s">
        <v>250</v>
      </c>
      <c r="F1587" t="s">
        <v>19</v>
      </c>
      <c r="G1587" t="s">
        <v>1497</v>
      </c>
      <c r="H1587" t="s">
        <v>1498</v>
      </c>
      <c r="I1587" t="s">
        <v>3390</v>
      </c>
      <c r="J1587">
        <v>51153917419</v>
      </c>
      <c r="K1587" t="s">
        <v>3216</v>
      </c>
      <c r="L1587" t="s">
        <v>3215</v>
      </c>
      <c r="M1587">
        <v>160000</v>
      </c>
      <c r="N1587" s="10">
        <v>1.8700000000000001E-2</v>
      </c>
      <c r="O1587" s="10">
        <f t="shared" si="155"/>
        <v>2992</v>
      </c>
      <c r="P1587" s="10" t="s">
        <v>5006</v>
      </c>
      <c r="Q1587" s="10" t="s">
        <v>5006</v>
      </c>
      <c r="R1587" s="10" t="str">
        <f>IF(COUNTIF($J$2:J1587,J1587)=1,SUMIFS($O:$O,$J:$J,J1587)+SUMIFS($P:$P,$J:$J,J1587)+SUMIFS($Q:$Q,$J:$J,J1587),"")</f>
        <v/>
      </c>
      <c r="S1587" s="10" t="s">
        <v>5006</v>
      </c>
      <c r="T1587" s="11" t="str">
        <f t="shared" si="158"/>
        <v>Ok</v>
      </c>
      <c r="U1587" s="12">
        <v>46063</v>
      </c>
      <c r="V1587" s="10">
        <v>5414.4</v>
      </c>
      <c r="W1587" s="10" t="str">
        <f t="shared" si="156"/>
        <v>N/A</v>
      </c>
      <c r="X1587" t="s">
        <v>474</v>
      </c>
      <c r="Y1587" t="s">
        <v>28</v>
      </c>
      <c r="Z1587">
        <v>100119</v>
      </c>
      <c r="AA1587" t="s">
        <v>491</v>
      </c>
      <c r="AB1587" t="s">
        <v>524</v>
      </c>
      <c r="AC1587" s="9">
        <v>2</v>
      </c>
      <c r="AD1587" s="9" t="str">
        <f t="shared" si="157"/>
        <v>N/A</v>
      </c>
      <c r="AE1587" s="11" t="e">
        <f t="shared" si="159"/>
        <v>#VALUE!</v>
      </c>
    </row>
    <row r="1588" spans="1:31" x14ac:dyDescent="0.3">
      <c r="A1588">
        <v>9</v>
      </c>
      <c r="B1588">
        <v>4908452</v>
      </c>
      <c r="C1588" t="s">
        <v>60</v>
      </c>
      <c r="D1588">
        <v>1230147</v>
      </c>
      <c r="E1588" t="s">
        <v>4901</v>
      </c>
      <c r="F1588" t="s">
        <v>20</v>
      </c>
      <c r="G1588" t="s">
        <v>1744</v>
      </c>
      <c r="H1588" t="s">
        <v>1745</v>
      </c>
      <c r="I1588" t="s">
        <v>3468</v>
      </c>
      <c r="J1588">
        <v>51153930640</v>
      </c>
      <c r="K1588" t="s">
        <v>3266</v>
      </c>
      <c r="L1588" t="s">
        <v>4380</v>
      </c>
      <c r="M1588">
        <v>2</v>
      </c>
      <c r="N1588" s="10">
        <v>302</v>
      </c>
      <c r="O1588" s="10">
        <f t="shared" si="155"/>
        <v>604</v>
      </c>
      <c r="P1588" s="10">
        <v>0</v>
      </c>
      <c r="Q1588" s="10">
        <v>0</v>
      </c>
      <c r="R1588" s="10">
        <f>IF(COUNTIF($J$2:J1588,J1588)=1,SUMIFS($O:$O,$J:$J,J1588)+SUMIFS($P:$P,$J:$J,J1588)+SUMIFS($Q:$Q,$J:$J,J1588),"")</f>
        <v>987</v>
      </c>
      <c r="S1588" s="10">
        <v>4343.38</v>
      </c>
      <c r="T1588" s="11" t="str">
        <f t="shared" si="158"/>
        <v>Check</v>
      </c>
      <c r="U1588" s="12">
        <v>46114</v>
      </c>
      <c r="V1588" s="10">
        <v>3960.38</v>
      </c>
      <c r="W1588" s="10" t="str">
        <f t="shared" si="156"/>
        <v>Short Paid</v>
      </c>
      <c r="X1588" t="s">
        <v>438</v>
      </c>
      <c r="Y1588" t="s">
        <v>28</v>
      </c>
      <c r="Z1588">
        <v>100283</v>
      </c>
      <c r="AA1588" t="s">
        <v>439</v>
      </c>
      <c r="AB1588" t="s">
        <v>521</v>
      </c>
      <c r="AC1588" s="9">
        <v>2</v>
      </c>
      <c r="AD1588" s="9" t="str">
        <f t="shared" si="157"/>
        <v>Check</v>
      </c>
      <c r="AE1588" s="11">
        <f t="shared" si="159"/>
        <v>-3356.38</v>
      </c>
    </row>
    <row r="1589" spans="1:31" x14ac:dyDescent="0.3">
      <c r="A1589">
        <v>9</v>
      </c>
      <c r="B1589">
        <v>4908452</v>
      </c>
      <c r="C1589" t="s">
        <v>60</v>
      </c>
      <c r="D1589">
        <v>1230147</v>
      </c>
      <c r="E1589" t="s">
        <v>4901</v>
      </c>
      <c r="F1589" t="s">
        <v>20</v>
      </c>
      <c r="G1589" t="s">
        <v>1744</v>
      </c>
      <c r="H1589" t="s">
        <v>1745</v>
      </c>
      <c r="I1589" t="s">
        <v>3232</v>
      </c>
      <c r="J1589">
        <v>51153930640</v>
      </c>
      <c r="K1589" t="s">
        <v>3165</v>
      </c>
      <c r="L1589" t="s">
        <v>4381</v>
      </c>
      <c r="M1589">
        <v>10</v>
      </c>
      <c r="N1589" s="10">
        <v>38.299999999999997</v>
      </c>
      <c r="O1589" s="10">
        <f t="shared" si="155"/>
        <v>383</v>
      </c>
      <c r="P1589" s="10" t="s">
        <v>5006</v>
      </c>
      <c r="Q1589" s="10" t="s">
        <v>5006</v>
      </c>
      <c r="R1589" s="10" t="str">
        <f>IF(COUNTIF($J$2:J1589,J1589)=1,SUMIFS($O:$O,$J:$J,J1589)+SUMIFS($P:$P,$J:$J,J1589)+SUMIFS($Q:$Q,$J:$J,J1589),"")</f>
        <v/>
      </c>
      <c r="S1589" s="10" t="s">
        <v>5006</v>
      </c>
      <c r="T1589" s="11" t="str">
        <f t="shared" si="158"/>
        <v>Check</v>
      </c>
      <c r="U1589" s="12">
        <v>46114</v>
      </c>
      <c r="V1589" s="10">
        <v>3960.38</v>
      </c>
      <c r="W1589" s="10" t="str">
        <f t="shared" si="156"/>
        <v>N/A</v>
      </c>
      <c r="X1589" t="s">
        <v>438</v>
      </c>
      <c r="Y1589" t="s">
        <v>28</v>
      </c>
      <c r="Z1589">
        <v>100283</v>
      </c>
      <c r="AA1589" t="s">
        <v>439</v>
      </c>
      <c r="AB1589" t="s">
        <v>521</v>
      </c>
      <c r="AC1589" s="9">
        <v>2</v>
      </c>
      <c r="AD1589" s="9" t="str">
        <f t="shared" si="157"/>
        <v>N/A</v>
      </c>
      <c r="AE1589" s="11" t="e">
        <f t="shared" si="159"/>
        <v>#VALUE!</v>
      </c>
    </row>
    <row r="1590" spans="1:31" x14ac:dyDescent="0.3">
      <c r="A1590">
        <v>30</v>
      </c>
      <c r="B1590">
        <v>4759013</v>
      </c>
      <c r="C1590" t="s">
        <v>160</v>
      </c>
      <c r="D1590">
        <v>1187239</v>
      </c>
      <c r="E1590" t="s">
        <v>663</v>
      </c>
      <c r="F1590" t="s">
        <v>20</v>
      </c>
      <c r="G1590" t="s">
        <v>1302</v>
      </c>
      <c r="H1590" t="s">
        <v>1303</v>
      </c>
      <c r="I1590" t="s">
        <v>3524</v>
      </c>
      <c r="J1590">
        <v>51153964327</v>
      </c>
      <c r="K1590" t="s">
        <v>3537</v>
      </c>
      <c r="L1590" t="s">
        <v>4382</v>
      </c>
      <c r="M1590">
        <v>250</v>
      </c>
      <c r="N1590" s="10">
        <v>4</v>
      </c>
      <c r="O1590" s="10">
        <f t="shared" si="155"/>
        <v>1000</v>
      </c>
      <c r="P1590" s="10">
        <v>0</v>
      </c>
      <c r="Q1590" s="10">
        <v>190</v>
      </c>
      <c r="R1590" s="10">
        <f>IF(COUNTIF($J$2:J1590,J1590)=1,SUMIFS($O:$O,$J:$J,J1590)+SUMIFS($P:$P,$J:$J,J1590)+SUMIFS($Q:$Q,$J:$J,J1590),"")</f>
        <v>48860</v>
      </c>
      <c r="S1590" s="10">
        <v>48860</v>
      </c>
      <c r="T1590" s="11" t="str">
        <f t="shared" si="158"/>
        <v>Ok</v>
      </c>
      <c r="U1590" s="12">
        <v>46064</v>
      </c>
      <c r="V1590" s="10">
        <v>1190</v>
      </c>
      <c r="W1590" s="10" t="str">
        <f t="shared" si="156"/>
        <v>Short Paid</v>
      </c>
      <c r="X1590" t="s">
        <v>453</v>
      </c>
      <c r="Y1590" t="s">
        <v>28</v>
      </c>
      <c r="Z1590">
        <v>100154</v>
      </c>
      <c r="AA1590" t="s">
        <v>480</v>
      </c>
      <c r="AB1590" t="s">
        <v>521</v>
      </c>
      <c r="AC1590" s="9">
        <v>2</v>
      </c>
      <c r="AD1590" s="9" t="str">
        <f t="shared" si="157"/>
        <v>Ok</v>
      </c>
      <c r="AE1590" s="11">
        <f t="shared" si="159"/>
        <v>0</v>
      </c>
    </row>
    <row r="1591" spans="1:31" x14ac:dyDescent="0.3">
      <c r="A1591">
        <v>30</v>
      </c>
      <c r="B1591">
        <v>4759013</v>
      </c>
      <c r="C1591" t="s">
        <v>160</v>
      </c>
      <c r="D1591">
        <v>1187239</v>
      </c>
      <c r="E1591" t="s">
        <v>663</v>
      </c>
      <c r="F1591" t="s">
        <v>20</v>
      </c>
      <c r="G1591" t="s">
        <v>1302</v>
      </c>
      <c r="H1591" t="s">
        <v>1303</v>
      </c>
      <c r="I1591" t="s">
        <v>3234</v>
      </c>
      <c r="J1591">
        <v>51153964327</v>
      </c>
      <c r="K1591" t="s">
        <v>3168</v>
      </c>
      <c r="L1591" t="s">
        <v>4383</v>
      </c>
      <c r="M1591">
        <v>15</v>
      </c>
      <c r="N1591" s="10">
        <v>3178</v>
      </c>
      <c r="O1591" s="10">
        <f t="shared" si="155"/>
        <v>47670</v>
      </c>
      <c r="P1591" s="10" t="s">
        <v>5006</v>
      </c>
      <c r="Q1591" s="10" t="s">
        <v>5006</v>
      </c>
      <c r="R1591" s="10" t="str">
        <f>IF(COUNTIF($J$2:J1591,J1591)=1,SUMIFS($O:$O,$J:$J,J1591)+SUMIFS($P:$P,$J:$J,J1591)+SUMIFS($Q:$Q,$J:$J,J1591),"")</f>
        <v/>
      </c>
      <c r="S1591" s="10" t="s">
        <v>5006</v>
      </c>
      <c r="T1591" s="11" t="str">
        <f t="shared" si="158"/>
        <v>Ok</v>
      </c>
      <c r="U1591" s="12">
        <v>46064</v>
      </c>
      <c r="V1591" s="10">
        <v>1190</v>
      </c>
      <c r="W1591" s="10" t="str">
        <f t="shared" si="156"/>
        <v>N/A</v>
      </c>
      <c r="X1591" t="s">
        <v>453</v>
      </c>
      <c r="Y1591" t="s">
        <v>28</v>
      </c>
      <c r="Z1591">
        <v>100154</v>
      </c>
      <c r="AA1591" t="s">
        <v>480</v>
      </c>
      <c r="AB1591" t="s">
        <v>521</v>
      </c>
      <c r="AC1591" s="9">
        <v>2</v>
      </c>
      <c r="AD1591" s="9" t="str">
        <f t="shared" si="157"/>
        <v>N/A</v>
      </c>
      <c r="AE1591" s="11" t="e">
        <f t="shared" si="159"/>
        <v>#VALUE!</v>
      </c>
    </row>
    <row r="1592" spans="1:31" x14ac:dyDescent="0.3">
      <c r="A1592">
        <v>22</v>
      </c>
      <c r="B1592">
        <v>4837211</v>
      </c>
      <c r="C1592" t="s">
        <v>56</v>
      </c>
      <c r="D1592">
        <v>1468334</v>
      </c>
      <c r="E1592" t="s">
        <v>606</v>
      </c>
      <c r="F1592" t="s">
        <v>49</v>
      </c>
      <c r="G1592" t="s">
        <v>1475</v>
      </c>
      <c r="H1592" t="s">
        <v>1476</v>
      </c>
      <c r="I1592" t="s">
        <v>3344</v>
      </c>
      <c r="J1592">
        <v>51154039656</v>
      </c>
      <c r="K1592" t="s">
        <v>3500</v>
      </c>
      <c r="L1592" t="s">
        <v>4384</v>
      </c>
      <c r="M1592">
        <v>34</v>
      </c>
      <c r="N1592" s="10">
        <v>71.13</v>
      </c>
      <c r="O1592" s="10">
        <f t="shared" si="155"/>
        <v>2418.42</v>
      </c>
      <c r="P1592" s="10">
        <v>314.39</v>
      </c>
      <c r="Q1592" s="10">
        <v>0</v>
      </c>
      <c r="R1592" s="10">
        <f>IF(COUNTIF($J$2:J1592,J1592)=1,SUMIFS($O:$O,$J:$J,J1592)+SUMIFS($P:$P,$J:$J,J1592)+SUMIFS($Q:$Q,$J:$J,J1592),"")</f>
        <v>8627.35</v>
      </c>
      <c r="S1592" s="10">
        <v>8627.35</v>
      </c>
      <c r="T1592" s="11" t="str">
        <f t="shared" si="158"/>
        <v>Ok</v>
      </c>
      <c r="U1592" s="12">
        <v>46035</v>
      </c>
      <c r="V1592" s="10">
        <v>314.39</v>
      </c>
      <c r="W1592" s="10" t="str">
        <f t="shared" si="156"/>
        <v>Short Paid</v>
      </c>
      <c r="X1592" t="s">
        <v>435</v>
      </c>
      <c r="Y1592" t="s">
        <v>29</v>
      </c>
      <c r="Z1592">
        <v>100291</v>
      </c>
      <c r="AA1592" t="s">
        <v>3147</v>
      </c>
      <c r="AB1592" t="s">
        <v>3041</v>
      </c>
      <c r="AC1592" s="9">
        <v>5</v>
      </c>
      <c r="AD1592" s="9" t="str">
        <f t="shared" si="157"/>
        <v>Ok</v>
      </c>
      <c r="AE1592" s="11">
        <f t="shared" si="159"/>
        <v>0</v>
      </c>
    </row>
    <row r="1593" spans="1:31" x14ac:dyDescent="0.3">
      <c r="A1593">
        <v>22</v>
      </c>
      <c r="B1593">
        <v>4837211</v>
      </c>
      <c r="C1593" t="s">
        <v>56</v>
      </c>
      <c r="D1593">
        <v>1468334</v>
      </c>
      <c r="E1593" t="s">
        <v>606</v>
      </c>
      <c r="F1593" t="s">
        <v>49</v>
      </c>
      <c r="G1593" t="s">
        <v>1475</v>
      </c>
      <c r="H1593" t="s">
        <v>1476</v>
      </c>
      <c r="I1593" t="s">
        <v>3408</v>
      </c>
      <c r="J1593">
        <v>51154039656</v>
      </c>
      <c r="K1593" t="s">
        <v>3216</v>
      </c>
      <c r="L1593" t="s">
        <v>3215</v>
      </c>
      <c r="M1593">
        <v>100000</v>
      </c>
      <c r="N1593" s="10">
        <v>1.8700000000000001E-2</v>
      </c>
      <c r="O1593" s="10">
        <f t="shared" si="155"/>
        <v>1870.0000000000002</v>
      </c>
      <c r="P1593" s="10" t="s">
        <v>5006</v>
      </c>
      <c r="Q1593" s="10" t="s">
        <v>5006</v>
      </c>
      <c r="R1593" s="10" t="str">
        <f>IF(COUNTIF($J$2:J1593,J1593)=1,SUMIFS($O:$O,$J:$J,J1593)+SUMIFS($P:$P,$J:$J,J1593)+SUMIFS($Q:$Q,$J:$J,J1593),"")</f>
        <v/>
      </c>
      <c r="S1593" s="10" t="s">
        <v>5006</v>
      </c>
      <c r="T1593" s="11" t="str">
        <f t="shared" si="158"/>
        <v>Ok</v>
      </c>
      <c r="U1593" s="12">
        <v>46035</v>
      </c>
      <c r="V1593" s="10">
        <v>314.39</v>
      </c>
      <c r="W1593" s="10" t="str">
        <f t="shared" si="156"/>
        <v>N/A</v>
      </c>
      <c r="X1593" t="s">
        <v>435</v>
      </c>
      <c r="Y1593" t="s">
        <v>29</v>
      </c>
      <c r="Z1593">
        <v>100291</v>
      </c>
      <c r="AA1593" t="s">
        <v>3147</v>
      </c>
      <c r="AB1593" t="s">
        <v>3041</v>
      </c>
      <c r="AC1593" s="9">
        <v>5</v>
      </c>
      <c r="AD1593" s="9" t="str">
        <f t="shared" si="157"/>
        <v>N/A</v>
      </c>
      <c r="AE1593" s="11" t="e">
        <f t="shared" si="159"/>
        <v>#VALUE!</v>
      </c>
    </row>
    <row r="1594" spans="1:31" x14ac:dyDescent="0.3">
      <c r="A1594">
        <v>22</v>
      </c>
      <c r="B1594">
        <v>4837211</v>
      </c>
      <c r="C1594" t="s">
        <v>56</v>
      </c>
      <c r="D1594">
        <v>1468334</v>
      </c>
      <c r="E1594" t="s">
        <v>606</v>
      </c>
      <c r="F1594" t="s">
        <v>49</v>
      </c>
      <c r="G1594" t="s">
        <v>1475</v>
      </c>
      <c r="H1594" t="s">
        <v>1476</v>
      </c>
      <c r="I1594" t="s">
        <v>3408</v>
      </c>
      <c r="J1594">
        <v>51154039656</v>
      </c>
      <c r="K1594" t="s">
        <v>3229</v>
      </c>
      <c r="L1594" t="s">
        <v>3877</v>
      </c>
      <c r="M1594">
        <v>20000</v>
      </c>
      <c r="N1594" s="10">
        <v>1.9879999999999998E-2</v>
      </c>
      <c r="O1594" s="10">
        <f t="shared" si="155"/>
        <v>397.59999999999997</v>
      </c>
      <c r="P1594" s="10" t="s">
        <v>5006</v>
      </c>
      <c r="Q1594" s="10" t="s">
        <v>5006</v>
      </c>
      <c r="R1594" s="10" t="str">
        <f>IF(COUNTIF($J$2:J1594,J1594)=1,SUMIFS($O:$O,$J:$J,J1594)+SUMIFS($P:$P,$J:$J,J1594)+SUMIFS($Q:$Q,$J:$J,J1594),"")</f>
        <v/>
      </c>
      <c r="S1594" s="10" t="s">
        <v>5006</v>
      </c>
      <c r="T1594" s="11" t="str">
        <f t="shared" si="158"/>
        <v>Ok</v>
      </c>
      <c r="U1594" s="12">
        <v>46035</v>
      </c>
      <c r="V1594" s="10">
        <v>314.39</v>
      </c>
      <c r="W1594" s="10" t="str">
        <f t="shared" si="156"/>
        <v>N/A</v>
      </c>
      <c r="X1594" t="s">
        <v>435</v>
      </c>
      <c r="Y1594" t="s">
        <v>29</v>
      </c>
      <c r="Z1594">
        <v>100291</v>
      </c>
      <c r="AA1594" t="s">
        <v>3147</v>
      </c>
      <c r="AB1594" t="s">
        <v>3041</v>
      </c>
      <c r="AC1594" s="9">
        <v>5</v>
      </c>
      <c r="AD1594" s="9" t="str">
        <f t="shared" si="157"/>
        <v>N/A</v>
      </c>
      <c r="AE1594" s="11" t="e">
        <f t="shared" si="159"/>
        <v>#VALUE!</v>
      </c>
    </row>
    <row r="1595" spans="1:31" x14ac:dyDescent="0.3">
      <c r="A1595">
        <v>22</v>
      </c>
      <c r="B1595">
        <v>4837211</v>
      </c>
      <c r="C1595" t="s">
        <v>56</v>
      </c>
      <c r="D1595">
        <v>1468334</v>
      </c>
      <c r="E1595" t="s">
        <v>606</v>
      </c>
      <c r="F1595" t="s">
        <v>49</v>
      </c>
      <c r="G1595" t="s">
        <v>1475</v>
      </c>
      <c r="H1595" t="s">
        <v>1476</v>
      </c>
      <c r="I1595" t="s">
        <v>3408</v>
      </c>
      <c r="J1595">
        <v>51154039656</v>
      </c>
      <c r="K1595" t="s">
        <v>3266</v>
      </c>
      <c r="L1595" t="s">
        <v>3893</v>
      </c>
      <c r="M1595">
        <v>2592</v>
      </c>
      <c r="N1595" s="10">
        <v>1.27</v>
      </c>
      <c r="O1595" s="10">
        <f t="shared" si="155"/>
        <v>3291.84</v>
      </c>
      <c r="P1595" s="10" t="s">
        <v>5006</v>
      </c>
      <c r="Q1595" s="10" t="s">
        <v>5006</v>
      </c>
      <c r="R1595" s="10" t="str">
        <f>IF(COUNTIF($J$2:J1595,J1595)=1,SUMIFS($O:$O,$J:$J,J1595)+SUMIFS($P:$P,$J:$J,J1595)+SUMIFS($Q:$Q,$J:$J,J1595),"")</f>
        <v/>
      </c>
      <c r="S1595" s="10" t="s">
        <v>5006</v>
      </c>
      <c r="T1595" s="11" t="str">
        <f t="shared" si="158"/>
        <v>Ok</v>
      </c>
      <c r="U1595" s="12">
        <v>46035</v>
      </c>
      <c r="V1595" s="10">
        <v>314.39</v>
      </c>
      <c r="W1595" s="10" t="str">
        <f t="shared" si="156"/>
        <v>N/A</v>
      </c>
      <c r="X1595" t="s">
        <v>435</v>
      </c>
      <c r="Y1595" t="s">
        <v>29</v>
      </c>
      <c r="Z1595">
        <v>100291</v>
      </c>
      <c r="AA1595" t="s">
        <v>3147</v>
      </c>
      <c r="AB1595" t="s">
        <v>3041</v>
      </c>
      <c r="AC1595" s="9">
        <v>5</v>
      </c>
      <c r="AD1595" s="9" t="str">
        <f t="shared" si="157"/>
        <v>N/A</v>
      </c>
      <c r="AE1595" s="11" t="e">
        <f t="shared" si="159"/>
        <v>#VALUE!</v>
      </c>
    </row>
    <row r="1596" spans="1:31" x14ac:dyDescent="0.3">
      <c r="A1596">
        <v>22</v>
      </c>
      <c r="B1596">
        <v>4837211</v>
      </c>
      <c r="C1596" t="s">
        <v>56</v>
      </c>
      <c r="D1596">
        <v>1468334</v>
      </c>
      <c r="E1596" t="s">
        <v>606</v>
      </c>
      <c r="F1596" t="s">
        <v>49</v>
      </c>
      <c r="G1596" t="s">
        <v>1475</v>
      </c>
      <c r="H1596" t="s">
        <v>1476</v>
      </c>
      <c r="I1596" t="s">
        <v>3408</v>
      </c>
      <c r="J1596">
        <v>51154039656</v>
      </c>
      <c r="K1596" t="s">
        <v>3318</v>
      </c>
      <c r="L1596" t="s">
        <v>3317</v>
      </c>
      <c r="M1596">
        <v>3000</v>
      </c>
      <c r="N1596" s="10">
        <v>0.11169999999999998</v>
      </c>
      <c r="O1596" s="10">
        <f t="shared" si="155"/>
        <v>335.09999999999997</v>
      </c>
      <c r="P1596" s="10" t="s">
        <v>5006</v>
      </c>
      <c r="Q1596" s="10" t="s">
        <v>5006</v>
      </c>
      <c r="R1596" s="10" t="str">
        <f>IF(COUNTIF($J$2:J1596,J1596)=1,SUMIFS($O:$O,$J:$J,J1596)+SUMIFS($P:$P,$J:$J,J1596)+SUMIFS($Q:$Q,$J:$J,J1596),"")</f>
        <v/>
      </c>
      <c r="S1596" s="10" t="s">
        <v>5006</v>
      </c>
      <c r="T1596" s="11" t="str">
        <f t="shared" si="158"/>
        <v>Ok</v>
      </c>
      <c r="U1596" s="12">
        <v>46035</v>
      </c>
      <c r="V1596" s="10">
        <v>314.39</v>
      </c>
      <c r="W1596" s="10" t="str">
        <f t="shared" si="156"/>
        <v>N/A</v>
      </c>
      <c r="X1596" t="s">
        <v>435</v>
      </c>
      <c r="Y1596" t="s">
        <v>29</v>
      </c>
      <c r="Z1596">
        <v>100291</v>
      </c>
      <c r="AA1596" t="s">
        <v>3147</v>
      </c>
      <c r="AB1596" t="s">
        <v>3041</v>
      </c>
      <c r="AC1596" s="9">
        <v>5</v>
      </c>
      <c r="AD1596" s="9" t="str">
        <f t="shared" si="157"/>
        <v>N/A</v>
      </c>
      <c r="AE1596" s="11" t="e">
        <f t="shared" si="159"/>
        <v>#VALUE!</v>
      </c>
    </row>
    <row r="1597" spans="1:31" x14ac:dyDescent="0.3">
      <c r="A1597">
        <v>22</v>
      </c>
      <c r="B1597">
        <v>4840828</v>
      </c>
      <c r="C1597" t="s">
        <v>220</v>
      </c>
      <c r="D1597">
        <v>1125734</v>
      </c>
      <c r="E1597" t="s">
        <v>532</v>
      </c>
      <c r="F1597" t="s">
        <v>20</v>
      </c>
      <c r="G1597" t="s">
        <v>1520</v>
      </c>
      <c r="H1597" t="s">
        <v>1521</v>
      </c>
      <c r="I1597" t="s">
        <v>3291</v>
      </c>
      <c r="J1597">
        <v>51154045073</v>
      </c>
      <c r="K1597" t="s">
        <v>4386</v>
      </c>
      <c r="L1597" t="s">
        <v>4385</v>
      </c>
      <c r="M1597">
        <v>1960</v>
      </c>
      <c r="N1597" s="10">
        <v>1.1000000000000001</v>
      </c>
      <c r="O1597" s="10">
        <f t="shared" si="155"/>
        <v>2156</v>
      </c>
      <c r="P1597" s="10">
        <v>177.87</v>
      </c>
      <c r="Q1597" s="10">
        <v>0</v>
      </c>
      <c r="R1597" s="10">
        <f>IF(COUNTIF($J$2:J1597,J1597)=1,SUMIFS($O:$O,$J:$J,J1597)+SUMIFS($P:$P,$J:$J,J1597)+SUMIFS($Q:$Q,$J:$J,J1597),"")</f>
        <v>5206.82</v>
      </c>
      <c r="S1597" s="10">
        <v>5206.82</v>
      </c>
      <c r="T1597" s="11" t="str">
        <f t="shared" si="158"/>
        <v>Ok</v>
      </c>
      <c r="U1597" s="12">
        <v>45969</v>
      </c>
      <c r="V1597" s="10">
        <v>2872.95</v>
      </c>
      <c r="W1597" s="10" t="str">
        <f t="shared" si="156"/>
        <v>Short Paid</v>
      </c>
      <c r="X1597" t="s">
        <v>470</v>
      </c>
      <c r="Y1597" t="s">
        <v>28</v>
      </c>
      <c r="Z1597">
        <v>100238</v>
      </c>
      <c r="AA1597" t="s">
        <v>3078</v>
      </c>
      <c r="AB1597" t="s">
        <v>521</v>
      </c>
      <c r="AC1597" s="9">
        <v>2</v>
      </c>
      <c r="AD1597" s="9" t="str">
        <f t="shared" si="157"/>
        <v>Ok</v>
      </c>
      <c r="AE1597" s="11">
        <f t="shared" si="159"/>
        <v>0</v>
      </c>
    </row>
    <row r="1598" spans="1:31" x14ac:dyDescent="0.3">
      <c r="A1598">
        <v>22</v>
      </c>
      <c r="B1598">
        <v>4840828</v>
      </c>
      <c r="C1598" t="s">
        <v>220</v>
      </c>
      <c r="D1598">
        <v>1125734</v>
      </c>
      <c r="E1598" t="s">
        <v>532</v>
      </c>
      <c r="F1598" t="s">
        <v>20</v>
      </c>
      <c r="G1598" t="s">
        <v>1520</v>
      </c>
      <c r="H1598" t="s">
        <v>1521</v>
      </c>
      <c r="I1598" t="s">
        <v>3381</v>
      </c>
      <c r="J1598">
        <v>51154045073</v>
      </c>
      <c r="K1598" t="s">
        <v>3266</v>
      </c>
      <c r="L1598" t="s">
        <v>4387</v>
      </c>
      <c r="M1598">
        <v>3000</v>
      </c>
      <c r="N1598" s="10">
        <v>0.95765</v>
      </c>
      <c r="O1598" s="10">
        <f t="shared" si="155"/>
        <v>2872.95</v>
      </c>
      <c r="P1598" s="10" t="s">
        <v>5006</v>
      </c>
      <c r="Q1598" s="10" t="s">
        <v>5006</v>
      </c>
      <c r="R1598" s="10" t="str">
        <f>IF(COUNTIF($J$2:J1598,J1598)=1,SUMIFS($O:$O,$J:$J,J1598)+SUMIFS($P:$P,$J:$J,J1598)+SUMIFS($Q:$Q,$J:$J,J1598),"")</f>
        <v/>
      </c>
      <c r="S1598" s="10" t="s">
        <v>5006</v>
      </c>
      <c r="T1598" s="11" t="str">
        <f t="shared" si="158"/>
        <v>Ok</v>
      </c>
      <c r="U1598" s="12">
        <v>45969</v>
      </c>
      <c r="V1598" s="10">
        <v>2872.95</v>
      </c>
      <c r="W1598" s="10" t="str">
        <f t="shared" si="156"/>
        <v>N/A</v>
      </c>
      <c r="X1598" t="s">
        <v>470</v>
      </c>
      <c r="Y1598" t="s">
        <v>28</v>
      </c>
      <c r="Z1598">
        <v>100238</v>
      </c>
      <c r="AA1598" t="s">
        <v>3078</v>
      </c>
      <c r="AB1598" t="s">
        <v>521</v>
      </c>
      <c r="AC1598" s="9">
        <v>2</v>
      </c>
      <c r="AD1598" s="9" t="str">
        <f t="shared" si="157"/>
        <v>N/A</v>
      </c>
      <c r="AE1598" s="11" t="e">
        <f t="shared" si="159"/>
        <v>#VALUE!</v>
      </c>
    </row>
    <row r="1599" spans="1:31" x14ac:dyDescent="0.3">
      <c r="A1599">
        <v>21</v>
      </c>
      <c r="B1599">
        <v>4855577</v>
      </c>
      <c r="C1599" t="s">
        <v>167</v>
      </c>
      <c r="D1599">
        <v>1246361</v>
      </c>
      <c r="E1599" t="s">
        <v>623</v>
      </c>
      <c r="F1599" t="s">
        <v>49</v>
      </c>
      <c r="G1599" t="s">
        <v>1563</v>
      </c>
      <c r="H1599" t="s">
        <v>1564</v>
      </c>
      <c r="I1599" t="s">
        <v>3455</v>
      </c>
      <c r="J1599">
        <v>51154076880</v>
      </c>
      <c r="K1599" t="s">
        <v>3165</v>
      </c>
      <c r="L1599" t="s">
        <v>3793</v>
      </c>
      <c r="M1599">
        <v>2</v>
      </c>
      <c r="N1599" s="10">
        <v>25200</v>
      </c>
      <c r="O1599" s="10">
        <f t="shared" si="155"/>
        <v>50400</v>
      </c>
      <c r="P1599" s="10">
        <v>3150</v>
      </c>
      <c r="Q1599" s="10">
        <v>0</v>
      </c>
      <c r="R1599" s="10">
        <f>IF(COUNTIF($J$2:J1599,J1599)=1,SUMIFS($O:$O,$J:$J,J1599)+SUMIFS($P:$P,$J:$J,J1599)+SUMIFS($Q:$Q,$J:$J,J1599),"")</f>
        <v>54015.6</v>
      </c>
      <c r="S1599" s="10">
        <v>54015.6</v>
      </c>
      <c r="T1599" s="11" t="str">
        <f t="shared" si="158"/>
        <v>Ok</v>
      </c>
      <c r="U1599" s="12">
        <v>46111</v>
      </c>
      <c r="V1599" s="10">
        <v>3150</v>
      </c>
      <c r="W1599" s="10" t="str">
        <f t="shared" si="156"/>
        <v>Short Paid</v>
      </c>
      <c r="X1599" t="s">
        <v>455</v>
      </c>
      <c r="Y1599" t="s">
        <v>29</v>
      </c>
      <c r="Z1599">
        <v>100290</v>
      </c>
      <c r="AA1599" t="s">
        <v>3136</v>
      </c>
      <c r="AB1599" t="s">
        <v>3041</v>
      </c>
      <c r="AC1599" s="9">
        <v>2</v>
      </c>
      <c r="AD1599" s="9" t="str">
        <f t="shared" si="157"/>
        <v>Ok</v>
      </c>
      <c r="AE1599" s="11">
        <f t="shared" si="159"/>
        <v>0</v>
      </c>
    </row>
    <row r="1600" spans="1:31" x14ac:dyDescent="0.3">
      <c r="A1600">
        <v>21</v>
      </c>
      <c r="B1600">
        <v>4855577</v>
      </c>
      <c r="C1600" t="s">
        <v>167</v>
      </c>
      <c r="D1600">
        <v>1246361</v>
      </c>
      <c r="E1600" t="s">
        <v>623</v>
      </c>
      <c r="F1600" t="s">
        <v>49</v>
      </c>
      <c r="G1600" t="s">
        <v>1563</v>
      </c>
      <c r="H1600" t="s">
        <v>1564</v>
      </c>
      <c r="I1600" t="s">
        <v>3542</v>
      </c>
      <c r="J1600">
        <v>51154076880</v>
      </c>
      <c r="K1600" t="s">
        <v>3379</v>
      </c>
      <c r="L1600" t="s">
        <v>4388</v>
      </c>
      <c r="M1600">
        <v>6000</v>
      </c>
      <c r="N1600" s="10">
        <v>7.7600000000000002E-2</v>
      </c>
      <c r="O1600" s="10">
        <f t="shared" si="155"/>
        <v>465.6</v>
      </c>
      <c r="P1600" s="10" t="s">
        <v>5006</v>
      </c>
      <c r="Q1600" s="10" t="s">
        <v>5006</v>
      </c>
      <c r="R1600" s="10" t="str">
        <f>IF(COUNTIF($J$2:J1600,J1600)=1,SUMIFS($O:$O,$J:$J,J1600)+SUMIFS($P:$P,$J:$J,J1600)+SUMIFS($Q:$Q,$J:$J,J1600),"")</f>
        <v/>
      </c>
      <c r="S1600" s="10" t="s">
        <v>5006</v>
      </c>
      <c r="T1600" s="11" t="str">
        <f t="shared" si="158"/>
        <v>Ok</v>
      </c>
      <c r="U1600" s="12">
        <v>46111</v>
      </c>
      <c r="V1600" s="10">
        <v>3150</v>
      </c>
      <c r="W1600" s="10" t="str">
        <f t="shared" si="156"/>
        <v>N/A</v>
      </c>
      <c r="X1600" t="s">
        <v>455</v>
      </c>
      <c r="Y1600" t="s">
        <v>29</v>
      </c>
      <c r="Z1600">
        <v>100290</v>
      </c>
      <c r="AA1600" t="s">
        <v>3136</v>
      </c>
      <c r="AB1600" t="s">
        <v>3041</v>
      </c>
      <c r="AC1600" s="9">
        <v>2</v>
      </c>
      <c r="AD1600" s="9" t="str">
        <f t="shared" si="157"/>
        <v>N/A</v>
      </c>
      <c r="AE1600" s="11" t="e">
        <f t="shared" si="159"/>
        <v>#VALUE!</v>
      </c>
    </row>
    <row r="1601" spans="1:31" x14ac:dyDescent="0.3">
      <c r="A1601">
        <v>23</v>
      </c>
      <c r="B1601">
        <v>4835819</v>
      </c>
      <c r="C1601" t="s">
        <v>167</v>
      </c>
      <c r="D1601">
        <v>1468844</v>
      </c>
      <c r="E1601" t="s">
        <v>718</v>
      </c>
      <c r="F1601" t="s">
        <v>24</v>
      </c>
      <c r="G1601" t="s">
        <v>1489</v>
      </c>
      <c r="H1601" t="s">
        <v>1490</v>
      </c>
      <c r="I1601" t="s">
        <v>3365</v>
      </c>
      <c r="J1601">
        <v>51154099481</v>
      </c>
      <c r="K1601" t="s">
        <v>3246</v>
      </c>
      <c r="L1601" t="s">
        <v>3458</v>
      </c>
      <c r="M1601">
        <v>12000</v>
      </c>
      <c r="N1601" s="10">
        <v>0.24890000000000001</v>
      </c>
      <c r="O1601" s="10">
        <f t="shared" si="155"/>
        <v>2986.8</v>
      </c>
      <c r="P1601" s="10">
        <v>710.72</v>
      </c>
      <c r="Q1601" s="10">
        <v>0</v>
      </c>
      <c r="R1601" s="10">
        <f>IF(COUNTIF($J$2:J1601,J1601)=1,SUMIFS($O:$O,$J:$J,J1601)+SUMIFS($P:$P,$J:$J,J1601)+SUMIFS($Q:$Q,$J:$J,J1601),"")</f>
        <v>8443.58</v>
      </c>
      <c r="S1601" s="10">
        <v>8443.58</v>
      </c>
      <c r="T1601" s="11" t="str">
        <f t="shared" si="158"/>
        <v>Ok</v>
      </c>
      <c r="U1601" s="12">
        <v>46136</v>
      </c>
      <c r="V1601" s="10">
        <v>200</v>
      </c>
      <c r="W1601" s="10" t="str">
        <f t="shared" si="156"/>
        <v>Short Paid</v>
      </c>
      <c r="X1601" t="s">
        <v>455</v>
      </c>
      <c r="Y1601" t="s">
        <v>40</v>
      </c>
      <c r="Z1601">
        <v>100180</v>
      </c>
      <c r="AA1601" t="s">
        <v>3049</v>
      </c>
      <c r="AB1601" t="s">
        <v>522</v>
      </c>
      <c r="AC1601" s="9">
        <v>2</v>
      </c>
      <c r="AD1601" s="9" t="str">
        <f t="shared" si="157"/>
        <v>Ok</v>
      </c>
      <c r="AE1601" s="11">
        <f t="shared" si="159"/>
        <v>0</v>
      </c>
    </row>
    <row r="1602" spans="1:31" x14ac:dyDescent="0.3">
      <c r="A1602">
        <v>23</v>
      </c>
      <c r="B1602">
        <v>4835819</v>
      </c>
      <c r="C1602" t="s">
        <v>167</v>
      </c>
      <c r="D1602">
        <v>1468844</v>
      </c>
      <c r="E1602" t="s">
        <v>718</v>
      </c>
      <c r="F1602" t="s">
        <v>24</v>
      </c>
      <c r="G1602" t="s">
        <v>1489</v>
      </c>
      <c r="H1602" t="s">
        <v>1490</v>
      </c>
      <c r="I1602" t="s">
        <v>3439</v>
      </c>
      <c r="J1602">
        <v>51154099481</v>
      </c>
      <c r="K1602" t="s">
        <v>3281</v>
      </c>
      <c r="L1602" t="s">
        <v>4389</v>
      </c>
      <c r="M1602">
        <v>6</v>
      </c>
      <c r="N1602" s="10">
        <v>791.01</v>
      </c>
      <c r="O1602" s="10">
        <f t="shared" ref="O1602:O1665" si="160">M1602*N1602</f>
        <v>4746.0599999999995</v>
      </c>
      <c r="P1602" s="10" t="s">
        <v>5006</v>
      </c>
      <c r="Q1602" s="10" t="s">
        <v>5006</v>
      </c>
      <c r="R1602" s="10" t="str">
        <f>IF(COUNTIF($J$2:J1602,J1602)=1,SUMIFS($O:$O,$J:$J,J1602)+SUMIFS($P:$P,$J:$J,J1602)+SUMIFS($Q:$Q,$J:$J,J1602),"")</f>
        <v/>
      </c>
      <c r="S1602" s="10" t="s">
        <v>5006</v>
      </c>
      <c r="T1602" s="11" t="str">
        <f t="shared" si="158"/>
        <v>Ok</v>
      </c>
      <c r="U1602" s="12">
        <v>46136</v>
      </c>
      <c r="V1602" s="10">
        <v>200</v>
      </c>
      <c r="W1602" s="10" t="str">
        <f t="shared" ref="W1602:W1665" si="161">IF(OR(S1602="",V1602=""),"N/A",IF(S1602&lt;&gt;V1602,"Short Paid","Not Paid"))</f>
        <v>N/A</v>
      </c>
      <c r="X1602" t="s">
        <v>455</v>
      </c>
      <c r="Y1602" t="s">
        <v>40</v>
      </c>
      <c r="Z1602">
        <v>100180</v>
      </c>
      <c r="AA1602" t="s">
        <v>3049</v>
      </c>
      <c r="AB1602" t="s">
        <v>522</v>
      </c>
      <c r="AC1602" s="9">
        <v>2</v>
      </c>
      <c r="AD1602" s="9" t="str">
        <f t="shared" ref="AD1602:AD1665" si="162">IF(AND(R1602="",S1602=""),"N/A",IF(R1602=S1602,"Ok","Check"))</f>
        <v>N/A</v>
      </c>
      <c r="AE1602" s="11" t="e">
        <f t="shared" si="159"/>
        <v>#VALUE!</v>
      </c>
    </row>
    <row r="1603" spans="1:31" x14ac:dyDescent="0.3">
      <c r="A1603">
        <v>9</v>
      </c>
      <c r="B1603">
        <v>4904834</v>
      </c>
      <c r="C1603" t="s">
        <v>239</v>
      </c>
      <c r="D1603">
        <v>1055845</v>
      </c>
      <c r="E1603" t="s">
        <v>537</v>
      </c>
      <c r="F1603" t="s">
        <v>49</v>
      </c>
      <c r="G1603" t="s">
        <v>1734</v>
      </c>
      <c r="H1603" t="s">
        <v>1735</v>
      </c>
      <c r="I1603" t="s">
        <v>3163</v>
      </c>
      <c r="J1603">
        <v>51154101253</v>
      </c>
      <c r="K1603" t="s">
        <v>4391</v>
      </c>
      <c r="L1603" t="s">
        <v>4390</v>
      </c>
      <c r="M1603">
        <v>500</v>
      </c>
      <c r="N1603" s="10">
        <v>6.28</v>
      </c>
      <c r="O1603" s="10">
        <f t="shared" si="160"/>
        <v>3140</v>
      </c>
      <c r="P1603" s="10">
        <v>470.22</v>
      </c>
      <c r="Q1603" s="10">
        <v>0</v>
      </c>
      <c r="R1603" s="10">
        <f>IF(COUNTIF($J$2:J1603,J1603)=1,SUMIFS($O:$O,$J:$J,J1603)+SUMIFS($P:$P,$J:$J,J1603)+SUMIFS($Q:$Q,$J:$J,J1603),"")</f>
        <v>5880.62</v>
      </c>
      <c r="S1603" s="10">
        <v>5880.62</v>
      </c>
      <c r="T1603" s="11" t="str">
        <f t="shared" ref="T1603:T1666" si="163">IFERROR(INDEX(AD:AD,MATCH(J1603,J:J,0)),"")</f>
        <v>Ok</v>
      </c>
      <c r="U1603" s="12">
        <v>45940</v>
      </c>
      <c r="V1603" s="10">
        <v>313.22000000000003</v>
      </c>
      <c r="W1603" s="10" t="str">
        <f t="shared" si="161"/>
        <v>Short Paid</v>
      </c>
      <c r="X1603" t="s">
        <v>476</v>
      </c>
      <c r="Y1603" t="s">
        <v>29</v>
      </c>
      <c r="Z1603">
        <v>100295</v>
      </c>
      <c r="AA1603" t="s">
        <v>3127</v>
      </c>
      <c r="AB1603" t="s">
        <v>3041</v>
      </c>
      <c r="AC1603" s="9">
        <v>2</v>
      </c>
      <c r="AD1603" s="9" t="str">
        <f t="shared" si="162"/>
        <v>Ok</v>
      </c>
      <c r="AE1603" s="11">
        <f t="shared" si="159"/>
        <v>0</v>
      </c>
    </row>
    <row r="1604" spans="1:31" x14ac:dyDescent="0.3">
      <c r="A1604">
        <v>9</v>
      </c>
      <c r="B1604">
        <v>4904834</v>
      </c>
      <c r="C1604" t="s">
        <v>239</v>
      </c>
      <c r="D1604">
        <v>1055845</v>
      </c>
      <c r="E1604" t="s">
        <v>537</v>
      </c>
      <c r="F1604" t="s">
        <v>49</v>
      </c>
      <c r="G1604" t="s">
        <v>1734</v>
      </c>
      <c r="H1604" t="s">
        <v>1735</v>
      </c>
      <c r="I1604" t="s">
        <v>3446</v>
      </c>
      <c r="J1604">
        <v>51154101253</v>
      </c>
      <c r="K1604" t="s">
        <v>3168</v>
      </c>
      <c r="L1604" t="s">
        <v>3541</v>
      </c>
      <c r="M1604">
        <v>33000</v>
      </c>
      <c r="N1604" s="10">
        <v>6.88E-2</v>
      </c>
      <c r="O1604" s="10">
        <f t="shared" si="160"/>
        <v>2270.4</v>
      </c>
      <c r="P1604" s="10" t="s">
        <v>5006</v>
      </c>
      <c r="Q1604" s="10" t="s">
        <v>5006</v>
      </c>
      <c r="R1604" s="10" t="str">
        <f>IF(COUNTIF($J$2:J1604,J1604)=1,SUMIFS($O:$O,$J:$J,J1604)+SUMIFS($P:$P,$J:$J,J1604)+SUMIFS($Q:$Q,$J:$J,J1604),"")</f>
        <v/>
      </c>
      <c r="S1604" s="10" t="s">
        <v>5006</v>
      </c>
      <c r="T1604" s="11" t="str">
        <f t="shared" si="163"/>
        <v>Ok</v>
      </c>
      <c r="U1604" s="12">
        <v>45940</v>
      </c>
      <c r="V1604" s="10">
        <v>313.22000000000003</v>
      </c>
      <c r="W1604" s="10" t="str">
        <f t="shared" si="161"/>
        <v>N/A</v>
      </c>
      <c r="X1604" t="s">
        <v>476</v>
      </c>
      <c r="Y1604" t="s">
        <v>29</v>
      </c>
      <c r="Z1604">
        <v>100295</v>
      </c>
      <c r="AA1604" t="s">
        <v>3127</v>
      </c>
      <c r="AB1604" t="s">
        <v>3041</v>
      </c>
      <c r="AC1604" s="9">
        <v>2</v>
      </c>
      <c r="AD1604" s="9" t="str">
        <f t="shared" si="162"/>
        <v>N/A</v>
      </c>
      <c r="AE1604" s="11" t="e">
        <f t="shared" si="159"/>
        <v>#VALUE!</v>
      </c>
    </row>
    <row r="1605" spans="1:31" x14ac:dyDescent="0.3">
      <c r="A1605">
        <v>15</v>
      </c>
      <c r="B1605">
        <v>4879232</v>
      </c>
      <c r="C1605" t="s">
        <v>217</v>
      </c>
      <c r="D1605">
        <v>1160621</v>
      </c>
      <c r="E1605" t="s">
        <v>571</v>
      </c>
      <c r="F1605" t="s">
        <v>18</v>
      </c>
      <c r="G1605" t="s">
        <v>1648</v>
      </c>
      <c r="H1605" t="s">
        <v>1649</v>
      </c>
      <c r="I1605" t="s">
        <v>3496</v>
      </c>
      <c r="J1605">
        <v>51154119505</v>
      </c>
      <c r="K1605" t="s">
        <v>3229</v>
      </c>
      <c r="L1605" t="s">
        <v>4392</v>
      </c>
      <c r="M1605">
        <v>14000</v>
      </c>
      <c r="N1605" s="10">
        <v>0.17272999999999999</v>
      </c>
      <c r="O1605" s="10">
        <f t="shared" si="160"/>
        <v>2418.2199999999998</v>
      </c>
      <c r="P1605" s="10">
        <v>0</v>
      </c>
      <c r="Q1605" s="10">
        <v>48.64</v>
      </c>
      <c r="R1605" s="10">
        <f>IF(COUNTIF($J$2:J1605,J1605)=1,SUMIFS($O:$O,$J:$J,J1605)+SUMIFS($P:$P,$J:$J,J1605)+SUMIFS($Q:$Q,$J:$J,J1605),"")</f>
        <v>2722.8599999999997</v>
      </c>
      <c r="S1605" s="10">
        <v>2722.87</v>
      </c>
      <c r="T1605" s="11" t="str">
        <f t="shared" si="163"/>
        <v>Check</v>
      </c>
      <c r="U1605" s="12">
        <v>46070</v>
      </c>
      <c r="V1605" s="10">
        <v>304.64</v>
      </c>
      <c r="W1605" s="10" t="str">
        <f t="shared" si="161"/>
        <v>Short Paid</v>
      </c>
      <c r="X1605" t="s">
        <v>468</v>
      </c>
      <c r="Y1605" t="s">
        <v>28</v>
      </c>
      <c r="Z1605">
        <v>100196</v>
      </c>
      <c r="AA1605" t="s">
        <v>3095</v>
      </c>
      <c r="AB1605" t="s">
        <v>523</v>
      </c>
      <c r="AC1605" s="9">
        <v>2</v>
      </c>
      <c r="AD1605" s="9" t="str">
        <f t="shared" si="162"/>
        <v>Check</v>
      </c>
      <c r="AE1605" s="11">
        <f t="shared" si="159"/>
        <v>-1.0000000000218279E-2</v>
      </c>
    </row>
    <row r="1606" spans="1:31" x14ac:dyDescent="0.3">
      <c r="A1606">
        <v>15</v>
      </c>
      <c r="B1606">
        <v>4879232</v>
      </c>
      <c r="C1606" t="s">
        <v>217</v>
      </c>
      <c r="D1606">
        <v>1160621</v>
      </c>
      <c r="E1606" t="s">
        <v>571</v>
      </c>
      <c r="F1606" t="s">
        <v>18</v>
      </c>
      <c r="G1606" t="s">
        <v>1648</v>
      </c>
      <c r="H1606" t="s">
        <v>1649</v>
      </c>
      <c r="I1606" t="s">
        <v>3296</v>
      </c>
      <c r="J1606">
        <v>51154119505</v>
      </c>
      <c r="K1606" t="s">
        <v>3314</v>
      </c>
      <c r="L1606" t="s">
        <v>4393</v>
      </c>
      <c r="M1606">
        <v>10000</v>
      </c>
      <c r="N1606" s="10">
        <v>2.5600000000000001E-2</v>
      </c>
      <c r="O1606" s="10">
        <f t="shared" si="160"/>
        <v>256</v>
      </c>
      <c r="P1606" s="10" t="s">
        <v>5006</v>
      </c>
      <c r="Q1606" s="10" t="s">
        <v>5006</v>
      </c>
      <c r="R1606" s="10" t="str">
        <f>IF(COUNTIF($J$2:J1606,J1606)=1,SUMIFS($O:$O,$J:$J,J1606)+SUMIFS($P:$P,$J:$J,J1606)+SUMIFS($Q:$Q,$J:$J,J1606),"")</f>
        <v/>
      </c>
      <c r="S1606" s="10" t="s">
        <v>5006</v>
      </c>
      <c r="T1606" s="11" t="str">
        <f t="shared" si="163"/>
        <v>Check</v>
      </c>
      <c r="U1606" s="12">
        <v>46070</v>
      </c>
      <c r="V1606" s="10">
        <v>304.64</v>
      </c>
      <c r="W1606" s="10" t="str">
        <f t="shared" si="161"/>
        <v>N/A</v>
      </c>
      <c r="X1606" t="s">
        <v>468</v>
      </c>
      <c r="Y1606" t="s">
        <v>28</v>
      </c>
      <c r="Z1606">
        <v>100196</v>
      </c>
      <c r="AA1606" t="s">
        <v>3095</v>
      </c>
      <c r="AB1606" t="s">
        <v>523</v>
      </c>
      <c r="AC1606" s="9">
        <v>2</v>
      </c>
      <c r="AD1606" s="9" t="str">
        <f t="shared" si="162"/>
        <v>N/A</v>
      </c>
      <c r="AE1606" s="11" t="e">
        <f t="shared" si="159"/>
        <v>#VALUE!</v>
      </c>
    </row>
    <row r="1607" spans="1:31" x14ac:dyDescent="0.3">
      <c r="A1607">
        <v>22</v>
      </c>
      <c r="B1607">
        <v>4841107</v>
      </c>
      <c r="C1607" t="s">
        <v>220</v>
      </c>
      <c r="D1607">
        <v>1125734</v>
      </c>
      <c r="E1607" t="s">
        <v>532</v>
      </c>
      <c r="F1607" t="s">
        <v>20</v>
      </c>
      <c r="G1607" t="s">
        <v>2859</v>
      </c>
      <c r="H1607" t="s">
        <v>1493</v>
      </c>
      <c r="I1607" t="s">
        <v>3325</v>
      </c>
      <c r="J1607">
        <v>51154223972</v>
      </c>
      <c r="K1607" t="s">
        <v>3180</v>
      </c>
      <c r="L1607" t="s">
        <v>3851</v>
      </c>
      <c r="M1607">
        <v>3250</v>
      </c>
      <c r="N1607" s="10">
        <v>1.0136499999999999</v>
      </c>
      <c r="O1607" s="10">
        <f t="shared" si="160"/>
        <v>3294.3624999999997</v>
      </c>
      <c r="P1607" s="10">
        <v>0</v>
      </c>
      <c r="Q1607" s="10">
        <v>0</v>
      </c>
      <c r="R1607" s="10">
        <f>IF(COUNTIF($J$2:J1607,J1607)=1,SUMIFS($O:$O,$J:$J,J1607)+SUMIFS($P:$P,$J:$J,J1607)+SUMIFS($Q:$Q,$J:$J,J1607),"")</f>
        <v>7964.3624999999993</v>
      </c>
      <c r="S1607" s="10">
        <v>7964.3600000000006</v>
      </c>
      <c r="T1607" s="11" t="str">
        <f t="shared" si="163"/>
        <v>Check</v>
      </c>
      <c r="U1607" s="12">
        <v>45979</v>
      </c>
      <c r="V1607" s="10">
        <v>4670</v>
      </c>
      <c r="W1607" s="10" t="str">
        <f t="shared" si="161"/>
        <v>Short Paid</v>
      </c>
      <c r="X1607" t="s">
        <v>470</v>
      </c>
      <c r="Y1607" t="s">
        <v>28</v>
      </c>
      <c r="Z1607">
        <v>100248</v>
      </c>
      <c r="AA1607" t="s">
        <v>3117</v>
      </c>
      <c r="AB1607" t="s">
        <v>521</v>
      </c>
      <c r="AC1607" s="9">
        <v>2</v>
      </c>
      <c r="AD1607" s="9" t="str">
        <f t="shared" si="162"/>
        <v>Check</v>
      </c>
      <c r="AE1607" s="11">
        <f t="shared" ref="AE1607:AE1670" si="164">R1607-S1607</f>
        <v>2.4999999986903276E-3</v>
      </c>
    </row>
    <row r="1608" spans="1:31" x14ac:dyDescent="0.3">
      <c r="A1608">
        <v>22</v>
      </c>
      <c r="B1608">
        <v>4841107</v>
      </c>
      <c r="C1608" t="s">
        <v>220</v>
      </c>
      <c r="D1608">
        <v>1125734</v>
      </c>
      <c r="E1608" t="s">
        <v>532</v>
      </c>
      <c r="F1608" t="s">
        <v>20</v>
      </c>
      <c r="G1608" t="s">
        <v>2859</v>
      </c>
      <c r="H1608" t="s">
        <v>1493</v>
      </c>
      <c r="I1608" t="s">
        <v>3468</v>
      </c>
      <c r="J1608">
        <v>51154223972</v>
      </c>
      <c r="K1608" t="s">
        <v>3375</v>
      </c>
      <c r="L1608" t="s">
        <v>3644</v>
      </c>
      <c r="M1608">
        <v>2500</v>
      </c>
      <c r="N1608" s="10">
        <v>1.8680000000000001</v>
      </c>
      <c r="O1608" s="10">
        <f t="shared" si="160"/>
        <v>4670</v>
      </c>
      <c r="P1608" s="10" t="s">
        <v>5006</v>
      </c>
      <c r="Q1608" s="10" t="s">
        <v>5006</v>
      </c>
      <c r="R1608" s="10" t="str">
        <f>IF(COUNTIF($J$2:J1608,J1608)=1,SUMIFS($O:$O,$J:$J,J1608)+SUMIFS($P:$P,$J:$J,J1608)+SUMIFS($Q:$Q,$J:$J,J1608),"")</f>
        <v/>
      </c>
      <c r="S1608" s="10" t="s">
        <v>5006</v>
      </c>
      <c r="T1608" s="11" t="str">
        <f t="shared" si="163"/>
        <v>Check</v>
      </c>
      <c r="U1608" s="12">
        <v>45979</v>
      </c>
      <c r="V1608" s="10">
        <v>4670</v>
      </c>
      <c r="W1608" s="10" t="str">
        <f t="shared" si="161"/>
        <v>N/A</v>
      </c>
      <c r="X1608" t="s">
        <v>470</v>
      </c>
      <c r="Y1608" t="s">
        <v>28</v>
      </c>
      <c r="Z1608">
        <v>100248</v>
      </c>
      <c r="AA1608" t="s">
        <v>3117</v>
      </c>
      <c r="AB1608" t="s">
        <v>521</v>
      </c>
      <c r="AC1608" s="9">
        <v>2</v>
      </c>
      <c r="AD1608" s="9" t="str">
        <f t="shared" si="162"/>
        <v>N/A</v>
      </c>
      <c r="AE1608" s="11" t="e">
        <f t="shared" si="164"/>
        <v>#VALUE!</v>
      </c>
    </row>
    <row r="1609" spans="1:31" x14ac:dyDescent="0.3">
      <c r="A1609">
        <v>15</v>
      </c>
      <c r="B1609">
        <v>4879510</v>
      </c>
      <c r="C1609" t="s">
        <v>217</v>
      </c>
      <c r="D1609">
        <v>1160621</v>
      </c>
      <c r="E1609" t="s">
        <v>571</v>
      </c>
      <c r="F1609" t="s">
        <v>18</v>
      </c>
      <c r="G1609" t="s">
        <v>1652</v>
      </c>
      <c r="H1609" t="s">
        <v>1653</v>
      </c>
      <c r="I1609" t="s">
        <v>3419</v>
      </c>
      <c r="J1609">
        <v>51154235164</v>
      </c>
      <c r="K1609" t="s">
        <v>4184</v>
      </c>
      <c r="L1609" t="s">
        <v>4394</v>
      </c>
      <c r="M1609">
        <v>4998</v>
      </c>
      <c r="N1609" s="10">
        <v>1.2069000000000005</v>
      </c>
      <c r="O1609" s="10">
        <f t="shared" si="160"/>
        <v>6032.0862000000025</v>
      </c>
      <c r="P1609" s="10">
        <v>0</v>
      </c>
      <c r="Q1609" s="10">
        <v>0</v>
      </c>
      <c r="R1609" s="10">
        <f>IF(COUNTIF($J$2:J1609,J1609)=1,SUMIFS($O:$O,$J:$J,J1609)+SUMIFS($P:$P,$J:$J,J1609)+SUMIFS($Q:$Q,$J:$J,J1609),"")</f>
        <v>11417.686200000004</v>
      </c>
      <c r="S1609" s="10">
        <v>11417.67</v>
      </c>
      <c r="T1609" s="11" t="str">
        <f t="shared" si="163"/>
        <v>Check</v>
      </c>
      <c r="U1609" s="12">
        <v>46071</v>
      </c>
      <c r="V1609" s="10">
        <v>6032.07</v>
      </c>
      <c r="W1609" s="10" t="str">
        <f t="shared" si="161"/>
        <v>Short Paid</v>
      </c>
      <c r="X1609" t="s">
        <v>468</v>
      </c>
      <c r="Y1609" t="s">
        <v>28</v>
      </c>
      <c r="Z1609">
        <v>100206</v>
      </c>
      <c r="AA1609" t="s">
        <v>3058</v>
      </c>
      <c r="AB1609" t="s">
        <v>523</v>
      </c>
      <c r="AC1609" s="9">
        <v>2</v>
      </c>
      <c r="AD1609" s="9" t="str">
        <f t="shared" si="162"/>
        <v>Check</v>
      </c>
      <c r="AE1609" s="11">
        <f t="shared" si="164"/>
        <v>1.6200000003664172E-2</v>
      </c>
    </row>
    <row r="1610" spans="1:31" x14ac:dyDescent="0.3">
      <c r="A1610">
        <v>15</v>
      </c>
      <c r="B1610">
        <v>4879510</v>
      </c>
      <c r="C1610" t="s">
        <v>217</v>
      </c>
      <c r="D1610">
        <v>1160621</v>
      </c>
      <c r="E1610" t="s">
        <v>571</v>
      </c>
      <c r="F1610" t="s">
        <v>18</v>
      </c>
      <c r="G1610" t="s">
        <v>1652</v>
      </c>
      <c r="H1610" t="s">
        <v>1653</v>
      </c>
      <c r="I1610" t="s">
        <v>3357</v>
      </c>
      <c r="J1610">
        <v>51154235164</v>
      </c>
      <c r="K1610" t="s">
        <v>3492</v>
      </c>
      <c r="L1610" t="s">
        <v>3491</v>
      </c>
      <c r="M1610">
        <v>39600</v>
      </c>
      <c r="N1610" s="10">
        <v>0.13600000000000001</v>
      </c>
      <c r="O1610" s="10">
        <f t="shared" si="160"/>
        <v>5385.6</v>
      </c>
      <c r="P1610" s="10" t="s">
        <v>5006</v>
      </c>
      <c r="Q1610" s="10" t="s">
        <v>5006</v>
      </c>
      <c r="R1610" s="10" t="str">
        <f>IF(COUNTIF($J$2:J1610,J1610)=1,SUMIFS($O:$O,$J:$J,J1610)+SUMIFS($P:$P,$J:$J,J1610)+SUMIFS($Q:$Q,$J:$J,J1610),"")</f>
        <v/>
      </c>
      <c r="S1610" s="10" t="s">
        <v>5006</v>
      </c>
      <c r="T1610" s="11" t="str">
        <f t="shared" si="163"/>
        <v>Check</v>
      </c>
      <c r="U1610" s="12">
        <v>46071</v>
      </c>
      <c r="V1610" s="10">
        <v>6032.07</v>
      </c>
      <c r="W1610" s="10" t="str">
        <f t="shared" si="161"/>
        <v>N/A</v>
      </c>
      <c r="X1610" t="s">
        <v>468</v>
      </c>
      <c r="Y1610" t="s">
        <v>28</v>
      </c>
      <c r="Z1610">
        <v>100206</v>
      </c>
      <c r="AA1610" t="s">
        <v>3058</v>
      </c>
      <c r="AB1610" t="s">
        <v>523</v>
      </c>
      <c r="AC1610" s="9">
        <v>2</v>
      </c>
      <c r="AD1610" s="9" t="str">
        <f t="shared" si="162"/>
        <v>N/A</v>
      </c>
      <c r="AE1610" s="11" t="e">
        <f t="shared" si="164"/>
        <v>#VALUE!</v>
      </c>
    </row>
    <row r="1611" spans="1:31" x14ac:dyDescent="0.3">
      <c r="A1611">
        <v>9</v>
      </c>
      <c r="B1611">
        <v>4907895</v>
      </c>
      <c r="C1611" t="s">
        <v>38</v>
      </c>
      <c r="D1611">
        <v>1852662</v>
      </c>
      <c r="E1611" t="s">
        <v>584</v>
      </c>
      <c r="F1611" t="s">
        <v>24</v>
      </c>
      <c r="G1611" t="s">
        <v>1741</v>
      </c>
      <c r="H1611" t="s">
        <v>1742</v>
      </c>
      <c r="I1611" t="s">
        <v>3198</v>
      </c>
      <c r="J1611">
        <v>51154235292</v>
      </c>
      <c r="K1611" t="s">
        <v>3229</v>
      </c>
      <c r="L1611" t="s">
        <v>4395</v>
      </c>
      <c r="M1611">
        <v>1</v>
      </c>
      <c r="N1611" s="10">
        <v>1875</v>
      </c>
      <c r="O1611" s="10">
        <f t="shared" si="160"/>
        <v>1875</v>
      </c>
      <c r="P1611" s="10">
        <v>0</v>
      </c>
      <c r="Q1611" s="10">
        <v>178.13</v>
      </c>
      <c r="R1611" s="10">
        <f>IF(COUNTIF($J$2:J1611,J1611)=1,SUMIFS($O:$O,$J:$J,J1611)+SUMIFS($P:$P,$J:$J,J1611)+SUMIFS($Q:$Q,$J:$J,J1611),"")</f>
        <v>4945.5700000000006</v>
      </c>
      <c r="S1611" s="10">
        <v>4945.57</v>
      </c>
      <c r="T1611" s="11" t="str">
        <f t="shared" si="163"/>
        <v>Ok</v>
      </c>
      <c r="U1611" s="12">
        <v>46081</v>
      </c>
      <c r="V1611" s="10">
        <v>2053.13</v>
      </c>
      <c r="W1611" s="10" t="str">
        <f t="shared" si="161"/>
        <v>Short Paid</v>
      </c>
      <c r="X1611" t="s">
        <v>474</v>
      </c>
      <c r="Y1611" t="s">
        <v>40</v>
      </c>
      <c r="Z1611">
        <v>100269</v>
      </c>
      <c r="AA1611" t="s">
        <v>3152</v>
      </c>
      <c r="AB1611" t="s">
        <v>522</v>
      </c>
      <c r="AC1611" s="9">
        <v>3</v>
      </c>
      <c r="AD1611" s="9" t="str">
        <f t="shared" si="162"/>
        <v>Ok</v>
      </c>
      <c r="AE1611" s="11">
        <f t="shared" si="164"/>
        <v>0</v>
      </c>
    </row>
    <row r="1612" spans="1:31" x14ac:dyDescent="0.3">
      <c r="A1612">
        <v>9</v>
      </c>
      <c r="B1612">
        <v>4907895</v>
      </c>
      <c r="C1612" t="s">
        <v>38</v>
      </c>
      <c r="D1612">
        <v>1852662</v>
      </c>
      <c r="E1612" t="s">
        <v>584</v>
      </c>
      <c r="F1612" t="s">
        <v>24</v>
      </c>
      <c r="G1612" t="s">
        <v>1741</v>
      </c>
      <c r="H1612" t="s">
        <v>1742</v>
      </c>
      <c r="I1612" t="s">
        <v>3198</v>
      </c>
      <c r="J1612">
        <v>51154235292</v>
      </c>
      <c r="K1612" t="s">
        <v>3229</v>
      </c>
      <c r="L1612" t="s">
        <v>4396</v>
      </c>
      <c r="M1612">
        <v>100</v>
      </c>
      <c r="N1612" s="10">
        <v>9.2899999999999991</v>
      </c>
      <c r="O1612" s="10">
        <f t="shared" si="160"/>
        <v>928.99999999999989</v>
      </c>
      <c r="P1612" s="10" t="s">
        <v>5006</v>
      </c>
      <c r="Q1612" s="10" t="s">
        <v>5006</v>
      </c>
      <c r="R1612" s="10" t="str">
        <f>IF(COUNTIF($J$2:J1612,J1612)=1,SUMIFS($O:$O,$J:$J,J1612)+SUMIFS($P:$P,$J:$J,J1612)+SUMIFS($Q:$Q,$J:$J,J1612),"")</f>
        <v/>
      </c>
      <c r="S1612" s="10" t="s">
        <v>5006</v>
      </c>
      <c r="T1612" s="11" t="str">
        <f t="shared" si="163"/>
        <v>Ok</v>
      </c>
      <c r="U1612" s="12">
        <v>46081</v>
      </c>
      <c r="V1612" s="10">
        <v>2053.13</v>
      </c>
      <c r="W1612" s="10" t="str">
        <f t="shared" si="161"/>
        <v>N/A</v>
      </c>
      <c r="X1612" t="s">
        <v>474</v>
      </c>
      <c r="Y1612" t="s">
        <v>40</v>
      </c>
      <c r="Z1612">
        <v>100269</v>
      </c>
      <c r="AA1612" t="s">
        <v>3152</v>
      </c>
      <c r="AB1612" t="s">
        <v>522</v>
      </c>
      <c r="AC1612" s="9">
        <v>3</v>
      </c>
      <c r="AD1612" s="9" t="str">
        <f t="shared" si="162"/>
        <v>N/A</v>
      </c>
      <c r="AE1612" s="11" t="e">
        <f t="shared" si="164"/>
        <v>#VALUE!</v>
      </c>
    </row>
    <row r="1613" spans="1:31" x14ac:dyDescent="0.3">
      <c r="A1613">
        <v>9</v>
      </c>
      <c r="B1613">
        <v>4907895</v>
      </c>
      <c r="C1613" t="s">
        <v>38</v>
      </c>
      <c r="D1613">
        <v>1852662</v>
      </c>
      <c r="E1613" t="s">
        <v>584</v>
      </c>
      <c r="F1613" t="s">
        <v>24</v>
      </c>
      <c r="G1613" t="s">
        <v>1741</v>
      </c>
      <c r="H1613" t="s">
        <v>1742</v>
      </c>
      <c r="I1613" t="s">
        <v>3535</v>
      </c>
      <c r="J1613">
        <v>51154235292</v>
      </c>
      <c r="K1613" t="s">
        <v>3183</v>
      </c>
      <c r="L1613" t="s">
        <v>3940</v>
      </c>
      <c r="M1613">
        <v>303</v>
      </c>
      <c r="N1613" s="10">
        <v>6.48</v>
      </c>
      <c r="O1613" s="10">
        <f t="shared" si="160"/>
        <v>1963.44</v>
      </c>
      <c r="P1613" s="10" t="s">
        <v>5006</v>
      </c>
      <c r="Q1613" s="10" t="s">
        <v>5006</v>
      </c>
      <c r="R1613" s="10" t="str">
        <f>IF(COUNTIF($J$2:J1613,J1613)=1,SUMIFS($O:$O,$J:$J,J1613)+SUMIFS($P:$P,$J:$J,J1613)+SUMIFS($Q:$Q,$J:$J,J1613),"")</f>
        <v/>
      </c>
      <c r="S1613" s="10" t="s">
        <v>5006</v>
      </c>
      <c r="T1613" s="11" t="str">
        <f t="shared" si="163"/>
        <v>Ok</v>
      </c>
      <c r="U1613" s="12">
        <v>46081</v>
      </c>
      <c r="V1613" s="10">
        <v>2053.13</v>
      </c>
      <c r="W1613" s="10" t="str">
        <f t="shared" si="161"/>
        <v>N/A</v>
      </c>
      <c r="X1613" t="s">
        <v>474</v>
      </c>
      <c r="Y1613" t="s">
        <v>40</v>
      </c>
      <c r="Z1613">
        <v>100269</v>
      </c>
      <c r="AA1613" t="s">
        <v>3152</v>
      </c>
      <c r="AB1613" t="s">
        <v>522</v>
      </c>
      <c r="AC1613" s="9">
        <v>3</v>
      </c>
      <c r="AD1613" s="9" t="str">
        <f t="shared" si="162"/>
        <v>N/A</v>
      </c>
      <c r="AE1613" s="11" t="e">
        <f t="shared" si="164"/>
        <v>#VALUE!</v>
      </c>
    </row>
    <row r="1614" spans="1:31" x14ac:dyDescent="0.3">
      <c r="A1614">
        <v>15</v>
      </c>
      <c r="B1614">
        <v>4881736</v>
      </c>
      <c r="C1614" t="s">
        <v>217</v>
      </c>
      <c r="D1614">
        <v>1160621</v>
      </c>
      <c r="E1614" t="s">
        <v>571</v>
      </c>
      <c r="F1614" t="s">
        <v>18</v>
      </c>
      <c r="G1614" t="s">
        <v>1664</v>
      </c>
      <c r="H1614" t="s">
        <v>1665</v>
      </c>
      <c r="I1614" t="s">
        <v>3172</v>
      </c>
      <c r="J1614">
        <v>51154281336</v>
      </c>
      <c r="K1614" t="s">
        <v>3177</v>
      </c>
      <c r="L1614" t="s">
        <v>4397</v>
      </c>
      <c r="M1614">
        <v>244</v>
      </c>
      <c r="N1614" s="10">
        <v>44.8</v>
      </c>
      <c r="O1614" s="10">
        <f t="shared" si="160"/>
        <v>10931.199999999999</v>
      </c>
      <c r="P1614" s="10">
        <v>0</v>
      </c>
      <c r="Q1614" s="10">
        <v>2732.8</v>
      </c>
      <c r="R1614" s="10">
        <f>IF(COUNTIF($J$2:J1614,J1614)=1,SUMIFS($O:$O,$J:$J,J1614)+SUMIFS($P:$P,$J:$J,J1614)+SUMIFS($Q:$Q,$J:$J,J1614),"")</f>
        <v>15682.385479999997</v>
      </c>
      <c r="S1614" s="10">
        <v>15682.380000000001</v>
      </c>
      <c r="T1614" s="11" t="str">
        <f t="shared" si="163"/>
        <v>Check</v>
      </c>
      <c r="U1614" s="12">
        <v>46073</v>
      </c>
      <c r="V1614" s="10">
        <v>2018.38</v>
      </c>
      <c r="W1614" s="10" t="str">
        <f t="shared" si="161"/>
        <v>Short Paid</v>
      </c>
      <c r="X1614" t="s">
        <v>468</v>
      </c>
      <c r="Y1614" t="s">
        <v>28</v>
      </c>
      <c r="Z1614">
        <v>100166</v>
      </c>
      <c r="AA1614" t="s">
        <v>3069</v>
      </c>
      <c r="AB1614" t="s">
        <v>523</v>
      </c>
      <c r="AC1614" s="9">
        <v>2</v>
      </c>
      <c r="AD1614" s="9" t="str">
        <f t="shared" si="162"/>
        <v>Check</v>
      </c>
      <c r="AE1614" s="11">
        <f t="shared" si="164"/>
        <v>5.4799999961687718E-3</v>
      </c>
    </row>
    <row r="1615" spans="1:31" x14ac:dyDescent="0.3">
      <c r="A1615">
        <v>15</v>
      </c>
      <c r="B1615">
        <v>4881736</v>
      </c>
      <c r="C1615" t="s">
        <v>217</v>
      </c>
      <c r="D1615">
        <v>1160621</v>
      </c>
      <c r="E1615" t="s">
        <v>571</v>
      </c>
      <c r="F1615" t="s">
        <v>18</v>
      </c>
      <c r="G1615" t="s">
        <v>1664</v>
      </c>
      <c r="H1615" t="s">
        <v>1665</v>
      </c>
      <c r="I1615" t="s">
        <v>3307</v>
      </c>
      <c r="J1615">
        <v>51154281336</v>
      </c>
      <c r="K1615" t="s">
        <v>3375</v>
      </c>
      <c r="L1615" t="s">
        <v>4398</v>
      </c>
      <c r="M1615">
        <v>3084</v>
      </c>
      <c r="N1615" s="10">
        <v>0.65447</v>
      </c>
      <c r="O1615" s="10">
        <f t="shared" si="160"/>
        <v>2018.3854799999999</v>
      </c>
      <c r="P1615" s="10" t="s">
        <v>5006</v>
      </c>
      <c r="Q1615" s="10" t="s">
        <v>5006</v>
      </c>
      <c r="R1615" s="10" t="str">
        <f>IF(COUNTIF($J$2:J1615,J1615)=1,SUMIFS($O:$O,$J:$J,J1615)+SUMIFS($P:$P,$J:$J,J1615)+SUMIFS($Q:$Q,$J:$J,J1615),"")</f>
        <v/>
      </c>
      <c r="S1615" s="10" t="s">
        <v>5006</v>
      </c>
      <c r="T1615" s="11" t="str">
        <f t="shared" si="163"/>
        <v>Check</v>
      </c>
      <c r="U1615" s="12">
        <v>46073</v>
      </c>
      <c r="V1615" s="10">
        <v>2018.38</v>
      </c>
      <c r="W1615" s="10" t="str">
        <f t="shared" si="161"/>
        <v>N/A</v>
      </c>
      <c r="X1615" t="s">
        <v>468</v>
      </c>
      <c r="Y1615" t="s">
        <v>28</v>
      </c>
      <c r="Z1615">
        <v>100166</v>
      </c>
      <c r="AA1615" t="s">
        <v>3069</v>
      </c>
      <c r="AB1615" t="s">
        <v>523</v>
      </c>
      <c r="AC1615" s="9">
        <v>2</v>
      </c>
      <c r="AD1615" s="9" t="str">
        <f t="shared" si="162"/>
        <v>N/A</v>
      </c>
      <c r="AE1615" s="11" t="e">
        <f t="shared" si="164"/>
        <v>#VALUE!</v>
      </c>
    </row>
    <row r="1616" spans="1:31" x14ac:dyDescent="0.3">
      <c r="A1616">
        <v>22</v>
      </c>
      <c r="B1616">
        <v>4837489</v>
      </c>
      <c r="C1616" t="s">
        <v>60</v>
      </c>
      <c r="D1616">
        <v>1009681</v>
      </c>
      <c r="E1616" t="s">
        <v>719</v>
      </c>
      <c r="F1616" t="s">
        <v>48</v>
      </c>
      <c r="G1616" t="s">
        <v>1477</v>
      </c>
      <c r="H1616" t="s">
        <v>1478</v>
      </c>
      <c r="I1616" t="s">
        <v>3596</v>
      </c>
      <c r="J1616">
        <v>51154290105</v>
      </c>
      <c r="K1616" t="s">
        <v>3168</v>
      </c>
      <c r="L1616" t="s">
        <v>4399</v>
      </c>
      <c r="M1616">
        <v>72000</v>
      </c>
      <c r="N1616" s="10">
        <v>3.4500000000000003E-2</v>
      </c>
      <c r="O1616" s="10">
        <f t="shared" si="160"/>
        <v>2484</v>
      </c>
      <c r="P1616" s="10">
        <v>2801.94</v>
      </c>
      <c r="Q1616" s="10">
        <v>0</v>
      </c>
      <c r="R1616" s="10">
        <f>IF(COUNTIF($J$2:J1616,J1616)=1,SUMIFS($O:$O,$J:$J,J1616)+SUMIFS($P:$P,$J:$J,J1616)+SUMIFS($Q:$Q,$J:$J,J1616),"")</f>
        <v>50116.98</v>
      </c>
      <c r="S1616" s="10">
        <v>50116.990000000005</v>
      </c>
      <c r="T1616" s="11" t="str">
        <f t="shared" si="163"/>
        <v>Check</v>
      </c>
      <c r="U1616" s="12">
        <v>46132</v>
      </c>
      <c r="V1616" s="10">
        <v>47632.98</v>
      </c>
      <c r="W1616" s="10" t="str">
        <f t="shared" si="161"/>
        <v>Short Paid</v>
      </c>
      <c r="X1616" t="s">
        <v>438</v>
      </c>
      <c r="Y1616" t="s">
        <v>28</v>
      </c>
      <c r="Z1616">
        <v>100193</v>
      </c>
      <c r="AA1616" t="s">
        <v>442</v>
      </c>
      <c r="AB1616" t="s">
        <v>3040</v>
      </c>
      <c r="AC1616" s="9">
        <v>2</v>
      </c>
      <c r="AD1616" s="9" t="str">
        <f t="shared" si="162"/>
        <v>Check</v>
      </c>
      <c r="AE1616" s="11">
        <f t="shared" si="164"/>
        <v>-1.0000000002037268E-2</v>
      </c>
    </row>
    <row r="1617" spans="1:31" x14ac:dyDescent="0.3">
      <c r="A1617">
        <v>22</v>
      </c>
      <c r="B1617">
        <v>4837489</v>
      </c>
      <c r="C1617" t="s">
        <v>60</v>
      </c>
      <c r="D1617">
        <v>1009681</v>
      </c>
      <c r="E1617" t="s">
        <v>719</v>
      </c>
      <c r="F1617" t="s">
        <v>48</v>
      </c>
      <c r="G1617" t="s">
        <v>1477</v>
      </c>
      <c r="H1617" t="s">
        <v>1478</v>
      </c>
      <c r="I1617" t="s">
        <v>3234</v>
      </c>
      <c r="J1617">
        <v>51154290105</v>
      </c>
      <c r="K1617" t="s">
        <v>4401</v>
      </c>
      <c r="L1617" t="s">
        <v>4400</v>
      </c>
      <c r="M1617">
        <v>96</v>
      </c>
      <c r="N1617" s="10">
        <v>466.99</v>
      </c>
      <c r="O1617" s="10">
        <f t="shared" si="160"/>
        <v>44831.040000000001</v>
      </c>
      <c r="P1617" s="10" t="s">
        <v>5006</v>
      </c>
      <c r="Q1617" s="10" t="s">
        <v>5006</v>
      </c>
      <c r="R1617" s="10" t="str">
        <f>IF(COUNTIF($J$2:J1617,J1617)=1,SUMIFS($O:$O,$J:$J,J1617)+SUMIFS($P:$P,$J:$J,J1617)+SUMIFS($Q:$Q,$J:$J,J1617),"")</f>
        <v/>
      </c>
      <c r="S1617" s="10" t="s">
        <v>5006</v>
      </c>
      <c r="T1617" s="11" t="str">
        <f t="shared" si="163"/>
        <v>Check</v>
      </c>
      <c r="U1617" s="12">
        <v>46132</v>
      </c>
      <c r="V1617" s="10">
        <v>47632.98</v>
      </c>
      <c r="W1617" s="10" t="str">
        <f t="shared" si="161"/>
        <v>N/A</v>
      </c>
      <c r="X1617" t="s">
        <v>438</v>
      </c>
      <c r="Y1617" t="s">
        <v>28</v>
      </c>
      <c r="Z1617">
        <v>100193</v>
      </c>
      <c r="AA1617" t="s">
        <v>442</v>
      </c>
      <c r="AB1617" t="s">
        <v>3040</v>
      </c>
      <c r="AC1617" s="9">
        <v>2</v>
      </c>
      <c r="AD1617" s="9" t="str">
        <f t="shared" si="162"/>
        <v>N/A</v>
      </c>
      <c r="AE1617" s="11" t="e">
        <f t="shared" si="164"/>
        <v>#VALUE!</v>
      </c>
    </row>
    <row r="1618" spans="1:31" x14ac:dyDescent="0.3">
      <c r="A1618">
        <v>22</v>
      </c>
      <c r="B1618">
        <v>4839994</v>
      </c>
      <c r="C1618" t="s">
        <v>220</v>
      </c>
      <c r="D1618">
        <v>1125734</v>
      </c>
      <c r="E1618" t="s">
        <v>532</v>
      </c>
      <c r="F1618" t="s">
        <v>20</v>
      </c>
      <c r="G1618" t="s">
        <v>1516</v>
      </c>
      <c r="H1618" t="s">
        <v>1517</v>
      </c>
      <c r="I1618" t="s">
        <v>3312</v>
      </c>
      <c r="J1618">
        <v>51154345156</v>
      </c>
      <c r="K1618" t="s">
        <v>3577</v>
      </c>
      <c r="L1618" t="s">
        <v>4402</v>
      </c>
      <c r="M1618">
        <v>13000</v>
      </c>
      <c r="N1618" s="10">
        <v>0.25</v>
      </c>
      <c r="O1618" s="10">
        <f t="shared" si="160"/>
        <v>3250</v>
      </c>
      <c r="P1618" s="10">
        <v>193.71</v>
      </c>
      <c r="Q1618" s="10">
        <v>439.05</v>
      </c>
      <c r="R1618" s="10">
        <f>IF(COUNTIF($J$2:J1618,J1618)=1,SUMIFS($O:$O,$J:$J,J1618)+SUMIFS($P:$P,$J:$J,J1618)+SUMIFS($Q:$Q,$J:$J,J1618),"")</f>
        <v>5791.66</v>
      </c>
      <c r="S1618" s="10">
        <v>8041.66</v>
      </c>
      <c r="T1618" s="11" t="str">
        <f t="shared" si="163"/>
        <v>Check</v>
      </c>
      <c r="U1618" s="12">
        <v>45960</v>
      </c>
      <c r="V1618" s="10">
        <v>5500</v>
      </c>
      <c r="W1618" s="10" t="str">
        <f t="shared" si="161"/>
        <v>Short Paid</v>
      </c>
      <c r="X1618" t="s">
        <v>470</v>
      </c>
      <c r="Y1618" t="s">
        <v>28</v>
      </c>
      <c r="Z1618">
        <v>100168</v>
      </c>
      <c r="AA1618" t="s">
        <v>514</v>
      </c>
      <c r="AB1618" t="s">
        <v>521</v>
      </c>
      <c r="AC1618" s="9">
        <v>2</v>
      </c>
      <c r="AD1618" s="9" t="str">
        <f t="shared" si="162"/>
        <v>Check</v>
      </c>
      <c r="AE1618" s="11">
        <f t="shared" si="164"/>
        <v>-2250</v>
      </c>
    </row>
    <row r="1619" spans="1:31" x14ac:dyDescent="0.3">
      <c r="A1619">
        <v>22</v>
      </c>
      <c r="B1619">
        <v>4839994</v>
      </c>
      <c r="C1619" t="s">
        <v>220</v>
      </c>
      <c r="D1619">
        <v>1125734</v>
      </c>
      <c r="E1619" t="s">
        <v>532</v>
      </c>
      <c r="F1619" t="s">
        <v>20</v>
      </c>
      <c r="G1619" t="s">
        <v>1516</v>
      </c>
      <c r="H1619" t="s">
        <v>1517</v>
      </c>
      <c r="I1619" t="s">
        <v>3412</v>
      </c>
      <c r="J1619">
        <v>51154345156</v>
      </c>
      <c r="K1619" t="s">
        <v>3532</v>
      </c>
      <c r="L1619" t="s">
        <v>3534</v>
      </c>
      <c r="M1619">
        <v>9000</v>
      </c>
      <c r="N1619" s="10">
        <v>0.21210000000000001</v>
      </c>
      <c r="O1619" s="10">
        <f t="shared" si="160"/>
        <v>1908.9</v>
      </c>
      <c r="P1619" s="10" t="s">
        <v>5006</v>
      </c>
      <c r="Q1619" s="10" t="s">
        <v>5006</v>
      </c>
      <c r="R1619" s="10" t="str">
        <f>IF(COUNTIF($J$2:J1619,J1619)=1,SUMIFS($O:$O,$J:$J,J1619)+SUMIFS($P:$P,$J:$J,J1619)+SUMIFS($Q:$Q,$J:$J,J1619),"")</f>
        <v/>
      </c>
      <c r="S1619" s="10" t="s">
        <v>5006</v>
      </c>
      <c r="T1619" s="11" t="str">
        <f t="shared" si="163"/>
        <v>Check</v>
      </c>
      <c r="U1619" s="12">
        <v>45960</v>
      </c>
      <c r="V1619" s="10">
        <v>5500</v>
      </c>
      <c r="W1619" s="10" t="str">
        <f t="shared" si="161"/>
        <v>N/A</v>
      </c>
      <c r="X1619" t="s">
        <v>470</v>
      </c>
      <c r="Y1619" t="s">
        <v>28</v>
      </c>
      <c r="Z1619">
        <v>100168</v>
      </c>
      <c r="AA1619" t="s">
        <v>514</v>
      </c>
      <c r="AB1619" t="s">
        <v>521</v>
      </c>
      <c r="AC1619" s="9">
        <v>2</v>
      </c>
      <c r="AD1619" s="9" t="str">
        <f t="shared" si="162"/>
        <v>N/A</v>
      </c>
      <c r="AE1619" s="11" t="e">
        <f t="shared" si="164"/>
        <v>#VALUE!</v>
      </c>
    </row>
    <row r="1620" spans="1:31" x14ac:dyDescent="0.3">
      <c r="A1620">
        <v>22</v>
      </c>
      <c r="B1620">
        <v>4838046</v>
      </c>
      <c r="C1620" t="s">
        <v>167</v>
      </c>
      <c r="D1620">
        <v>1462348</v>
      </c>
      <c r="E1620" t="s">
        <v>394</v>
      </c>
      <c r="F1620" t="s">
        <v>24</v>
      </c>
      <c r="G1620" t="s">
        <v>1502</v>
      </c>
      <c r="H1620" t="s">
        <v>1503</v>
      </c>
      <c r="I1620" t="s">
        <v>3425</v>
      </c>
      <c r="J1620">
        <v>51154347803</v>
      </c>
      <c r="K1620" t="s">
        <v>3177</v>
      </c>
      <c r="L1620" t="s">
        <v>4403</v>
      </c>
      <c r="M1620">
        <v>96000</v>
      </c>
      <c r="N1620" s="10">
        <v>0.02</v>
      </c>
      <c r="O1620" s="10">
        <f t="shared" si="160"/>
        <v>1920</v>
      </c>
      <c r="P1620" s="10">
        <v>0</v>
      </c>
      <c r="Q1620" s="10">
        <v>354.92</v>
      </c>
      <c r="R1620" s="10">
        <f>IF(COUNTIF($J$2:J1620,J1620)=1,SUMIFS($O:$O,$J:$J,J1620)+SUMIFS($P:$P,$J:$J,J1620)+SUMIFS($Q:$Q,$J:$J,J1620),"")</f>
        <v>6285.92</v>
      </c>
      <c r="S1620" s="10">
        <v>10795.92</v>
      </c>
      <c r="T1620" s="11" t="str">
        <f t="shared" si="163"/>
        <v>Check</v>
      </c>
      <c r="U1620" s="12">
        <v>46132</v>
      </c>
      <c r="V1620" s="10">
        <v>1633.6</v>
      </c>
      <c r="W1620" s="10" t="str">
        <f t="shared" si="161"/>
        <v>Short Paid</v>
      </c>
      <c r="X1620" t="s">
        <v>455</v>
      </c>
      <c r="Y1620" t="s">
        <v>40</v>
      </c>
      <c r="Z1620">
        <v>100220</v>
      </c>
      <c r="AA1620" t="s">
        <v>3051</v>
      </c>
      <c r="AB1620" t="s">
        <v>522</v>
      </c>
      <c r="AC1620" s="9">
        <v>5</v>
      </c>
      <c r="AD1620" s="9" t="str">
        <f t="shared" si="162"/>
        <v>Check</v>
      </c>
      <c r="AE1620" s="11">
        <f t="shared" si="164"/>
        <v>-4510</v>
      </c>
    </row>
    <row r="1621" spans="1:31" x14ac:dyDescent="0.3">
      <c r="A1621">
        <v>22</v>
      </c>
      <c r="B1621">
        <v>4838046</v>
      </c>
      <c r="C1621" t="s">
        <v>167</v>
      </c>
      <c r="D1621">
        <v>1462348</v>
      </c>
      <c r="E1621" t="s">
        <v>394</v>
      </c>
      <c r="F1621" t="s">
        <v>24</v>
      </c>
      <c r="G1621" t="s">
        <v>1502</v>
      </c>
      <c r="H1621" t="s">
        <v>1503</v>
      </c>
      <c r="I1621" t="s">
        <v>3425</v>
      </c>
      <c r="J1621">
        <v>51154347803</v>
      </c>
      <c r="K1621" t="s">
        <v>4405</v>
      </c>
      <c r="L1621" t="s">
        <v>4404</v>
      </c>
      <c r="M1621">
        <v>500</v>
      </c>
      <c r="N1621" s="10">
        <v>0.31</v>
      </c>
      <c r="O1621" s="10">
        <f t="shared" si="160"/>
        <v>155</v>
      </c>
      <c r="P1621" s="10" t="s">
        <v>5006</v>
      </c>
      <c r="Q1621" s="10" t="s">
        <v>5006</v>
      </c>
      <c r="R1621" s="10" t="str">
        <f>IF(COUNTIF($J$2:J1621,J1621)=1,SUMIFS($O:$O,$J:$J,J1621)+SUMIFS($P:$P,$J:$J,J1621)+SUMIFS($Q:$Q,$J:$J,J1621),"")</f>
        <v/>
      </c>
      <c r="S1621" s="10" t="s">
        <v>5006</v>
      </c>
      <c r="T1621" s="11" t="str">
        <f t="shared" si="163"/>
        <v>Check</v>
      </c>
      <c r="U1621" s="12">
        <v>46132</v>
      </c>
      <c r="V1621" s="10">
        <v>1633.6</v>
      </c>
      <c r="W1621" s="10" t="str">
        <f t="shared" si="161"/>
        <v>N/A</v>
      </c>
      <c r="X1621" t="s">
        <v>455</v>
      </c>
      <c r="Y1621" t="s">
        <v>40</v>
      </c>
      <c r="Z1621">
        <v>100220</v>
      </c>
      <c r="AA1621" t="s">
        <v>3051</v>
      </c>
      <c r="AB1621" t="s">
        <v>522</v>
      </c>
      <c r="AC1621" s="9">
        <v>5</v>
      </c>
      <c r="AD1621" s="9" t="str">
        <f t="shared" si="162"/>
        <v>N/A</v>
      </c>
      <c r="AE1621" s="11" t="e">
        <f t="shared" si="164"/>
        <v>#VALUE!</v>
      </c>
    </row>
    <row r="1622" spans="1:31" x14ac:dyDescent="0.3">
      <c r="A1622">
        <v>22</v>
      </c>
      <c r="B1622">
        <v>4838046</v>
      </c>
      <c r="C1622" t="s">
        <v>167</v>
      </c>
      <c r="D1622">
        <v>1462348</v>
      </c>
      <c r="E1622" t="s">
        <v>394</v>
      </c>
      <c r="F1622" t="s">
        <v>24</v>
      </c>
      <c r="G1622" t="s">
        <v>1502</v>
      </c>
      <c r="H1622" t="s">
        <v>1503</v>
      </c>
      <c r="I1622" t="s">
        <v>3425</v>
      </c>
      <c r="J1622">
        <v>51154347803</v>
      </c>
      <c r="K1622" t="s">
        <v>4405</v>
      </c>
      <c r="L1622" t="s">
        <v>4406</v>
      </c>
      <c r="M1622">
        <v>1500</v>
      </c>
      <c r="N1622" s="10">
        <v>0.35</v>
      </c>
      <c r="O1622" s="10">
        <f t="shared" si="160"/>
        <v>525</v>
      </c>
      <c r="P1622" s="10" t="s">
        <v>5006</v>
      </c>
      <c r="Q1622" s="10" t="s">
        <v>5006</v>
      </c>
      <c r="R1622" s="10" t="str">
        <f>IF(COUNTIF($J$2:J1622,J1622)=1,SUMIFS($O:$O,$J:$J,J1622)+SUMIFS($P:$P,$J:$J,J1622)+SUMIFS($Q:$Q,$J:$J,J1622),"")</f>
        <v/>
      </c>
      <c r="S1622" s="10" t="s">
        <v>5006</v>
      </c>
      <c r="T1622" s="11" t="str">
        <f t="shared" si="163"/>
        <v>Check</v>
      </c>
      <c r="U1622" s="12">
        <v>46132</v>
      </c>
      <c r="V1622" s="10">
        <v>1633.6</v>
      </c>
      <c r="W1622" s="10" t="str">
        <f t="shared" si="161"/>
        <v>N/A</v>
      </c>
      <c r="X1622" t="s">
        <v>455</v>
      </c>
      <c r="Y1622" t="s">
        <v>40</v>
      </c>
      <c r="Z1622">
        <v>100220</v>
      </c>
      <c r="AA1622" t="s">
        <v>3051</v>
      </c>
      <c r="AB1622" t="s">
        <v>522</v>
      </c>
      <c r="AC1622" s="9">
        <v>5</v>
      </c>
      <c r="AD1622" s="9" t="str">
        <f t="shared" si="162"/>
        <v>N/A</v>
      </c>
      <c r="AE1622" s="11" t="e">
        <f t="shared" si="164"/>
        <v>#VALUE!</v>
      </c>
    </row>
    <row r="1623" spans="1:31" x14ac:dyDescent="0.3">
      <c r="A1623">
        <v>22</v>
      </c>
      <c r="B1623">
        <v>4838046</v>
      </c>
      <c r="C1623" t="s">
        <v>167</v>
      </c>
      <c r="D1623">
        <v>1462348</v>
      </c>
      <c r="E1623" t="s">
        <v>394</v>
      </c>
      <c r="F1623" t="s">
        <v>24</v>
      </c>
      <c r="G1623" t="s">
        <v>1502</v>
      </c>
      <c r="H1623" t="s">
        <v>1503</v>
      </c>
      <c r="I1623" t="s">
        <v>3425</v>
      </c>
      <c r="J1623">
        <v>51154347803</v>
      </c>
      <c r="K1623" t="s">
        <v>3177</v>
      </c>
      <c r="L1623" t="s">
        <v>4407</v>
      </c>
      <c r="M1623">
        <v>800</v>
      </c>
      <c r="N1623" s="10">
        <v>2.27</v>
      </c>
      <c r="O1623" s="10">
        <f t="shared" si="160"/>
        <v>1816</v>
      </c>
      <c r="P1623" s="10" t="s">
        <v>5006</v>
      </c>
      <c r="Q1623" s="10" t="s">
        <v>5006</v>
      </c>
      <c r="R1623" s="10" t="str">
        <f>IF(COUNTIF($J$2:J1623,J1623)=1,SUMIFS($O:$O,$J:$J,J1623)+SUMIFS($P:$P,$J:$J,J1623)+SUMIFS($Q:$Q,$J:$J,J1623),"")</f>
        <v/>
      </c>
      <c r="S1623" s="10" t="s">
        <v>5006</v>
      </c>
      <c r="T1623" s="11" t="str">
        <f t="shared" si="163"/>
        <v>Check</v>
      </c>
      <c r="U1623" s="12">
        <v>46132</v>
      </c>
      <c r="V1623" s="10">
        <v>1633.6</v>
      </c>
      <c r="W1623" s="10" t="str">
        <f t="shared" si="161"/>
        <v>N/A</v>
      </c>
      <c r="X1623" t="s">
        <v>455</v>
      </c>
      <c r="Y1623" t="s">
        <v>40</v>
      </c>
      <c r="Z1623">
        <v>100220</v>
      </c>
      <c r="AA1623" t="s">
        <v>3051</v>
      </c>
      <c r="AB1623" t="s">
        <v>522</v>
      </c>
      <c r="AC1623" s="9">
        <v>5</v>
      </c>
      <c r="AD1623" s="9" t="str">
        <f t="shared" si="162"/>
        <v>N/A</v>
      </c>
      <c r="AE1623" s="11" t="e">
        <f t="shared" si="164"/>
        <v>#VALUE!</v>
      </c>
    </row>
    <row r="1624" spans="1:31" x14ac:dyDescent="0.3">
      <c r="A1624">
        <v>22</v>
      </c>
      <c r="B1624">
        <v>4838046</v>
      </c>
      <c r="C1624" t="s">
        <v>167</v>
      </c>
      <c r="D1624">
        <v>1462348</v>
      </c>
      <c r="E1624" t="s">
        <v>394</v>
      </c>
      <c r="F1624" t="s">
        <v>24</v>
      </c>
      <c r="G1624" t="s">
        <v>1502</v>
      </c>
      <c r="H1624" t="s">
        <v>1503</v>
      </c>
      <c r="I1624" t="s">
        <v>3232</v>
      </c>
      <c r="J1624">
        <v>51154347803</v>
      </c>
      <c r="K1624" t="s">
        <v>3246</v>
      </c>
      <c r="L1624" t="s">
        <v>3533</v>
      </c>
      <c r="M1624">
        <v>3000</v>
      </c>
      <c r="N1624" s="10">
        <v>0.505</v>
      </c>
      <c r="O1624" s="10">
        <f t="shared" si="160"/>
        <v>1515</v>
      </c>
      <c r="P1624" s="10" t="s">
        <v>5006</v>
      </c>
      <c r="Q1624" s="10" t="s">
        <v>5006</v>
      </c>
      <c r="R1624" s="10" t="str">
        <f>IF(COUNTIF($J$2:J1624,J1624)=1,SUMIFS($O:$O,$J:$J,J1624)+SUMIFS($P:$P,$J:$J,J1624)+SUMIFS($Q:$Q,$J:$J,J1624),"")</f>
        <v/>
      </c>
      <c r="S1624" s="10" t="s">
        <v>5006</v>
      </c>
      <c r="T1624" s="11" t="str">
        <f t="shared" si="163"/>
        <v>Check</v>
      </c>
      <c r="U1624" s="12">
        <v>46132</v>
      </c>
      <c r="V1624" s="10">
        <v>1633.6</v>
      </c>
      <c r="W1624" s="10" t="str">
        <f t="shared" si="161"/>
        <v>N/A</v>
      </c>
      <c r="X1624" t="s">
        <v>455</v>
      </c>
      <c r="Y1624" t="s">
        <v>40</v>
      </c>
      <c r="Z1624">
        <v>100220</v>
      </c>
      <c r="AA1624" t="s">
        <v>3051</v>
      </c>
      <c r="AB1624" t="s">
        <v>522</v>
      </c>
      <c r="AC1624" s="9">
        <v>5</v>
      </c>
      <c r="AD1624" s="9" t="str">
        <f t="shared" si="162"/>
        <v>N/A</v>
      </c>
      <c r="AE1624" s="11" t="e">
        <f t="shared" si="164"/>
        <v>#VALUE!</v>
      </c>
    </row>
    <row r="1625" spans="1:31" x14ac:dyDescent="0.3">
      <c r="A1625">
        <v>17</v>
      </c>
      <c r="B1625">
        <v>4863648</v>
      </c>
      <c r="C1625" t="s">
        <v>167</v>
      </c>
      <c r="D1625">
        <v>1245139</v>
      </c>
      <c r="E1625" t="s">
        <v>730</v>
      </c>
      <c r="F1625" t="s">
        <v>17</v>
      </c>
      <c r="G1625" t="s">
        <v>1599</v>
      </c>
      <c r="H1625" t="s">
        <v>1600</v>
      </c>
      <c r="I1625" t="s">
        <v>3402</v>
      </c>
      <c r="J1625">
        <v>51154352771</v>
      </c>
      <c r="K1625" t="s">
        <v>3226</v>
      </c>
      <c r="L1625" t="s">
        <v>3454</v>
      </c>
      <c r="M1625">
        <v>3300</v>
      </c>
      <c r="N1625" s="10">
        <v>0.26129999999999998</v>
      </c>
      <c r="O1625" s="10">
        <f t="shared" si="160"/>
        <v>862.29</v>
      </c>
      <c r="P1625" s="10">
        <v>0</v>
      </c>
      <c r="Q1625" s="10">
        <v>0</v>
      </c>
      <c r="R1625" s="10">
        <f>IF(COUNTIF($J$2:J1625,J1625)=1,SUMIFS($O:$O,$J:$J,J1625)+SUMIFS($P:$P,$J:$J,J1625)+SUMIFS($Q:$Q,$J:$J,J1625),"")</f>
        <v>1065.57</v>
      </c>
      <c r="S1625" s="10">
        <v>1065.57</v>
      </c>
      <c r="T1625" s="11" t="str">
        <f t="shared" si="163"/>
        <v>Ok</v>
      </c>
      <c r="U1625" s="12">
        <v>46112</v>
      </c>
      <c r="V1625" s="10">
        <v>203.28</v>
      </c>
      <c r="W1625" s="10" t="str">
        <f t="shared" si="161"/>
        <v>Short Paid</v>
      </c>
      <c r="X1625" t="s">
        <v>455</v>
      </c>
      <c r="Y1625" t="s">
        <v>436</v>
      </c>
      <c r="Z1625">
        <v>100170</v>
      </c>
      <c r="AA1625" t="s">
        <v>3073</v>
      </c>
      <c r="AB1625" t="s">
        <v>528</v>
      </c>
      <c r="AC1625" s="9">
        <v>2</v>
      </c>
      <c r="AD1625" s="9" t="str">
        <f t="shared" si="162"/>
        <v>Ok</v>
      </c>
      <c r="AE1625" s="11">
        <f t="shared" si="164"/>
        <v>0</v>
      </c>
    </row>
    <row r="1626" spans="1:31" x14ac:dyDescent="0.3">
      <c r="A1626">
        <v>17</v>
      </c>
      <c r="B1626">
        <v>4863648</v>
      </c>
      <c r="C1626" t="s">
        <v>167</v>
      </c>
      <c r="D1626">
        <v>1245139</v>
      </c>
      <c r="E1626" t="s">
        <v>730</v>
      </c>
      <c r="F1626" t="s">
        <v>17</v>
      </c>
      <c r="G1626" t="s">
        <v>1599</v>
      </c>
      <c r="H1626" t="s">
        <v>1600</v>
      </c>
      <c r="I1626" t="s">
        <v>3414</v>
      </c>
      <c r="J1626">
        <v>51154352771</v>
      </c>
      <c r="K1626" t="s">
        <v>3183</v>
      </c>
      <c r="L1626" t="s">
        <v>4408</v>
      </c>
      <c r="M1626">
        <v>4</v>
      </c>
      <c r="N1626" s="10">
        <v>50.82</v>
      </c>
      <c r="O1626" s="10">
        <f t="shared" si="160"/>
        <v>203.28</v>
      </c>
      <c r="P1626" s="10" t="s">
        <v>5006</v>
      </c>
      <c r="Q1626" s="10" t="s">
        <v>5006</v>
      </c>
      <c r="R1626" s="10" t="str">
        <f>IF(COUNTIF($J$2:J1626,J1626)=1,SUMIFS($O:$O,$J:$J,J1626)+SUMIFS($P:$P,$J:$J,J1626)+SUMIFS($Q:$Q,$J:$J,J1626),"")</f>
        <v/>
      </c>
      <c r="S1626" s="10" t="s">
        <v>5006</v>
      </c>
      <c r="T1626" s="11" t="str">
        <f t="shared" si="163"/>
        <v>Ok</v>
      </c>
      <c r="U1626" s="12">
        <v>46112</v>
      </c>
      <c r="V1626" s="10">
        <v>203.28</v>
      </c>
      <c r="W1626" s="10" t="str">
        <f t="shared" si="161"/>
        <v>N/A</v>
      </c>
      <c r="X1626" t="s">
        <v>455</v>
      </c>
      <c r="Y1626" t="s">
        <v>436</v>
      </c>
      <c r="Z1626">
        <v>100170</v>
      </c>
      <c r="AA1626" t="s">
        <v>3073</v>
      </c>
      <c r="AB1626" t="s">
        <v>528</v>
      </c>
      <c r="AC1626" s="9">
        <v>2</v>
      </c>
      <c r="AD1626" s="9" t="str">
        <f t="shared" si="162"/>
        <v>N/A</v>
      </c>
      <c r="AE1626" s="11" t="e">
        <f t="shared" si="164"/>
        <v>#VALUE!</v>
      </c>
    </row>
    <row r="1627" spans="1:31" x14ac:dyDescent="0.3">
      <c r="A1627">
        <v>22</v>
      </c>
      <c r="B1627">
        <v>4838324</v>
      </c>
      <c r="C1627" t="s">
        <v>60</v>
      </c>
      <c r="D1627">
        <v>1507694</v>
      </c>
      <c r="E1627" t="s">
        <v>351</v>
      </c>
      <c r="F1627" t="s">
        <v>20</v>
      </c>
      <c r="G1627" t="s">
        <v>1504</v>
      </c>
      <c r="H1627" t="s">
        <v>1505</v>
      </c>
      <c r="I1627" t="s">
        <v>3303</v>
      </c>
      <c r="J1627">
        <v>51154355952</v>
      </c>
      <c r="K1627" t="s">
        <v>3246</v>
      </c>
      <c r="L1627" t="s">
        <v>3445</v>
      </c>
      <c r="M1627">
        <v>16000</v>
      </c>
      <c r="N1627" s="10">
        <v>0.21</v>
      </c>
      <c r="O1627" s="10">
        <f t="shared" si="160"/>
        <v>3360</v>
      </c>
      <c r="P1627" s="10">
        <v>0</v>
      </c>
      <c r="Q1627" s="10">
        <v>0</v>
      </c>
      <c r="R1627" s="10">
        <f>IF(COUNTIF($J$2:J1627,J1627)=1,SUMIFS($O:$O,$J:$J,J1627)+SUMIFS($P:$P,$J:$J,J1627)+SUMIFS($Q:$Q,$J:$J,J1627),"")</f>
        <v>30461.859999999997</v>
      </c>
      <c r="S1627" s="10">
        <v>33461.86</v>
      </c>
      <c r="T1627" s="11" t="str">
        <f t="shared" si="163"/>
        <v>Check</v>
      </c>
      <c r="U1627" s="12">
        <v>46072</v>
      </c>
      <c r="V1627" s="10">
        <v>5500</v>
      </c>
      <c r="W1627" s="10" t="str">
        <f t="shared" si="161"/>
        <v>Short Paid</v>
      </c>
      <c r="X1627" t="s">
        <v>438</v>
      </c>
      <c r="Y1627" t="s">
        <v>28</v>
      </c>
      <c r="Z1627">
        <v>100243</v>
      </c>
      <c r="AA1627" t="s">
        <v>446</v>
      </c>
      <c r="AB1627" t="s">
        <v>521</v>
      </c>
      <c r="AC1627" s="9">
        <v>3</v>
      </c>
      <c r="AD1627" s="9" t="str">
        <f t="shared" si="162"/>
        <v>Check</v>
      </c>
      <c r="AE1627" s="11">
        <f t="shared" si="164"/>
        <v>-3000.0000000000036</v>
      </c>
    </row>
    <row r="1628" spans="1:31" x14ac:dyDescent="0.3">
      <c r="A1628">
        <v>22</v>
      </c>
      <c r="B1628">
        <v>4838324</v>
      </c>
      <c r="C1628" t="s">
        <v>60</v>
      </c>
      <c r="D1628">
        <v>1507694</v>
      </c>
      <c r="E1628" t="s">
        <v>351</v>
      </c>
      <c r="F1628" t="s">
        <v>20</v>
      </c>
      <c r="G1628" t="s">
        <v>1504</v>
      </c>
      <c r="H1628" t="s">
        <v>1505</v>
      </c>
      <c r="I1628" t="s">
        <v>3446</v>
      </c>
      <c r="J1628">
        <v>51154355952</v>
      </c>
      <c r="K1628" t="s">
        <v>4410</v>
      </c>
      <c r="L1628" t="s">
        <v>4409</v>
      </c>
      <c r="M1628">
        <v>1</v>
      </c>
      <c r="N1628" s="10">
        <v>2500</v>
      </c>
      <c r="O1628" s="10">
        <f t="shared" si="160"/>
        <v>2500</v>
      </c>
      <c r="P1628" s="10" t="s">
        <v>5006</v>
      </c>
      <c r="Q1628" s="10" t="s">
        <v>5006</v>
      </c>
      <c r="R1628" s="10" t="str">
        <f>IF(COUNTIF($J$2:J1628,J1628)=1,SUMIFS($O:$O,$J:$J,J1628)+SUMIFS($P:$P,$J:$J,J1628)+SUMIFS($Q:$Q,$J:$J,J1628),"")</f>
        <v/>
      </c>
      <c r="S1628" s="10" t="s">
        <v>5006</v>
      </c>
      <c r="T1628" s="11" t="str">
        <f t="shared" si="163"/>
        <v>Check</v>
      </c>
      <c r="U1628" s="12">
        <v>46072</v>
      </c>
      <c r="V1628" s="10">
        <v>5500</v>
      </c>
      <c r="W1628" s="10" t="str">
        <f t="shared" si="161"/>
        <v>N/A</v>
      </c>
      <c r="X1628" t="s">
        <v>438</v>
      </c>
      <c r="Y1628" t="s">
        <v>28</v>
      </c>
      <c r="Z1628">
        <v>100243</v>
      </c>
      <c r="AA1628" t="s">
        <v>446</v>
      </c>
      <c r="AB1628" t="s">
        <v>521</v>
      </c>
      <c r="AC1628" s="9">
        <v>3</v>
      </c>
      <c r="AD1628" s="9" t="str">
        <f t="shared" si="162"/>
        <v>N/A</v>
      </c>
      <c r="AE1628" s="11" t="e">
        <f t="shared" si="164"/>
        <v>#VALUE!</v>
      </c>
    </row>
    <row r="1629" spans="1:31" x14ac:dyDescent="0.3">
      <c r="A1629">
        <v>22</v>
      </c>
      <c r="B1629">
        <v>4838324</v>
      </c>
      <c r="C1629" t="s">
        <v>60</v>
      </c>
      <c r="D1629">
        <v>1507694</v>
      </c>
      <c r="E1629" t="s">
        <v>351</v>
      </c>
      <c r="F1629" t="s">
        <v>20</v>
      </c>
      <c r="G1629" t="s">
        <v>1504</v>
      </c>
      <c r="H1629" t="s">
        <v>1505</v>
      </c>
      <c r="I1629" t="s">
        <v>3446</v>
      </c>
      <c r="J1629">
        <v>51154355952</v>
      </c>
      <c r="K1629" t="s">
        <v>4410</v>
      </c>
      <c r="L1629" t="s">
        <v>4411</v>
      </c>
      <c r="M1629">
        <v>87</v>
      </c>
      <c r="N1629" s="10">
        <v>282.77999999999997</v>
      </c>
      <c r="O1629" s="10">
        <f t="shared" si="160"/>
        <v>24601.859999999997</v>
      </c>
      <c r="P1629" s="10" t="s">
        <v>5006</v>
      </c>
      <c r="Q1629" s="10" t="s">
        <v>5006</v>
      </c>
      <c r="R1629" s="10" t="str">
        <f>IF(COUNTIF($J$2:J1629,J1629)=1,SUMIFS($O:$O,$J:$J,J1629)+SUMIFS($P:$P,$J:$J,J1629)+SUMIFS($Q:$Q,$J:$J,J1629),"")</f>
        <v/>
      </c>
      <c r="S1629" s="10" t="s">
        <v>5006</v>
      </c>
      <c r="T1629" s="11" t="str">
        <f t="shared" si="163"/>
        <v>Check</v>
      </c>
      <c r="U1629" s="12">
        <v>46072</v>
      </c>
      <c r="V1629" s="10">
        <v>5500</v>
      </c>
      <c r="W1629" s="10" t="str">
        <f t="shared" si="161"/>
        <v>N/A</v>
      </c>
      <c r="X1629" t="s">
        <v>438</v>
      </c>
      <c r="Y1629" t="s">
        <v>28</v>
      </c>
      <c r="Z1629">
        <v>100243</v>
      </c>
      <c r="AA1629" t="s">
        <v>446</v>
      </c>
      <c r="AB1629" t="s">
        <v>521</v>
      </c>
      <c r="AC1629" s="9">
        <v>3</v>
      </c>
      <c r="AD1629" s="9" t="str">
        <f t="shared" si="162"/>
        <v>N/A</v>
      </c>
      <c r="AE1629" s="11" t="e">
        <f t="shared" si="164"/>
        <v>#VALUE!</v>
      </c>
    </row>
    <row r="1630" spans="1:31" x14ac:dyDescent="0.3">
      <c r="A1630">
        <v>17</v>
      </c>
      <c r="B1630">
        <v>4862813</v>
      </c>
      <c r="C1630" t="s">
        <v>240</v>
      </c>
      <c r="D1630">
        <v>1258708</v>
      </c>
      <c r="E1630" t="s">
        <v>729</v>
      </c>
      <c r="F1630" t="s">
        <v>20</v>
      </c>
      <c r="G1630" t="s">
        <v>1593</v>
      </c>
      <c r="H1630" t="s">
        <v>1594</v>
      </c>
      <c r="I1630" t="s">
        <v>3498</v>
      </c>
      <c r="J1630">
        <v>51154374874</v>
      </c>
      <c r="K1630" t="s">
        <v>3168</v>
      </c>
      <c r="L1630" t="s">
        <v>3499</v>
      </c>
      <c r="M1630">
        <v>120000</v>
      </c>
      <c r="N1630" s="10">
        <v>4.65E-2</v>
      </c>
      <c r="O1630" s="10">
        <f t="shared" si="160"/>
        <v>5580</v>
      </c>
      <c r="P1630" s="10">
        <v>460.35</v>
      </c>
      <c r="Q1630" s="10">
        <v>0</v>
      </c>
      <c r="R1630" s="10">
        <f>IF(COUNTIF($J$2:J1630,J1630)=1,SUMIFS($O:$O,$J:$J,J1630)+SUMIFS($P:$P,$J:$J,J1630)+SUMIFS($Q:$Q,$J:$J,J1630),"")</f>
        <v>6940.35</v>
      </c>
      <c r="S1630" s="10">
        <v>6940.35</v>
      </c>
      <c r="T1630" s="11" t="str">
        <f t="shared" si="163"/>
        <v>Ok</v>
      </c>
      <c r="U1630" s="12">
        <v>46108</v>
      </c>
      <c r="V1630" s="10">
        <v>458.91</v>
      </c>
      <c r="W1630" s="10" t="str">
        <f t="shared" si="161"/>
        <v>Short Paid</v>
      </c>
      <c r="X1630" t="s">
        <v>478</v>
      </c>
      <c r="Y1630" t="s">
        <v>28</v>
      </c>
      <c r="Z1630">
        <v>100202</v>
      </c>
      <c r="AA1630" t="s">
        <v>3107</v>
      </c>
      <c r="AB1630" t="s">
        <v>521</v>
      </c>
      <c r="AC1630" s="9">
        <v>2</v>
      </c>
      <c r="AD1630" s="9" t="str">
        <f t="shared" si="162"/>
        <v>Ok</v>
      </c>
      <c r="AE1630" s="11">
        <f t="shared" si="164"/>
        <v>0</v>
      </c>
    </row>
    <row r="1631" spans="1:31" x14ac:dyDescent="0.3">
      <c r="A1631">
        <v>17</v>
      </c>
      <c r="B1631">
        <v>4862813</v>
      </c>
      <c r="C1631" t="s">
        <v>240</v>
      </c>
      <c r="D1631">
        <v>1258708</v>
      </c>
      <c r="E1631" t="s">
        <v>729</v>
      </c>
      <c r="F1631" t="s">
        <v>20</v>
      </c>
      <c r="G1631" t="s">
        <v>1593</v>
      </c>
      <c r="H1631" t="s">
        <v>1594</v>
      </c>
      <c r="I1631" t="s">
        <v>3188</v>
      </c>
      <c r="J1631">
        <v>51154374874</v>
      </c>
      <c r="K1631" s="12">
        <v>36586</v>
      </c>
      <c r="L1631" t="s">
        <v>3796</v>
      </c>
      <c r="M1631">
        <v>30</v>
      </c>
      <c r="N1631" s="10">
        <v>30</v>
      </c>
      <c r="O1631" s="10">
        <f t="shared" si="160"/>
        <v>900</v>
      </c>
      <c r="P1631" s="10" t="s">
        <v>5006</v>
      </c>
      <c r="Q1631" s="10" t="s">
        <v>5006</v>
      </c>
      <c r="R1631" s="10" t="str">
        <f>IF(COUNTIF($J$2:J1631,J1631)=1,SUMIFS($O:$O,$J:$J,J1631)+SUMIFS($P:$P,$J:$J,J1631)+SUMIFS($Q:$Q,$J:$J,J1631),"")</f>
        <v/>
      </c>
      <c r="S1631" s="10" t="s">
        <v>5006</v>
      </c>
      <c r="T1631" s="11" t="str">
        <f t="shared" si="163"/>
        <v>Ok</v>
      </c>
      <c r="U1631" s="12">
        <v>46108</v>
      </c>
      <c r="V1631" s="10">
        <v>458.91</v>
      </c>
      <c r="W1631" s="10" t="str">
        <f t="shared" si="161"/>
        <v>N/A</v>
      </c>
      <c r="X1631" t="s">
        <v>478</v>
      </c>
      <c r="Y1631" t="s">
        <v>28</v>
      </c>
      <c r="Z1631">
        <v>100202</v>
      </c>
      <c r="AA1631" t="s">
        <v>3107</v>
      </c>
      <c r="AB1631" t="s">
        <v>521</v>
      </c>
      <c r="AC1631" s="9">
        <v>2</v>
      </c>
      <c r="AD1631" s="9" t="str">
        <f t="shared" si="162"/>
        <v>N/A</v>
      </c>
      <c r="AE1631" s="11" t="e">
        <f t="shared" si="164"/>
        <v>#VALUE!</v>
      </c>
    </row>
    <row r="1632" spans="1:31" x14ac:dyDescent="0.3">
      <c r="A1632">
        <v>22</v>
      </c>
      <c r="B1632">
        <v>4838880</v>
      </c>
      <c r="C1632" t="s">
        <v>60</v>
      </c>
      <c r="D1632">
        <v>1444099</v>
      </c>
      <c r="E1632" t="s">
        <v>720</v>
      </c>
      <c r="F1632" t="s">
        <v>48</v>
      </c>
      <c r="G1632" t="s">
        <v>1508</v>
      </c>
      <c r="H1632" t="s">
        <v>1509</v>
      </c>
      <c r="I1632" t="s">
        <v>3361</v>
      </c>
      <c r="J1632">
        <v>51154397150</v>
      </c>
      <c r="K1632" t="s">
        <v>3177</v>
      </c>
      <c r="L1632" t="s">
        <v>4412</v>
      </c>
      <c r="M1632">
        <v>14000</v>
      </c>
      <c r="N1632" s="10">
        <v>9.9299999999999999E-2</v>
      </c>
      <c r="O1632" s="10">
        <f t="shared" si="160"/>
        <v>1390.2</v>
      </c>
      <c r="P1632" s="10">
        <v>0</v>
      </c>
      <c r="Q1632" s="10">
        <v>83.76</v>
      </c>
      <c r="R1632" s="10">
        <f>IF(COUNTIF($J$2:J1632,J1632)=1,SUMIFS($O:$O,$J:$J,J1632)+SUMIFS($P:$P,$J:$J,J1632)+SUMIFS($Q:$Q,$J:$J,J1632),"")</f>
        <v>1650.3</v>
      </c>
      <c r="S1632" s="10">
        <v>1658.3000000000002</v>
      </c>
      <c r="T1632" s="11" t="str">
        <f t="shared" si="163"/>
        <v>Check</v>
      </c>
      <c r="U1632" s="12">
        <v>46101</v>
      </c>
      <c r="V1632" s="10">
        <v>268.10000000000002</v>
      </c>
      <c r="W1632" s="10" t="str">
        <f t="shared" si="161"/>
        <v>Short Paid</v>
      </c>
      <c r="X1632" t="s">
        <v>438</v>
      </c>
      <c r="Y1632" t="s">
        <v>28</v>
      </c>
      <c r="Z1632">
        <v>100283</v>
      </c>
      <c r="AA1632" t="s">
        <v>439</v>
      </c>
      <c r="AB1632" t="s">
        <v>3040</v>
      </c>
      <c r="AC1632" s="9">
        <v>2</v>
      </c>
      <c r="AD1632" s="9" t="str">
        <f t="shared" si="162"/>
        <v>Check</v>
      </c>
      <c r="AE1632" s="11">
        <f t="shared" si="164"/>
        <v>-8.0000000000002274</v>
      </c>
    </row>
    <row r="1633" spans="1:31" x14ac:dyDescent="0.3">
      <c r="A1633">
        <v>22</v>
      </c>
      <c r="B1633">
        <v>4838880</v>
      </c>
      <c r="C1633" t="s">
        <v>60</v>
      </c>
      <c r="D1633">
        <v>1444099</v>
      </c>
      <c r="E1633" t="s">
        <v>720</v>
      </c>
      <c r="F1633" t="s">
        <v>48</v>
      </c>
      <c r="G1633" t="s">
        <v>1508</v>
      </c>
      <c r="H1633" t="s">
        <v>1509</v>
      </c>
      <c r="I1633" t="s">
        <v>3344</v>
      </c>
      <c r="J1633">
        <v>51154397150</v>
      </c>
      <c r="K1633" t="s">
        <v>3276</v>
      </c>
      <c r="L1633" t="s">
        <v>4413</v>
      </c>
      <c r="M1633">
        <v>3</v>
      </c>
      <c r="N1633" s="10">
        <v>58.78</v>
      </c>
      <c r="O1633" s="10">
        <f t="shared" si="160"/>
        <v>176.34</v>
      </c>
      <c r="P1633" s="10" t="s">
        <v>5006</v>
      </c>
      <c r="Q1633" s="10" t="s">
        <v>5006</v>
      </c>
      <c r="R1633" s="10" t="str">
        <f>IF(COUNTIF($J$2:J1633,J1633)=1,SUMIFS($O:$O,$J:$J,J1633)+SUMIFS($P:$P,$J:$J,J1633)+SUMIFS($Q:$Q,$J:$J,J1633),"")</f>
        <v/>
      </c>
      <c r="S1633" s="10" t="s">
        <v>5006</v>
      </c>
      <c r="T1633" s="11" t="str">
        <f t="shared" si="163"/>
        <v>Check</v>
      </c>
      <c r="U1633" s="12">
        <v>46101</v>
      </c>
      <c r="V1633" s="10">
        <v>268.10000000000002</v>
      </c>
      <c r="W1633" s="10" t="str">
        <f t="shared" si="161"/>
        <v>N/A</v>
      </c>
      <c r="X1633" t="s">
        <v>438</v>
      </c>
      <c r="Y1633" t="s">
        <v>28</v>
      </c>
      <c r="Z1633">
        <v>100283</v>
      </c>
      <c r="AA1633" t="s">
        <v>439</v>
      </c>
      <c r="AB1633" t="s">
        <v>3040</v>
      </c>
      <c r="AC1633" s="9">
        <v>2</v>
      </c>
      <c r="AD1633" s="9" t="str">
        <f t="shared" si="162"/>
        <v>N/A</v>
      </c>
      <c r="AE1633" s="11" t="e">
        <f t="shared" si="164"/>
        <v>#VALUE!</v>
      </c>
    </row>
    <row r="1634" spans="1:31" x14ac:dyDescent="0.3">
      <c r="A1634">
        <v>22</v>
      </c>
      <c r="B1634">
        <v>4839159</v>
      </c>
      <c r="C1634" t="s">
        <v>220</v>
      </c>
      <c r="D1634">
        <v>1433618</v>
      </c>
      <c r="E1634" t="s">
        <v>711</v>
      </c>
      <c r="F1634" t="s">
        <v>49</v>
      </c>
      <c r="G1634" t="s">
        <v>1510</v>
      </c>
      <c r="H1634" t="s">
        <v>1511</v>
      </c>
      <c r="I1634" t="s">
        <v>3322</v>
      </c>
      <c r="J1634">
        <v>51154406189</v>
      </c>
      <c r="K1634" t="s">
        <v>3479</v>
      </c>
      <c r="L1634" t="s">
        <v>3478</v>
      </c>
      <c r="M1634">
        <v>40000</v>
      </c>
      <c r="N1634" s="10">
        <v>1.932E-2</v>
      </c>
      <c r="O1634" s="10">
        <f t="shared" si="160"/>
        <v>772.80000000000007</v>
      </c>
      <c r="P1634" s="10">
        <v>51.5</v>
      </c>
      <c r="Q1634" s="10">
        <v>0</v>
      </c>
      <c r="R1634" s="10">
        <f>IF(COUNTIF($J$2:J1634,J1634)=1,SUMIFS($O:$O,$J:$J,J1634)+SUMIFS($P:$P,$J:$J,J1634)+SUMIFS($Q:$Q,$J:$J,J1634),"")</f>
        <v>1488.8000000000002</v>
      </c>
      <c r="S1634" s="10">
        <v>1488.8</v>
      </c>
      <c r="T1634" s="11" t="str">
        <f t="shared" si="163"/>
        <v>Ok</v>
      </c>
      <c r="U1634" s="12">
        <v>46143</v>
      </c>
      <c r="V1634" s="10">
        <v>51.5</v>
      </c>
      <c r="W1634" s="10" t="str">
        <f t="shared" si="161"/>
        <v>Short Paid</v>
      </c>
      <c r="X1634" t="s">
        <v>470</v>
      </c>
      <c r="Y1634" t="s">
        <v>29</v>
      </c>
      <c r="Z1634">
        <v>100298</v>
      </c>
      <c r="AA1634" t="s">
        <v>3105</v>
      </c>
      <c r="AB1634" t="s">
        <v>3041</v>
      </c>
      <c r="AC1634" s="9">
        <v>2</v>
      </c>
      <c r="AD1634" s="9" t="str">
        <f t="shared" si="162"/>
        <v>Ok</v>
      </c>
      <c r="AE1634" s="11">
        <f t="shared" si="164"/>
        <v>0</v>
      </c>
    </row>
    <row r="1635" spans="1:31" x14ac:dyDescent="0.3">
      <c r="A1635">
        <v>22</v>
      </c>
      <c r="B1635">
        <v>4839159</v>
      </c>
      <c r="C1635" t="s">
        <v>220</v>
      </c>
      <c r="D1635">
        <v>1433618</v>
      </c>
      <c r="E1635" t="s">
        <v>711</v>
      </c>
      <c r="F1635" t="s">
        <v>49</v>
      </c>
      <c r="G1635" t="s">
        <v>1510</v>
      </c>
      <c r="H1635" t="s">
        <v>1511</v>
      </c>
      <c r="I1635" t="s">
        <v>3172</v>
      </c>
      <c r="J1635">
        <v>51154406189</v>
      </c>
      <c r="K1635" t="s">
        <v>4415</v>
      </c>
      <c r="L1635" t="s">
        <v>4414</v>
      </c>
      <c r="M1635">
        <v>5000</v>
      </c>
      <c r="N1635" s="10">
        <v>0.13289999999999999</v>
      </c>
      <c r="O1635" s="10">
        <f t="shared" si="160"/>
        <v>664.5</v>
      </c>
      <c r="P1635" s="10" t="s">
        <v>5006</v>
      </c>
      <c r="Q1635" s="10" t="s">
        <v>5006</v>
      </c>
      <c r="R1635" s="10" t="str">
        <f>IF(COUNTIF($J$2:J1635,J1635)=1,SUMIFS($O:$O,$J:$J,J1635)+SUMIFS($P:$P,$J:$J,J1635)+SUMIFS($Q:$Q,$J:$J,J1635),"")</f>
        <v/>
      </c>
      <c r="S1635" s="10" t="s">
        <v>5006</v>
      </c>
      <c r="T1635" s="11" t="str">
        <f t="shared" si="163"/>
        <v>Ok</v>
      </c>
      <c r="U1635" s="12">
        <v>46143</v>
      </c>
      <c r="V1635" s="10">
        <v>51.5</v>
      </c>
      <c r="W1635" s="10" t="str">
        <f t="shared" si="161"/>
        <v>N/A</v>
      </c>
      <c r="X1635" t="s">
        <v>470</v>
      </c>
      <c r="Y1635" t="s">
        <v>29</v>
      </c>
      <c r="Z1635">
        <v>100298</v>
      </c>
      <c r="AA1635" t="s">
        <v>3105</v>
      </c>
      <c r="AB1635" t="s">
        <v>3041</v>
      </c>
      <c r="AC1635" s="9">
        <v>2</v>
      </c>
      <c r="AD1635" s="9" t="str">
        <f t="shared" si="162"/>
        <v>N/A</v>
      </c>
      <c r="AE1635" s="11" t="e">
        <f t="shared" si="164"/>
        <v>#VALUE!</v>
      </c>
    </row>
    <row r="1636" spans="1:31" x14ac:dyDescent="0.3">
      <c r="A1636">
        <v>22</v>
      </c>
      <c r="B1636">
        <v>4839437</v>
      </c>
      <c r="C1636" t="s">
        <v>56</v>
      </c>
      <c r="D1636">
        <v>1443616</v>
      </c>
      <c r="E1636" t="s">
        <v>285</v>
      </c>
      <c r="F1636" t="s">
        <v>19</v>
      </c>
      <c r="G1636" t="s">
        <v>1512</v>
      </c>
      <c r="H1636" t="s">
        <v>1513</v>
      </c>
      <c r="I1636" t="s">
        <v>3305</v>
      </c>
      <c r="J1636">
        <v>51154479448</v>
      </c>
      <c r="K1636" t="s">
        <v>3375</v>
      </c>
      <c r="L1636" t="s">
        <v>4416</v>
      </c>
      <c r="M1636">
        <v>1000</v>
      </c>
      <c r="N1636" s="10">
        <v>0.80947999999999998</v>
      </c>
      <c r="O1636" s="10">
        <f t="shared" si="160"/>
        <v>809.48</v>
      </c>
      <c r="P1636" s="10">
        <v>82.14</v>
      </c>
      <c r="Q1636" s="10">
        <v>186.18</v>
      </c>
      <c r="R1636" s="10">
        <f>IF(COUNTIF($J$2:J1636,J1636)=1,SUMIFS($O:$O,$J:$J,J1636)+SUMIFS($P:$P,$J:$J,J1636)+SUMIFS($Q:$Q,$J:$J,J1636),"")</f>
        <v>224677.80000000002</v>
      </c>
      <c r="S1636" s="10">
        <v>224677.8</v>
      </c>
      <c r="T1636" s="11" t="str">
        <f t="shared" si="163"/>
        <v>Ok</v>
      </c>
      <c r="U1636" s="12">
        <v>46140</v>
      </c>
      <c r="V1636" s="10">
        <v>223600</v>
      </c>
      <c r="W1636" s="10" t="str">
        <f t="shared" si="161"/>
        <v>Short Paid</v>
      </c>
      <c r="X1636" t="s">
        <v>435</v>
      </c>
      <c r="Y1636" t="s">
        <v>28</v>
      </c>
      <c r="Z1636">
        <v>100231</v>
      </c>
      <c r="AA1636" t="s">
        <v>3065</v>
      </c>
      <c r="AB1636" t="s">
        <v>524</v>
      </c>
      <c r="AC1636" s="9">
        <v>2</v>
      </c>
      <c r="AD1636" s="9" t="str">
        <f t="shared" si="162"/>
        <v>Ok</v>
      </c>
      <c r="AE1636" s="11">
        <f t="shared" si="164"/>
        <v>0</v>
      </c>
    </row>
    <row r="1637" spans="1:31" x14ac:dyDescent="0.3">
      <c r="A1637">
        <v>22</v>
      </c>
      <c r="B1637">
        <v>4839437</v>
      </c>
      <c r="C1637" t="s">
        <v>56</v>
      </c>
      <c r="D1637">
        <v>1443616</v>
      </c>
      <c r="E1637" t="s">
        <v>285</v>
      </c>
      <c r="F1637" t="s">
        <v>19</v>
      </c>
      <c r="G1637" t="s">
        <v>1512</v>
      </c>
      <c r="H1637" t="s">
        <v>1513</v>
      </c>
      <c r="I1637" t="s">
        <v>3596</v>
      </c>
      <c r="J1637">
        <v>51154479448</v>
      </c>
      <c r="K1637" t="s">
        <v>3194</v>
      </c>
      <c r="L1637" t="s">
        <v>4417</v>
      </c>
      <c r="M1637">
        <v>10000</v>
      </c>
      <c r="N1637" s="10">
        <v>22.36</v>
      </c>
      <c r="O1637" s="10">
        <f t="shared" si="160"/>
        <v>223600</v>
      </c>
      <c r="P1637" s="10" t="s">
        <v>5006</v>
      </c>
      <c r="Q1637" s="10" t="s">
        <v>5006</v>
      </c>
      <c r="R1637" s="10" t="str">
        <f>IF(COUNTIF($J$2:J1637,J1637)=1,SUMIFS($O:$O,$J:$J,J1637)+SUMIFS($P:$P,$J:$J,J1637)+SUMIFS($Q:$Q,$J:$J,J1637),"")</f>
        <v/>
      </c>
      <c r="S1637" s="10" t="s">
        <v>5006</v>
      </c>
      <c r="T1637" s="11" t="str">
        <f t="shared" si="163"/>
        <v>Ok</v>
      </c>
      <c r="U1637" s="12">
        <v>46140</v>
      </c>
      <c r="V1637" s="10">
        <v>223600</v>
      </c>
      <c r="W1637" s="10" t="str">
        <f t="shared" si="161"/>
        <v>N/A</v>
      </c>
      <c r="X1637" t="s">
        <v>435</v>
      </c>
      <c r="Y1637" t="s">
        <v>28</v>
      </c>
      <c r="Z1637">
        <v>100231</v>
      </c>
      <c r="AA1637" t="s">
        <v>3065</v>
      </c>
      <c r="AB1637" t="s">
        <v>524</v>
      </c>
      <c r="AC1637" s="9">
        <v>2</v>
      </c>
      <c r="AD1637" s="9" t="str">
        <f t="shared" si="162"/>
        <v>N/A</v>
      </c>
      <c r="AE1637" s="11" t="e">
        <f t="shared" si="164"/>
        <v>#VALUE!</v>
      </c>
    </row>
    <row r="1638" spans="1:31" x14ac:dyDescent="0.3">
      <c r="A1638">
        <v>29</v>
      </c>
      <c r="B1638">
        <v>4767361</v>
      </c>
      <c r="C1638" t="s">
        <v>239</v>
      </c>
      <c r="D1638">
        <v>1079286</v>
      </c>
      <c r="E1638" t="s">
        <v>629</v>
      </c>
      <c r="F1638" t="s">
        <v>20</v>
      </c>
      <c r="G1638" t="s">
        <v>1312</v>
      </c>
      <c r="H1638" t="s">
        <v>1313</v>
      </c>
      <c r="I1638" t="s">
        <v>3275</v>
      </c>
      <c r="J1638">
        <v>51154483757</v>
      </c>
      <c r="K1638" t="s">
        <v>3379</v>
      </c>
      <c r="L1638" t="s">
        <v>4418</v>
      </c>
      <c r="M1638">
        <v>6000</v>
      </c>
      <c r="N1638" s="10">
        <v>3.1899999999999998E-2</v>
      </c>
      <c r="O1638" s="10">
        <f t="shared" si="160"/>
        <v>191.39999999999998</v>
      </c>
      <c r="P1638" s="10">
        <v>0</v>
      </c>
      <c r="Q1638" s="10">
        <v>107.27</v>
      </c>
      <c r="R1638" s="10">
        <f>IF(COUNTIF($J$2:J1638,J1638)=1,SUMIFS($O:$O,$J:$J,J1638)+SUMIFS($P:$P,$J:$J,J1638)+SUMIFS($Q:$Q,$J:$J,J1638),"")</f>
        <v>6292.47</v>
      </c>
      <c r="S1638" s="10">
        <v>6292.47</v>
      </c>
      <c r="T1638" s="11" t="str">
        <f t="shared" si="163"/>
        <v>Ok</v>
      </c>
      <c r="U1638" s="12">
        <v>45771</v>
      </c>
      <c r="V1638" s="10">
        <v>1236.47</v>
      </c>
      <c r="W1638" s="10" t="str">
        <f t="shared" si="161"/>
        <v>Short Paid</v>
      </c>
      <c r="X1638" t="s">
        <v>476</v>
      </c>
      <c r="Y1638" t="s">
        <v>28</v>
      </c>
      <c r="Z1638">
        <v>100155</v>
      </c>
      <c r="AA1638" t="s">
        <v>3072</v>
      </c>
      <c r="AB1638" t="s">
        <v>521</v>
      </c>
      <c r="AC1638" s="9">
        <v>5</v>
      </c>
      <c r="AD1638" s="9" t="str">
        <f t="shared" si="162"/>
        <v>Ok</v>
      </c>
      <c r="AE1638" s="11">
        <f t="shared" si="164"/>
        <v>0</v>
      </c>
    </row>
    <row r="1639" spans="1:31" x14ac:dyDescent="0.3">
      <c r="A1639">
        <v>29</v>
      </c>
      <c r="B1639">
        <v>4767361</v>
      </c>
      <c r="C1639" t="s">
        <v>239</v>
      </c>
      <c r="D1639">
        <v>1079286</v>
      </c>
      <c r="E1639" t="s">
        <v>629</v>
      </c>
      <c r="F1639" t="s">
        <v>20</v>
      </c>
      <c r="G1639" t="s">
        <v>1312</v>
      </c>
      <c r="H1639" t="s">
        <v>1313</v>
      </c>
      <c r="I1639" t="s">
        <v>3275</v>
      </c>
      <c r="J1639">
        <v>51154483757</v>
      </c>
      <c r="K1639" t="s">
        <v>3168</v>
      </c>
      <c r="L1639" t="s">
        <v>4185</v>
      </c>
      <c r="M1639">
        <v>30000</v>
      </c>
      <c r="N1639" s="10">
        <v>9.4100000000000003E-2</v>
      </c>
      <c r="O1639" s="10">
        <f t="shared" si="160"/>
        <v>2823</v>
      </c>
      <c r="P1639" s="10" t="s">
        <v>5006</v>
      </c>
      <c r="Q1639" s="10" t="s">
        <v>5006</v>
      </c>
      <c r="R1639" s="10" t="str">
        <f>IF(COUNTIF($J$2:J1639,J1639)=1,SUMIFS($O:$O,$J:$J,J1639)+SUMIFS($P:$P,$J:$J,J1639)+SUMIFS($Q:$Q,$J:$J,J1639),"")</f>
        <v/>
      </c>
      <c r="S1639" s="10" t="s">
        <v>5006</v>
      </c>
      <c r="T1639" s="11" t="str">
        <f t="shared" si="163"/>
        <v>Ok</v>
      </c>
      <c r="U1639" s="12">
        <v>45771</v>
      </c>
      <c r="V1639" s="10">
        <v>1236.47</v>
      </c>
      <c r="W1639" s="10" t="str">
        <f t="shared" si="161"/>
        <v>N/A</v>
      </c>
      <c r="X1639" t="s">
        <v>476</v>
      </c>
      <c r="Y1639" t="s">
        <v>28</v>
      </c>
      <c r="Z1639">
        <v>100155</v>
      </c>
      <c r="AA1639" t="s">
        <v>3072</v>
      </c>
      <c r="AB1639" t="s">
        <v>521</v>
      </c>
      <c r="AC1639" s="9">
        <v>5</v>
      </c>
      <c r="AD1639" s="9" t="str">
        <f t="shared" si="162"/>
        <v>N/A</v>
      </c>
      <c r="AE1639" s="11" t="e">
        <f t="shared" si="164"/>
        <v>#VALUE!</v>
      </c>
    </row>
    <row r="1640" spans="1:31" x14ac:dyDescent="0.3">
      <c r="A1640">
        <v>29</v>
      </c>
      <c r="B1640">
        <v>4767361</v>
      </c>
      <c r="C1640" t="s">
        <v>239</v>
      </c>
      <c r="D1640">
        <v>1079286</v>
      </c>
      <c r="E1640" t="s">
        <v>629</v>
      </c>
      <c r="F1640" t="s">
        <v>20</v>
      </c>
      <c r="G1640" t="s">
        <v>1312</v>
      </c>
      <c r="H1640" t="s">
        <v>1313</v>
      </c>
      <c r="I1640" t="s">
        <v>3275</v>
      </c>
      <c r="J1640">
        <v>51154483757</v>
      </c>
      <c r="K1640" t="s">
        <v>3488</v>
      </c>
      <c r="L1640" t="s">
        <v>4017</v>
      </c>
      <c r="M1640">
        <v>6000</v>
      </c>
      <c r="N1640" s="10">
        <v>0.23760000000000001</v>
      </c>
      <c r="O1640" s="10">
        <f t="shared" si="160"/>
        <v>1425.6000000000001</v>
      </c>
      <c r="P1640" s="10" t="s">
        <v>5006</v>
      </c>
      <c r="Q1640" s="10" t="s">
        <v>5006</v>
      </c>
      <c r="R1640" s="10" t="str">
        <f>IF(COUNTIF($J$2:J1640,J1640)=1,SUMIFS($O:$O,$J:$J,J1640)+SUMIFS($P:$P,$J:$J,J1640)+SUMIFS($Q:$Q,$J:$J,J1640),"")</f>
        <v/>
      </c>
      <c r="S1640" s="10" t="s">
        <v>5006</v>
      </c>
      <c r="T1640" s="11" t="str">
        <f t="shared" si="163"/>
        <v>Ok</v>
      </c>
      <c r="U1640" s="12">
        <v>45771</v>
      </c>
      <c r="V1640" s="10">
        <v>1236.47</v>
      </c>
      <c r="W1640" s="10" t="str">
        <f t="shared" si="161"/>
        <v>N/A</v>
      </c>
      <c r="X1640" t="s">
        <v>476</v>
      </c>
      <c r="Y1640" t="s">
        <v>28</v>
      </c>
      <c r="Z1640">
        <v>100155</v>
      </c>
      <c r="AA1640" t="s">
        <v>3072</v>
      </c>
      <c r="AB1640" t="s">
        <v>521</v>
      </c>
      <c r="AC1640" s="9">
        <v>5</v>
      </c>
      <c r="AD1640" s="9" t="str">
        <f t="shared" si="162"/>
        <v>N/A</v>
      </c>
      <c r="AE1640" s="11" t="e">
        <f t="shared" si="164"/>
        <v>#VALUE!</v>
      </c>
    </row>
    <row r="1641" spans="1:31" x14ac:dyDescent="0.3">
      <c r="A1641">
        <v>29</v>
      </c>
      <c r="B1641">
        <v>4767361</v>
      </c>
      <c r="C1641" t="s">
        <v>239</v>
      </c>
      <c r="D1641">
        <v>1079286</v>
      </c>
      <c r="E1641" t="s">
        <v>629</v>
      </c>
      <c r="F1641" t="s">
        <v>20</v>
      </c>
      <c r="G1641" t="s">
        <v>1312</v>
      </c>
      <c r="H1641" t="s">
        <v>1313</v>
      </c>
      <c r="I1641" t="s">
        <v>3275</v>
      </c>
      <c r="J1641">
        <v>51154483757</v>
      </c>
      <c r="K1641" t="s">
        <v>3488</v>
      </c>
      <c r="L1641" t="s">
        <v>3942</v>
      </c>
      <c r="M1641">
        <v>8000</v>
      </c>
      <c r="N1641" s="10">
        <v>7.6999999999999999E-2</v>
      </c>
      <c r="O1641" s="10">
        <f t="shared" si="160"/>
        <v>616</v>
      </c>
      <c r="P1641" s="10" t="s">
        <v>5006</v>
      </c>
      <c r="Q1641" s="10" t="s">
        <v>5006</v>
      </c>
      <c r="R1641" s="10" t="str">
        <f>IF(COUNTIF($J$2:J1641,J1641)=1,SUMIFS($O:$O,$J:$J,J1641)+SUMIFS($P:$P,$J:$J,J1641)+SUMIFS($Q:$Q,$J:$J,J1641),"")</f>
        <v/>
      </c>
      <c r="S1641" s="10" t="s">
        <v>5006</v>
      </c>
      <c r="T1641" s="11" t="str">
        <f t="shared" si="163"/>
        <v>Ok</v>
      </c>
      <c r="U1641" s="12">
        <v>45771</v>
      </c>
      <c r="V1641" s="10">
        <v>1236.47</v>
      </c>
      <c r="W1641" s="10" t="str">
        <f t="shared" si="161"/>
        <v>N/A</v>
      </c>
      <c r="X1641" t="s">
        <v>476</v>
      </c>
      <c r="Y1641" t="s">
        <v>28</v>
      </c>
      <c r="Z1641">
        <v>100155</v>
      </c>
      <c r="AA1641" t="s">
        <v>3072</v>
      </c>
      <c r="AB1641" t="s">
        <v>521</v>
      </c>
      <c r="AC1641" s="9">
        <v>5</v>
      </c>
      <c r="AD1641" s="9" t="str">
        <f t="shared" si="162"/>
        <v>N/A</v>
      </c>
      <c r="AE1641" s="11" t="e">
        <f t="shared" si="164"/>
        <v>#VALUE!</v>
      </c>
    </row>
    <row r="1642" spans="1:31" x14ac:dyDescent="0.3">
      <c r="A1642">
        <v>29</v>
      </c>
      <c r="B1642">
        <v>4767361</v>
      </c>
      <c r="C1642" t="s">
        <v>239</v>
      </c>
      <c r="D1642">
        <v>1079286</v>
      </c>
      <c r="E1642" t="s">
        <v>629</v>
      </c>
      <c r="F1642" t="s">
        <v>20</v>
      </c>
      <c r="G1642" t="s">
        <v>1312</v>
      </c>
      <c r="H1642" t="s">
        <v>1313</v>
      </c>
      <c r="I1642" t="s">
        <v>3273</v>
      </c>
      <c r="J1642">
        <v>51154483757</v>
      </c>
      <c r="K1642" t="s">
        <v>3537</v>
      </c>
      <c r="L1642" t="s">
        <v>3545</v>
      </c>
      <c r="M1642">
        <v>12000</v>
      </c>
      <c r="N1642" s="10">
        <v>9.4100000000000003E-2</v>
      </c>
      <c r="O1642" s="10">
        <f t="shared" si="160"/>
        <v>1129.2</v>
      </c>
      <c r="P1642" s="10" t="s">
        <v>5006</v>
      </c>
      <c r="Q1642" s="10" t="s">
        <v>5006</v>
      </c>
      <c r="R1642" s="10" t="str">
        <f>IF(COUNTIF($J$2:J1642,J1642)=1,SUMIFS($O:$O,$J:$J,J1642)+SUMIFS($P:$P,$J:$J,J1642)+SUMIFS($Q:$Q,$J:$J,J1642),"")</f>
        <v/>
      </c>
      <c r="S1642" s="10" t="s">
        <v>5006</v>
      </c>
      <c r="T1642" s="11" t="str">
        <f t="shared" si="163"/>
        <v>Ok</v>
      </c>
      <c r="U1642" s="12">
        <v>45771</v>
      </c>
      <c r="V1642" s="10">
        <v>1236.47</v>
      </c>
      <c r="W1642" s="10" t="str">
        <f t="shared" si="161"/>
        <v>N/A</v>
      </c>
      <c r="X1642" t="s">
        <v>476</v>
      </c>
      <c r="Y1642" t="s">
        <v>28</v>
      </c>
      <c r="Z1642">
        <v>100155</v>
      </c>
      <c r="AA1642" t="s">
        <v>3072</v>
      </c>
      <c r="AB1642" t="s">
        <v>521</v>
      </c>
      <c r="AC1642" s="9">
        <v>5</v>
      </c>
      <c r="AD1642" s="9" t="str">
        <f t="shared" si="162"/>
        <v>N/A</v>
      </c>
      <c r="AE1642" s="11" t="e">
        <f t="shared" si="164"/>
        <v>#VALUE!</v>
      </c>
    </row>
    <row r="1643" spans="1:31" x14ac:dyDescent="0.3">
      <c r="A1643">
        <v>29</v>
      </c>
      <c r="B1643">
        <v>4767083</v>
      </c>
      <c r="C1643" t="s">
        <v>239</v>
      </c>
      <c r="D1643">
        <v>1079286</v>
      </c>
      <c r="E1643" t="s">
        <v>629</v>
      </c>
      <c r="F1643" t="s">
        <v>20</v>
      </c>
      <c r="G1643" t="s">
        <v>1314</v>
      </c>
      <c r="H1643" t="s">
        <v>1315</v>
      </c>
      <c r="I1643" t="s">
        <v>3175</v>
      </c>
      <c r="J1643">
        <v>51154508078</v>
      </c>
      <c r="K1643" t="s">
        <v>3229</v>
      </c>
      <c r="L1643" t="s">
        <v>4301</v>
      </c>
      <c r="M1643">
        <v>20000</v>
      </c>
      <c r="N1643" s="10">
        <v>5.3999999999999999E-2</v>
      </c>
      <c r="O1643" s="10">
        <f t="shared" si="160"/>
        <v>1080</v>
      </c>
      <c r="P1643" s="10">
        <v>0</v>
      </c>
      <c r="Q1643" s="10">
        <v>464.4</v>
      </c>
      <c r="R1643" s="10">
        <f>IF(COUNTIF($J$2:J1643,J1643)=1,SUMIFS($O:$O,$J:$J,J1643)+SUMIFS($P:$P,$J:$J,J1643)+SUMIFS($Q:$Q,$J:$J,J1643),"")</f>
        <v>11860.56</v>
      </c>
      <c r="S1643" s="10">
        <v>11860.56</v>
      </c>
      <c r="T1643" s="11" t="str">
        <f t="shared" si="163"/>
        <v>Ok</v>
      </c>
      <c r="U1643" s="12">
        <v>45731</v>
      </c>
      <c r="V1643" s="10">
        <v>1544.4</v>
      </c>
      <c r="W1643" s="10" t="str">
        <f t="shared" si="161"/>
        <v>Short Paid</v>
      </c>
      <c r="X1643" t="s">
        <v>476</v>
      </c>
      <c r="Y1643" t="s">
        <v>28</v>
      </c>
      <c r="Z1643">
        <v>100125</v>
      </c>
      <c r="AA1643" t="s">
        <v>477</v>
      </c>
      <c r="AB1643" t="s">
        <v>521</v>
      </c>
      <c r="AC1643" s="9">
        <v>3</v>
      </c>
      <c r="AD1643" s="9" t="str">
        <f t="shared" si="162"/>
        <v>Ok</v>
      </c>
      <c r="AE1643" s="11">
        <f t="shared" si="164"/>
        <v>0</v>
      </c>
    </row>
    <row r="1644" spans="1:31" x14ac:dyDescent="0.3">
      <c r="A1644">
        <v>29</v>
      </c>
      <c r="B1644">
        <v>4767083</v>
      </c>
      <c r="C1644" t="s">
        <v>239</v>
      </c>
      <c r="D1644">
        <v>1079286</v>
      </c>
      <c r="E1644" t="s">
        <v>629</v>
      </c>
      <c r="F1644" t="s">
        <v>20</v>
      </c>
      <c r="G1644" t="s">
        <v>1314</v>
      </c>
      <c r="H1644" t="s">
        <v>1315</v>
      </c>
      <c r="I1644" t="s">
        <v>3367</v>
      </c>
      <c r="J1644">
        <v>51154508078</v>
      </c>
      <c r="K1644" t="s">
        <v>3168</v>
      </c>
      <c r="L1644" t="s">
        <v>4185</v>
      </c>
      <c r="M1644">
        <v>90000</v>
      </c>
      <c r="N1644" s="10">
        <v>9.4100000000000003E-2</v>
      </c>
      <c r="O1644" s="10">
        <f t="shared" si="160"/>
        <v>8469</v>
      </c>
      <c r="P1644" s="10" t="s">
        <v>5006</v>
      </c>
      <c r="Q1644" s="10" t="s">
        <v>5006</v>
      </c>
      <c r="R1644" s="10" t="str">
        <f>IF(COUNTIF($J$2:J1644,J1644)=1,SUMIFS($O:$O,$J:$J,J1644)+SUMIFS($P:$P,$J:$J,J1644)+SUMIFS($Q:$Q,$J:$J,J1644),"")</f>
        <v/>
      </c>
      <c r="S1644" s="10" t="s">
        <v>5006</v>
      </c>
      <c r="T1644" s="11" t="str">
        <f t="shared" si="163"/>
        <v>Ok</v>
      </c>
      <c r="U1644" s="12">
        <v>45731</v>
      </c>
      <c r="V1644" s="10">
        <v>1544.4</v>
      </c>
      <c r="W1644" s="10" t="str">
        <f t="shared" si="161"/>
        <v>N/A</v>
      </c>
      <c r="X1644" t="s">
        <v>476</v>
      </c>
      <c r="Y1644" t="s">
        <v>28</v>
      </c>
      <c r="Z1644">
        <v>100125</v>
      </c>
      <c r="AA1644" t="s">
        <v>477</v>
      </c>
      <c r="AB1644" t="s">
        <v>521</v>
      </c>
      <c r="AC1644" s="9">
        <v>3</v>
      </c>
      <c r="AD1644" s="9" t="str">
        <f t="shared" si="162"/>
        <v>N/A</v>
      </c>
      <c r="AE1644" s="11" t="e">
        <f t="shared" si="164"/>
        <v>#VALUE!</v>
      </c>
    </row>
    <row r="1645" spans="1:31" x14ac:dyDescent="0.3">
      <c r="A1645">
        <v>29</v>
      </c>
      <c r="B1645">
        <v>4767083</v>
      </c>
      <c r="C1645" t="s">
        <v>239</v>
      </c>
      <c r="D1645">
        <v>1079286</v>
      </c>
      <c r="E1645" t="s">
        <v>629</v>
      </c>
      <c r="F1645" t="s">
        <v>20</v>
      </c>
      <c r="G1645" t="s">
        <v>1314</v>
      </c>
      <c r="H1645" t="s">
        <v>1315</v>
      </c>
      <c r="I1645" t="s">
        <v>3367</v>
      </c>
      <c r="J1645">
        <v>51154508078</v>
      </c>
      <c r="K1645" t="s">
        <v>3180</v>
      </c>
      <c r="L1645" t="s">
        <v>4419</v>
      </c>
      <c r="M1645">
        <v>3600</v>
      </c>
      <c r="N1645" s="10">
        <v>0.5131</v>
      </c>
      <c r="O1645" s="10">
        <f t="shared" si="160"/>
        <v>1847.16</v>
      </c>
      <c r="P1645" s="10" t="s">
        <v>5006</v>
      </c>
      <c r="Q1645" s="10" t="s">
        <v>5006</v>
      </c>
      <c r="R1645" s="10" t="str">
        <f>IF(COUNTIF($J$2:J1645,J1645)=1,SUMIFS($O:$O,$J:$J,J1645)+SUMIFS($P:$P,$J:$J,J1645)+SUMIFS($Q:$Q,$J:$J,J1645),"")</f>
        <v/>
      </c>
      <c r="S1645" s="10" t="s">
        <v>5006</v>
      </c>
      <c r="T1645" s="11" t="str">
        <f t="shared" si="163"/>
        <v>Ok</v>
      </c>
      <c r="U1645" s="12">
        <v>45731</v>
      </c>
      <c r="V1645" s="10">
        <v>1544.4</v>
      </c>
      <c r="W1645" s="10" t="str">
        <f t="shared" si="161"/>
        <v>N/A</v>
      </c>
      <c r="X1645" t="s">
        <v>476</v>
      </c>
      <c r="Y1645" t="s">
        <v>28</v>
      </c>
      <c r="Z1645">
        <v>100125</v>
      </c>
      <c r="AA1645" t="s">
        <v>477</v>
      </c>
      <c r="AB1645" t="s">
        <v>521</v>
      </c>
      <c r="AC1645" s="9">
        <v>3</v>
      </c>
      <c r="AD1645" s="9" t="str">
        <f t="shared" si="162"/>
        <v>N/A</v>
      </c>
      <c r="AE1645" s="11" t="e">
        <f t="shared" si="164"/>
        <v>#VALUE!</v>
      </c>
    </row>
    <row r="1646" spans="1:31" x14ac:dyDescent="0.3">
      <c r="A1646">
        <v>29</v>
      </c>
      <c r="B1646">
        <v>4766805</v>
      </c>
      <c r="C1646" t="s">
        <v>239</v>
      </c>
      <c r="D1646">
        <v>1079286</v>
      </c>
      <c r="E1646" t="s">
        <v>629</v>
      </c>
      <c r="F1646" t="s">
        <v>20</v>
      </c>
      <c r="G1646" t="s">
        <v>1336</v>
      </c>
      <c r="H1646" t="s">
        <v>1337</v>
      </c>
      <c r="I1646" t="s">
        <v>3195</v>
      </c>
      <c r="J1646">
        <v>51154508089</v>
      </c>
      <c r="K1646" t="s">
        <v>3389</v>
      </c>
      <c r="L1646" t="s">
        <v>4420</v>
      </c>
      <c r="M1646">
        <v>5000</v>
      </c>
      <c r="N1646" s="10">
        <v>1.366E-2</v>
      </c>
      <c r="O1646" s="10">
        <f t="shared" si="160"/>
        <v>68.3</v>
      </c>
      <c r="P1646" s="10">
        <v>0</v>
      </c>
      <c r="Q1646" s="10">
        <v>38.93</v>
      </c>
      <c r="R1646" s="10">
        <f>IF(COUNTIF($J$2:J1646,J1646)=1,SUMIFS($O:$O,$J:$J,J1646)+SUMIFS($P:$P,$J:$J,J1646)+SUMIFS($Q:$Q,$J:$J,J1646),"")</f>
        <v>287.23</v>
      </c>
      <c r="S1646" s="10">
        <v>287.23</v>
      </c>
      <c r="T1646" s="11" t="str">
        <f t="shared" si="163"/>
        <v>Ok</v>
      </c>
      <c r="U1646" s="12">
        <v>45723</v>
      </c>
      <c r="V1646" s="10">
        <v>107.23</v>
      </c>
      <c r="W1646" s="10" t="str">
        <f t="shared" si="161"/>
        <v>Short Paid</v>
      </c>
      <c r="X1646" t="s">
        <v>476</v>
      </c>
      <c r="Y1646" t="s">
        <v>28</v>
      </c>
      <c r="Z1646">
        <v>100115</v>
      </c>
      <c r="AA1646" t="s">
        <v>504</v>
      </c>
      <c r="AB1646" t="s">
        <v>521</v>
      </c>
      <c r="AC1646" s="9">
        <v>2</v>
      </c>
      <c r="AD1646" s="9" t="str">
        <f t="shared" si="162"/>
        <v>Ok</v>
      </c>
      <c r="AE1646" s="11">
        <f t="shared" si="164"/>
        <v>0</v>
      </c>
    </row>
    <row r="1647" spans="1:31" x14ac:dyDescent="0.3">
      <c r="A1647">
        <v>29</v>
      </c>
      <c r="B1647">
        <v>4766805</v>
      </c>
      <c r="C1647" t="s">
        <v>239</v>
      </c>
      <c r="D1647">
        <v>1079286</v>
      </c>
      <c r="E1647" t="s">
        <v>629</v>
      </c>
      <c r="F1647" t="s">
        <v>20</v>
      </c>
      <c r="G1647" t="s">
        <v>1336</v>
      </c>
      <c r="H1647" t="s">
        <v>1337</v>
      </c>
      <c r="I1647" t="s">
        <v>3213</v>
      </c>
      <c r="J1647">
        <v>51154508089</v>
      </c>
      <c r="K1647" t="s">
        <v>3177</v>
      </c>
      <c r="L1647" t="s">
        <v>3561</v>
      </c>
      <c r="M1647">
        <v>40000</v>
      </c>
      <c r="N1647" s="10">
        <v>4.4999999999999997E-3</v>
      </c>
      <c r="O1647" s="10">
        <f t="shared" si="160"/>
        <v>180</v>
      </c>
      <c r="P1647" s="10" t="s">
        <v>5006</v>
      </c>
      <c r="Q1647" s="10" t="s">
        <v>5006</v>
      </c>
      <c r="R1647" s="10" t="str">
        <f>IF(COUNTIF($J$2:J1647,J1647)=1,SUMIFS($O:$O,$J:$J,J1647)+SUMIFS($P:$P,$J:$J,J1647)+SUMIFS($Q:$Q,$J:$J,J1647),"")</f>
        <v/>
      </c>
      <c r="S1647" s="10" t="s">
        <v>5006</v>
      </c>
      <c r="T1647" s="11" t="str">
        <f t="shared" si="163"/>
        <v>Ok</v>
      </c>
      <c r="U1647" s="12">
        <v>45723</v>
      </c>
      <c r="V1647" s="10">
        <v>107.23</v>
      </c>
      <c r="W1647" s="10" t="str">
        <f t="shared" si="161"/>
        <v>N/A</v>
      </c>
      <c r="X1647" t="s">
        <v>476</v>
      </c>
      <c r="Y1647" t="s">
        <v>28</v>
      </c>
      <c r="Z1647">
        <v>100115</v>
      </c>
      <c r="AA1647" t="s">
        <v>504</v>
      </c>
      <c r="AB1647" t="s">
        <v>521</v>
      </c>
      <c r="AC1647" s="9">
        <v>2</v>
      </c>
      <c r="AD1647" s="9" t="str">
        <f t="shared" si="162"/>
        <v>N/A</v>
      </c>
      <c r="AE1647" s="11" t="e">
        <f t="shared" si="164"/>
        <v>#VALUE!</v>
      </c>
    </row>
    <row r="1648" spans="1:31" x14ac:dyDescent="0.3">
      <c r="A1648">
        <v>29</v>
      </c>
      <c r="B1648">
        <v>4766526</v>
      </c>
      <c r="C1648" t="s">
        <v>239</v>
      </c>
      <c r="D1648">
        <v>1079286</v>
      </c>
      <c r="E1648" t="s">
        <v>629</v>
      </c>
      <c r="F1648" t="s">
        <v>20</v>
      </c>
      <c r="G1648" t="s">
        <v>1334</v>
      </c>
      <c r="H1648" t="s">
        <v>1335</v>
      </c>
      <c r="I1648" t="s">
        <v>3263</v>
      </c>
      <c r="J1648">
        <v>51154508110</v>
      </c>
      <c r="K1648" t="s">
        <v>3488</v>
      </c>
      <c r="L1648" t="s">
        <v>4372</v>
      </c>
      <c r="M1648">
        <v>9000</v>
      </c>
      <c r="N1648" s="10">
        <v>3.5000000000000003E-2</v>
      </c>
      <c r="O1648" s="10">
        <f t="shared" si="160"/>
        <v>315.00000000000006</v>
      </c>
      <c r="P1648" s="10">
        <v>0</v>
      </c>
      <c r="Q1648" s="10">
        <v>0</v>
      </c>
      <c r="R1648" s="10">
        <f>IF(COUNTIF($J$2:J1648,J1648)=1,SUMIFS($O:$O,$J:$J,J1648)+SUMIFS($P:$P,$J:$J,J1648)+SUMIFS($Q:$Q,$J:$J,J1648),"")</f>
        <v>701.88000000000011</v>
      </c>
      <c r="S1648" s="10">
        <v>701.88</v>
      </c>
      <c r="T1648" s="11" t="str">
        <f t="shared" si="163"/>
        <v>Ok</v>
      </c>
      <c r="U1648" s="12">
        <v>45699</v>
      </c>
      <c r="V1648" s="10">
        <v>315</v>
      </c>
      <c r="W1648" s="10" t="str">
        <f t="shared" si="161"/>
        <v>Short Paid</v>
      </c>
      <c r="X1648" t="s">
        <v>476</v>
      </c>
      <c r="Y1648" t="s">
        <v>28</v>
      </c>
      <c r="Z1648">
        <v>100285</v>
      </c>
      <c r="AA1648" t="s">
        <v>501</v>
      </c>
      <c r="AB1648" t="s">
        <v>521</v>
      </c>
      <c r="AC1648" s="9">
        <v>2</v>
      </c>
      <c r="AD1648" s="9" t="str">
        <f t="shared" si="162"/>
        <v>Ok</v>
      </c>
      <c r="AE1648" s="11">
        <f t="shared" si="164"/>
        <v>0</v>
      </c>
    </row>
    <row r="1649" spans="1:31" x14ac:dyDescent="0.3">
      <c r="A1649">
        <v>29</v>
      </c>
      <c r="B1649">
        <v>4766526</v>
      </c>
      <c r="C1649" t="s">
        <v>239</v>
      </c>
      <c r="D1649">
        <v>1079286</v>
      </c>
      <c r="E1649" t="s">
        <v>629</v>
      </c>
      <c r="F1649" t="s">
        <v>20</v>
      </c>
      <c r="G1649" t="s">
        <v>1334</v>
      </c>
      <c r="H1649" t="s">
        <v>1335</v>
      </c>
      <c r="I1649" t="s">
        <v>3184</v>
      </c>
      <c r="J1649">
        <v>51154508110</v>
      </c>
      <c r="K1649" t="s">
        <v>3177</v>
      </c>
      <c r="L1649" t="s">
        <v>4421</v>
      </c>
      <c r="M1649">
        <v>12000</v>
      </c>
      <c r="N1649" s="10">
        <v>3.2239999999999998E-2</v>
      </c>
      <c r="O1649" s="10">
        <f t="shared" si="160"/>
        <v>386.88</v>
      </c>
      <c r="P1649" s="10" t="s">
        <v>5006</v>
      </c>
      <c r="Q1649" s="10" t="s">
        <v>5006</v>
      </c>
      <c r="R1649" s="10" t="str">
        <f>IF(COUNTIF($J$2:J1649,J1649)=1,SUMIFS($O:$O,$J:$J,J1649)+SUMIFS($P:$P,$J:$J,J1649)+SUMIFS($Q:$Q,$J:$J,J1649),"")</f>
        <v/>
      </c>
      <c r="S1649" s="10" t="s">
        <v>5006</v>
      </c>
      <c r="T1649" s="11" t="str">
        <f t="shared" si="163"/>
        <v>Ok</v>
      </c>
      <c r="U1649" s="12">
        <v>45699</v>
      </c>
      <c r="V1649" s="10">
        <v>315</v>
      </c>
      <c r="W1649" s="10" t="str">
        <f t="shared" si="161"/>
        <v>N/A</v>
      </c>
      <c r="X1649" t="s">
        <v>476</v>
      </c>
      <c r="Y1649" t="s">
        <v>28</v>
      </c>
      <c r="Z1649">
        <v>100285</v>
      </c>
      <c r="AA1649" t="s">
        <v>501</v>
      </c>
      <c r="AB1649" t="s">
        <v>521</v>
      </c>
      <c r="AC1649" s="9">
        <v>2</v>
      </c>
      <c r="AD1649" s="9" t="str">
        <f t="shared" si="162"/>
        <v>N/A</v>
      </c>
      <c r="AE1649" s="11" t="e">
        <f t="shared" si="164"/>
        <v>#VALUE!</v>
      </c>
    </row>
    <row r="1650" spans="1:31" x14ac:dyDescent="0.3">
      <c r="A1650">
        <v>29</v>
      </c>
      <c r="B1650">
        <v>4766248</v>
      </c>
      <c r="C1650" t="s">
        <v>239</v>
      </c>
      <c r="D1650">
        <v>1079286</v>
      </c>
      <c r="E1650" t="s">
        <v>629</v>
      </c>
      <c r="F1650" t="s">
        <v>20</v>
      </c>
      <c r="G1650" t="s">
        <v>1318</v>
      </c>
      <c r="H1650" t="s">
        <v>1319</v>
      </c>
      <c r="I1650" t="s">
        <v>3494</v>
      </c>
      <c r="J1650">
        <v>51154508121</v>
      </c>
      <c r="K1650" t="s">
        <v>3177</v>
      </c>
      <c r="L1650" t="s">
        <v>3892</v>
      </c>
      <c r="M1650">
        <v>20000</v>
      </c>
      <c r="N1650" s="10">
        <v>3.7000000000000002E-3</v>
      </c>
      <c r="O1650" s="10">
        <f t="shared" si="160"/>
        <v>74</v>
      </c>
      <c r="P1650" s="10">
        <v>0</v>
      </c>
      <c r="Q1650" s="10">
        <v>0</v>
      </c>
      <c r="R1650" s="10">
        <f>IF(COUNTIF($J$2:J1650,J1650)=1,SUMIFS($O:$O,$J:$J,J1650)+SUMIFS($P:$P,$J:$J,J1650)+SUMIFS($Q:$Q,$J:$J,J1650),"")</f>
        <v>1405.46</v>
      </c>
      <c r="S1650" s="10">
        <v>1405.46</v>
      </c>
      <c r="T1650" s="11" t="str">
        <f t="shared" si="163"/>
        <v>Ok</v>
      </c>
      <c r="U1650" s="12">
        <v>45699</v>
      </c>
      <c r="V1650" s="10">
        <v>315</v>
      </c>
      <c r="W1650" s="10" t="str">
        <f t="shared" si="161"/>
        <v>Short Paid</v>
      </c>
      <c r="X1650" t="s">
        <v>476</v>
      </c>
      <c r="Y1650" t="s">
        <v>28</v>
      </c>
      <c r="Z1650">
        <v>100275</v>
      </c>
      <c r="AA1650" t="s">
        <v>492</v>
      </c>
      <c r="AB1650" t="s">
        <v>521</v>
      </c>
      <c r="AC1650" s="9">
        <v>4</v>
      </c>
      <c r="AD1650" s="9" t="str">
        <f t="shared" si="162"/>
        <v>Ok</v>
      </c>
      <c r="AE1650" s="11">
        <f t="shared" si="164"/>
        <v>0</v>
      </c>
    </row>
    <row r="1651" spans="1:31" x14ac:dyDescent="0.3">
      <c r="A1651">
        <v>29</v>
      </c>
      <c r="B1651">
        <v>4766248</v>
      </c>
      <c r="C1651" t="s">
        <v>239</v>
      </c>
      <c r="D1651">
        <v>1079286</v>
      </c>
      <c r="E1651" t="s">
        <v>629</v>
      </c>
      <c r="F1651" t="s">
        <v>20</v>
      </c>
      <c r="G1651" t="s">
        <v>1318</v>
      </c>
      <c r="H1651" t="s">
        <v>1319</v>
      </c>
      <c r="I1651" t="s">
        <v>3494</v>
      </c>
      <c r="J1651">
        <v>51154508121</v>
      </c>
      <c r="K1651" t="s">
        <v>3473</v>
      </c>
      <c r="L1651" t="s">
        <v>3472</v>
      </c>
      <c r="M1651">
        <v>6000</v>
      </c>
      <c r="N1651" s="10">
        <v>9.5409999999999995E-2</v>
      </c>
      <c r="O1651" s="10">
        <f t="shared" si="160"/>
        <v>572.45999999999992</v>
      </c>
      <c r="P1651" s="10" t="s">
        <v>5006</v>
      </c>
      <c r="Q1651" s="10" t="s">
        <v>5006</v>
      </c>
      <c r="R1651" s="10" t="str">
        <f>IF(COUNTIF($J$2:J1651,J1651)=1,SUMIFS($O:$O,$J:$J,J1651)+SUMIFS($P:$P,$J:$J,J1651)+SUMIFS($Q:$Q,$J:$J,J1651),"")</f>
        <v/>
      </c>
      <c r="S1651" s="10" t="s">
        <v>5006</v>
      </c>
      <c r="T1651" s="11" t="str">
        <f t="shared" si="163"/>
        <v>Ok</v>
      </c>
      <c r="U1651" s="12">
        <v>45699</v>
      </c>
      <c r="V1651" s="10">
        <v>315</v>
      </c>
      <c r="W1651" s="10" t="str">
        <f t="shared" si="161"/>
        <v>N/A</v>
      </c>
      <c r="X1651" t="s">
        <v>476</v>
      </c>
      <c r="Y1651" t="s">
        <v>28</v>
      </c>
      <c r="Z1651">
        <v>100275</v>
      </c>
      <c r="AA1651" t="s">
        <v>492</v>
      </c>
      <c r="AB1651" t="s">
        <v>521</v>
      </c>
      <c r="AC1651" s="9">
        <v>4</v>
      </c>
      <c r="AD1651" s="9" t="str">
        <f t="shared" si="162"/>
        <v>N/A</v>
      </c>
      <c r="AE1651" s="11" t="e">
        <f t="shared" si="164"/>
        <v>#VALUE!</v>
      </c>
    </row>
    <row r="1652" spans="1:31" x14ac:dyDescent="0.3">
      <c r="A1652">
        <v>29</v>
      </c>
      <c r="B1652">
        <v>4766248</v>
      </c>
      <c r="C1652" t="s">
        <v>239</v>
      </c>
      <c r="D1652">
        <v>1079286</v>
      </c>
      <c r="E1652" t="s">
        <v>629</v>
      </c>
      <c r="F1652" t="s">
        <v>20</v>
      </c>
      <c r="G1652" t="s">
        <v>1318</v>
      </c>
      <c r="H1652" t="s">
        <v>1319</v>
      </c>
      <c r="I1652" t="s">
        <v>3494</v>
      </c>
      <c r="J1652">
        <v>51154508121</v>
      </c>
      <c r="K1652" t="s">
        <v>3168</v>
      </c>
      <c r="L1652" t="s">
        <v>3879</v>
      </c>
      <c r="M1652">
        <v>5000</v>
      </c>
      <c r="N1652" s="10">
        <v>8.8800000000000004E-2</v>
      </c>
      <c r="O1652" s="10">
        <f t="shared" si="160"/>
        <v>444</v>
      </c>
      <c r="P1652" s="10" t="s">
        <v>5006</v>
      </c>
      <c r="Q1652" s="10" t="s">
        <v>5006</v>
      </c>
      <c r="R1652" s="10" t="str">
        <f>IF(COUNTIF($J$2:J1652,J1652)=1,SUMIFS($O:$O,$J:$J,J1652)+SUMIFS($P:$P,$J:$J,J1652)+SUMIFS($Q:$Q,$J:$J,J1652),"")</f>
        <v/>
      </c>
      <c r="S1652" s="10" t="s">
        <v>5006</v>
      </c>
      <c r="T1652" s="11" t="str">
        <f t="shared" si="163"/>
        <v>Ok</v>
      </c>
      <c r="U1652" s="12">
        <v>45699</v>
      </c>
      <c r="V1652" s="10">
        <v>315</v>
      </c>
      <c r="W1652" s="10" t="str">
        <f t="shared" si="161"/>
        <v>N/A</v>
      </c>
      <c r="X1652" t="s">
        <v>476</v>
      </c>
      <c r="Y1652" t="s">
        <v>28</v>
      </c>
      <c r="Z1652">
        <v>100275</v>
      </c>
      <c r="AA1652" t="s">
        <v>492</v>
      </c>
      <c r="AB1652" t="s">
        <v>521</v>
      </c>
      <c r="AC1652" s="9">
        <v>4</v>
      </c>
      <c r="AD1652" s="9" t="str">
        <f t="shared" si="162"/>
        <v>N/A</v>
      </c>
      <c r="AE1652" s="11" t="e">
        <f t="shared" si="164"/>
        <v>#VALUE!</v>
      </c>
    </row>
    <row r="1653" spans="1:31" x14ac:dyDescent="0.3">
      <c r="A1653">
        <v>29</v>
      </c>
      <c r="B1653">
        <v>4766248</v>
      </c>
      <c r="C1653" t="s">
        <v>239</v>
      </c>
      <c r="D1653">
        <v>1079286</v>
      </c>
      <c r="E1653" t="s">
        <v>629</v>
      </c>
      <c r="F1653" t="s">
        <v>20</v>
      </c>
      <c r="G1653" t="s">
        <v>1318</v>
      </c>
      <c r="H1653" t="s">
        <v>1319</v>
      </c>
      <c r="I1653" t="s">
        <v>3285</v>
      </c>
      <c r="J1653">
        <v>51154508121</v>
      </c>
      <c r="K1653" t="s">
        <v>3488</v>
      </c>
      <c r="L1653" t="s">
        <v>4372</v>
      </c>
      <c r="M1653">
        <v>9000</v>
      </c>
      <c r="N1653" s="10">
        <v>3.5000000000000003E-2</v>
      </c>
      <c r="O1653" s="10">
        <f t="shared" si="160"/>
        <v>315.00000000000006</v>
      </c>
      <c r="P1653" s="10" t="s">
        <v>5006</v>
      </c>
      <c r="Q1653" s="10" t="s">
        <v>5006</v>
      </c>
      <c r="R1653" s="10" t="str">
        <f>IF(COUNTIF($J$2:J1653,J1653)=1,SUMIFS($O:$O,$J:$J,J1653)+SUMIFS($P:$P,$J:$J,J1653)+SUMIFS($Q:$Q,$J:$J,J1653),"")</f>
        <v/>
      </c>
      <c r="S1653" s="10" t="s">
        <v>5006</v>
      </c>
      <c r="T1653" s="11" t="str">
        <f t="shared" si="163"/>
        <v>Ok</v>
      </c>
      <c r="U1653" s="12">
        <v>45699</v>
      </c>
      <c r="V1653" s="10">
        <v>315</v>
      </c>
      <c r="W1653" s="10" t="str">
        <f t="shared" si="161"/>
        <v>N/A</v>
      </c>
      <c r="X1653" t="s">
        <v>476</v>
      </c>
      <c r="Y1653" t="s">
        <v>28</v>
      </c>
      <c r="Z1653">
        <v>100275</v>
      </c>
      <c r="AA1653" t="s">
        <v>492</v>
      </c>
      <c r="AB1653" t="s">
        <v>521</v>
      </c>
      <c r="AC1653" s="9">
        <v>4</v>
      </c>
      <c r="AD1653" s="9" t="str">
        <f t="shared" si="162"/>
        <v>N/A</v>
      </c>
      <c r="AE1653" s="11" t="e">
        <f t="shared" si="164"/>
        <v>#VALUE!</v>
      </c>
    </row>
    <row r="1654" spans="1:31" x14ac:dyDescent="0.3">
      <c r="A1654">
        <v>29</v>
      </c>
      <c r="B1654">
        <v>4765970</v>
      </c>
      <c r="C1654" t="s">
        <v>239</v>
      </c>
      <c r="D1654">
        <v>1079286</v>
      </c>
      <c r="E1654" t="s">
        <v>629</v>
      </c>
      <c r="F1654" t="s">
        <v>20</v>
      </c>
      <c r="G1654" t="s">
        <v>1316</v>
      </c>
      <c r="H1654" t="s">
        <v>1317</v>
      </c>
      <c r="I1654" t="s">
        <v>3581</v>
      </c>
      <c r="J1654">
        <v>51154508162</v>
      </c>
      <c r="K1654" t="s">
        <v>3177</v>
      </c>
      <c r="L1654" t="s">
        <v>4422</v>
      </c>
      <c r="M1654">
        <v>80000</v>
      </c>
      <c r="N1654" s="10">
        <v>4.8999999999999998E-3</v>
      </c>
      <c r="O1654" s="10">
        <f t="shared" si="160"/>
        <v>392</v>
      </c>
      <c r="P1654" s="10">
        <v>0</v>
      </c>
      <c r="Q1654" s="10">
        <v>0</v>
      </c>
      <c r="R1654" s="10">
        <f>IF(COUNTIF($J$2:J1654,J1654)=1,SUMIFS($O:$O,$J:$J,J1654)+SUMIFS($P:$P,$J:$J,J1654)+SUMIFS($Q:$Q,$J:$J,J1654),"")</f>
        <v>12679</v>
      </c>
      <c r="S1654" s="10">
        <v>12679</v>
      </c>
      <c r="T1654" s="11" t="str">
        <f t="shared" si="163"/>
        <v>Ok</v>
      </c>
      <c r="U1654" s="12">
        <v>45680</v>
      </c>
      <c r="V1654" s="10">
        <v>8827</v>
      </c>
      <c r="W1654" s="10" t="str">
        <f t="shared" si="161"/>
        <v>Short Paid</v>
      </c>
      <c r="X1654" t="s">
        <v>476</v>
      </c>
      <c r="Y1654" t="s">
        <v>28</v>
      </c>
      <c r="Z1654">
        <v>100245</v>
      </c>
      <c r="AA1654" t="s">
        <v>507</v>
      </c>
      <c r="AB1654" t="s">
        <v>521</v>
      </c>
      <c r="AC1654" s="9">
        <v>5</v>
      </c>
      <c r="AD1654" s="9" t="str">
        <f t="shared" si="162"/>
        <v>Ok</v>
      </c>
      <c r="AE1654" s="11">
        <f t="shared" si="164"/>
        <v>0</v>
      </c>
    </row>
    <row r="1655" spans="1:31" x14ac:dyDescent="0.3">
      <c r="A1655">
        <v>29</v>
      </c>
      <c r="B1655">
        <v>4765970</v>
      </c>
      <c r="C1655" t="s">
        <v>239</v>
      </c>
      <c r="D1655">
        <v>1079286</v>
      </c>
      <c r="E1655" t="s">
        <v>629</v>
      </c>
      <c r="F1655" t="s">
        <v>20</v>
      </c>
      <c r="G1655" t="s">
        <v>1316</v>
      </c>
      <c r="H1655" t="s">
        <v>1317</v>
      </c>
      <c r="I1655" t="s">
        <v>3581</v>
      </c>
      <c r="J1655">
        <v>51154508162</v>
      </c>
      <c r="K1655" t="s">
        <v>3229</v>
      </c>
      <c r="L1655" t="s">
        <v>3877</v>
      </c>
      <c r="M1655">
        <v>20000</v>
      </c>
      <c r="N1655" s="10">
        <v>1.9879999999999998E-2</v>
      </c>
      <c r="O1655" s="10">
        <f t="shared" si="160"/>
        <v>397.59999999999997</v>
      </c>
      <c r="P1655" s="10" t="s">
        <v>5006</v>
      </c>
      <c r="Q1655" s="10" t="s">
        <v>5006</v>
      </c>
      <c r="R1655" s="10" t="str">
        <f>IF(COUNTIF($J$2:J1655,J1655)=1,SUMIFS($O:$O,$J:$J,J1655)+SUMIFS($P:$P,$J:$J,J1655)+SUMIFS($Q:$Q,$J:$J,J1655),"")</f>
        <v/>
      </c>
      <c r="S1655" s="10" t="s">
        <v>5006</v>
      </c>
      <c r="T1655" s="11" t="str">
        <f t="shared" si="163"/>
        <v>Ok</v>
      </c>
      <c r="U1655" s="12">
        <v>45680</v>
      </c>
      <c r="V1655" s="10">
        <v>8827</v>
      </c>
      <c r="W1655" s="10" t="str">
        <f t="shared" si="161"/>
        <v>N/A</v>
      </c>
      <c r="X1655" t="s">
        <v>476</v>
      </c>
      <c r="Y1655" t="s">
        <v>28</v>
      </c>
      <c r="Z1655">
        <v>100245</v>
      </c>
      <c r="AA1655" t="s">
        <v>507</v>
      </c>
      <c r="AB1655" t="s">
        <v>521</v>
      </c>
      <c r="AC1655" s="9">
        <v>5</v>
      </c>
      <c r="AD1655" s="9" t="str">
        <f t="shared" si="162"/>
        <v>N/A</v>
      </c>
      <c r="AE1655" s="11" t="e">
        <f t="shared" si="164"/>
        <v>#VALUE!</v>
      </c>
    </row>
    <row r="1656" spans="1:31" x14ac:dyDescent="0.3">
      <c r="A1656">
        <v>29</v>
      </c>
      <c r="B1656">
        <v>4765970</v>
      </c>
      <c r="C1656" t="s">
        <v>239</v>
      </c>
      <c r="D1656">
        <v>1079286</v>
      </c>
      <c r="E1656" t="s">
        <v>629</v>
      </c>
      <c r="F1656" t="s">
        <v>20</v>
      </c>
      <c r="G1656" t="s">
        <v>1316</v>
      </c>
      <c r="H1656" t="s">
        <v>1317</v>
      </c>
      <c r="I1656" t="s">
        <v>3581</v>
      </c>
      <c r="J1656">
        <v>51154508162</v>
      </c>
      <c r="K1656" t="s">
        <v>3488</v>
      </c>
      <c r="L1656" t="s">
        <v>4017</v>
      </c>
      <c r="M1656">
        <v>9000</v>
      </c>
      <c r="N1656" s="10">
        <v>0.23760000000000001</v>
      </c>
      <c r="O1656" s="10">
        <f t="shared" si="160"/>
        <v>2138.4</v>
      </c>
      <c r="P1656" s="10" t="s">
        <v>5006</v>
      </c>
      <c r="Q1656" s="10" t="s">
        <v>5006</v>
      </c>
      <c r="R1656" s="10" t="str">
        <f>IF(COUNTIF($J$2:J1656,J1656)=1,SUMIFS($O:$O,$J:$J,J1656)+SUMIFS($P:$P,$J:$J,J1656)+SUMIFS($Q:$Q,$J:$J,J1656),"")</f>
        <v/>
      </c>
      <c r="S1656" s="10" t="s">
        <v>5006</v>
      </c>
      <c r="T1656" s="11" t="str">
        <f t="shared" si="163"/>
        <v>Ok</v>
      </c>
      <c r="U1656" s="12">
        <v>45680</v>
      </c>
      <c r="V1656" s="10">
        <v>8827</v>
      </c>
      <c r="W1656" s="10" t="str">
        <f t="shared" si="161"/>
        <v>N/A</v>
      </c>
      <c r="X1656" t="s">
        <v>476</v>
      </c>
      <c r="Y1656" t="s">
        <v>28</v>
      </c>
      <c r="Z1656">
        <v>100245</v>
      </c>
      <c r="AA1656" t="s">
        <v>507</v>
      </c>
      <c r="AB1656" t="s">
        <v>521</v>
      </c>
      <c r="AC1656" s="9">
        <v>5</v>
      </c>
      <c r="AD1656" s="9" t="str">
        <f t="shared" si="162"/>
        <v>N/A</v>
      </c>
      <c r="AE1656" s="11" t="e">
        <f t="shared" si="164"/>
        <v>#VALUE!</v>
      </c>
    </row>
    <row r="1657" spans="1:31" x14ac:dyDescent="0.3">
      <c r="A1657">
        <v>29</v>
      </c>
      <c r="B1657">
        <v>4765970</v>
      </c>
      <c r="C1657" t="s">
        <v>239</v>
      </c>
      <c r="D1657">
        <v>1079286</v>
      </c>
      <c r="E1657" t="s">
        <v>629</v>
      </c>
      <c r="F1657" t="s">
        <v>20</v>
      </c>
      <c r="G1657" t="s">
        <v>1316</v>
      </c>
      <c r="H1657" t="s">
        <v>1317</v>
      </c>
      <c r="I1657" t="s">
        <v>3581</v>
      </c>
      <c r="J1657">
        <v>51154508162</v>
      </c>
      <c r="K1657" t="s">
        <v>3488</v>
      </c>
      <c r="L1657" t="s">
        <v>3942</v>
      </c>
      <c r="M1657">
        <v>12000</v>
      </c>
      <c r="N1657" s="10">
        <v>7.6999999999999999E-2</v>
      </c>
      <c r="O1657" s="10">
        <f t="shared" si="160"/>
        <v>924</v>
      </c>
      <c r="P1657" s="10" t="s">
        <v>5006</v>
      </c>
      <c r="Q1657" s="10" t="s">
        <v>5006</v>
      </c>
      <c r="R1657" s="10" t="str">
        <f>IF(COUNTIF($J$2:J1657,J1657)=1,SUMIFS($O:$O,$J:$J,J1657)+SUMIFS($P:$P,$J:$J,J1657)+SUMIFS($Q:$Q,$J:$J,J1657),"")</f>
        <v/>
      </c>
      <c r="S1657" s="10" t="s">
        <v>5006</v>
      </c>
      <c r="T1657" s="11" t="str">
        <f t="shared" si="163"/>
        <v>Ok</v>
      </c>
      <c r="U1657" s="12">
        <v>45680</v>
      </c>
      <c r="V1657" s="10">
        <v>8827</v>
      </c>
      <c r="W1657" s="10" t="str">
        <f t="shared" si="161"/>
        <v>N/A</v>
      </c>
      <c r="X1657" t="s">
        <v>476</v>
      </c>
      <c r="Y1657" t="s">
        <v>28</v>
      </c>
      <c r="Z1657">
        <v>100245</v>
      </c>
      <c r="AA1657" t="s">
        <v>507</v>
      </c>
      <c r="AB1657" t="s">
        <v>521</v>
      </c>
      <c r="AC1657" s="9">
        <v>5</v>
      </c>
      <c r="AD1657" s="9" t="str">
        <f t="shared" si="162"/>
        <v>N/A</v>
      </c>
      <c r="AE1657" s="11" t="e">
        <f t="shared" si="164"/>
        <v>#VALUE!</v>
      </c>
    </row>
    <row r="1658" spans="1:31" x14ac:dyDescent="0.3">
      <c r="A1658">
        <v>29</v>
      </c>
      <c r="B1658">
        <v>4765970</v>
      </c>
      <c r="C1658" t="s">
        <v>239</v>
      </c>
      <c r="D1658">
        <v>1079286</v>
      </c>
      <c r="E1658" t="s">
        <v>629</v>
      </c>
      <c r="F1658" t="s">
        <v>20</v>
      </c>
      <c r="G1658" t="s">
        <v>1316</v>
      </c>
      <c r="H1658" t="s">
        <v>1317</v>
      </c>
      <c r="I1658" t="s">
        <v>3202</v>
      </c>
      <c r="J1658">
        <v>51154508162</v>
      </c>
      <c r="K1658" t="s">
        <v>3223</v>
      </c>
      <c r="L1658" t="s">
        <v>4222</v>
      </c>
      <c r="M1658">
        <v>35000</v>
      </c>
      <c r="N1658" s="10">
        <v>0.25219999999999998</v>
      </c>
      <c r="O1658" s="10">
        <f t="shared" si="160"/>
        <v>8827</v>
      </c>
      <c r="P1658" s="10" t="s">
        <v>5006</v>
      </c>
      <c r="Q1658" s="10" t="s">
        <v>5006</v>
      </c>
      <c r="R1658" s="10" t="str">
        <f>IF(COUNTIF($J$2:J1658,J1658)=1,SUMIFS($O:$O,$J:$J,J1658)+SUMIFS($P:$P,$J:$J,J1658)+SUMIFS($Q:$Q,$J:$J,J1658),"")</f>
        <v/>
      </c>
      <c r="S1658" s="10" t="s">
        <v>5006</v>
      </c>
      <c r="T1658" s="11" t="str">
        <f t="shared" si="163"/>
        <v>Ok</v>
      </c>
      <c r="U1658" s="12">
        <v>45680</v>
      </c>
      <c r="V1658" s="10">
        <v>8827</v>
      </c>
      <c r="W1658" s="10" t="str">
        <f t="shared" si="161"/>
        <v>N/A</v>
      </c>
      <c r="X1658" t="s">
        <v>476</v>
      </c>
      <c r="Y1658" t="s">
        <v>28</v>
      </c>
      <c r="Z1658">
        <v>100245</v>
      </c>
      <c r="AA1658" t="s">
        <v>507</v>
      </c>
      <c r="AB1658" t="s">
        <v>521</v>
      </c>
      <c r="AC1658" s="9">
        <v>5</v>
      </c>
      <c r="AD1658" s="9" t="str">
        <f t="shared" si="162"/>
        <v>N/A</v>
      </c>
      <c r="AE1658" s="11" t="e">
        <f t="shared" si="164"/>
        <v>#VALUE!</v>
      </c>
    </row>
    <row r="1659" spans="1:31" x14ac:dyDescent="0.3">
      <c r="A1659">
        <v>22</v>
      </c>
      <c r="B1659">
        <v>4839715</v>
      </c>
      <c r="C1659" t="s">
        <v>56</v>
      </c>
      <c r="D1659">
        <v>1443616</v>
      </c>
      <c r="E1659" t="s">
        <v>285</v>
      </c>
      <c r="F1659" t="s">
        <v>19</v>
      </c>
      <c r="G1659" t="s">
        <v>1514</v>
      </c>
      <c r="H1659" t="s">
        <v>1515</v>
      </c>
      <c r="I1659" t="s">
        <v>3496</v>
      </c>
      <c r="J1659">
        <v>51154510407</v>
      </c>
      <c r="K1659" t="s">
        <v>3194</v>
      </c>
      <c r="L1659" t="s">
        <v>4417</v>
      </c>
      <c r="M1659">
        <v>4000</v>
      </c>
      <c r="N1659" s="10">
        <v>22.36</v>
      </c>
      <c r="O1659" s="10">
        <f t="shared" si="160"/>
        <v>89440</v>
      </c>
      <c r="P1659" s="10">
        <v>245.73</v>
      </c>
      <c r="Q1659" s="10">
        <v>556.97</v>
      </c>
      <c r="R1659" s="10">
        <f>IF(COUNTIF($J$2:J1659,J1659)=1,SUMIFS($O:$O,$J:$J,J1659)+SUMIFS($P:$P,$J:$J,J1659)+SUMIFS($Q:$Q,$J:$J,J1659),"")</f>
        <v>92664.3</v>
      </c>
      <c r="S1659" s="10">
        <v>92664.3</v>
      </c>
      <c r="T1659" s="11" t="str">
        <f t="shared" si="163"/>
        <v>Ok</v>
      </c>
      <c r="U1659" s="12">
        <v>46150</v>
      </c>
      <c r="V1659" s="10">
        <v>89440</v>
      </c>
      <c r="W1659" s="10" t="str">
        <f t="shared" si="161"/>
        <v>Short Paid</v>
      </c>
      <c r="X1659" t="s">
        <v>435</v>
      </c>
      <c r="Y1659" t="s">
        <v>28</v>
      </c>
      <c r="Z1659">
        <v>100241</v>
      </c>
      <c r="AA1659" t="s">
        <v>3063</v>
      </c>
      <c r="AB1659" t="s">
        <v>524</v>
      </c>
      <c r="AC1659" s="9">
        <v>2</v>
      </c>
      <c r="AD1659" s="9" t="str">
        <f t="shared" si="162"/>
        <v>Ok</v>
      </c>
      <c r="AE1659" s="11">
        <f t="shared" si="164"/>
        <v>0</v>
      </c>
    </row>
    <row r="1660" spans="1:31" x14ac:dyDescent="0.3">
      <c r="A1660">
        <v>22</v>
      </c>
      <c r="B1660">
        <v>4839715</v>
      </c>
      <c r="C1660" t="s">
        <v>56</v>
      </c>
      <c r="D1660">
        <v>1443616</v>
      </c>
      <c r="E1660" t="s">
        <v>285</v>
      </c>
      <c r="F1660" t="s">
        <v>19</v>
      </c>
      <c r="G1660" t="s">
        <v>1514</v>
      </c>
      <c r="H1660" t="s">
        <v>1515</v>
      </c>
      <c r="I1660" t="s">
        <v>3462</v>
      </c>
      <c r="J1660">
        <v>51154510407</v>
      </c>
      <c r="K1660" t="s">
        <v>3532</v>
      </c>
      <c r="L1660" t="s">
        <v>3531</v>
      </c>
      <c r="M1660">
        <v>3000</v>
      </c>
      <c r="N1660" s="10">
        <v>0.80720000000000003</v>
      </c>
      <c r="O1660" s="10">
        <f t="shared" si="160"/>
        <v>2421.6</v>
      </c>
      <c r="P1660" s="10" t="s">
        <v>5006</v>
      </c>
      <c r="Q1660" s="10" t="s">
        <v>5006</v>
      </c>
      <c r="R1660" s="10" t="str">
        <f>IF(COUNTIF($J$2:J1660,J1660)=1,SUMIFS($O:$O,$J:$J,J1660)+SUMIFS($P:$P,$J:$J,J1660)+SUMIFS($Q:$Q,$J:$J,J1660),"")</f>
        <v/>
      </c>
      <c r="S1660" s="10" t="s">
        <v>5006</v>
      </c>
      <c r="T1660" s="11" t="str">
        <f t="shared" si="163"/>
        <v>Ok</v>
      </c>
      <c r="U1660" s="12">
        <v>46150</v>
      </c>
      <c r="V1660" s="10">
        <v>89440</v>
      </c>
      <c r="W1660" s="10" t="str">
        <f t="shared" si="161"/>
        <v>N/A</v>
      </c>
      <c r="X1660" t="s">
        <v>435</v>
      </c>
      <c r="Y1660" t="s">
        <v>28</v>
      </c>
      <c r="Z1660">
        <v>100241</v>
      </c>
      <c r="AA1660" t="s">
        <v>3063</v>
      </c>
      <c r="AB1660" t="s">
        <v>524</v>
      </c>
      <c r="AC1660" s="9">
        <v>2</v>
      </c>
      <c r="AD1660" s="9" t="str">
        <f t="shared" si="162"/>
        <v>N/A</v>
      </c>
      <c r="AE1660" s="11" t="e">
        <f t="shared" si="164"/>
        <v>#VALUE!</v>
      </c>
    </row>
    <row r="1661" spans="1:31" x14ac:dyDescent="0.3">
      <c r="A1661">
        <v>22</v>
      </c>
      <c r="B1661">
        <v>4840272</v>
      </c>
      <c r="C1661" t="s">
        <v>220</v>
      </c>
      <c r="D1661">
        <v>1125734</v>
      </c>
      <c r="E1661" t="s">
        <v>532</v>
      </c>
      <c r="F1661" t="s">
        <v>23</v>
      </c>
      <c r="G1661" t="s">
        <v>1518</v>
      </c>
      <c r="H1661" t="s">
        <v>1519</v>
      </c>
      <c r="I1661" t="s">
        <v>3393</v>
      </c>
      <c r="J1661">
        <v>51154578395</v>
      </c>
      <c r="K1661" t="s">
        <v>3229</v>
      </c>
      <c r="L1661" t="s">
        <v>4423</v>
      </c>
      <c r="M1661">
        <v>10000</v>
      </c>
      <c r="N1661" s="10">
        <v>7.0000000000000007E-2</v>
      </c>
      <c r="O1661" s="10">
        <f t="shared" si="160"/>
        <v>700.00000000000011</v>
      </c>
      <c r="P1661" s="10">
        <v>24.85</v>
      </c>
      <c r="Q1661" s="10">
        <v>0</v>
      </c>
      <c r="R1661" s="10">
        <f>IF(COUNTIF($J$2:J1661,J1661)=1,SUMIFS($O:$O,$J:$J,J1661)+SUMIFS($P:$P,$J:$J,J1661)+SUMIFS($Q:$Q,$J:$J,J1661),"")</f>
        <v>1026.05</v>
      </c>
      <c r="S1661" s="10">
        <v>1026.05</v>
      </c>
      <c r="T1661" s="11" t="str">
        <f t="shared" si="163"/>
        <v>Ok</v>
      </c>
      <c r="U1661" s="12">
        <v>45968</v>
      </c>
      <c r="V1661" s="10">
        <v>700</v>
      </c>
      <c r="W1661" s="10" t="str">
        <f t="shared" si="161"/>
        <v>Short Paid</v>
      </c>
      <c r="X1661" t="s">
        <v>470</v>
      </c>
      <c r="Y1661" t="s">
        <v>436</v>
      </c>
      <c r="Z1661">
        <v>100138</v>
      </c>
      <c r="AA1661" t="s">
        <v>3148</v>
      </c>
      <c r="AB1661" t="s">
        <v>520</v>
      </c>
      <c r="AC1661" s="9">
        <v>2</v>
      </c>
      <c r="AD1661" s="9" t="str">
        <f t="shared" si="162"/>
        <v>Ok</v>
      </c>
      <c r="AE1661" s="11">
        <f t="shared" si="164"/>
        <v>0</v>
      </c>
    </row>
    <row r="1662" spans="1:31" x14ac:dyDescent="0.3">
      <c r="A1662">
        <v>22</v>
      </c>
      <c r="B1662">
        <v>4840272</v>
      </c>
      <c r="C1662" t="s">
        <v>220</v>
      </c>
      <c r="D1662">
        <v>1125734</v>
      </c>
      <c r="E1662" t="s">
        <v>532</v>
      </c>
      <c r="F1662" t="s">
        <v>23</v>
      </c>
      <c r="G1662" t="s">
        <v>1518</v>
      </c>
      <c r="H1662" t="s">
        <v>1519</v>
      </c>
      <c r="I1662" t="s">
        <v>3256</v>
      </c>
      <c r="J1662">
        <v>51154578395</v>
      </c>
      <c r="K1662" t="s">
        <v>3209</v>
      </c>
      <c r="L1662" t="s">
        <v>3552</v>
      </c>
      <c r="M1662">
        <v>20000</v>
      </c>
      <c r="N1662" s="10">
        <v>1.506E-2</v>
      </c>
      <c r="O1662" s="10">
        <f t="shared" si="160"/>
        <v>301.2</v>
      </c>
      <c r="P1662" s="10" t="s">
        <v>5006</v>
      </c>
      <c r="Q1662" s="10" t="s">
        <v>5006</v>
      </c>
      <c r="R1662" s="10" t="str">
        <f>IF(COUNTIF($J$2:J1662,J1662)=1,SUMIFS($O:$O,$J:$J,J1662)+SUMIFS($P:$P,$J:$J,J1662)+SUMIFS($Q:$Q,$J:$J,J1662),"")</f>
        <v/>
      </c>
      <c r="S1662" s="10" t="s">
        <v>5006</v>
      </c>
      <c r="T1662" s="11" t="str">
        <f t="shared" si="163"/>
        <v>Ok</v>
      </c>
      <c r="U1662" s="12">
        <v>45968</v>
      </c>
      <c r="V1662" s="10">
        <v>700</v>
      </c>
      <c r="W1662" s="10" t="str">
        <f t="shared" si="161"/>
        <v>N/A</v>
      </c>
      <c r="X1662" t="s">
        <v>470</v>
      </c>
      <c r="Y1662" t="s">
        <v>436</v>
      </c>
      <c r="Z1662">
        <v>100138</v>
      </c>
      <c r="AA1662" t="s">
        <v>3148</v>
      </c>
      <c r="AB1662" t="s">
        <v>520</v>
      </c>
      <c r="AC1662" s="9">
        <v>2</v>
      </c>
      <c r="AD1662" s="9" t="str">
        <f t="shared" si="162"/>
        <v>N/A</v>
      </c>
      <c r="AE1662" s="11" t="e">
        <f t="shared" si="164"/>
        <v>#VALUE!</v>
      </c>
    </row>
    <row r="1663" spans="1:31" x14ac:dyDescent="0.3">
      <c r="A1663">
        <v>29</v>
      </c>
      <c r="B1663">
        <v>4765692</v>
      </c>
      <c r="C1663" t="s">
        <v>239</v>
      </c>
      <c r="D1663">
        <v>1079286</v>
      </c>
      <c r="E1663" t="s">
        <v>629</v>
      </c>
      <c r="F1663" t="s">
        <v>20</v>
      </c>
      <c r="G1663" t="s">
        <v>2810</v>
      </c>
      <c r="H1663" t="s">
        <v>2811</v>
      </c>
      <c r="I1663" t="s">
        <v>3451</v>
      </c>
      <c r="J1663">
        <v>51154584473</v>
      </c>
      <c r="K1663" t="s">
        <v>3177</v>
      </c>
      <c r="L1663" t="s">
        <v>4424</v>
      </c>
      <c r="M1663">
        <v>20000</v>
      </c>
      <c r="N1663" s="10">
        <v>6.1399999999999996E-3</v>
      </c>
      <c r="O1663" s="10">
        <f t="shared" si="160"/>
        <v>122.8</v>
      </c>
      <c r="P1663" s="10">
        <v>0</v>
      </c>
      <c r="Q1663" s="10">
        <v>0</v>
      </c>
      <c r="R1663" s="10">
        <f>IF(COUNTIF($J$2:J1663,J1663)=1,SUMIFS($O:$O,$J:$J,J1663)+SUMIFS($P:$P,$J:$J,J1663)+SUMIFS($Q:$Q,$J:$J,J1663),"")</f>
        <v>7756.69</v>
      </c>
      <c r="S1663" s="10">
        <v>7781.89</v>
      </c>
      <c r="T1663" s="11" t="str">
        <f t="shared" si="163"/>
        <v>Check</v>
      </c>
      <c r="U1663" s="12">
        <v>45667</v>
      </c>
      <c r="V1663" s="10">
        <v>6750</v>
      </c>
      <c r="W1663" s="10" t="str">
        <f t="shared" si="161"/>
        <v>Short Paid</v>
      </c>
      <c r="X1663" t="s">
        <v>476</v>
      </c>
      <c r="Y1663" t="s">
        <v>28</v>
      </c>
      <c r="Z1663">
        <v>100235</v>
      </c>
      <c r="AA1663" t="s">
        <v>509</v>
      </c>
      <c r="AB1663" t="s">
        <v>521</v>
      </c>
      <c r="AC1663" s="9">
        <v>4</v>
      </c>
      <c r="AD1663" s="9" t="str">
        <f t="shared" si="162"/>
        <v>Check</v>
      </c>
      <c r="AE1663" s="11">
        <f t="shared" si="164"/>
        <v>-25.200000000000728</v>
      </c>
    </row>
    <row r="1664" spans="1:31" x14ac:dyDescent="0.3">
      <c r="A1664">
        <v>29</v>
      </c>
      <c r="B1664">
        <v>4765692</v>
      </c>
      <c r="C1664" t="s">
        <v>239</v>
      </c>
      <c r="D1664">
        <v>1079286</v>
      </c>
      <c r="E1664" t="s">
        <v>629</v>
      </c>
      <c r="F1664" t="s">
        <v>20</v>
      </c>
      <c r="G1664" t="s">
        <v>2810</v>
      </c>
      <c r="H1664" t="s">
        <v>2811</v>
      </c>
      <c r="I1664" t="s">
        <v>3451</v>
      </c>
      <c r="J1664">
        <v>51154584473</v>
      </c>
      <c r="K1664" t="s">
        <v>3177</v>
      </c>
      <c r="L1664" t="s">
        <v>4425</v>
      </c>
      <c r="M1664">
        <v>4000</v>
      </c>
      <c r="N1664" s="10">
        <v>6.3E-3</v>
      </c>
      <c r="O1664" s="10">
        <f t="shared" si="160"/>
        <v>25.2</v>
      </c>
      <c r="P1664" s="10" t="s">
        <v>5006</v>
      </c>
      <c r="Q1664" s="10" t="s">
        <v>5006</v>
      </c>
      <c r="R1664" s="10" t="str">
        <f>IF(COUNTIF($J$2:J1664,J1664)=1,SUMIFS($O:$O,$J:$J,J1664)+SUMIFS($P:$P,$J:$J,J1664)+SUMIFS($Q:$Q,$J:$J,J1664),"")</f>
        <v/>
      </c>
      <c r="S1664" s="10" t="s">
        <v>5006</v>
      </c>
      <c r="T1664" s="11" t="str">
        <f t="shared" si="163"/>
        <v>Check</v>
      </c>
      <c r="U1664" s="12">
        <v>45667</v>
      </c>
      <c r="V1664" s="10">
        <v>6750</v>
      </c>
      <c r="W1664" s="10" t="str">
        <f t="shared" si="161"/>
        <v>N/A</v>
      </c>
      <c r="X1664" t="s">
        <v>476</v>
      </c>
      <c r="Y1664" t="s">
        <v>28</v>
      </c>
      <c r="Z1664">
        <v>100235</v>
      </c>
      <c r="AA1664" t="s">
        <v>509</v>
      </c>
      <c r="AB1664" t="s">
        <v>521</v>
      </c>
      <c r="AC1664" s="9">
        <v>4</v>
      </c>
      <c r="AD1664" s="9" t="str">
        <f t="shared" si="162"/>
        <v>N/A</v>
      </c>
      <c r="AE1664" s="11" t="e">
        <f t="shared" si="164"/>
        <v>#VALUE!</v>
      </c>
    </row>
    <row r="1665" spans="1:31" x14ac:dyDescent="0.3">
      <c r="A1665">
        <v>29</v>
      </c>
      <c r="B1665">
        <v>4765692</v>
      </c>
      <c r="C1665" t="s">
        <v>239</v>
      </c>
      <c r="D1665">
        <v>1079286</v>
      </c>
      <c r="E1665" t="s">
        <v>629</v>
      </c>
      <c r="F1665" t="s">
        <v>20</v>
      </c>
      <c r="G1665" t="s">
        <v>2810</v>
      </c>
      <c r="H1665" t="s">
        <v>2811</v>
      </c>
      <c r="I1665" t="s">
        <v>3451</v>
      </c>
      <c r="J1665">
        <v>51154584473</v>
      </c>
      <c r="K1665" t="s">
        <v>3473</v>
      </c>
      <c r="L1665" t="s">
        <v>3472</v>
      </c>
      <c r="M1665">
        <v>9000</v>
      </c>
      <c r="N1665" s="10">
        <v>9.5409999999999995E-2</v>
      </c>
      <c r="O1665" s="10">
        <f t="shared" si="160"/>
        <v>858.68999999999994</v>
      </c>
      <c r="P1665" s="10" t="s">
        <v>5006</v>
      </c>
      <c r="Q1665" s="10" t="s">
        <v>5006</v>
      </c>
      <c r="R1665" s="10" t="str">
        <f>IF(COUNTIF($J$2:J1665,J1665)=1,SUMIFS($O:$O,$J:$J,J1665)+SUMIFS($P:$P,$J:$J,J1665)+SUMIFS($Q:$Q,$J:$J,J1665),"")</f>
        <v/>
      </c>
      <c r="S1665" s="10" t="s">
        <v>5006</v>
      </c>
      <c r="T1665" s="11" t="str">
        <f t="shared" si="163"/>
        <v>Check</v>
      </c>
      <c r="U1665" s="12">
        <v>45667</v>
      </c>
      <c r="V1665" s="10">
        <v>6750</v>
      </c>
      <c r="W1665" s="10" t="str">
        <f t="shared" si="161"/>
        <v>N/A</v>
      </c>
      <c r="X1665" t="s">
        <v>476</v>
      </c>
      <c r="Y1665" t="s">
        <v>28</v>
      </c>
      <c r="Z1665">
        <v>100235</v>
      </c>
      <c r="AA1665" t="s">
        <v>509</v>
      </c>
      <c r="AB1665" t="s">
        <v>521</v>
      </c>
      <c r="AC1665" s="9">
        <v>4</v>
      </c>
      <c r="AD1665" s="9" t="str">
        <f t="shared" si="162"/>
        <v>N/A</v>
      </c>
      <c r="AE1665" s="11" t="e">
        <f t="shared" si="164"/>
        <v>#VALUE!</v>
      </c>
    </row>
    <row r="1666" spans="1:31" x14ac:dyDescent="0.3">
      <c r="A1666">
        <v>29</v>
      </c>
      <c r="B1666">
        <v>4765692</v>
      </c>
      <c r="C1666" t="s">
        <v>239</v>
      </c>
      <c r="D1666">
        <v>1079286</v>
      </c>
      <c r="E1666" t="s">
        <v>629</v>
      </c>
      <c r="F1666" t="s">
        <v>20</v>
      </c>
      <c r="G1666" t="s">
        <v>2810</v>
      </c>
      <c r="H1666" t="s">
        <v>2811</v>
      </c>
      <c r="I1666" t="s">
        <v>3347</v>
      </c>
      <c r="J1666">
        <v>51154584473</v>
      </c>
      <c r="K1666" t="s">
        <v>3611</v>
      </c>
      <c r="L1666" t="s">
        <v>4426</v>
      </c>
      <c r="M1666">
        <v>15000</v>
      </c>
      <c r="N1666" s="10">
        <v>0.45</v>
      </c>
      <c r="O1666" s="10">
        <f t="shared" ref="O1666:O1729" si="165">M1666*N1666</f>
        <v>6750</v>
      </c>
      <c r="P1666" s="10" t="s">
        <v>5006</v>
      </c>
      <c r="Q1666" s="10" t="s">
        <v>5006</v>
      </c>
      <c r="R1666" s="10" t="str">
        <f>IF(COUNTIF($J$2:J1666,J1666)=1,SUMIFS($O:$O,$J:$J,J1666)+SUMIFS($P:$P,$J:$J,J1666)+SUMIFS($Q:$Q,$J:$J,J1666),"")</f>
        <v/>
      </c>
      <c r="S1666" s="10" t="s">
        <v>5006</v>
      </c>
      <c r="T1666" s="11" t="str">
        <f t="shared" si="163"/>
        <v>Check</v>
      </c>
      <c r="U1666" s="12">
        <v>45667</v>
      </c>
      <c r="V1666" s="10">
        <v>6750</v>
      </c>
      <c r="W1666" s="10" t="str">
        <f t="shared" ref="W1666:W1729" si="166">IF(OR(S1666="",V1666=""),"N/A",IF(S1666&lt;&gt;V1666,"Short Paid","Not Paid"))</f>
        <v>N/A</v>
      </c>
      <c r="X1666" t="s">
        <v>476</v>
      </c>
      <c r="Y1666" t="s">
        <v>28</v>
      </c>
      <c r="Z1666">
        <v>100235</v>
      </c>
      <c r="AA1666" t="s">
        <v>509</v>
      </c>
      <c r="AB1666" t="s">
        <v>521</v>
      </c>
      <c r="AC1666" s="9">
        <v>4</v>
      </c>
      <c r="AD1666" s="9" t="str">
        <f t="shared" ref="AD1666:AD1729" si="167">IF(AND(R1666="",S1666=""),"N/A",IF(R1666=S1666,"Ok","Check"))</f>
        <v>N/A</v>
      </c>
      <c r="AE1666" s="11" t="e">
        <f t="shared" si="164"/>
        <v>#VALUE!</v>
      </c>
    </row>
    <row r="1667" spans="1:31" x14ac:dyDescent="0.3">
      <c r="A1667">
        <v>21</v>
      </c>
      <c r="B1667">
        <v>4849177</v>
      </c>
      <c r="C1667" t="s">
        <v>94</v>
      </c>
      <c r="D1667">
        <v>1412732</v>
      </c>
      <c r="E1667" t="s">
        <v>578</v>
      </c>
      <c r="F1667" t="s">
        <v>18</v>
      </c>
      <c r="G1667" t="s">
        <v>1538</v>
      </c>
      <c r="H1667" t="s">
        <v>1539</v>
      </c>
      <c r="I1667" t="s">
        <v>3359</v>
      </c>
      <c r="J1667">
        <v>51154628293</v>
      </c>
      <c r="K1667" t="s">
        <v>3246</v>
      </c>
      <c r="L1667" t="s">
        <v>3458</v>
      </c>
      <c r="M1667">
        <v>7000</v>
      </c>
      <c r="N1667" s="10">
        <v>0.24890000000000001</v>
      </c>
      <c r="O1667" s="10">
        <f t="shared" si="165"/>
        <v>1742.3000000000002</v>
      </c>
      <c r="P1667" s="10">
        <v>0</v>
      </c>
      <c r="Q1667" s="10">
        <v>0</v>
      </c>
      <c r="R1667" s="10">
        <f>IF(COUNTIF($J$2:J1667,J1667)=1,SUMIFS($O:$O,$J:$J,J1667)+SUMIFS($P:$P,$J:$J,J1667)+SUMIFS($Q:$Q,$J:$J,J1667),"")</f>
        <v>2076.3000000000002</v>
      </c>
      <c r="S1667" s="10">
        <v>2076.3000000000002</v>
      </c>
      <c r="T1667" s="11" t="str">
        <f t="shared" ref="T1667:T1730" si="168">IFERROR(INDEX(AD:AD,MATCH(J1667,J:J,0)),"")</f>
        <v>Ok</v>
      </c>
      <c r="U1667" s="12">
        <v>46140</v>
      </c>
      <c r="V1667" s="10">
        <v>334</v>
      </c>
      <c r="W1667" s="10" t="str">
        <f t="shared" si="166"/>
        <v>Short Paid</v>
      </c>
      <c r="X1667" t="s">
        <v>450</v>
      </c>
      <c r="Y1667" t="s">
        <v>28</v>
      </c>
      <c r="Z1667">
        <v>100237</v>
      </c>
      <c r="AA1667" t="s">
        <v>3094</v>
      </c>
      <c r="AB1667" t="s">
        <v>523</v>
      </c>
      <c r="AC1667" s="9">
        <v>2</v>
      </c>
      <c r="AD1667" s="9" t="str">
        <f t="shared" si="167"/>
        <v>Ok</v>
      </c>
      <c r="AE1667" s="11">
        <f t="shared" si="164"/>
        <v>0</v>
      </c>
    </row>
    <row r="1668" spans="1:31" x14ac:dyDescent="0.3">
      <c r="A1668">
        <v>21</v>
      </c>
      <c r="B1668">
        <v>4849177</v>
      </c>
      <c r="C1668" t="s">
        <v>94</v>
      </c>
      <c r="D1668">
        <v>1412732</v>
      </c>
      <c r="E1668" t="s">
        <v>578</v>
      </c>
      <c r="F1668" t="s">
        <v>18</v>
      </c>
      <c r="G1668" t="s">
        <v>1538</v>
      </c>
      <c r="H1668" t="s">
        <v>1539</v>
      </c>
      <c r="I1668" t="s">
        <v>3234</v>
      </c>
      <c r="J1668">
        <v>51154628293</v>
      </c>
      <c r="K1668" t="s">
        <v>3229</v>
      </c>
      <c r="L1668" t="s">
        <v>4427</v>
      </c>
      <c r="M1668">
        <v>500</v>
      </c>
      <c r="N1668" s="10">
        <v>0.66800000000000004</v>
      </c>
      <c r="O1668" s="10">
        <f t="shared" si="165"/>
        <v>334</v>
      </c>
      <c r="P1668" s="10" t="s">
        <v>5006</v>
      </c>
      <c r="Q1668" s="10" t="s">
        <v>5006</v>
      </c>
      <c r="R1668" s="10" t="str">
        <f>IF(COUNTIF($J$2:J1668,J1668)=1,SUMIFS($O:$O,$J:$J,J1668)+SUMIFS($P:$P,$J:$J,J1668)+SUMIFS($Q:$Q,$J:$J,J1668),"")</f>
        <v/>
      </c>
      <c r="S1668" s="10" t="s">
        <v>5006</v>
      </c>
      <c r="T1668" s="11" t="str">
        <f t="shared" si="168"/>
        <v>Ok</v>
      </c>
      <c r="U1668" s="12">
        <v>46140</v>
      </c>
      <c r="V1668" s="10">
        <v>334</v>
      </c>
      <c r="W1668" s="10" t="str">
        <f t="shared" si="166"/>
        <v>N/A</v>
      </c>
      <c r="X1668" t="s">
        <v>450</v>
      </c>
      <c r="Y1668" t="s">
        <v>28</v>
      </c>
      <c r="Z1668">
        <v>100237</v>
      </c>
      <c r="AA1668" t="s">
        <v>3094</v>
      </c>
      <c r="AB1668" t="s">
        <v>523</v>
      </c>
      <c r="AC1668" s="9">
        <v>2</v>
      </c>
      <c r="AD1668" s="9" t="str">
        <f t="shared" si="167"/>
        <v>N/A</v>
      </c>
      <c r="AE1668" s="11" t="e">
        <f t="shared" si="164"/>
        <v>#VALUE!</v>
      </c>
    </row>
    <row r="1669" spans="1:31" x14ac:dyDescent="0.3">
      <c r="A1669">
        <v>21</v>
      </c>
      <c r="B1669">
        <v>4850290</v>
      </c>
      <c r="C1669" t="s">
        <v>94</v>
      </c>
      <c r="D1669">
        <v>1412732</v>
      </c>
      <c r="E1669" t="s">
        <v>578</v>
      </c>
      <c r="F1669" t="s">
        <v>18</v>
      </c>
      <c r="G1669" t="s">
        <v>1544</v>
      </c>
      <c r="H1669" t="s">
        <v>1545</v>
      </c>
      <c r="I1669" t="s">
        <v>3303</v>
      </c>
      <c r="J1669">
        <v>51154655169</v>
      </c>
      <c r="K1669" t="s">
        <v>3226</v>
      </c>
      <c r="L1669" t="s">
        <v>4428</v>
      </c>
      <c r="M1669">
        <v>9000</v>
      </c>
      <c r="N1669" s="10">
        <v>0.21199999999999999</v>
      </c>
      <c r="O1669" s="10">
        <f t="shared" si="165"/>
        <v>1908</v>
      </c>
      <c r="P1669" s="10">
        <v>0</v>
      </c>
      <c r="Q1669" s="10">
        <v>0</v>
      </c>
      <c r="R1669" s="10">
        <f>IF(COUNTIF($J$2:J1669,J1669)=1,SUMIFS($O:$O,$J:$J,J1669)+SUMIFS($P:$P,$J:$J,J1669)+SUMIFS($Q:$Q,$J:$J,J1669),"")</f>
        <v>2680.8</v>
      </c>
      <c r="S1669" s="10">
        <v>2680.8</v>
      </c>
      <c r="T1669" s="11" t="str">
        <f t="shared" si="168"/>
        <v>Ok</v>
      </c>
      <c r="U1669" s="12">
        <v>46148</v>
      </c>
      <c r="V1669" s="10">
        <v>1908</v>
      </c>
      <c r="W1669" s="10" t="str">
        <f t="shared" si="166"/>
        <v>Short Paid</v>
      </c>
      <c r="X1669" t="s">
        <v>450</v>
      </c>
      <c r="Y1669" t="s">
        <v>28</v>
      </c>
      <c r="Z1669">
        <v>100117</v>
      </c>
      <c r="AA1669" t="s">
        <v>451</v>
      </c>
      <c r="AB1669" t="s">
        <v>523</v>
      </c>
      <c r="AC1669" s="9">
        <v>2</v>
      </c>
      <c r="AD1669" s="9" t="str">
        <f t="shared" si="167"/>
        <v>Ok</v>
      </c>
      <c r="AE1669" s="11">
        <f t="shared" si="164"/>
        <v>0</v>
      </c>
    </row>
    <row r="1670" spans="1:31" x14ac:dyDescent="0.3">
      <c r="A1670">
        <v>21</v>
      </c>
      <c r="B1670">
        <v>4850290</v>
      </c>
      <c r="C1670" t="s">
        <v>94</v>
      </c>
      <c r="D1670">
        <v>1412732</v>
      </c>
      <c r="E1670" t="s">
        <v>578</v>
      </c>
      <c r="F1670" t="s">
        <v>18</v>
      </c>
      <c r="G1670" t="s">
        <v>1544</v>
      </c>
      <c r="H1670" t="s">
        <v>1545</v>
      </c>
      <c r="I1670" t="s">
        <v>3542</v>
      </c>
      <c r="J1670">
        <v>51154655169</v>
      </c>
      <c r="K1670" t="s">
        <v>3479</v>
      </c>
      <c r="L1670" t="s">
        <v>3478</v>
      </c>
      <c r="M1670">
        <v>40000</v>
      </c>
      <c r="N1670" s="10">
        <v>1.932E-2</v>
      </c>
      <c r="O1670" s="10">
        <f t="shared" si="165"/>
        <v>772.80000000000007</v>
      </c>
      <c r="P1670" s="10" t="s">
        <v>5006</v>
      </c>
      <c r="Q1670" s="10" t="s">
        <v>5006</v>
      </c>
      <c r="R1670" s="10" t="str">
        <f>IF(COUNTIF($J$2:J1670,J1670)=1,SUMIFS($O:$O,$J:$J,J1670)+SUMIFS($P:$P,$J:$J,J1670)+SUMIFS($Q:$Q,$J:$J,J1670),"")</f>
        <v/>
      </c>
      <c r="S1670" s="10" t="s">
        <v>5006</v>
      </c>
      <c r="T1670" s="11" t="str">
        <f t="shared" si="168"/>
        <v>Ok</v>
      </c>
      <c r="U1670" s="12">
        <v>46148</v>
      </c>
      <c r="V1670" s="10">
        <v>1908</v>
      </c>
      <c r="W1670" s="10" t="str">
        <f t="shared" si="166"/>
        <v>N/A</v>
      </c>
      <c r="X1670" t="s">
        <v>450</v>
      </c>
      <c r="Y1670" t="s">
        <v>28</v>
      </c>
      <c r="Z1670">
        <v>100117</v>
      </c>
      <c r="AA1670" t="s">
        <v>451</v>
      </c>
      <c r="AB1670" t="s">
        <v>523</v>
      </c>
      <c r="AC1670" s="9">
        <v>2</v>
      </c>
      <c r="AD1670" s="9" t="str">
        <f t="shared" si="167"/>
        <v>N/A</v>
      </c>
      <c r="AE1670" s="11" t="e">
        <f t="shared" si="164"/>
        <v>#VALUE!</v>
      </c>
    </row>
    <row r="1671" spans="1:31" x14ac:dyDescent="0.3">
      <c r="A1671">
        <v>15</v>
      </c>
      <c r="B1671">
        <v>4875614</v>
      </c>
      <c r="C1671" t="s">
        <v>217</v>
      </c>
      <c r="D1671">
        <v>1160621</v>
      </c>
      <c r="E1671" t="s">
        <v>571</v>
      </c>
      <c r="F1671" t="s">
        <v>18</v>
      </c>
      <c r="G1671" t="s">
        <v>1622</v>
      </c>
      <c r="H1671" t="s">
        <v>1623</v>
      </c>
      <c r="I1671" t="s">
        <v>3361</v>
      </c>
      <c r="J1671">
        <v>51154655218</v>
      </c>
      <c r="K1671" t="s">
        <v>3434</v>
      </c>
      <c r="L1671" t="s">
        <v>4429</v>
      </c>
      <c r="M1671">
        <v>15505</v>
      </c>
      <c r="N1671" s="10">
        <v>9.9070499999999999</v>
      </c>
      <c r="O1671" s="10">
        <f t="shared" si="165"/>
        <v>153608.81025000001</v>
      </c>
      <c r="P1671" s="10">
        <v>0</v>
      </c>
      <c r="Q1671" s="10">
        <v>0</v>
      </c>
      <c r="R1671" s="10">
        <f>IF(COUNTIF($J$2:J1671,J1671)=1,SUMIFS($O:$O,$J:$J,J1671)+SUMIFS($P:$P,$J:$J,J1671)+SUMIFS($Q:$Q,$J:$J,J1671),"")</f>
        <v>164279.26024999999</v>
      </c>
      <c r="S1671" s="10">
        <v>167758.53999999998</v>
      </c>
      <c r="T1671" s="11" t="str">
        <f t="shared" si="168"/>
        <v>Check</v>
      </c>
      <c r="U1671" s="12">
        <v>46065</v>
      </c>
      <c r="V1671" s="10">
        <v>156095.49</v>
      </c>
      <c r="W1671" s="10" t="str">
        <f t="shared" si="166"/>
        <v>Short Paid</v>
      </c>
      <c r="X1671" t="s">
        <v>468</v>
      </c>
      <c r="Y1671" t="s">
        <v>28</v>
      </c>
      <c r="Z1671">
        <v>100126</v>
      </c>
      <c r="AA1671" t="s">
        <v>3123</v>
      </c>
      <c r="AB1671" t="s">
        <v>523</v>
      </c>
      <c r="AC1671" s="9">
        <v>3</v>
      </c>
      <c r="AD1671" s="9" t="str">
        <f t="shared" si="167"/>
        <v>Check</v>
      </c>
      <c r="AE1671" s="11">
        <f t="shared" ref="AE1671:AE1734" si="169">R1671-S1671</f>
        <v>-3479.279749999987</v>
      </c>
    </row>
    <row r="1672" spans="1:31" x14ac:dyDescent="0.3">
      <c r="A1672">
        <v>15</v>
      </c>
      <c r="B1672">
        <v>4875614</v>
      </c>
      <c r="C1672" t="s">
        <v>217</v>
      </c>
      <c r="D1672">
        <v>1160621</v>
      </c>
      <c r="E1672" t="s">
        <v>571</v>
      </c>
      <c r="F1672" t="s">
        <v>18</v>
      </c>
      <c r="G1672" t="s">
        <v>1622</v>
      </c>
      <c r="H1672" t="s">
        <v>1623</v>
      </c>
      <c r="I1672" t="s">
        <v>3498</v>
      </c>
      <c r="J1672">
        <v>51154655218</v>
      </c>
      <c r="K1672" t="s">
        <v>3908</v>
      </c>
      <c r="L1672" t="s">
        <v>4430</v>
      </c>
      <c r="M1672">
        <v>5</v>
      </c>
      <c r="N1672" s="10">
        <v>49.63</v>
      </c>
      <c r="O1672" s="10">
        <f t="shared" si="165"/>
        <v>248.15</v>
      </c>
      <c r="P1672" s="10" t="s">
        <v>5006</v>
      </c>
      <c r="Q1672" s="10" t="s">
        <v>5006</v>
      </c>
      <c r="R1672" s="10" t="str">
        <f>IF(COUNTIF($J$2:J1672,J1672)=1,SUMIFS($O:$O,$J:$J,J1672)+SUMIFS($P:$P,$J:$J,J1672)+SUMIFS($Q:$Q,$J:$J,J1672),"")</f>
        <v/>
      </c>
      <c r="S1672" s="10" t="s">
        <v>5006</v>
      </c>
      <c r="T1672" s="11" t="str">
        <f t="shared" si="168"/>
        <v>Check</v>
      </c>
      <c r="U1672" s="12">
        <v>46065</v>
      </c>
      <c r="V1672" s="10">
        <v>156095.49</v>
      </c>
      <c r="W1672" s="10" t="str">
        <f t="shared" si="166"/>
        <v>N/A</v>
      </c>
      <c r="X1672" t="s">
        <v>468</v>
      </c>
      <c r="Y1672" t="s">
        <v>28</v>
      </c>
      <c r="Z1672">
        <v>100126</v>
      </c>
      <c r="AA1672" t="s">
        <v>3123</v>
      </c>
      <c r="AB1672" t="s">
        <v>523</v>
      </c>
      <c r="AC1672" s="9">
        <v>3</v>
      </c>
      <c r="AD1672" s="9" t="str">
        <f t="shared" si="167"/>
        <v>N/A</v>
      </c>
      <c r="AE1672" s="11" t="e">
        <f t="shared" si="169"/>
        <v>#VALUE!</v>
      </c>
    </row>
    <row r="1673" spans="1:31" x14ac:dyDescent="0.3">
      <c r="A1673">
        <v>15</v>
      </c>
      <c r="B1673">
        <v>4875614</v>
      </c>
      <c r="C1673" t="s">
        <v>217</v>
      </c>
      <c r="D1673">
        <v>1160621</v>
      </c>
      <c r="E1673" t="s">
        <v>571</v>
      </c>
      <c r="F1673" t="s">
        <v>18</v>
      </c>
      <c r="G1673" t="s">
        <v>1622</v>
      </c>
      <c r="H1673" t="s">
        <v>1623</v>
      </c>
      <c r="I1673" t="s">
        <v>3498</v>
      </c>
      <c r="J1673">
        <v>51154655218</v>
      </c>
      <c r="K1673" t="s">
        <v>3908</v>
      </c>
      <c r="L1673" t="s">
        <v>4431</v>
      </c>
      <c r="M1673">
        <v>210</v>
      </c>
      <c r="N1673" s="10">
        <v>49.63</v>
      </c>
      <c r="O1673" s="10">
        <f t="shared" si="165"/>
        <v>10422.300000000001</v>
      </c>
      <c r="P1673" s="10" t="s">
        <v>5006</v>
      </c>
      <c r="Q1673" s="10" t="s">
        <v>5006</v>
      </c>
      <c r="R1673" s="10" t="str">
        <f>IF(COUNTIF($J$2:J1673,J1673)=1,SUMIFS($O:$O,$J:$J,J1673)+SUMIFS($P:$P,$J:$J,J1673)+SUMIFS($Q:$Q,$J:$J,J1673),"")</f>
        <v/>
      </c>
      <c r="S1673" s="10" t="s">
        <v>5006</v>
      </c>
      <c r="T1673" s="11" t="str">
        <f t="shared" si="168"/>
        <v>Check</v>
      </c>
      <c r="U1673" s="12">
        <v>46065</v>
      </c>
      <c r="V1673" s="10">
        <v>156095.49</v>
      </c>
      <c r="W1673" s="10" t="str">
        <f t="shared" si="166"/>
        <v>N/A</v>
      </c>
      <c r="X1673" t="s">
        <v>468</v>
      </c>
      <c r="Y1673" t="s">
        <v>28</v>
      </c>
      <c r="Z1673">
        <v>100126</v>
      </c>
      <c r="AA1673" t="s">
        <v>3123</v>
      </c>
      <c r="AB1673" t="s">
        <v>523</v>
      </c>
      <c r="AC1673" s="9">
        <v>3</v>
      </c>
      <c r="AD1673" s="9" t="str">
        <f t="shared" si="167"/>
        <v>N/A</v>
      </c>
      <c r="AE1673" s="11" t="e">
        <f t="shared" si="169"/>
        <v>#VALUE!</v>
      </c>
    </row>
    <row r="1674" spans="1:31" x14ac:dyDescent="0.3">
      <c r="A1674">
        <v>21</v>
      </c>
      <c r="B1674">
        <v>4850012</v>
      </c>
      <c r="C1674" t="s">
        <v>94</v>
      </c>
      <c r="D1674">
        <v>1412732</v>
      </c>
      <c r="E1674" t="s">
        <v>578</v>
      </c>
      <c r="F1674" t="s">
        <v>18</v>
      </c>
      <c r="G1674" t="s">
        <v>2891</v>
      </c>
      <c r="H1674" t="s">
        <v>2892</v>
      </c>
      <c r="I1674" t="s">
        <v>3451</v>
      </c>
      <c r="J1674">
        <v>51154684210</v>
      </c>
      <c r="K1674" t="s">
        <v>4433</v>
      </c>
      <c r="L1674" t="s">
        <v>4432</v>
      </c>
      <c r="M1674">
        <v>9</v>
      </c>
      <c r="N1674" s="10">
        <v>1056.82</v>
      </c>
      <c r="O1674" s="10">
        <f t="shared" si="165"/>
        <v>9511.3799999999992</v>
      </c>
      <c r="P1674" s="10">
        <v>0</v>
      </c>
      <c r="Q1674" s="10">
        <v>0</v>
      </c>
      <c r="R1674" s="10">
        <f>IF(COUNTIF($J$2:J1674,J1674)=1,SUMIFS($O:$O,$J:$J,J1674)+SUMIFS($P:$P,$J:$J,J1674)+SUMIFS($Q:$Q,$J:$J,J1674),"")</f>
        <v>9845.3799999999992</v>
      </c>
      <c r="S1674" s="10">
        <v>9897.7900000000009</v>
      </c>
      <c r="T1674" s="11" t="str">
        <f t="shared" si="168"/>
        <v>Check</v>
      </c>
      <c r="U1674" s="12">
        <v>46147</v>
      </c>
      <c r="V1674" s="10">
        <v>334</v>
      </c>
      <c r="W1674" s="10" t="str">
        <f t="shared" si="166"/>
        <v>Short Paid</v>
      </c>
      <c r="X1674" t="s">
        <v>450</v>
      </c>
      <c r="Y1674" t="s">
        <v>28</v>
      </c>
      <c r="Z1674">
        <v>100287</v>
      </c>
      <c r="AA1674" t="s">
        <v>503</v>
      </c>
      <c r="AB1674" t="s">
        <v>523</v>
      </c>
      <c r="AC1674" s="9">
        <v>2</v>
      </c>
      <c r="AD1674" s="9" t="str">
        <f t="shared" si="167"/>
        <v>Check</v>
      </c>
      <c r="AE1674" s="11">
        <f t="shared" si="169"/>
        <v>-52.410000000001673</v>
      </c>
    </row>
    <row r="1675" spans="1:31" x14ac:dyDescent="0.3">
      <c r="A1675">
        <v>21</v>
      </c>
      <c r="B1675">
        <v>4850012</v>
      </c>
      <c r="C1675" t="s">
        <v>94</v>
      </c>
      <c r="D1675">
        <v>1412732</v>
      </c>
      <c r="E1675" t="s">
        <v>578</v>
      </c>
      <c r="F1675" t="s">
        <v>18</v>
      </c>
      <c r="G1675" t="s">
        <v>2891</v>
      </c>
      <c r="H1675" t="s">
        <v>2892</v>
      </c>
      <c r="I1675" t="s">
        <v>3185</v>
      </c>
      <c r="J1675">
        <v>51154684210</v>
      </c>
      <c r="K1675" t="s">
        <v>3229</v>
      </c>
      <c r="L1675" t="s">
        <v>4427</v>
      </c>
      <c r="M1675">
        <v>500</v>
      </c>
      <c r="N1675" s="10">
        <v>0.66800000000000004</v>
      </c>
      <c r="O1675" s="10">
        <f t="shared" si="165"/>
        <v>334</v>
      </c>
      <c r="P1675" s="10" t="s">
        <v>5006</v>
      </c>
      <c r="Q1675" s="10" t="s">
        <v>5006</v>
      </c>
      <c r="R1675" s="10" t="str">
        <f>IF(COUNTIF($J$2:J1675,J1675)=1,SUMIFS($O:$O,$J:$J,J1675)+SUMIFS($P:$P,$J:$J,J1675)+SUMIFS($Q:$Q,$J:$J,J1675),"")</f>
        <v/>
      </c>
      <c r="S1675" s="10" t="s">
        <v>5006</v>
      </c>
      <c r="T1675" s="11" t="str">
        <f t="shared" si="168"/>
        <v>Check</v>
      </c>
      <c r="U1675" s="12">
        <v>46147</v>
      </c>
      <c r="V1675" s="10">
        <v>334</v>
      </c>
      <c r="W1675" s="10" t="str">
        <f t="shared" si="166"/>
        <v>N/A</v>
      </c>
      <c r="X1675" t="s">
        <v>450</v>
      </c>
      <c r="Y1675" t="s">
        <v>28</v>
      </c>
      <c r="Z1675">
        <v>100287</v>
      </c>
      <c r="AA1675" t="s">
        <v>503</v>
      </c>
      <c r="AB1675" t="s">
        <v>523</v>
      </c>
      <c r="AC1675" s="9">
        <v>2</v>
      </c>
      <c r="AD1675" s="9" t="str">
        <f t="shared" si="167"/>
        <v>N/A</v>
      </c>
      <c r="AE1675" s="11" t="e">
        <f t="shared" si="169"/>
        <v>#VALUE!</v>
      </c>
    </row>
    <row r="1676" spans="1:31" x14ac:dyDescent="0.3">
      <c r="A1676">
        <v>21</v>
      </c>
      <c r="B1676">
        <v>4848064</v>
      </c>
      <c r="C1676" t="s">
        <v>94</v>
      </c>
      <c r="D1676">
        <v>1412732</v>
      </c>
      <c r="E1676" t="s">
        <v>578</v>
      </c>
      <c r="F1676" t="s">
        <v>18</v>
      </c>
      <c r="G1676" t="s">
        <v>2887</v>
      </c>
      <c r="H1676" t="s">
        <v>2888</v>
      </c>
      <c r="I1676" t="s">
        <v>3329</v>
      </c>
      <c r="J1676">
        <v>51154702437</v>
      </c>
      <c r="K1676" t="s">
        <v>3429</v>
      </c>
      <c r="L1676" t="s">
        <v>4434</v>
      </c>
      <c r="M1676">
        <v>1</v>
      </c>
      <c r="N1676" s="10">
        <v>117.53</v>
      </c>
      <c r="O1676" s="10">
        <f t="shared" si="165"/>
        <v>117.53</v>
      </c>
      <c r="P1676" s="10">
        <v>135.92000000000002</v>
      </c>
      <c r="Q1676" s="10">
        <v>0</v>
      </c>
      <c r="R1676" s="10">
        <f>IF(COUNTIF($J$2:J1676,J1676)=1,SUMIFS($O:$O,$J:$J,J1676)+SUMIFS($P:$P,$J:$J,J1676)+SUMIFS($Q:$Q,$J:$J,J1676),"")</f>
        <v>929.95</v>
      </c>
      <c r="S1676" s="10">
        <v>1298.95</v>
      </c>
      <c r="T1676" s="11" t="str">
        <f t="shared" si="168"/>
        <v>Check</v>
      </c>
      <c r="U1676" s="12">
        <v>46154</v>
      </c>
      <c r="V1676" s="10">
        <v>117.53</v>
      </c>
      <c r="W1676" s="10" t="str">
        <f t="shared" si="166"/>
        <v>Short Paid</v>
      </c>
      <c r="X1676" t="s">
        <v>450</v>
      </c>
      <c r="Y1676" t="s">
        <v>28</v>
      </c>
      <c r="Z1676">
        <v>100157</v>
      </c>
      <c r="AA1676" t="s">
        <v>3124</v>
      </c>
      <c r="AB1676" t="s">
        <v>523</v>
      </c>
      <c r="AC1676" s="9">
        <v>2</v>
      </c>
      <c r="AD1676" s="9" t="str">
        <f t="shared" si="167"/>
        <v>Check</v>
      </c>
      <c r="AE1676" s="11">
        <f t="shared" si="169"/>
        <v>-369</v>
      </c>
    </row>
    <row r="1677" spans="1:31" x14ac:dyDescent="0.3">
      <c r="A1677">
        <v>21</v>
      </c>
      <c r="B1677">
        <v>4848064</v>
      </c>
      <c r="C1677" t="s">
        <v>94</v>
      </c>
      <c r="D1677">
        <v>1412732</v>
      </c>
      <c r="E1677" t="s">
        <v>578</v>
      </c>
      <c r="F1677" t="s">
        <v>18</v>
      </c>
      <c r="G1677" t="s">
        <v>2887</v>
      </c>
      <c r="H1677" t="s">
        <v>2888</v>
      </c>
      <c r="I1677" t="s">
        <v>3192</v>
      </c>
      <c r="J1677">
        <v>51154702437</v>
      </c>
      <c r="K1677" t="s">
        <v>3252</v>
      </c>
      <c r="L1677" t="s">
        <v>3613</v>
      </c>
      <c r="M1677">
        <v>165000</v>
      </c>
      <c r="N1677" s="10">
        <v>4.1000000000000003E-3</v>
      </c>
      <c r="O1677" s="10">
        <f t="shared" si="165"/>
        <v>676.50000000000011</v>
      </c>
      <c r="P1677" s="10" t="s">
        <v>5006</v>
      </c>
      <c r="Q1677" s="10" t="s">
        <v>5006</v>
      </c>
      <c r="R1677" s="10" t="str">
        <f>IF(COUNTIF($J$2:J1677,J1677)=1,SUMIFS($O:$O,$J:$J,J1677)+SUMIFS($P:$P,$J:$J,J1677)+SUMIFS($Q:$Q,$J:$J,J1677),"")</f>
        <v/>
      </c>
      <c r="S1677" s="10" t="s">
        <v>5006</v>
      </c>
      <c r="T1677" s="11" t="str">
        <f t="shared" si="168"/>
        <v>Check</v>
      </c>
      <c r="U1677" s="12">
        <v>46154</v>
      </c>
      <c r="V1677" s="10">
        <v>117.53</v>
      </c>
      <c r="W1677" s="10" t="str">
        <f t="shared" si="166"/>
        <v>N/A</v>
      </c>
      <c r="X1677" t="s">
        <v>450</v>
      </c>
      <c r="Y1677" t="s">
        <v>28</v>
      </c>
      <c r="Z1677">
        <v>100157</v>
      </c>
      <c r="AA1677" t="s">
        <v>3124</v>
      </c>
      <c r="AB1677" t="s">
        <v>523</v>
      </c>
      <c r="AC1677" s="9">
        <v>2</v>
      </c>
      <c r="AD1677" s="9" t="str">
        <f t="shared" si="167"/>
        <v>N/A</v>
      </c>
      <c r="AE1677" s="11" t="e">
        <f t="shared" si="169"/>
        <v>#VALUE!</v>
      </c>
    </row>
    <row r="1678" spans="1:31" x14ac:dyDescent="0.3">
      <c r="A1678">
        <v>21</v>
      </c>
      <c r="B1678">
        <v>4851125</v>
      </c>
      <c r="C1678" t="s">
        <v>240</v>
      </c>
      <c r="D1678">
        <v>1531094</v>
      </c>
      <c r="E1678" t="s">
        <v>567</v>
      </c>
      <c r="F1678" t="s">
        <v>20</v>
      </c>
      <c r="G1678" t="s">
        <v>1548</v>
      </c>
      <c r="H1678" t="s">
        <v>1549</v>
      </c>
      <c r="I1678" t="s">
        <v>3416</v>
      </c>
      <c r="J1678">
        <v>51154702456</v>
      </c>
      <c r="K1678" t="s">
        <v>3719</v>
      </c>
      <c r="L1678" t="s">
        <v>4435</v>
      </c>
      <c r="M1678">
        <v>1</v>
      </c>
      <c r="N1678" s="10">
        <v>1500</v>
      </c>
      <c r="O1678" s="10">
        <f t="shared" si="165"/>
        <v>1500</v>
      </c>
      <c r="P1678" s="10">
        <v>0</v>
      </c>
      <c r="Q1678" s="10">
        <v>0</v>
      </c>
      <c r="R1678" s="10">
        <f>IF(COUNTIF($J$2:J1678,J1678)=1,SUMIFS($O:$O,$J:$J,J1678)+SUMIFS($P:$P,$J:$J,J1678)+SUMIFS($Q:$Q,$J:$J,J1678),"")</f>
        <v>5034.5</v>
      </c>
      <c r="S1678" s="10">
        <v>5484.5</v>
      </c>
      <c r="T1678" s="11" t="str">
        <f t="shared" si="168"/>
        <v>Check</v>
      </c>
      <c r="U1678" s="12">
        <v>46154</v>
      </c>
      <c r="V1678" s="10">
        <v>450</v>
      </c>
      <c r="W1678" s="10" t="str">
        <f t="shared" si="166"/>
        <v>Short Paid</v>
      </c>
      <c r="X1678" t="s">
        <v>478</v>
      </c>
      <c r="Y1678" t="s">
        <v>28</v>
      </c>
      <c r="Z1678">
        <v>100162</v>
      </c>
      <c r="AA1678" t="s">
        <v>3083</v>
      </c>
      <c r="AB1678" t="s">
        <v>521</v>
      </c>
      <c r="AC1678" s="9">
        <v>3</v>
      </c>
      <c r="AD1678" s="9" t="str">
        <f t="shared" si="167"/>
        <v>Check</v>
      </c>
      <c r="AE1678" s="11">
        <f t="shared" si="169"/>
        <v>-450</v>
      </c>
    </row>
    <row r="1679" spans="1:31" x14ac:dyDescent="0.3">
      <c r="A1679">
        <v>21</v>
      </c>
      <c r="B1679">
        <v>4851125</v>
      </c>
      <c r="C1679" t="s">
        <v>240</v>
      </c>
      <c r="D1679">
        <v>1531094</v>
      </c>
      <c r="E1679" t="s">
        <v>567</v>
      </c>
      <c r="F1679" t="s">
        <v>20</v>
      </c>
      <c r="G1679" t="s">
        <v>1548</v>
      </c>
      <c r="H1679" t="s">
        <v>1549</v>
      </c>
      <c r="I1679" t="s">
        <v>3416</v>
      </c>
      <c r="J1679">
        <v>51154702456</v>
      </c>
      <c r="K1679" t="s">
        <v>3719</v>
      </c>
      <c r="L1679" t="s">
        <v>4436</v>
      </c>
      <c r="M1679">
        <v>50</v>
      </c>
      <c r="N1679" s="10">
        <v>59.47</v>
      </c>
      <c r="O1679" s="10">
        <f t="shared" si="165"/>
        <v>2973.5</v>
      </c>
      <c r="P1679" s="10" t="s">
        <v>5006</v>
      </c>
      <c r="Q1679" s="10" t="s">
        <v>5006</v>
      </c>
      <c r="R1679" s="10" t="str">
        <f>IF(COUNTIF($J$2:J1679,J1679)=1,SUMIFS($O:$O,$J:$J,J1679)+SUMIFS($P:$P,$J:$J,J1679)+SUMIFS($Q:$Q,$J:$J,J1679),"")</f>
        <v/>
      </c>
      <c r="S1679" s="10" t="s">
        <v>5006</v>
      </c>
      <c r="T1679" s="11" t="str">
        <f t="shared" si="168"/>
        <v>Check</v>
      </c>
      <c r="U1679" s="12">
        <v>46154</v>
      </c>
      <c r="V1679" s="10">
        <v>450</v>
      </c>
      <c r="W1679" s="10" t="str">
        <f t="shared" si="166"/>
        <v>N/A</v>
      </c>
      <c r="X1679" t="s">
        <v>478</v>
      </c>
      <c r="Y1679" t="s">
        <v>28</v>
      </c>
      <c r="Z1679">
        <v>100162</v>
      </c>
      <c r="AA1679" t="s">
        <v>3083</v>
      </c>
      <c r="AB1679" t="s">
        <v>521</v>
      </c>
      <c r="AC1679" s="9">
        <v>3</v>
      </c>
      <c r="AD1679" s="9" t="str">
        <f t="shared" si="167"/>
        <v>N/A</v>
      </c>
      <c r="AE1679" s="11" t="e">
        <f t="shared" si="169"/>
        <v>#VALUE!</v>
      </c>
    </row>
    <row r="1680" spans="1:31" x14ac:dyDescent="0.3">
      <c r="A1680">
        <v>21</v>
      </c>
      <c r="B1680">
        <v>4851125</v>
      </c>
      <c r="C1680" t="s">
        <v>240</v>
      </c>
      <c r="D1680">
        <v>1531094</v>
      </c>
      <c r="E1680" t="s">
        <v>567</v>
      </c>
      <c r="F1680" t="s">
        <v>20</v>
      </c>
      <c r="G1680" t="s">
        <v>1548</v>
      </c>
      <c r="H1680" t="s">
        <v>1549</v>
      </c>
      <c r="I1680" t="s">
        <v>3469</v>
      </c>
      <c r="J1680">
        <v>51154702456</v>
      </c>
      <c r="K1680" t="s">
        <v>3216</v>
      </c>
      <c r="L1680" t="s">
        <v>3215</v>
      </c>
      <c r="M1680">
        <v>30000</v>
      </c>
      <c r="N1680" s="10">
        <v>1.8700000000000001E-2</v>
      </c>
      <c r="O1680" s="10">
        <f t="shared" si="165"/>
        <v>561</v>
      </c>
      <c r="P1680" s="10" t="s">
        <v>5006</v>
      </c>
      <c r="Q1680" s="10" t="s">
        <v>5006</v>
      </c>
      <c r="R1680" s="10" t="str">
        <f>IF(COUNTIF($J$2:J1680,J1680)=1,SUMIFS($O:$O,$J:$J,J1680)+SUMIFS($P:$P,$J:$J,J1680)+SUMIFS($Q:$Q,$J:$J,J1680),"")</f>
        <v/>
      </c>
      <c r="S1680" s="10" t="s">
        <v>5006</v>
      </c>
      <c r="T1680" s="11" t="str">
        <f t="shared" si="168"/>
        <v>Check</v>
      </c>
      <c r="U1680" s="12">
        <v>46154</v>
      </c>
      <c r="V1680" s="10">
        <v>450</v>
      </c>
      <c r="W1680" s="10" t="str">
        <f t="shared" si="166"/>
        <v>N/A</v>
      </c>
      <c r="X1680" t="s">
        <v>478</v>
      </c>
      <c r="Y1680" t="s">
        <v>28</v>
      </c>
      <c r="Z1680">
        <v>100162</v>
      </c>
      <c r="AA1680" t="s">
        <v>3083</v>
      </c>
      <c r="AB1680" t="s">
        <v>521</v>
      </c>
      <c r="AC1680" s="9">
        <v>3</v>
      </c>
      <c r="AD1680" s="9" t="str">
        <f t="shared" si="167"/>
        <v>N/A</v>
      </c>
      <c r="AE1680" s="11" t="e">
        <f t="shared" si="169"/>
        <v>#VALUE!</v>
      </c>
    </row>
    <row r="1681" spans="1:31" x14ac:dyDescent="0.3">
      <c r="A1681">
        <v>21</v>
      </c>
      <c r="B1681">
        <v>4851681</v>
      </c>
      <c r="C1681" t="s">
        <v>239</v>
      </c>
      <c r="D1681">
        <v>1037347</v>
      </c>
      <c r="E1681" t="s">
        <v>291</v>
      </c>
      <c r="F1681" t="s">
        <v>18</v>
      </c>
      <c r="G1681" t="s">
        <v>1552</v>
      </c>
      <c r="H1681" t="s">
        <v>1553</v>
      </c>
      <c r="I1681" t="s">
        <v>3257</v>
      </c>
      <c r="J1681">
        <v>51154731864</v>
      </c>
      <c r="K1681" t="s">
        <v>3177</v>
      </c>
      <c r="L1681" t="s">
        <v>3529</v>
      </c>
      <c r="M1681">
        <v>3000</v>
      </c>
      <c r="N1681" s="10">
        <v>0.4622</v>
      </c>
      <c r="O1681" s="10">
        <f t="shared" si="165"/>
        <v>1386.6</v>
      </c>
      <c r="P1681" s="10">
        <v>114.39</v>
      </c>
      <c r="Q1681" s="10">
        <v>165.19</v>
      </c>
      <c r="R1681" s="10">
        <f>IF(COUNTIF($J$2:J1681,J1681)=1,SUMIFS($O:$O,$J:$J,J1681)+SUMIFS($P:$P,$J:$J,J1681)+SUMIFS($Q:$Q,$J:$J,J1681),"")</f>
        <v>3404.98</v>
      </c>
      <c r="S1681" s="10">
        <v>3404.98</v>
      </c>
      <c r="T1681" s="11" t="str">
        <f t="shared" si="168"/>
        <v>Ok</v>
      </c>
      <c r="U1681" s="12">
        <v>46126</v>
      </c>
      <c r="V1681" s="10">
        <v>1903.99</v>
      </c>
      <c r="W1681" s="10" t="str">
        <f t="shared" si="166"/>
        <v>Short Paid</v>
      </c>
      <c r="X1681" t="s">
        <v>476</v>
      </c>
      <c r="Y1681" t="s">
        <v>28</v>
      </c>
      <c r="Z1681">
        <v>100205</v>
      </c>
      <c r="AA1681" t="s">
        <v>3075</v>
      </c>
      <c r="AB1681" t="s">
        <v>523</v>
      </c>
      <c r="AC1681" s="9">
        <v>2</v>
      </c>
      <c r="AD1681" s="9" t="str">
        <f t="shared" si="167"/>
        <v>Ok</v>
      </c>
      <c r="AE1681" s="11">
        <f t="shared" si="169"/>
        <v>0</v>
      </c>
    </row>
    <row r="1682" spans="1:31" x14ac:dyDescent="0.3">
      <c r="A1682">
        <v>21</v>
      </c>
      <c r="B1682">
        <v>4851681</v>
      </c>
      <c r="C1682" t="s">
        <v>239</v>
      </c>
      <c r="D1682">
        <v>1037347</v>
      </c>
      <c r="E1682" t="s">
        <v>291</v>
      </c>
      <c r="F1682" t="s">
        <v>18</v>
      </c>
      <c r="G1682" t="s">
        <v>1552</v>
      </c>
      <c r="H1682" t="s">
        <v>1553</v>
      </c>
      <c r="I1682" t="s">
        <v>3513</v>
      </c>
      <c r="J1682">
        <v>51154731864</v>
      </c>
      <c r="K1682" t="s">
        <v>4230</v>
      </c>
      <c r="L1682" t="s">
        <v>4437</v>
      </c>
      <c r="M1682">
        <v>1080</v>
      </c>
      <c r="N1682" s="10">
        <v>1.61</v>
      </c>
      <c r="O1682" s="10">
        <f t="shared" si="165"/>
        <v>1738.8000000000002</v>
      </c>
      <c r="P1682" s="10" t="s">
        <v>5006</v>
      </c>
      <c r="Q1682" s="10" t="s">
        <v>5006</v>
      </c>
      <c r="R1682" s="10" t="str">
        <f>IF(COUNTIF($J$2:J1682,J1682)=1,SUMIFS($O:$O,$J:$J,J1682)+SUMIFS($P:$P,$J:$J,J1682)+SUMIFS($Q:$Q,$J:$J,J1682),"")</f>
        <v/>
      </c>
      <c r="S1682" s="10" t="s">
        <v>5006</v>
      </c>
      <c r="T1682" s="11" t="str">
        <f t="shared" si="168"/>
        <v>Ok</v>
      </c>
      <c r="U1682" s="12">
        <v>46126</v>
      </c>
      <c r="V1682" s="10">
        <v>1903.99</v>
      </c>
      <c r="W1682" s="10" t="str">
        <f t="shared" si="166"/>
        <v>N/A</v>
      </c>
      <c r="X1682" t="s">
        <v>476</v>
      </c>
      <c r="Y1682" t="s">
        <v>28</v>
      </c>
      <c r="Z1682">
        <v>100205</v>
      </c>
      <c r="AA1682" t="s">
        <v>3075</v>
      </c>
      <c r="AB1682" t="s">
        <v>523</v>
      </c>
      <c r="AC1682" s="9">
        <v>2</v>
      </c>
      <c r="AD1682" s="9" t="str">
        <f t="shared" si="167"/>
        <v>N/A</v>
      </c>
      <c r="AE1682" s="11" t="e">
        <f t="shared" si="169"/>
        <v>#VALUE!</v>
      </c>
    </row>
    <row r="1683" spans="1:31" x14ac:dyDescent="0.3">
      <c r="A1683">
        <v>21</v>
      </c>
      <c r="B1683">
        <v>4853073</v>
      </c>
      <c r="C1683" t="s">
        <v>220</v>
      </c>
      <c r="D1683">
        <v>1400161</v>
      </c>
      <c r="E1683" t="s">
        <v>724</v>
      </c>
      <c r="F1683" t="s">
        <v>18</v>
      </c>
      <c r="G1683" t="s">
        <v>2893</v>
      </c>
      <c r="H1683" t="s">
        <v>2894</v>
      </c>
      <c r="I1683" t="s">
        <v>3333</v>
      </c>
      <c r="J1683">
        <v>51154761239</v>
      </c>
      <c r="K1683" t="s">
        <v>3216</v>
      </c>
      <c r="L1683" t="s">
        <v>3215</v>
      </c>
      <c r="M1683">
        <v>100000</v>
      </c>
      <c r="N1683" s="10">
        <v>1.8700000000000001E-2</v>
      </c>
      <c r="O1683" s="10">
        <f t="shared" si="165"/>
        <v>1870.0000000000002</v>
      </c>
      <c r="P1683" s="10">
        <v>0</v>
      </c>
      <c r="Q1683" s="10">
        <v>0</v>
      </c>
      <c r="R1683" s="10">
        <f>IF(COUNTIF($J$2:J1683,J1683)=1,SUMIFS($O:$O,$J:$J,J1683)+SUMIFS($P:$P,$J:$J,J1683)+SUMIFS($Q:$Q,$J:$J,J1683),"")</f>
        <v>14042.199999999999</v>
      </c>
      <c r="S1683" s="10">
        <v>14042.2</v>
      </c>
      <c r="T1683" s="11" t="str">
        <f t="shared" si="168"/>
        <v>Ok</v>
      </c>
      <c r="U1683" s="12">
        <v>46085</v>
      </c>
      <c r="V1683" s="10">
        <v>9844.2000000000007</v>
      </c>
      <c r="W1683" s="10" t="str">
        <f t="shared" si="166"/>
        <v>Short Paid</v>
      </c>
      <c r="X1683" t="s">
        <v>470</v>
      </c>
      <c r="Y1683" t="s">
        <v>28</v>
      </c>
      <c r="Z1683">
        <v>100118</v>
      </c>
      <c r="AA1683" t="s">
        <v>494</v>
      </c>
      <c r="AB1683" t="s">
        <v>523</v>
      </c>
      <c r="AC1683" s="9">
        <v>3</v>
      </c>
      <c r="AD1683" s="9" t="str">
        <f t="shared" si="167"/>
        <v>Ok</v>
      </c>
      <c r="AE1683" s="11">
        <f t="shared" si="169"/>
        <v>0</v>
      </c>
    </row>
    <row r="1684" spans="1:31" x14ac:dyDescent="0.3">
      <c r="A1684">
        <v>21</v>
      </c>
      <c r="B1684">
        <v>4853073</v>
      </c>
      <c r="C1684" t="s">
        <v>220</v>
      </c>
      <c r="D1684">
        <v>1400161</v>
      </c>
      <c r="E1684" t="s">
        <v>724</v>
      </c>
      <c r="F1684" t="s">
        <v>18</v>
      </c>
      <c r="G1684" t="s">
        <v>2893</v>
      </c>
      <c r="H1684" t="s">
        <v>2894</v>
      </c>
      <c r="I1684" t="s">
        <v>3333</v>
      </c>
      <c r="J1684">
        <v>51154761239</v>
      </c>
      <c r="K1684" t="s">
        <v>3207</v>
      </c>
      <c r="L1684" t="s">
        <v>3870</v>
      </c>
      <c r="M1684">
        <v>80000</v>
      </c>
      <c r="N1684" s="10">
        <v>2.9100000000000001E-2</v>
      </c>
      <c r="O1684" s="10">
        <f t="shared" si="165"/>
        <v>2328</v>
      </c>
      <c r="P1684" s="10" t="s">
        <v>5006</v>
      </c>
      <c r="Q1684" s="10" t="s">
        <v>5006</v>
      </c>
      <c r="R1684" s="10" t="str">
        <f>IF(COUNTIF($J$2:J1684,J1684)=1,SUMIFS($O:$O,$J:$J,J1684)+SUMIFS($P:$P,$J:$J,J1684)+SUMIFS($Q:$Q,$J:$J,J1684),"")</f>
        <v/>
      </c>
      <c r="S1684" s="10" t="s">
        <v>5006</v>
      </c>
      <c r="T1684" s="11" t="str">
        <f t="shared" si="168"/>
        <v>Ok</v>
      </c>
      <c r="U1684" s="12">
        <v>46085</v>
      </c>
      <c r="V1684" s="10">
        <v>9844.2000000000007</v>
      </c>
      <c r="W1684" s="10" t="str">
        <f t="shared" si="166"/>
        <v>N/A</v>
      </c>
      <c r="X1684" t="s">
        <v>470</v>
      </c>
      <c r="Y1684" t="s">
        <v>28</v>
      </c>
      <c r="Z1684">
        <v>100118</v>
      </c>
      <c r="AA1684" t="s">
        <v>494</v>
      </c>
      <c r="AB1684" t="s">
        <v>523</v>
      </c>
      <c r="AC1684" s="9">
        <v>3</v>
      </c>
      <c r="AD1684" s="9" t="str">
        <f t="shared" si="167"/>
        <v>N/A</v>
      </c>
      <c r="AE1684" s="11" t="e">
        <f t="shared" si="169"/>
        <v>#VALUE!</v>
      </c>
    </row>
    <row r="1685" spans="1:31" x14ac:dyDescent="0.3">
      <c r="A1685">
        <v>21</v>
      </c>
      <c r="B1685">
        <v>4853073</v>
      </c>
      <c r="C1685" t="s">
        <v>220</v>
      </c>
      <c r="D1685">
        <v>1400161</v>
      </c>
      <c r="E1685" t="s">
        <v>724</v>
      </c>
      <c r="F1685" t="s">
        <v>18</v>
      </c>
      <c r="G1685" t="s">
        <v>2893</v>
      </c>
      <c r="H1685" t="s">
        <v>2894</v>
      </c>
      <c r="I1685" t="s">
        <v>3477</v>
      </c>
      <c r="J1685">
        <v>51154761239</v>
      </c>
      <c r="K1685" t="s">
        <v>3168</v>
      </c>
      <c r="L1685" t="s">
        <v>4438</v>
      </c>
      <c r="M1685">
        <v>27000</v>
      </c>
      <c r="N1685" s="10">
        <v>0.36459999999999998</v>
      </c>
      <c r="O1685" s="10">
        <f t="shared" si="165"/>
        <v>9844.1999999999989</v>
      </c>
      <c r="P1685" s="10" t="s">
        <v>5006</v>
      </c>
      <c r="Q1685" s="10" t="s">
        <v>5006</v>
      </c>
      <c r="R1685" s="10" t="str">
        <f>IF(COUNTIF($J$2:J1685,J1685)=1,SUMIFS($O:$O,$J:$J,J1685)+SUMIFS($P:$P,$J:$J,J1685)+SUMIFS($Q:$Q,$J:$J,J1685),"")</f>
        <v/>
      </c>
      <c r="S1685" s="10" t="s">
        <v>5006</v>
      </c>
      <c r="T1685" s="11" t="str">
        <f t="shared" si="168"/>
        <v>Ok</v>
      </c>
      <c r="U1685" s="12">
        <v>46085</v>
      </c>
      <c r="V1685" s="10">
        <v>9844.2000000000007</v>
      </c>
      <c r="W1685" s="10" t="str">
        <f t="shared" si="166"/>
        <v>N/A</v>
      </c>
      <c r="X1685" t="s">
        <v>470</v>
      </c>
      <c r="Y1685" t="s">
        <v>28</v>
      </c>
      <c r="Z1685">
        <v>100118</v>
      </c>
      <c r="AA1685" t="s">
        <v>494</v>
      </c>
      <c r="AB1685" t="s">
        <v>523</v>
      </c>
      <c r="AC1685" s="9">
        <v>3</v>
      </c>
      <c r="AD1685" s="9" t="str">
        <f t="shared" si="167"/>
        <v>N/A</v>
      </c>
      <c r="AE1685" s="11" t="e">
        <f t="shared" si="169"/>
        <v>#VALUE!</v>
      </c>
    </row>
    <row r="1686" spans="1:31" x14ac:dyDescent="0.3">
      <c r="A1686">
        <v>17</v>
      </c>
      <c r="B1686">
        <v>4863369</v>
      </c>
      <c r="C1686" t="s">
        <v>220</v>
      </c>
      <c r="D1686">
        <v>1735117</v>
      </c>
      <c r="E1686" t="s">
        <v>582</v>
      </c>
      <c r="F1686" t="s">
        <v>18</v>
      </c>
      <c r="G1686" t="s">
        <v>1597</v>
      </c>
      <c r="H1686" t="s">
        <v>1598</v>
      </c>
      <c r="I1686" t="s">
        <v>3219</v>
      </c>
      <c r="J1686">
        <v>51154892632</v>
      </c>
      <c r="K1686" t="s">
        <v>3168</v>
      </c>
      <c r="L1686" t="s">
        <v>3497</v>
      </c>
      <c r="M1686">
        <v>12000</v>
      </c>
      <c r="N1686" s="10">
        <v>2.1499999999999998E-2</v>
      </c>
      <c r="O1686" s="10">
        <f t="shared" si="165"/>
        <v>258</v>
      </c>
      <c r="P1686" s="10">
        <v>0</v>
      </c>
      <c r="Q1686" s="10">
        <v>0</v>
      </c>
      <c r="R1686" s="10">
        <f>IF(COUNTIF($J$2:J1686,J1686)=1,SUMIFS($O:$O,$J:$J,J1686)+SUMIFS($P:$P,$J:$J,J1686)+SUMIFS($Q:$Q,$J:$J,J1686),"")</f>
        <v>15090</v>
      </c>
      <c r="S1686" s="10">
        <v>15090</v>
      </c>
      <c r="T1686" s="11" t="str">
        <f t="shared" si="168"/>
        <v>Ok</v>
      </c>
      <c r="U1686" s="12">
        <v>46151</v>
      </c>
      <c r="V1686" s="10">
        <v>14832</v>
      </c>
      <c r="W1686" s="10" t="str">
        <f t="shared" si="166"/>
        <v>Short Paid</v>
      </c>
      <c r="X1686" t="s">
        <v>470</v>
      </c>
      <c r="Y1686" t="s">
        <v>28</v>
      </c>
      <c r="Z1686">
        <v>100248</v>
      </c>
      <c r="AA1686" t="s">
        <v>3117</v>
      </c>
      <c r="AB1686" t="s">
        <v>523</v>
      </c>
      <c r="AC1686" s="9">
        <v>3</v>
      </c>
      <c r="AD1686" s="9" t="str">
        <f t="shared" si="167"/>
        <v>Ok</v>
      </c>
      <c r="AE1686" s="11">
        <f t="shared" si="169"/>
        <v>0</v>
      </c>
    </row>
    <row r="1687" spans="1:31" x14ac:dyDescent="0.3">
      <c r="A1687">
        <v>17</v>
      </c>
      <c r="B1687">
        <v>4863369</v>
      </c>
      <c r="C1687" t="s">
        <v>220</v>
      </c>
      <c r="D1687">
        <v>1735117</v>
      </c>
      <c r="E1687" t="s">
        <v>582</v>
      </c>
      <c r="F1687" t="s">
        <v>18</v>
      </c>
      <c r="G1687" t="s">
        <v>1597</v>
      </c>
      <c r="H1687" t="s">
        <v>1598</v>
      </c>
      <c r="I1687" t="s">
        <v>3419</v>
      </c>
      <c r="J1687">
        <v>51154892632</v>
      </c>
      <c r="K1687" t="s">
        <v>3389</v>
      </c>
      <c r="L1687" t="s">
        <v>4439</v>
      </c>
      <c r="M1687">
        <v>63000</v>
      </c>
      <c r="N1687" s="10">
        <v>0.22</v>
      </c>
      <c r="O1687" s="10">
        <f t="shared" si="165"/>
        <v>13860</v>
      </c>
      <c r="P1687" s="10" t="s">
        <v>5006</v>
      </c>
      <c r="Q1687" s="10" t="s">
        <v>5006</v>
      </c>
      <c r="R1687" s="10" t="str">
        <f>IF(COUNTIF($J$2:J1687,J1687)=1,SUMIFS($O:$O,$J:$J,J1687)+SUMIFS($P:$P,$J:$J,J1687)+SUMIFS($Q:$Q,$J:$J,J1687),"")</f>
        <v/>
      </c>
      <c r="S1687" s="10" t="s">
        <v>5006</v>
      </c>
      <c r="T1687" s="11" t="str">
        <f t="shared" si="168"/>
        <v>Ok</v>
      </c>
      <c r="U1687" s="12">
        <v>46151</v>
      </c>
      <c r="V1687" s="10">
        <v>14832</v>
      </c>
      <c r="W1687" s="10" t="str">
        <f t="shared" si="166"/>
        <v>N/A</v>
      </c>
      <c r="X1687" t="s">
        <v>470</v>
      </c>
      <c r="Y1687" t="s">
        <v>28</v>
      </c>
      <c r="Z1687">
        <v>100248</v>
      </c>
      <c r="AA1687" t="s">
        <v>3117</v>
      </c>
      <c r="AB1687" t="s">
        <v>523</v>
      </c>
      <c r="AC1687" s="9">
        <v>3</v>
      </c>
      <c r="AD1687" s="9" t="str">
        <f t="shared" si="167"/>
        <v>N/A</v>
      </c>
      <c r="AE1687" s="11" t="e">
        <f t="shared" si="169"/>
        <v>#VALUE!</v>
      </c>
    </row>
    <row r="1688" spans="1:31" x14ac:dyDescent="0.3">
      <c r="A1688">
        <v>17</v>
      </c>
      <c r="B1688">
        <v>4863369</v>
      </c>
      <c r="C1688" t="s">
        <v>220</v>
      </c>
      <c r="D1688">
        <v>1735117</v>
      </c>
      <c r="E1688" t="s">
        <v>582</v>
      </c>
      <c r="F1688" t="s">
        <v>18</v>
      </c>
      <c r="G1688" t="s">
        <v>1597</v>
      </c>
      <c r="H1688" t="s">
        <v>1598</v>
      </c>
      <c r="I1688" t="s">
        <v>3419</v>
      </c>
      <c r="J1688">
        <v>51154892632</v>
      </c>
      <c r="K1688" t="s">
        <v>3389</v>
      </c>
      <c r="L1688" t="s">
        <v>4440</v>
      </c>
      <c r="M1688">
        <v>36000</v>
      </c>
      <c r="N1688" s="10">
        <v>2.7E-2</v>
      </c>
      <c r="O1688" s="10">
        <f t="shared" si="165"/>
        <v>972</v>
      </c>
      <c r="P1688" s="10" t="s">
        <v>5006</v>
      </c>
      <c r="Q1688" s="10" t="s">
        <v>5006</v>
      </c>
      <c r="R1688" s="10" t="str">
        <f>IF(COUNTIF($J$2:J1688,J1688)=1,SUMIFS($O:$O,$J:$J,J1688)+SUMIFS($P:$P,$J:$J,J1688)+SUMIFS($Q:$Q,$J:$J,J1688),"")</f>
        <v/>
      </c>
      <c r="S1688" s="10" t="s">
        <v>5006</v>
      </c>
      <c r="T1688" s="11" t="str">
        <f t="shared" si="168"/>
        <v>Ok</v>
      </c>
      <c r="U1688" s="12">
        <v>46151</v>
      </c>
      <c r="V1688" s="10">
        <v>14832</v>
      </c>
      <c r="W1688" s="10" t="str">
        <f t="shared" si="166"/>
        <v>N/A</v>
      </c>
      <c r="X1688" t="s">
        <v>470</v>
      </c>
      <c r="Y1688" t="s">
        <v>28</v>
      </c>
      <c r="Z1688">
        <v>100248</v>
      </c>
      <c r="AA1688" t="s">
        <v>3117</v>
      </c>
      <c r="AB1688" t="s">
        <v>523</v>
      </c>
      <c r="AC1688" s="9">
        <v>3</v>
      </c>
      <c r="AD1688" s="9" t="str">
        <f t="shared" si="167"/>
        <v>N/A</v>
      </c>
      <c r="AE1688" s="11" t="e">
        <f t="shared" si="169"/>
        <v>#VALUE!</v>
      </c>
    </row>
    <row r="1689" spans="1:31" x14ac:dyDescent="0.3">
      <c r="A1689">
        <v>15</v>
      </c>
      <c r="B1689">
        <v>4874501</v>
      </c>
      <c r="C1689" t="s">
        <v>240</v>
      </c>
      <c r="D1689">
        <v>1262550</v>
      </c>
      <c r="E1689" t="s">
        <v>733</v>
      </c>
      <c r="F1689" t="s">
        <v>25</v>
      </c>
      <c r="G1689" t="s">
        <v>1636</v>
      </c>
      <c r="H1689" t="s">
        <v>1637</v>
      </c>
      <c r="I1689" t="s">
        <v>3315</v>
      </c>
      <c r="J1689">
        <v>51154898702</v>
      </c>
      <c r="K1689" t="s">
        <v>3168</v>
      </c>
      <c r="L1689" t="s">
        <v>3456</v>
      </c>
      <c r="M1689">
        <v>21000</v>
      </c>
      <c r="N1689" s="10">
        <v>0.17269999999999999</v>
      </c>
      <c r="O1689" s="10">
        <f t="shared" si="165"/>
        <v>3626.7</v>
      </c>
      <c r="P1689" s="10">
        <v>299.2</v>
      </c>
      <c r="Q1689" s="10">
        <v>0</v>
      </c>
      <c r="R1689" s="10">
        <f>IF(COUNTIF($J$2:J1689,J1689)=1,SUMIFS($O:$O,$J:$J,J1689)+SUMIFS($P:$P,$J:$J,J1689)+SUMIFS($Q:$Q,$J:$J,J1689),"")</f>
        <v>4002.68</v>
      </c>
      <c r="S1689" s="10">
        <v>4028.27</v>
      </c>
      <c r="T1689" s="11" t="str">
        <f t="shared" si="168"/>
        <v>Check</v>
      </c>
      <c r="U1689" s="12">
        <v>46070</v>
      </c>
      <c r="V1689" s="10">
        <v>102.37</v>
      </c>
      <c r="W1689" s="10" t="str">
        <f t="shared" si="166"/>
        <v>Short Paid</v>
      </c>
      <c r="X1689" t="s">
        <v>478</v>
      </c>
      <c r="Y1689" t="s">
        <v>28</v>
      </c>
      <c r="Z1689">
        <v>100242</v>
      </c>
      <c r="AA1689" t="s">
        <v>3096</v>
      </c>
      <c r="AB1689" t="s">
        <v>525</v>
      </c>
      <c r="AC1689" s="9">
        <v>2</v>
      </c>
      <c r="AD1689" s="9" t="str">
        <f t="shared" si="167"/>
        <v>Check</v>
      </c>
      <c r="AE1689" s="11">
        <f t="shared" si="169"/>
        <v>-25.590000000000146</v>
      </c>
    </row>
    <row r="1690" spans="1:31" x14ac:dyDescent="0.3">
      <c r="A1690">
        <v>15</v>
      </c>
      <c r="B1690">
        <v>4874501</v>
      </c>
      <c r="C1690" t="s">
        <v>240</v>
      </c>
      <c r="D1690">
        <v>1262550</v>
      </c>
      <c r="E1690" t="s">
        <v>733</v>
      </c>
      <c r="F1690" t="s">
        <v>25</v>
      </c>
      <c r="G1690" t="s">
        <v>1636</v>
      </c>
      <c r="H1690" t="s">
        <v>1637</v>
      </c>
      <c r="I1690" t="s">
        <v>3505</v>
      </c>
      <c r="J1690">
        <v>51154898702</v>
      </c>
      <c r="K1690" t="s">
        <v>3165</v>
      </c>
      <c r="L1690" t="s">
        <v>3290</v>
      </c>
      <c r="M1690">
        <v>1</v>
      </c>
      <c r="N1690" s="10">
        <v>76.78</v>
      </c>
      <c r="O1690" s="10">
        <f t="shared" si="165"/>
        <v>76.78</v>
      </c>
      <c r="P1690" s="10" t="s">
        <v>5006</v>
      </c>
      <c r="Q1690" s="10" t="s">
        <v>5006</v>
      </c>
      <c r="R1690" s="10" t="str">
        <f>IF(COUNTIF($J$2:J1690,J1690)=1,SUMIFS($O:$O,$J:$J,J1690)+SUMIFS($P:$P,$J:$J,J1690)+SUMIFS($Q:$Q,$J:$J,J1690),"")</f>
        <v/>
      </c>
      <c r="S1690" s="10" t="s">
        <v>5006</v>
      </c>
      <c r="T1690" s="11" t="str">
        <f t="shared" si="168"/>
        <v>Check</v>
      </c>
      <c r="U1690" s="12">
        <v>46070</v>
      </c>
      <c r="V1690" s="10">
        <v>102.37</v>
      </c>
      <c r="W1690" s="10" t="str">
        <f t="shared" si="166"/>
        <v>N/A</v>
      </c>
      <c r="X1690" t="s">
        <v>478</v>
      </c>
      <c r="Y1690" t="s">
        <v>28</v>
      </c>
      <c r="Z1690">
        <v>100242</v>
      </c>
      <c r="AA1690" t="s">
        <v>3096</v>
      </c>
      <c r="AB1690" t="s">
        <v>525</v>
      </c>
      <c r="AC1690" s="9">
        <v>2</v>
      </c>
      <c r="AD1690" s="9" t="str">
        <f t="shared" si="167"/>
        <v>N/A</v>
      </c>
      <c r="AE1690" s="11" t="e">
        <f t="shared" si="169"/>
        <v>#VALUE!</v>
      </c>
    </row>
    <row r="1691" spans="1:31" x14ac:dyDescent="0.3">
      <c r="A1691">
        <v>21</v>
      </c>
      <c r="B1691">
        <v>4851403</v>
      </c>
      <c r="C1691" t="s">
        <v>239</v>
      </c>
      <c r="D1691">
        <v>1037347</v>
      </c>
      <c r="E1691" t="s">
        <v>291</v>
      </c>
      <c r="F1691" t="s">
        <v>18</v>
      </c>
      <c r="G1691" t="s">
        <v>1550</v>
      </c>
      <c r="H1691" t="s">
        <v>1551</v>
      </c>
      <c r="I1691" t="s">
        <v>3581</v>
      </c>
      <c r="J1691">
        <v>51154899375</v>
      </c>
      <c r="K1691" t="s">
        <v>3475</v>
      </c>
      <c r="L1691" t="s">
        <v>3564</v>
      </c>
      <c r="M1691">
        <v>304</v>
      </c>
      <c r="N1691" s="10">
        <v>7.4950000000000001</v>
      </c>
      <c r="O1691" s="10">
        <f t="shared" si="165"/>
        <v>2278.48</v>
      </c>
      <c r="P1691" s="10">
        <v>187.97</v>
      </c>
      <c r="Q1691" s="10">
        <v>13.07</v>
      </c>
      <c r="R1691" s="10">
        <f>IF(COUNTIF($J$2:J1691,J1691)=1,SUMIFS($O:$O,$J:$J,J1691)+SUMIFS($P:$P,$J:$J,J1691)+SUMIFS($Q:$Q,$J:$J,J1691),"")</f>
        <v>2617.08</v>
      </c>
      <c r="S1691" s="10">
        <v>2617.08</v>
      </c>
      <c r="T1691" s="11" t="str">
        <f t="shared" si="168"/>
        <v>Ok</v>
      </c>
      <c r="U1691" s="12">
        <v>46126</v>
      </c>
      <c r="V1691" s="10">
        <v>150.63</v>
      </c>
      <c r="W1691" s="10" t="str">
        <f t="shared" si="166"/>
        <v>Short Paid</v>
      </c>
      <c r="X1691" t="s">
        <v>476</v>
      </c>
      <c r="Y1691" t="s">
        <v>28</v>
      </c>
      <c r="Z1691">
        <v>100195</v>
      </c>
      <c r="AA1691" t="s">
        <v>3070</v>
      </c>
      <c r="AB1691" t="s">
        <v>523</v>
      </c>
      <c r="AC1691" s="9">
        <v>2</v>
      </c>
      <c r="AD1691" s="9" t="str">
        <f t="shared" si="167"/>
        <v>Ok</v>
      </c>
      <c r="AE1691" s="11">
        <f t="shared" si="169"/>
        <v>0</v>
      </c>
    </row>
    <row r="1692" spans="1:31" x14ac:dyDescent="0.3">
      <c r="A1692">
        <v>21</v>
      </c>
      <c r="B1692">
        <v>4851403</v>
      </c>
      <c r="C1692" t="s">
        <v>239</v>
      </c>
      <c r="D1692">
        <v>1037347</v>
      </c>
      <c r="E1692" t="s">
        <v>291</v>
      </c>
      <c r="F1692" t="s">
        <v>18</v>
      </c>
      <c r="G1692" t="s">
        <v>1550</v>
      </c>
      <c r="H1692" t="s">
        <v>1551</v>
      </c>
      <c r="I1692" t="s">
        <v>3250</v>
      </c>
      <c r="J1692">
        <v>51154899375</v>
      </c>
      <c r="K1692" t="s">
        <v>4230</v>
      </c>
      <c r="L1692" t="s">
        <v>4441</v>
      </c>
      <c r="M1692">
        <v>95</v>
      </c>
      <c r="N1692" s="10">
        <v>1.448</v>
      </c>
      <c r="O1692" s="10">
        <f t="shared" si="165"/>
        <v>137.56</v>
      </c>
      <c r="P1692" s="10" t="s">
        <v>5006</v>
      </c>
      <c r="Q1692" s="10" t="s">
        <v>5006</v>
      </c>
      <c r="R1692" s="10" t="str">
        <f>IF(COUNTIF($J$2:J1692,J1692)=1,SUMIFS($O:$O,$J:$J,J1692)+SUMIFS($P:$P,$J:$J,J1692)+SUMIFS($Q:$Q,$J:$J,J1692),"")</f>
        <v/>
      </c>
      <c r="S1692" s="10" t="s">
        <v>5006</v>
      </c>
      <c r="T1692" s="11" t="str">
        <f t="shared" si="168"/>
        <v>Ok</v>
      </c>
      <c r="U1692" s="12">
        <v>46126</v>
      </c>
      <c r="V1692" s="10">
        <v>150.63</v>
      </c>
      <c r="W1692" s="10" t="str">
        <f t="shared" si="166"/>
        <v>N/A</v>
      </c>
      <c r="X1692" t="s">
        <v>476</v>
      </c>
      <c r="Y1692" t="s">
        <v>28</v>
      </c>
      <c r="Z1692">
        <v>100195</v>
      </c>
      <c r="AA1692" t="s">
        <v>3070</v>
      </c>
      <c r="AB1692" t="s">
        <v>523</v>
      </c>
      <c r="AC1692" s="9">
        <v>2</v>
      </c>
      <c r="AD1692" s="9" t="str">
        <f t="shared" si="167"/>
        <v>N/A</v>
      </c>
      <c r="AE1692" s="11" t="e">
        <f t="shared" si="169"/>
        <v>#VALUE!</v>
      </c>
    </row>
    <row r="1693" spans="1:31" x14ac:dyDescent="0.3">
      <c r="A1693">
        <v>15</v>
      </c>
      <c r="B1693">
        <v>4874223</v>
      </c>
      <c r="C1693" t="s">
        <v>160</v>
      </c>
      <c r="D1693">
        <v>1180001</v>
      </c>
      <c r="E1693" t="s">
        <v>646</v>
      </c>
      <c r="F1693" t="s">
        <v>20</v>
      </c>
      <c r="G1693" t="s">
        <v>1634</v>
      </c>
      <c r="H1693" t="s">
        <v>1635</v>
      </c>
      <c r="I1693" t="s">
        <v>3217</v>
      </c>
      <c r="J1693">
        <v>51154911653</v>
      </c>
      <c r="K1693" t="s">
        <v>3374</v>
      </c>
      <c r="L1693" t="s">
        <v>4442</v>
      </c>
      <c r="M1693">
        <v>460000</v>
      </c>
      <c r="N1693" s="10">
        <v>5.4999999999999997E-3</v>
      </c>
      <c r="O1693" s="10">
        <f t="shared" si="165"/>
        <v>2530</v>
      </c>
      <c r="P1693" s="10">
        <v>392.86</v>
      </c>
      <c r="Q1693" s="10">
        <v>1371.1499999999999</v>
      </c>
      <c r="R1693" s="10">
        <f>IF(COUNTIF($J$2:J1693,J1693)=1,SUMIFS($O:$O,$J:$J,J1693)+SUMIFS($P:$P,$J:$J,J1693)+SUMIFS($Q:$Q,$J:$J,J1693),"")</f>
        <v>8165.5099999999993</v>
      </c>
      <c r="S1693" s="10">
        <v>8165.51</v>
      </c>
      <c r="T1693" s="11" t="str">
        <f t="shared" si="168"/>
        <v>Ok</v>
      </c>
      <c r="U1693" s="12">
        <v>46027</v>
      </c>
      <c r="V1693" s="10">
        <v>3010.7</v>
      </c>
      <c r="W1693" s="10" t="str">
        <f t="shared" si="166"/>
        <v>Short Paid</v>
      </c>
      <c r="X1693" t="s">
        <v>453</v>
      </c>
      <c r="Y1693" t="s">
        <v>28</v>
      </c>
      <c r="Z1693">
        <v>100234</v>
      </c>
      <c r="AA1693" t="s">
        <v>502</v>
      </c>
      <c r="AB1693" t="s">
        <v>521</v>
      </c>
      <c r="AC1693" s="9">
        <v>2</v>
      </c>
      <c r="AD1693" s="9" t="str">
        <f t="shared" si="167"/>
        <v>Ok</v>
      </c>
      <c r="AE1693" s="11">
        <f t="shared" si="169"/>
        <v>0</v>
      </c>
    </row>
    <row r="1694" spans="1:31" x14ac:dyDescent="0.3">
      <c r="A1694">
        <v>15</v>
      </c>
      <c r="B1694">
        <v>4874223</v>
      </c>
      <c r="C1694" t="s">
        <v>160</v>
      </c>
      <c r="D1694">
        <v>1180001</v>
      </c>
      <c r="E1694" t="s">
        <v>646</v>
      </c>
      <c r="F1694" t="s">
        <v>20</v>
      </c>
      <c r="G1694" t="s">
        <v>1634</v>
      </c>
      <c r="H1694" t="s">
        <v>1635</v>
      </c>
      <c r="I1694" t="s">
        <v>3195</v>
      </c>
      <c r="J1694">
        <v>51154911653</v>
      </c>
      <c r="K1694" t="s">
        <v>3532</v>
      </c>
      <c r="L1694" t="s">
        <v>3531</v>
      </c>
      <c r="M1694">
        <v>5000</v>
      </c>
      <c r="N1694" s="10">
        <v>0.77429999999999999</v>
      </c>
      <c r="O1694" s="10">
        <f t="shared" si="165"/>
        <v>3871.5</v>
      </c>
      <c r="P1694" s="10" t="s">
        <v>5006</v>
      </c>
      <c r="Q1694" s="10" t="s">
        <v>5006</v>
      </c>
      <c r="R1694" s="10" t="str">
        <f>IF(COUNTIF($J$2:J1694,J1694)=1,SUMIFS($O:$O,$J:$J,J1694)+SUMIFS($P:$P,$J:$J,J1694)+SUMIFS($Q:$Q,$J:$J,J1694),"")</f>
        <v/>
      </c>
      <c r="S1694" s="10" t="s">
        <v>5006</v>
      </c>
      <c r="T1694" s="11" t="str">
        <f t="shared" si="168"/>
        <v>Ok</v>
      </c>
      <c r="U1694" s="12">
        <v>46027</v>
      </c>
      <c r="V1694" s="10">
        <v>3010.7</v>
      </c>
      <c r="W1694" s="10" t="str">
        <f t="shared" si="166"/>
        <v>N/A</v>
      </c>
      <c r="X1694" t="s">
        <v>453</v>
      </c>
      <c r="Y1694" t="s">
        <v>28</v>
      </c>
      <c r="Z1694">
        <v>100234</v>
      </c>
      <c r="AA1694" t="s">
        <v>502</v>
      </c>
      <c r="AB1694" t="s">
        <v>521</v>
      </c>
      <c r="AC1694" s="9">
        <v>2</v>
      </c>
      <c r="AD1694" s="9" t="str">
        <f t="shared" si="167"/>
        <v>N/A</v>
      </c>
      <c r="AE1694" s="11" t="e">
        <f t="shared" si="169"/>
        <v>#VALUE!</v>
      </c>
    </row>
    <row r="1695" spans="1:31" x14ac:dyDescent="0.3">
      <c r="A1695">
        <v>21</v>
      </c>
      <c r="B1695">
        <v>4853629</v>
      </c>
      <c r="C1695" t="s">
        <v>220</v>
      </c>
      <c r="D1695">
        <v>1400161</v>
      </c>
      <c r="E1695" t="s">
        <v>724</v>
      </c>
      <c r="F1695" t="s">
        <v>18</v>
      </c>
      <c r="G1695" t="s">
        <v>1554</v>
      </c>
      <c r="H1695" t="s">
        <v>1555</v>
      </c>
      <c r="I1695" t="s">
        <v>3315</v>
      </c>
      <c r="J1695">
        <v>51154913297</v>
      </c>
      <c r="K1695" t="s">
        <v>3168</v>
      </c>
      <c r="L1695" t="s">
        <v>4438</v>
      </c>
      <c r="M1695">
        <v>75000</v>
      </c>
      <c r="N1695" s="10">
        <v>0.36459999999999998</v>
      </c>
      <c r="O1695" s="10">
        <f t="shared" si="165"/>
        <v>27345</v>
      </c>
      <c r="P1695" s="10">
        <v>0</v>
      </c>
      <c r="Q1695" s="10">
        <v>0</v>
      </c>
      <c r="R1695" s="10">
        <f>IF(COUNTIF($J$2:J1695,J1695)=1,SUMIFS($O:$O,$J:$J,J1695)+SUMIFS($P:$P,$J:$J,J1695)+SUMIFS($Q:$Q,$J:$J,J1695),"")</f>
        <v>27538.2</v>
      </c>
      <c r="S1695" s="10">
        <v>27538.2</v>
      </c>
      <c r="T1695" s="11" t="str">
        <f t="shared" si="168"/>
        <v>Ok</v>
      </c>
      <c r="U1695" s="12">
        <v>46085</v>
      </c>
      <c r="V1695" s="10">
        <v>27345</v>
      </c>
      <c r="W1695" s="10" t="str">
        <f t="shared" si="166"/>
        <v>Short Paid</v>
      </c>
      <c r="X1695" t="s">
        <v>470</v>
      </c>
      <c r="Y1695" t="s">
        <v>28</v>
      </c>
      <c r="Z1695">
        <v>100158</v>
      </c>
      <c r="AA1695" t="s">
        <v>510</v>
      </c>
      <c r="AB1695" t="s">
        <v>523</v>
      </c>
      <c r="AC1695" s="9">
        <v>2</v>
      </c>
      <c r="AD1695" s="9" t="str">
        <f t="shared" si="167"/>
        <v>Ok</v>
      </c>
      <c r="AE1695" s="11">
        <f t="shared" si="169"/>
        <v>0</v>
      </c>
    </row>
    <row r="1696" spans="1:31" x14ac:dyDescent="0.3">
      <c r="A1696">
        <v>21</v>
      </c>
      <c r="B1696">
        <v>4853629</v>
      </c>
      <c r="C1696" t="s">
        <v>220</v>
      </c>
      <c r="D1696">
        <v>1400161</v>
      </c>
      <c r="E1696" t="s">
        <v>724</v>
      </c>
      <c r="F1696" t="s">
        <v>18</v>
      </c>
      <c r="G1696" t="s">
        <v>1554</v>
      </c>
      <c r="H1696" t="s">
        <v>1555</v>
      </c>
      <c r="I1696" t="s">
        <v>3175</v>
      </c>
      <c r="J1696">
        <v>51154913297</v>
      </c>
      <c r="K1696" t="s">
        <v>3177</v>
      </c>
      <c r="L1696" t="s">
        <v>3875</v>
      </c>
      <c r="M1696">
        <v>60000</v>
      </c>
      <c r="N1696" s="10">
        <v>3.2200000000000002E-3</v>
      </c>
      <c r="O1696" s="10">
        <f t="shared" si="165"/>
        <v>193.20000000000002</v>
      </c>
      <c r="P1696" s="10" t="s">
        <v>5006</v>
      </c>
      <c r="Q1696" s="10" t="s">
        <v>5006</v>
      </c>
      <c r="R1696" s="10" t="str">
        <f>IF(COUNTIF($J$2:J1696,J1696)=1,SUMIFS($O:$O,$J:$J,J1696)+SUMIFS($P:$P,$J:$J,J1696)+SUMIFS($Q:$Q,$J:$J,J1696),"")</f>
        <v/>
      </c>
      <c r="S1696" s="10" t="s">
        <v>5006</v>
      </c>
      <c r="T1696" s="11" t="str">
        <f t="shared" si="168"/>
        <v>Ok</v>
      </c>
      <c r="U1696" s="12">
        <v>46085</v>
      </c>
      <c r="V1696" s="10">
        <v>27345</v>
      </c>
      <c r="W1696" s="10" t="str">
        <f t="shared" si="166"/>
        <v>N/A</v>
      </c>
      <c r="X1696" t="s">
        <v>470</v>
      </c>
      <c r="Y1696" t="s">
        <v>28</v>
      </c>
      <c r="Z1696">
        <v>100158</v>
      </c>
      <c r="AA1696" t="s">
        <v>510</v>
      </c>
      <c r="AB1696" t="s">
        <v>523</v>
      </c>
      <c r="AC1696" s="9">
        <v>2</v>
      </c>
      <c r="AD1696" s="9" t="str">
        <f t="shared" si="167"/>
        <v>N/A</v>
      </c>
      <c r="AE1696" s="11" t="e">
        <f t="shared" si="169"/>
        <v>#VALUE!</v>
      </c>
    </row>
    <row r="1697" spans="1:31" x14ac:dyDescent="0.3">
      <c r="A1697">
        <v>22</v>
      </c>
      <c r="B1697">
        <v>4841385</v>
      </c>
      <c r="C1697" t="s">
        <v>220</v>
      </c>
      <c r="D1697">
        <v>1125734</v>
      </c>
      <c r="E1697" t="s">
        <v>532</v>
      </c>
      <c r="F1697" t="s">
        <v>23</v>
      </c>
      <c r="G1697" t="s">
        <v>2860</v>
      </c>
      <c r="H1697" t="s">
        <v>1496</v>
      </c>
      <c r="I1697" t="s">
        <v>3336</v>
      </c>
      <c r="J1697">
        <v>51154932251</v>
      </c>
      <c r="K1697" t="s">
        <v>3203</v>
      </c>
      <c r="L1697" t="s">
        <v>4443</v>
      </c>
      <c r="M1697">
        <v>900</v>
      </c>
      <c r="N1697" s="10">
        <v>0.57020000000000004</v>
      </c>
      <c r="O1697" s="10">
        <f t="shared" si="165"/>
        <v>513.18000000000006</v>
      </c>
      <c r="P1697" s="10">
        <v>0</v>
      </c>
      <c r="Q1697" s="10">
        <v>0</v>
      </c>
      <c r="R1697" s="10">
        <f>IF(COUNTIF($J$2:J1697,J1697)=1,SUMIFS($O:$O,$J:$J,J1697)+SUMIFS($P:$P,$J:$J,J1697)+SUMIFS($Q:$Q,$J:$J,J1697),"")</f>
        <v>695.42800000000011</v>
      </c>
      <c r="S1697" s="10">
        <v>695.43</v>
      </c>
      <c r="T1697" s="11" t="str">
        <f t="shared" si="168"/>
        <v>Check</v>
      </c>
      <c r="U1697" s="12">
        <v>45923</v>
      </c>
      <c r="V1697" s="10">
        <v>513.17999999999995</v>
      </c>
      <c r="W1697" s="10" t="str">
        <f t="shared" si="166"/>
        <v>Short Paid</v>
      </c>
      <c r="X1697" t="s">
        <v>470</v>
      </c>
      <c r="Y1697" t="s">
        <v>436</v>
      </c>
      <c r="Z1697">
        <v>100178</v>
      </c>
      <c r="AA1697" t="s">
        <v>3149</v>
      </c>
      <c r="AB1697" t="s">
        <v>520</v>
      </c>
      <c r="AC1697" s="9">
        <v>2</v>
      </c>
      <c r="AD1697" s="9" t="str">
        <f t="shared" si="167"/>
        <v>Check</v>
      </c>
      <c r="AE1697" s="11">
        <f t="shared" si="169"/>
        <v>-1.9999999998390194E-3</v>
      </c>
    </row>
    <row r="1698" spans="1:31" x14ac:dyDescent="0.3">
      <c r="A1698">
        <v>22</v>
      </c>
      <c r="B1698">
        <v>4841385</v>
      </c>
      <c r="C1698" t="s">
        <v>220</v>
      </c>
      <c r="D1698">
        <v>1125734</v>
      </c>
      <c r="E1698" t="s">
        <v>532</v>
      </c>
      <c r="F1698" t="s">
        <v>23</v>
      </c>
      <c r="G1698" t="s">
        <v>2860</v>
      </c>
      <c r="H1698" t="s">
        <v>1496</v>
      </c>
      <c r="I1698" t="s">
        <v>3316</v>
      </c>
      <c r="J1698">
        <v>51154932251</v>
      </c>
      <c r="K1698" t="s">
        <v>3177</v>
      </c>
      <c r="L1698" t="s">
        <v>4444</v>
      </c>
      <c r="M1698">
        <v>400</v>
      </c>
      <c r="N1698" s="10">
        <v>0.45562000000000002</v>
      </c>
      <c r="O1698" s="10">
        <f t="shared" si="165"/>
        <v>182.24800000000002</v>
      </c>
      <c r="P1698" s="10" t="s">
        <v>5006</v>
      </c>
      <c r="Q1698" s="10" t="s">
        <v>5006</v>
      </c>
      <c r="R1698" s="10" t="str">
        <f>IF(COUNTIF($J$2:J1698,J1698)=1,SUMIFS($O:$O,$J:$J,J1698)+SUMIFS($P:$P,$J:$J,J1698)+SUMIFS($Q:$Q,$J:$J,J1698),"")</f>
        <v/>
      </c>
      <c r="S1698" s="10" t="s">
        <v>5006</v>
      </c>
      <c r="T1698" s="11" t="str">
        <f t="shared" si="168"/>
        <v>Check</v>
      </c>
      <c r="U1698" s="12">
        <v>45923</v>
      </c>
      <c r="V1698" s="10">
        <v>513.17999999999995</v>
      </c>
      <c r="W1698" s="10" t="str">
        <f t="shared" si="166"/>
        <v>N/A</v>
      </c>
      <c r="X1698" t="s">
        <v>470</v>
      </c>
      <c r="Y1698" t="s">
        <v>436</v>
      </c>
      <c r="Z1698">
        <v>100178</v>
      </c>
      <c r="AA1698" t="s">
        <v>3149</v>
      </c>
      <c r="AB1698" t="s">
        <v>520</v>
      </c>
      <c r="AC1698" s="9">
        <v>2</v>
      </c>
      <c r="AD1698" s="9" t="str">
        <f t="shared" si="167"/>
        <v>N/A</v>
      </c>
      <c r="AE1698" s="11" t="e">
        <f t="shared" si="169"/>
        <v>#VALUE!</v>
      </c>
    </row>
    <row r="1699" spans="1:31" x14ac:dyDescent="0.3">
      <c r="A1699">
        <v>25</v>
      </c>
      <c r="B1699">
        <v>4824688</v>
      </c>
      <c r="C1699" t="s">
        <v>239</v>
      </c>
      <c r="D1699">
        <v>1079286</v>
      </c>
      <c r="E1699" t="s">
        <v>629</v>
      </c>
      <c r="F1699" t="s">
        <v>20</v>
      </c>
      <c r="G1699" t="s">
        <v>1423</v>
      </c>
      <c r="H1699" t="s">
        <v>1424</v>
      </c>
      <c r="I1699" t="s">
        <v>3307</v>
      </c>
      <c r="J1699">
        <v>51154969411</v>
      </c>
      <c r="K1699" t="s">
        <v>3177</v>
      </c>
      <c r="L1699" t="s">
        <v>4445</v>
      </c>
      <c r="M1699">
        <v>16000</v>
      </c>
      <c r="N1699" s="10">
        <v>3.1199999999999999E-2</v>
      </c>
      <c r="O1699" s="10">
        <f t="shared" si="165"/>
        <v>499.2</v>
      </c>
      <c r="P1699" s="10">
        <v>90.16</v>
      </c>
      <c r="Q1699" s="10">
        <v>0</v>
      </c>
      <c r="R1699" s="10">
        <f>IF(COUNTIF($J$2:J1699,J1699)=1,SUMIFS($O:$O,$J:$J,J1699)+SUMIFS($P:$P,$J:$J,J1699)+SUMIFS($Q:$Q,$J:$J,J1699),"")</f>
        <v>5153.16</v>
      </c>
      <c r="S1699" s="10">
        <v>5277.96</v>
      </c>
      <c r="T1699" s="11" t="str">
        <f t="shared" si="168"/>
        <v>Check</v>
      </c>
      <c r="U1699" s="12">
        <v>46014</v>
      </c>
      <c r="V1699" s="10">
        <v>4095</v>
      </c>
      <c r="W1699" s="10" t="str">
        <f t="shared" si="166"/>
        <v>Short Paid</v>
      </c>
      <c r="X1699" t="s">
        <v>476</v>
      </c>
      <c r="Y1699" t="s">
        <v>28</v>
      </c>
      <c r="Z1699">
        <v>100275</v>
      </c>
      <c r="AA1699" t="s">
        <v>492</v>
      </c>
      <c r="AB1699" t="s">
        <v>521</v>
      </c>
      <c r="AC1699" s="9">
        <v>3</v>
      </c>
      <c r="AD1699" s="9" t="str">
        <f t="shared" si="167"/>
        <v>Check</v>
      </c>
      <c r="AE1699" s="11">
        <f t="shared" si="169"/>
        <v>-124.80000000000018</v>
      </c>
    </row>
    <row r="1700" spans="1:31" x14ac:dyDescent="0.3">
      <c r="A1700">
        <v>25</v>
      </c>
      <c r="B1700">
        <v>4824688</v>
      </c>
      <c r="C1700" t="s">
        <v>239</v>
      </c>
      <c r="D1700">
        <v>1079286</v>
      </c>
      <c r="E1700" t="s">
        <v>629</v>
      </c>
      <c r="F1700" t="s">
        <v>20</v>
      </c>
      <c r="G1700" t="s">
        <v>1423</v>
      </c>
      <c r="H1700" t="s">
        <v>1424</v>
      </c>
      <c r="I1700" t="s">
        <v>3307</v>
      </c>
      <c r="J1700">
        <v>51154969411</v>
      </c>
      <c r="K1700" t="s">
        <v>3209</v>
      </c>
      <c r="L1700" t="s">
        <v>3871</v>
      </c>
      <c r="M1700">
        <v>4000</v>
      </c>
      <c r="N1700" s="10">
        <v>0.1172</v>
      </c>
      <c r="O1700" s="10">
        <f t="shared" si="165"/>
        <v>468.8</v>
      </c>
      <c r="P1700" s="10" t="s">
        <v>5006</v>
      </c>
      <c r="Q1700" s="10" t="s">
        <v>5006</v>
      </c>
      <c r="R1700" s="10" t="str">
        <f>IF(COUNTIF($J$2:J1700,J1700)=1,SUMIFS($O:$O,$J:$J,J1700)+SUMIFS($P:$P,$J:$J,J1700)+SUMIFS($Q:$Q,$J:$J,J1700),"")</f>
        <v/>
      </c>
      <c r="S1700" s="10" t="s">
        <v>5006</v>
      </c>
      <c r="T1700" s="11" t="str">
        <f t="shared" si="168"/>
        <v>Check</v>
      </c>
      <c r="U1700" s="12">
        <v>46014</v>
      </c>
      <c r="V1700" s="10">
        <v>4095</v>
      </c>
      <c r="W1700" s="10" t="str">
        <f t="shared" si="166"/>
        <v>N/A</v>
      </c>
      <c r="X1700" t="s">
        <v>476</v>
      </c>
      <c r="Y1700" t="s">
        <v>28</v>
      </c>
      <c r="Z1700">
        <v>100275</v>
      </c>
      <c r="AA1700" t="s">
        <v>492</v>
      </c>
      <c r="AB1700" t="s">
        <v>521</v>
      </c>
      <c r="AC1700" s="9">
        <v>3</v>
      </c>
      <c r="AD1700" s="9" t="str">
        <f t="shared" si="167"/>
        <v>N/A</v>
      </c>
      <c r="AE1700" s="11" t="e">
        <f t="shared" si="169"/>
        <v>#VALUE!</v>
      </c>
    </row>
    <row r="1701" spans="1:31" x14ac:dyDescent="0.3">
      <c r="A1701">
        <v>25</v>
      </c>
      <c r="B1701">
        <v>4824688</v>
      </c>
      <c r="C1701" t="s">
        <v>239</v>
      </c>
      <c r="D1701">
        <v>1079286</v>
      </c>
      <c r="E1701" t="s">
        <v>629</v>
      </c>
      <c r="F1701" t="s">
        <v>20</v>
      </c>
      <c r="G1701" t="s">
        <v>1423</v>
      </c>
      <c r="H1701" t="s">
        <v>1424</v>
      </c>
      <c r="I1701" t="s">
        <v>3336</v>
      </c>
      <c r="J1701">
        <v>51154969411</v>
      </c>
      <c r="K1701" t="s">
        <v>3375</v>
      </c>
      <c r="L1701" t="s">
        <v>4016</v>
      </c>
      <c r="M1701">
        <v>90000</v>
      </c>
      <c r="N1701" s="10">
        <v>4.5499999999999999E-2</v>
      </c>
      <c r="O1701" s="10">
        <f t="shared" si="165"/>
        <v>4095</v>
      </c>
      <c r="P1701" s="10" t="s">
        <v>5006</v>
      </c>
      <c r="Q1701" s="10" t="s">
        <v>5006</v>
      </c>
      <c r="R1701" s="10" t="str">
        <f>IF(COUNTIF($J$2:J1701,J1701)=1,SUMIFS($O:$O,$J:$J,J1701)+SUMIFS($P:$P,$J:$J,J1701)+SUMIFS($Q:$Q,$J:$J,J1701),"")</f>
        <v/>
      </c>
      <c r="S1701" s="10" t="s">
        <v>5006</v>
      </c>
      <c r="T1701" s="11" t="str">
        <f t="shared" si="168"/>
        <v>Check</v>
      </c>
      <c r="U1701" s="12">
        <v>46014</v>
      </c>
      <c r="V1701" s="10">
        <v>4095</v>
      </c>
      <c r="W1701" s="10" t="str">
        <f t="shared" si="166"/>
        <v>N/A</v>
      </c>
      <c r="X1701" t="s">
        <v>476</v>
      </c>
      <c r="Y1701" t="s">
        <v>28</v>
      </c>
      <c r="Z1701">
        <v>100275</v>
      </c>
      <c r="AA1701" t="s">
        <v>492</v>
      </c>
      <c r="AB1701" t="s">
        <v>521</v>
      </c>
      <c r="AC1701" s="9">
        <v>3</v>
      </c>
      <c r="AD1701" s="9" t="str">
        <f t="shared" si="167"/>
        <v>N/A</v>
      </c>
      <c r="AE1701" s="11" t="e">
        <f t="shared" si="169"/>
        <v>#VALUE!</v>
      </c>
    </row>
    <row r="1702" spans="1:31" x14ac:dyDescent="0.3">
      <c r="A1702">
        <v>21</v>
      </c>
      <c r="B1702">
        <v>4850847</v>
      </c>
      <c r="C1702" t="s">
        <v>167</v>
      </c>
      <c r="D1702">
        <v>1216521</v>
      </c>
      <c r="E1702" t="s">
        <v>618</v>
      </c>
      <c r="F1702" t="s">
        <v>19</v>
      </c>
      <c r="G1702" t="s">
        <v>1546</v>
      </c>
      <c r="H1702" t="s">
        <v>1547</v>
      </c>
      <c r="I1702" t="s">
        <v>3218</v>
      </c>
      <c r="J1702">
        <v>51154980237</v>
      </c>
      <c r="K1702" t="s">
        <v>3168</v>
      </c>
      <c r="L1702" t="s">
        <v>3383</v>
      </c>
      <c r="M1702">
        <v>30000</v>
      </c>
      <c r="N1702" s="10">
        <v>2.7099999999999999E-2</v>
      </c>
      <c r="O1702" s="10">
        <f t="shared" si="165"/>
        <v>813</v>
      </c>
      <c r="P1702" s="10">
        <v>82.5</v>
      </c>
      <c r="Q1702" s="10">
        <v>186.99</v>
      </c>
      <c r="R1702" s="10">
        <f>IF(COUNTIF($J$2:J1702,J1702)=1,SUMIFS($O:$O,$J:$J,J1702)+SUMIFS($P:$P,$J:$J,J1702)+SUMIFS($Q:$Q,$J:$J,J1702),"")</f>
        <v>1269.28</v>
      </c>
      <c r="S1702" s="10">
        <v>2576.81</v>
      </c>
      <c r="T1702" s="11" t="str">
        <f t="shared" si="168"/>
        <v>Check</v>
      </c>
      <c r="U1702" s="12">
        <v>46087</v>
      </c>
      <c r="V1702" s="10">
        <v>186.79</v>
      </c>
      <c r="W1702" s="10" t="str">
        <f t="shared" si="166"/>
        <v>Short Paid</v>
      </c>
      <c r="X1702" t="s">
        <v>455</v>
      </c>
      <c r="Y1702" t="s">
        <v>28</v>
      </c>
      <c r="Z1702">
        <v>100150</v>
      </c>
      <c r="AA1702" t="s">
        <v>458</v>
      </c>
      <c r="AB1702" t="s">
        <v>524</v>
      </c>
      <c r="AC1702" s="9">
        <v>2</v>
      </c>
      <c r="AD1702" s="9" t="str">
        <f t="shared" si="167"/>
        <v>Check</v>
      </c>
      <c r="AE1702" s="11">
        <f t="shared" si="169"/>
        <v>-1307.53</v>
      </c>
    </row>
    <row r="1703" spans="1:31" x14ac:dyDescent="0.3">
      <c r="A1703">
        <v>21</v>
      </c>
      <c r="B1703">
        <v>4850847</v>
      </c>
      <c r="C1703" t="s">
        <v>167</v>
      </c>
      <c r="D1703">
        <v>1216521</v>
      </c>
      <c r="E1703" t="s">
        <v>618</v>
      </c>
      <c r="F1703" t="s">
        <v>19</v>
      </c>
      <c r="G1703" t="s">
        <v>1546</v>
      </c>
      <c r="H1703" t="s">
        <v>1547</v>
      </c>
      <c r="I1703" t="s">
        <v>3328</v>
      </c>
      <c r="J1703">
        <v>51154980237</v>
      </c>
      <c r="K1703" t="s">
        <v>3194</v>
      </c>
      <c r="L1703" t="s">
        <v>4446</v>
      </c>
      <c r="M1703">
        <v>1</v>
      </c>
      <c r="N1703" s="10">
        <v>186.79</v>
      </c>
      <c r="O1703" s="10">
        <f t="shared" si="165"/>
        <v>186.79</v>
      </c>
      <c r="P1703" s="10" t="s">
        <v>5006</v>
      </c>
      <c r="Q1703" s="10" t="s">
        <v>5006</v>
      </c>
      <c r="R1703" s="10" t="str">
        <f>IF(COUNTIF($J$2:J1703,J1703)=1,SUMIFS($O:$O,$J:$J,J1703)+SUMIFS($P:$P,$J:$J,J1703)+SUMIFS($Q:$Q,$J:$J,J1703),"")</f>
        <v/>
      </c>
      <c r="S1703" s="10" t="s">
        <v>5006</v>
      </c>
      <c r="T1703" s="11" t="str">
        <f t="shared" si="168"/>
        <v>Check</v>
      </c>
      <c r="U1703" s="12">
        <v>46087</v>
      </c>
      <c r="V1703" s="10">
        <v>186.79</v>
      </c>
      <c r="W1703" s="10" t="str">
        <f t="shared" si="166"/>
        <v>N/A</v>
      </c>
      <c r="X1703" t="s">
        <v>455</v>
      </c>
      <c r="Y1703" t="s">
        <v>28</v>
      </c>
      <c r="Z1703">
        <v>100150</v>
      </c>
      <c r="AA1703" t="s">
        <v>458</v>
      </c>
      <c r="AB1703" t="s">
        <v>524</v>
      </c>
      <c r="AC1703" s="9">
        <v>2</v>
      </c>
      <c r="AD1703" s="9" t="str">
        <f t="shared" si="167"/>
        <v>N/A</v>
      </c>
      <c r="AE1703" s="11" t="e">
        <f t="shared" si="169"/>
        <v>#VALUE!</v>
      </c>
    </row>
    <row r="1704" spans="1:31" x14ac:dyDescent="0.3">
      <c r="A1704">
        <v>17</v>
      </c>
      <c r="B1704">
        <v>4863091</v>
      </c>
      <c r="C1704" t="s">
        <v>160</v>
      </c>
      <c r="D1704">
        <v>1819614</v>
      </c>
      <c r="E1704" t="s">
        <v>4902</v>
      </c>
      <c r="F1704" t="s">
        <v>19</v>
      </c>
      <c r="G1704" t="s">
        <v>1595</v>
      </c>
      <c r="H1704" t="s">
        <v>1596</v>
      </c>
      <c r="I1704" t="s">
        <v>3419</v>
      </c>
      <c r="J1704">
        <v>51155103683</v>
      </c>
      <c r="K1704" t="s">
        <v>3168</v>
      </c>
      <c r="L1704" t="s">
        <v>3579</v>
      </c>
      <c r="M1704">
        <v>85000</v>
      </c>
      <c r="N1704" s="10">
        <v>6.7199999999999996E-2</v>
      </c>
      <c r="O1704" s="10">
        <f t="shared" si="165"/>
        <v>5712</v>
      </c>
      <c r="P1704" s="10">
        <v>0</v>
      </c>
      <c r="Q1704" s="10">
        <v>458.02</v>
      </c>
      <c r="R1704" s="10">
        <f>IF(COUNTIF($J$2:J1704,J1704)=1,SUMIFS($O:$O,$J:$J,J1704)+SUMIFS($P:$P,$J:$J,J1704)+SUMIFS($Q:$Q,$J:$J,J1704),"")</f>
        <v>21977.43</v>
      </c>
      <c r="S1704" s="10">
        <v>33440.07</v>
      </c>
      <c r="T1704" s="11" t="str">
        <f t="shared" si="168"/>
        <v>Check</v>
      </c>
      <c r="U1704" s="12">
        <v>46059</v>
      </c>
      <c r="V1704" s="10">
        <v>27728.07</v>
      </c>
      <c r="W1704" s="10" t="str">
        <f t="shared" si="166"/>
        <v>Short Paid</v>
      </c>
      <c r="X1704" t="s">
        <v>453</v>
      </c>
      <c r="Y1704" t="s">
        <v>28</v>
      </c>
      <c r="Z1704">
        <v>100234</v>
      </c>
      <c r="AA1704" t="s">
        <v>502</v>
      </c>
      <c r="AB1704" t="s">
        <v>524</v>
      </c>
      <c r="AC1704" s="9">
        <v>12</v>
      </c>
      <c r="AD1704" s="9" t="str">
        <f t="shared" si="167"/>
        <v>Check</v>
      </c>
      <c r="AE1704" s="11">
        <f t="shared" si="169"/>
        <v>-11462.64</v>
      </c>
    </row>
    <row r="1705" spans="1:31" x14ac:dyDescent="0.3">
      <c r="A1705">
        <v>17</v>
      </c>
      <c r="B1705">
        <v>4863091</v>
      </c>
      <c r="C1705" t="s">
        <v>160</v>
      </c>
      <c r="D1705">
        <v>1819614</v>
      </c>
      <c r="E1705" t="s">
        <v>4902</v>
      </c>
      <c r="F1705" t="s">
        <v>19</v>
      </c>
      <c r="G1705" t="s">
        <v>1595</v>
      </c>
      <c r="H1705" t="s">
        <v>1596</v>
      </c>
      <c r="I1705" t="s">
        <v>3213</v>
      </c>
      <c r="J1705">
        <v>51155103683</v>
      </c>
      <c r="K1705" t="s">
        <v>3246</v>
      </c>
      <c r="L1705" t="s">
        <v>4447</v>
      </c>
      <c r="M1705">
        <v>1000</v>
      </c>
      <c r="N1705" s="10">
        <v>0.21625</v>
      </c>
      <c r="O1705" s="10">
        <f t="shared" si="165"/>
        <v>216.25</v>
      </c>
      <c r="P1705" s="10" t="s">
        <v>5006</v>
      </c>
      <c r="Q1705" s="10" t="s">
        <v>5006</v>
      </c>
      <c r="R1705" s="10" t="str">
        <f>IF(COUNTIF($J$2:J1705,J1705)=1,SUMIFS($O:$O,$J:$J,J1705)+SUMIFS($P:$P,$J:$J,J1705)+SUMIFS($Q:$Q,$J:$J,J1705),"")</f>
        <v/>
      </c>
      <c r="S1705" s="10" t="s">
        <v>5006</v>
      </c>
      <c r="T1705" s="11" t="str">
        <f t="shared" si="168"/>
        <v>Check</v>
      </c>
      <c r="U1705" s="12">
        <v>46059</v>
      </c>
      <c r="V1705" s="10">
        <v>27728.07</v>
      </c>
      <c r="W1705" s="10" t="str">
        <f t="shared" si="166"/>
        <v>N/A</v>
      </c>
      <c r="X1705" t="s">
        <v>453</v>
      </c>
      <c r="Y1705" t="s">
        <v>28</v>
      </c>
      <c r="Z1705">
        <v>100234</v>
      </c>
      <c r="AA1705" t="s">
        <v>502</v>
      </c>
      <c r="AB1705" t="s">
        <v>524</v>
      </c>
      <c r="AC1705" s="9">
        <v>12</v>
      </c>
      <c r="AD1705" s="9" t="str">
        <f t="shared" si="167"/>
        <v>N/A</v>
      </c>
      <c r="AE1705" s="11" t="e">
        <f t="shared" si="169"/>
        <v>#VALUE!</v>
      </c>
    </row>
    <row r="1706" spans="1:31" x14ac:dyDescent="0.3">
      <c r="A1706">
        <v>17</v>
      </c>
      <c r="B1706">
        <v>4863091</v>
      </c>
      <c r="C1706" t="s">
        <v>160</v>
      </c>
      <c r="D1706">
        <v>1819614</v>
      </c>
      <c r="E1706" t="s">
        <v>4902</v>
      </c>
      <c r="F1706" t="s">
        <v>19</v>
      </c>
      <c r="G1706" t="s">
        <v>1595</v>
      </c>
      <c r="H1706" t="s">
        <v>1596</v>
      </c>
      <c r="I1706" t="s">
        <v>3213</v>
      </c>
      <c r="J1706">
        <v>51155103683</v>
      </c>
      <c r="K1706" t="s">
        <v>3370</v>
      </c>
      <c r="L1706" t="s">
        <v>4448</v>
      </c>
      <c r="M1706">
        <v>12000</v>
      </c>
      <c r="N1706" s="10">
        <v>2.333E-2</v>
      </c>
      <c r="O1706" s="10">
        <f t="shared" si="165"/>
        <v>279.95999999999998</v>
      </c>
      <c r="P1706" s="10" t="s">
        <v>5006</v>
      </c>
      <c r="Q1706" s="10" t="s">
        <v>5006</v>
      </c>
      <c r="R1706" s="10" t="str">
        <f>IF(COUNTIF($J$2:J1706,J1706)=1,SUMIFS($O:$O,$J:$J,J1706)+SUMIFS($P:$P,$J:$J,J1706)+SUMIFS($Q:$Q,$J:$J,J1706),"")</f>
        <v/>
      </c>
      <c r="S1706" s="10" t="s">
        <v>5006</v>
      </c>
      <c r="T1706" s="11" t="str">
        <f t="shared" si="168"/>
        <v>Check</v>
      </c>
      <c r="U1706" s="12">
        <v>46059</v>
      </c>
      <c r="V1706" s="10">
        <v>27728.07</v>
      </c>
      <c r="W1706" s="10" t="str">
        <f t="shared" si="166"/>
        <v>N/A</v>
      </c>
      <c r="X1706" t="s">
        <v>453</v>
      </c>
      <c r="Y1706" t="s">
        <v>28</v>
      </c>
      <c r="Z1706">
        <v>100234</v>
      </c>
      <c r="AA1706" t="s">
        <v>502</v>
      </c>
      <c r="AB1706" t="s">
        <v>524</v>
      </c>
      <c r="AC1706" s="9">
        <v>12</v>
      </c>
      <c r="AD1706" s="9" t="str">
        <f t="shared" si="167"/>
        <v>N/A</v>
      </c>
      <c r="AE1706" s="11" t="e">
        <f t="shared" si="169"/>
        <v>#VALUE!</v>
      </c>
    </row>
    <row r="1707" spans="1:31" x14ac:dyDescent="0.3">
      <c r="A1707">
        <v>17</v>
      </c>
      <c r="B1707">
        <v>4863091</v>
      </c>
      <c r="C1707" t="s">
        <v>160</v>
      </c>
      <c r="D1707">
        <v>1819614</v>
      </c>
      <c r="E1707" t="s">
        <v>4902</v>
      </c>
      <c r="F1707" t="s">
        <v>19</v>
      </c>
      <c r="G1707" t="s">
        <v>1595</v>
      </c>
      <c r="H1707" t="s">
        <v>1596</v>
      </c>
      <c r="I1707" t="s">
        <v>3213</v>
      </c>
      <c r="J1707">
        <v>51155103683</v>
      </c>
      <c r="K1707" t="s">
        <v>3229</v>
      </c>
      <c r="L1707" t="s">
        <v>4449</v>
      </c>
      <c r="M1707">
        <v>30000</v>
      </c>
      <c r="N1707" s="10">
        <v>0.1129</v>
      </c>
      <c r="O1707" s="10">
        <f t="shared" si="165"/>
        <v>3387</v>
      </c>
      <c r="P1707" s="10" t="s">
        <v>5006</v>
      </c>
      <c r="Q1707" s="10" t="s">
        <v>5006</v>
      </c>
      <c r="R1707" s="10" t="str">
        <f>IF(COUNTIF($J$2:J1707,J1707)=1,SUMIFS($O:$O,$J:$J,J1707)+SUMIFS($P:$P,$J:$J,J1707)+SUMIFS($Q:$Q,$J:$J,J1707),"")</f>
        <v/>
      </c>
      <c r="S1707" s="10" t="s">
        <v>5006</v>
      </c>
      <c r="T1707" s="11" t="str">
        <f t="shared" si="168"/>
        <v>Check</v>
      </c>
      <c r="U1707" s="12">
        <v>46059</v>
      </c>
      <c r="V1707" s="10">
        <v>27728.07</v>
      </c>
      <c r="W1707" s="10" t="str">
        <f t="shared" si="166"/>
        <v>N/A</v>
      </c>
      <c r="X1707" t="s">
        <v>453</v>
      </c>
      <c r="Y1707" t="s">
        <v>28</v>
      </c>
      <c r="Z1707">
        <v>100234</v>
      </c>
      <c r="AA1707" t="s">
        <v>502</v>
      </c>
      <c r="AB1707" t="s">
        <v>524</v>
      </c>
      <c r="AC1707" s="9">
        <v>12</v>
      </c>
      <c r="AD1707" s="9" t="str">
        <f t="shared" si="167"/>
        <v>N/A</v>
      </c>
      <c r="AE1707" s="11" t="e">
        <f t="shared" si="169"/>
        <v>#VALUE!</v>
      </c>
    </row>
    <row r="1708" spans="1:31" x14ac:dyDescent="0.3">
      <c r="A1708">
        <v>17</v>
      </c>
      <c r="B1708">
        <v>4863091</v>
      </c>
      <c r="C1708" t="s">
        <v>160</v>
      </c>
      <c r="D1708">
        <v>1819614</v>
      </c>
      <c r="E1708" t="s">
        <v>4902</v>
      </c>
      <c r="F1708" t="s">
        <v>19</v>
      </c>
      <c r="G1708" t="s">
        <v>1595</v>
      </c>
      <c r="H1708" t="s">
        <v>1596</v>
      </c>
      <c r="I1708" t="s">
        <v>3213</v>
      </c>
      <c r="J1708">
        <v>51155103683</v>
      </c>
      <c r="K1708" t="s">
        <v>3379</v>
      </c>
      <c r="L1708" t="s">
        <v>4450</v>
      </c>
      <c r="M1708">
        <v>250000</v>
      </c>
      <c r="N1708" s="10">
        <v>2.47E-3</v>
      </c>
      <c r="O1708" s="10">
        <f t="shared" si="165"/>
        <v>617.5</v>
      </c>
      <c r="P1708" s="10" t="s">
        <v>5006</v>
      </c>
      <c r="Q1708" s="10" t="s">
        <v>5006</v>
      </c>
      <c r="R1708" s="10" t="str">
        <f>IF(COUNTIF($J$2:J1708,J1708)=1,SUMIFS($O:$O,$J:$J,J1708)+SUMIFS($P:$P,$J:$J,J1708)+SUMIFS($Q:$Q,$J:$J,J1708),"")</f>
        <v/>
      </c>
      <c r="S1708" s="10" t="s">
        <v>5006</v>
      </c>
      <c r="T1708" s="11" t="str">
        <f t="shared" si="168"/>
        <v>Check</v>
      </c>
      <c r="U1708" s="12">
        <v>46059</v>
      </c>
      <c r="V1708" s="10">
        <v>27728.07</v>
      </c>
      <c r="W1708" s="10" t="str">
        <f t="shared" si="166"/>
        <v>N/A</v>
      </c>
      <c r="X1708" t="s">
        <v>453</v>
      </c>
      <c r="Y1708" t="s">
        <v>28</v>
      </c>
      <c r="Z1708">
        <v>100234</v>
      </c>
      <c r="AA1708" t="s">
        <v>502</v>
      </c>
      <c r="AB1708" t="s">
        <v>524</v>
      </c>
      <c r="AC1708" s="9">
        <v>12</v>
      </c>
      <c r="AD1708" s="9" t="str">
        <f t="shared" si="167"/>
        <v>N/A</v>
      </c>
      <c r="AE1708" s="11" t="e">
        <f t="shared" si="169"/>
        <v>#VALUE!</v>
      </c>
    </row>
    <row r="1709" spans="1:31" x14ac:dyDescent="0.3">
      <c r="A1709">
        <v>17</v>
      </c>
      <c r="B1709">
        <v>4863091</v>
      </c>
      <c r="C1709" t="s">
        <v>160</v>
      </c>
      <c r="D1709">
        <v>1819614</v>
      </c>
      <c r="E1709" t="s">
        <v>4902</v>
      </c>
      <c r="F1709" t="s">
        <v>19</v>
      </c>
      <c r="G1709" t="s">
        <v>1595</v>
      </c>
      <c r="H1709" t="s">
        <v>1596</v>
      </c>
      <c r="I1709" t="s">
        <v>3213</v>
      </c>
      <c r="J1709">
        <v>51155103683</v>
      </c>
      <c r="K1709" t="s">
        <v>3379</v>
      </c>
      <c r="L1709" t="s">
        <v>4451</v>
      </c>
      <c r="M1709">
        <v>120000</v>
      </c>
      <c r="N1709" s="10">
        <v>1.1199999999999999E-3</v>
      </c>
      <c r="O1709" s="10">
        <f t="shared" si="165"/>
        <v>134.39999999999998</v>
      </c>
      <c r="P1709" s="10" t="s">
        <v>5006</v>
      </c>
      <c r="Q1709" s="10" t="s">
        <v>5006</v>
      </c>
      <c r="R1709" s="10" t="str">
        <f>IF(COUNTIF($J$2:J1709,J1709)=1,SUMIFS($O:$O,$J:$J,J1709)+SUMIFS($P:$P,$J:$J,J1709)+SUMIFS($Q:$Q,$J:$J,J1709),"")</f>
        <v/>
      </c>
      <c r="S1709" s="10" t="s">
        <v>5006</v>
      </c>
      <c r="T1709" s="11" t="str">
        <f t="shared" si="168"/>
        <v>Check</v>
      </c>
      <c r="U1709" s="12">
        <v>46059</v>
      </c>
      <c r="V1709" s="10">
        <v>27728.07</v>
      </c>
      <c r="W1709" s="10" t="str">
        <f t="shared" si="166"/>
        <v>N/A</v>
      </c>
      <c r="X1709" t="s">
        <v>453</v>
      </c>
      <c r="Y1709" t="s">
        <v>28</v>
      </c>
      <c r="Z1709">
        <v>100234</v>
      </c>
      <c r="AA1709" t="s">
        <v>502</v>
      </c>
      <c r="AB1709" t="s">
        <v>524</v>
      </c>
      <c r="AC1709" s="9">
        <v>12</v>
      </c>
      <c r="AD1709" s="9" t="str">
        <f t="shared" si="167"/>
        <v>N/A</v>
      </c>
      <c r="AE1709" s="11" t="e">
        <f t="shared" si="169"/>
        <v>#VALUE!</v>
      </c>
    </row>
    <row r="1710" spans="1:31" x14ac:dyDescent="0.3">
      <c r="A1710">
        <v>17</v>
      </c>
      <c r="B1710">
        <v>4863091</v>
      </c>
      <c r="C1710" t="s">
        <v>160</v>
      </c>
      <c r="D1710">
        <v>1819614</v>
      </c>
      <c r="E1710" t="s">
        <v>4902</v>
      </c>
      <c r="F1710" t="s">
        <v>19</v>
      </c>
      <c r="G1710" t="s">
        <v>1595</v>
      </c>
      <c r="H1710" t="s">
        <v>1596</v>
      </c>
      <c r="I1710" t="s">
        <v>3213</v>
      </c>
      <c r="J1710">
        <v>51155103683</v>
      </c>
      <c r="K1710" t="s">
        <v>3168</v>
      </c>
      <c r="L1710" t="s">
        <v>4259</v>
      </c>
      <c r="M1710">
        <v>33000</v>
      </c>
      <c r="N1710" s="10">
        <v>2.7799999999999998E-2</v>
      </c>
      <c r="O1710" s="10">
        <f t="shared" si="165"/>
        <v>917.4</v>
      </c>
      <c r="P1710" s="10" t="s">
        <v>5006</v>
      </c>
      <c r="Q1710" s="10" t="s">
        <v>5006</v>
      </c>
      <c r="R1710" s="10" t="str">
        <f>IF(COUNTIF($J$2:J1710,J1710)=1,SUMIFS($O:$O,$J:$J,J1710)+SUMIFS($P:$P,$J:$J,J1710)+SUMIFS($Q:$Q,$J:$J,J1710),"")</f>
        <v/>
      </c>
      <c r="S1710" s="10" t="s">
        <v>5006</v>
      </c>
      <c r="T1710" s="11" t="str">
        <f t="shared" si="168"/>
        <v>Check</v>
      </c>
      <c r="U1710" s="12">
        <v>46059</v>
      </c>
      <c r="V1710" s="10">
        <v>27728.07</v>
      </c>
      <c r="W1710" s="10" t="str">
        <f t="shared" si="166"/>
        <v>N/A</v>
      </c>
      <c r="X1710" t="s">
        <v>453</v>
      </c>
      <c r="Y1710" t="s">
        <v>28</v>
      </c>
      <c r="Z1710">
        <v>100234</v>
      </c>
      <c r="AA1710" t="s">
        <v>502</v>
      </c>
      <c r="AB1710" t="s">
        <v>524</v>
      </c>
      <c r="AC1710" s="9">
        <v>12</v>
      </c>
      <c r="AD1710" s="9" t="str">
        <f t="shared" si="167"/>
        <v>N/A</v>
      </c>
      <c r="AE1710" s="11" t="e">
        <f t="shared" si="169"/>
        <v>#VALUE!</v>
      </c>
    </row>
    <row r="1711" spans="1:31" x14ac:dyDescent="0.3">
      <c r="A1711">
        <v>17</v>
      </c>
      <c r="B1711">
        <v>4863091</v>
      </c>
      <c r="C1711" t="s">
        <v>160</v>
      </c>
      <c r="D1711">
        <v>1819614</v>
      </c>
      <c r="E1711" t="s">
        <v>4902</v>
      </c>
      <c r="F1711" t="s">
        <v>19</v>
      </c>
      <c r="G1711" t="s">
        <v>1595</v>
      </c>
      <c r="H1711" t="s">
        <v>1596</v>
      </c>
      <c r="I1711" t="s">
        <v>3213</v>
      </c>
      <c r="J1711">
        <v>51155103683</v>
      </c>
      <c r="K1711" t="s">
        <v>3252</v>
      </c>
      <c r="L1711" t="s">
        <v>4452</v>
      </c>
      <c r="M1711">
        <v>85000</v>
      </c>
      <c r="N1711" s="10">
        <v>1.09E-2</v>
      </c>
      <c r="O1711" s="10">
        <f t="shared" si="165"/>
        <v>926.5</v>
      </c>
      <c r="P1711" s="10" t="s">
        <v>5006</v>
      </c>
      <c r="Q1711" s="10" t="s">
        <v>5006</v>
      </c>
      <c r="R1711" s="10" t="str">
        <f>IF(COUNTIF($J$2:J1711,J1711)=1,SUMIFS($O:$O,$J:$J,J1711)+SUMIFS($P:$P,$J:$J,J1711)+SUMIFS($Q:$Q,$J:$J,J1711),"")</f>
        <v/>
      </c>
      <c r="S1711" s="10" t="s">
        <v>5006</v>
      </c>
      <c r="T1711" s="11" t="str">
        <f t="shared" si="168"/>
        <v>Check</v>
      </c>
      <c r="U1711" s="12">
        <v>46059</v>
      </c>
      <c r="V1711" s="10">
        <v>27728.07</v>
      </c>
      <c r="W1711" s="10" t="str">
        <f t="shared" si="166"/>
        <v>N/A</v>
      </c>
      <c r="X1711" t="s">
        <v>453</v>
      </c>
      <c r="Y1711" t="s">
        <v>28</v>
      </c>
      <c r="Z1711">
        <v>100234</v>
      </c>
      <c r="AA1711" t="s">
        <v>502</v>
      </c>
      <c r="AB1711" t="s">
        <v>524</v>
      </c>
      <c r="AC1711" s="9">
        <v>12</v>
      </c>
      <c r="AD1711" s="9" t="str">
        <f t="shared" si="167"/>
        <v>N/A</v>
      </c>
      <c r="AE1711" s="11" t="e">
        <f t="shared" si="169"/>
        <v>#VALUE!</v>
      </c>
    </row>
    <row r="1712" spans="1:31" x14ac:dyDescent="0.3">
      <c r="A1712">
        <v>17</v>
      </c>
      <c r="B1712">
        <v>4863091</v>
      </c>
      <c r="C1712" t="s">
        <v>160</v>
      </c>
      <c r="D1712">
        <v>1819614</v>
      </c>
      <c r="E1712" t="s">
        <v>4902</v>
      </c>
      <c r="F1712" t="s">
        <v>19</v>
      </c>
      <c r="G1712" t="s">
        <v>1595</v>
      </c>
      <c r="H1712" t="s">
        <v>1596</v>
      </c>
      <c r="I1712" t="s">
        <v>3213</v>
      </c>
      <c r="J1712">
        <v>51155103683</v>
      </c>
      <c r="K1712" t="s">
        <v>3207</v>
      </c>
      <c r="L1712" t="s">
        <v>4453</v>
      </c>
      <c r="M1712">
        <v>240000</v>
      </c>
      <c r="N1712" s="10">
        <v>3.7999999999999999E-2</v>
      </c>
      <c r="O1712" s="10">
        <f t="shared" si="165"/>
        <v>9120</v>
      </c>
      <c r="P1712" s="10" t="s">
        <v>5006</v>
      </c>
      <c r="Q1712" s="10" t="s">
        <v>5006</v>
      </c>
      <c r="R1712" s="10" t="str">
        <f>IF(COUNTIF($J$2:J1712,J1712)=1,SUMIFS($O:$O,$J:$J,J1712)+SUMIFS($P:$P,$J:$J,J1712)+SUMIFS($Q:$Q,$J:$J,J1712),"")</f>
        <v/>
      </c>
      <c r="S1712" s="10" t="s">
        <v>5006</v>
      </c>
      <c r="T1712" s="11" t="str">
        <f t="shared" si="168"/>
        <v>Check</v>
      </c>
      <c r="U1712" s="12">
        <v>46059</v>
      </c>
      <c r="V1712" s="10">
        <v>27728.07</v>
      </c>
      <c r="W1712" s="10" t="str">
        <f t="shared" si="166"/>
        <v>N/A</v>
      </c>
      <c r="X1712" t="s">
        <v>453</v>
      </c>
      <c r="Y1712" t="s">
        <v>28</v>
      </c>
      <c r="Z1712">
        <v>100234</v>
      </c>
      <c r="AA1712" t="s">
        <v>502</v>
      </c>
      <c r="AB1712" t="s">
        <v>524</v>
      </c>
      <c r="AC1712" s="9">
        <v>12</v>
      </c>
      <c r="AD1712" s="9" t="str">
        <f t="shared" si="167"/>
        <v>N/A</v>
      </c>
      <c r="AE1712" s="11" t="e">
        <f t="shared" si="169"/>
        <v>#VALUE!</v>
      </c>
    </row>
    <row r="1713" spans="1:31" x14ac:dyDescent="0.3">
      <c r="A1713">
        <v>17</v>
      </c>
      <c r="B1713">
        <v>4863091</v>
      </c>
      <c r="C1713" t="s">
        <v>160</v>
      </c>
      <c r="D1713">
        <v>1819614</v>
      </c>
      <c r="E1713" t="s">
        <v>4902</v>
      </c>
      <c r="F1713" t="s">
        <v>19</v>
      </c>
      <c r="G1713" t="s">
        <v>1595</v>
      </c>
      <c r="H1713" t="s">
        <v>1596</v>
      </c>
      <c r="I1713" t="s">
        <v>3213</v>
      </c>
      <c r="J1713">
        <v>51155103683</v>
      </c>
      <c r="K1713" t="s">
        <v>3209</v>
      </c>
      <c r="L1713" t="s">
        <v>4454</v>
      </c>
      <c r="M1713">
        <v>20000</v>
      </c>
      <c r="N1713" s="10">
        <v>2.2499999999999998E-3</v>
      </c>
      <c r="O1713" s="10">
        <f t="shared" si="165"/>
        <v>45</v>
      </c>
      <c r="P1713" s="10" t="s">
        <v>5006</v>
      </c>
      <c r="Q1713" s="10" t="s">
        <v>5006</v>
      </c>
      <c r="R1713" s="10" t="str">
        <f>IF(COUNTIF($J$2:J1713,J1713)=1,SUMIFS($O:$O,$J:$J,J1713)+SUMIFS($P:$P,$J:$J,J1713)+SUMIFS($Q:$Q,$J:$J,J1713),"")</f>
        <v/>
      </c>
      <c r="S1713" s="10" t="s">
        <v>5006</v>
      </c>
      <c r="T1713" s="11" t="str">
        <f t="shared" si="168"/>
        <v>Check</v>
      </c>
      <c r="U1713" s="12">
        <v>46059</v>
      </c>
      <c r="V1713" s="10">
        <v>27728.07</v>
      </c>
      <c r="W1713" s="10" t="str">
        <f t="shared" si="166"/>
        <v>N/A</v>
      </c>
      <c r="X1713" t="s">
        <v>453</v>
      </c>
      <c r="Y1713" t="s">
        <v>28</v>
      </c>
      <c r="Z1713">
        <v>100234</v>
      </c>
      <c r="AA1713" t="s">
        <v>502</v>
      </c>
      <c r="AB1713" t="s">
        <v>524</v>
      </c>
      <c r="AC1713" s="9">
        <v>12</v>
      </c>
      <c r="AD1713" s="9" t="str">
        <f t="shared" si="167"/>
        <v>N/A</v>
      </c>
      <c r="AE1713" s="11" t="e">
        <f t="shared" si="169"/>
        <v>#VALUE!</v>
      </c>
    </row>
    <row r="1714" spans="1:31" x14ac:dyDescent="0.3">
      <c r="A1714">
        <v>17</v>
      </c>
      <c r="B1714">
        <v>4863091</v>
      </c>
      <c r="C1714" t="s">
        <v>160</v>
      </c>
      <c r="D1714">
        <v>1819614</v>
      </c>
      <c r="E1714" t="s">
        <v>4902</v>
      </c>
      <c r="F1714" t="s">
        <v>19</v>
      </c>
      <c r="G1714" t="s">
        <v>1595</v>
      </c>
      <c r="H1714" t="s">
        <v>1596</v>
      </c>
      <c r="I1714" t="s">
        <v>3213</v>
      </c>
      <c r="J1714">
        <v>51155103683</v>
      </c>
      <c r="K1714" t="s">
        <v>3209</v>
      </c>
      <c r="L1714" t="s">
        <v>4455</v>
      </c>
      <c r="M1714">
        <v>40000</v>
      </c>
      <c r="N1714" s="10">
        <v>2.16E-3</v>
      </c>
      <c r="O1714" s="10">
        <f t="shared" si="165"/>
        <v>86.4</v>
      </c>
      <c r="P1714" s="10" t="s">
        <v>5006</v>
      </c>
      <c r="Q1714" s="10" t="s">
        <v>5006</v>
      </c>
      <c r="R1714" s="10" t="str">
        <f>IF(COUNTIF($J$2:J1714,J1714)=1,SUMIFS($O:$O,$J:$J,J1714)+SUMIFS($P:$P,$J:$J,J1714)+SUMIFS($Q:$Q,$J:$J,J1714),"")</f>
        <v/>
      </c>
      <c r="S1714" s="10" t="s">
        <v>5006</v>
      </c>
      <c r="T1714" s="11" t="str">
        <f t="shared" si="168"/>
        <v>Check</v>
      </c>
      <c r="U1714" s="12">
        <v>46059</v>
      </c>
      <c r="V1714" s="10">
        <v>27728.07</v>
      </c>
      <c r="W1714" s="10" t="str">
        <f t="shared" si="166"/>
        <v>N/A</v>
      </c>
      <c r="X1714" t="s">
        <v>453</v>
      </c>
      <c r="Y1714" t="s">
        <v>28</v>
      </c>
      <c r="Z1714">
        <v>100234</v>
      </c>
      <c r="AA1714" t="s">
        <v>502</v>
      </c>
      <c r="AB1714" t="s">
        <v>524</v>
      </c>
      <c r="AC1714" s="9">
        <v>12</v>
      </c>
      <c r="AD1714" s="9" t="str">
        <f t="shared" si="167"/>
        <v>N/A</v>
      </c>
      <c r="AE1714" s="11" t="e">
        <f t="shared" si="169"/>
        <v>#VALUE!</v>
      </c>
    </row>
    <row r="1715" spans="1:31" x14ac:dyDescent="0.3">
      <c r="A1715">
        <v>17</v>
      </c>
      <c r="B1715">
        <v>4863091</v>
      </c>
      <c r="C1715" t="s">
        <v>160</v>
      </c>
      <c r="D1715">
        <v>1819614</v>
      </c>
      <c r="E1715" t="s">
        <v>4902</v>
      </c>
      <c r="F1715" t="s">
        <v>19</v>
      </c>
      <c r="G1715" t="s">
        <v>1595</v>
      </c>
      <c r="H1715" t="s">
        <v>1596</v>
      </c>
      <c r="I1715" t="s">
        <v>3213</v>
      </c>
      <c r="J1715">
        <v>51155103683</v>
      </c>
      <c r="K1715" t="s">
        <v>3241</v>
      </c>
      <c r="L1715" t="s">
        <v>4456</v>
      </c>
      <c r="M1715">
        <v>70000</v>
      </c>
      <c r="N1715" s="10">
        <v>1.1000000000000001E-3</v>
      </c>
      <c r="O1715" s="10">
        <f t="shared" si="165"/>
        <v>77</v>
      </c>
      <c r="P1715" s="10" t="s">
        <v>5006</v>
      </c>
      <c r="Q1715" s="10" t="s">
        <v>5006</v>
      </c>
      <c r="R1715" s="10" t="str">
        <f>IF(COUNTIF($J$2:J1715,J1715)=1,SUMIFS($O:$O,$J:$J,J1715)+SUMIFS($P:$P,$J:$J,J1715)+SUMIFS($Q:$Q,$J:$J,J1715),"")</f>
        <v/>
      </c>
      <c r="S1715" s="10" t="s">
        <v>5006</v>
      </c>
      <c r="T1715" s="11" t="str">
        <f t="shared" si="168"/>
        <v>Check</v>
      </c>
      <c r="U1715" s="12">
        <v>46059</v>
      </c>
      <c r="V1715" s="10">
        <v>27728.07</v>
      </c>
      <c r="W1715" s="10" t="str">
        <f t="shared" si="166"/>
        <v>N/A</v>
      </c>
      <c r="X1715" t="s">
        <v>453</v>
      </c>
      <c r="Y1715" t="s">
        <v>28</v>
      </c>
      <c r="Z1715">
        <v>100234</v>
      </c>
      <c r="AA1715" t="s">
        <v>502</v>
      </c>
      <c r="AB1715" t="s">
        <v>524</v>
      </c>
      <c r="AC1715" s="9">
        <v>12</v>
      </c>
      <c r="AD1715" s="9" t="str">
        <f t="shared" si="167"/>
        <v>N/A</v>
      </c>
      <c r="AE1715" s="11" t="e">
        <f t="shared" si="169"/>
        <v>#VALUE!</v>
      </c>
    </row>
    <row r="1716" spans="1:31" x14ac:dyDescent="0.3">
      <c r="A1716">
        <v>21</v>
      </c>
      <c r="B1716">
        <v>4848899</v>
      </c>
      <c r="C1716" t="s">
        <v>94</v>
      </c>
      <c r="D1716">
        <v>1412732</v>
      </c>
      <c r="E1716" t="s">
        <v>578</v>
      </c>
      <c r="F1716" t="s">
        <v>18</v>
      </c>
      <c r="G1716" t="s">
        <v>1530</v>
      </c>
      <c r="H1716" t="s">
        <v>1531</v>
      </c>
      <c r="I1716" t="s">
        <v>3581</v>
      </c>
      <c r="J1716">
        <v>51155123764</v>
      </c>
      <c r="K1716" t="s">
        <v>3165</v>
      </c>
      <c r="L1716" t="s">
        <v>4457</v>
      </c>
      <c r="M1716">
        <v>1</v>
      </c>
      <c r="N1716" s="10">
        <v>2772.92</v>
      </c>
      <c r="O1716" s="10">
        <f t="shared" si="165"/>
        <v>2772.92</v>
      </c>
      <c r="P1716" s="10">
        <v>0</v>
      </c>
      <c r="Q1716" s="10">
        <v>0</v>
      </c>
      <c r="R1716" s="10">
        <f>IF(COUNTIF($J$2:J1716,J1716)=1,SUMIFS($O:$O,$J:$J,J1716)+SUMIFS($P:$P,$J:$J,J1716)+SUMIFS($Q:$Q,$J:$J,J1716),"")</f>
        <v>14684.08</v>
      </c>
      <c r="S1716" s="10">
        <v>14684.08</v>
      </c>
      <c r="T1716" s="11" t="str">
        <f t="shared" si="168"/>
        <v>Ok</v>
      </c>
      <c r="U1716" s="12">
        <v>46140</v>
      </c>
      <c r="V1716" s="10">
        <v>8185.32</v>
      </c>
      <c r="W1716" s="10" t="str">
        <f t="shared" si="166"/>
        <v>Short Paid</v>
      </c>
      <c r="X1716" t="s">
        <v>450</v>
      </c>
      <c r="Y1716" t="s">
        <v>28</v>
      </c>
      <c r="Z1716">
        <v>100207</v>
      </c>
      <c r="AA1716" t="s">
        <v>519</v>
      </c>
      <c r="AB1716" t="s">
        <v>523</v>
      </c>
      <c r="AC1716" s="9">
        <v>3</v>
      </c>
      <c r="AD1716" s="9" t="str">
        <f t="shared" si="167"/>
        <v>Ok</v>
      </c>
      <c r="AE1716" s="11">
        <f t="shared" si="169"/>
        <v>0</v>
      </c>
    </row>
    <row r="1717" spans="1:31" x14ac:dyDescent="0.3">
      <c r="A1717">
        <v>21</v>
      </c>
      <c r="B1717">
        <v>4848899</v>
      </c>
      <c r="C1717" t="s">
        <v>94</v>
      </c>
      <c r="D1717">
        <v>1412732</v>
      </c>
      <c r="E1717" t="s">
        <v>578</v>
      </c>
      <c r="F1717" t="s">
        <v>18</v>
      </c>
      <c r="G1717" t="s">
        <v>1530</v>
      </c>
      <c r="H1717" t="s">
        <v>1531</v>
      </c>
      <c r="I1717" t="s">
        <v>3581</v>
      </c>
      <c r="J1717">
        <v>51155123764</v>
      </c>
      <c r="K1717" t="s">
        <v>3165</v>
      </c>
      <c r="L1717" t="s">
        <v>4458</v>
      </c>
      <c r="M1717">
        <v>2</v>
      </c>
      <c r="N1717" s="10">
        <v>1862.92</v>
      </c>
      <c r="O1717" s="10">
        <f t="shared" si="165"/>
        <v>3725.84</v>
      </c>
      <c r="P1717" s="10" t="s">
        <v>5006</v>
      </c>
      <c r="Q1717" s="10" t="s">
        <v>5006</v>
      </c>
      <c r="R1717" s="10" t="str">
        <f>IF(COUNTIF($J$2:J1717,J1717)=1,SUMIFS($O:$O,$J:$J,J1717)+SUMIFS($P:$P,$J:$J,J1717)+SUMIFS($Q:$Q,$J:$J,J1717),"")</f>
        <v/>
      </c>
      <c r="S1717" s="10" t="s">
        <v>5006</v>
      </c>
      <c r="T1717" s="11" t="str">
        <f t="shared" si="168"/>
        <v>Ok</v>
      </c>
      <c r="U1717" s="12">
        <v>46140</v>
      </c>
      <c r="V1717" s="10">
        <v>8185.32</v>
      </c>
      <c r="W1717" s="10" t="str">
        <f t="shared" si="166"/>
        <v>N/A</v>
      </c>
      <c r="X1717" t="s">
        <v>450</v>
      </c>
      <c r="Y1717" t="s">
        <v>28</v>
      </c>
      <c r="Z1717">
        <v>100207</v>
      </c>
      <c r="AA1717" t="s">
        <v>519</v>
      </c>
      <c r="AB1717" t="s">
        <v>523</v>
      </c>
      <c r="AC1717" s="9">
        <v>3</v>
      </c>
      <c r="AD1717" s="9" t="str">
        <f t="shared" si="167"/>
        <v>N/A</v>
      </c>
      <c r="AE1717" s="11" t="e">
        <f t="shared" si="169"/>
        <v>#VALUE!</v>
      </c>
    </row>
    <row r="1718" spans="1:31" x14ac:dyDescent="0.3">
      <c r="A1718">
        <v>21</v>
      </c>
      <c r="B1718">
        <v>4848899</v>
      </c>
      <c r="C1718" t="s">
        <v>94</v>
      </c>
      <c r="D1718">
        <v>1412732</v>
      </c>
      <c r="E1718" t="s">
        <v>578</v>
      </c>
      <c r="F1718" t="s">
        <v>18</v>
      </c>
      <c r="G1718" t="s">
        <v>1530</v>
      </c>
      <c r="H1718" t="s">
        <v>1531</v>
      </c>
      <c r="I1718" t="s">
        <v>3326</v>
      </c>
      <c r="J1718">
        <v>51155123764</v>
      </c>
      <c r="K1718" t="s">
        <v>4460</v>
      </c>
      <c r="L1718" t="s">
        <v>4459</v>
      </c>
      <c r="M1718">
        <v>36</v>
      </c>
      <c r="N1718" s="10">
        <v>227.37</v>
      </c>
      <c r="O1718" s="10">
        <f t="shared" si="165"/>
        <v>8185.32</v>
      </c>
      <c r="P1718" s="10" t="s">
        <v>5006</v>
      </c>
      <c r="Q1718" s="10" t="s">
        <v>5006</v>
      </c>
      <c r="R1718" s="10" t="str">
        <f>IF(COUNTIF($J$2:J1718,J1718)=1,SUMIFS($O:$O,$J:$J,J1718)+SUMIFS($P:$P,$J:$J,J1718)+SUMIFS($Q:$Q,$J:$J,J1718),"")</f>
        <v/>
      </c>
      <c r="S1718" s="10" t="s">
        <v>5006</v>
      </c>
      <c r="T1718" s="11" t="str">
        <f t="shared" si="168"/>
        <v>Ok</v>
      </c>
      <c r="U1718" s="12">
        <v>46140</v>
      </c>
      <c r="V1718" s="10">
        <v>8185.32</v>
      </c>
      <c r="W1718" s="10" t="str">
        <f t="shared" si="166"/>
        <v>N/A</v>
      </c>
      <c r="X1718" t="s">
        <v>450</v>
      </c>
      <c r="Y1718" t="s">
        <v>28</v>
      </c>
      <c r="Z1718">
        <v>100207</v>
      </c>
      <c r="AA1718" t="s">
        <v>519</v>
      </c>
      <c r="AB1718" t="s">
        <v>523</v>
      </c>
      <c r="AC1718" s="9">
        <v>3</v>
      </c>
      <c r="AD1718" s="9" t="str">
        <f t="shared" si="167"/>
        <v>N/A</v>
      </c>
      <c r="AE1718" s="11" t="e">
        <f t="shared" si="169"/>
        <v>#VALUE!</v>
      </c>
    </row>
    <row r="1719" spans="1:31" x14ac:dyDescent="0.3">
      <c r="A1719">
        <v>17</v>
      </c>
      <c r="B1719">
        <v>4863926</v>
      </c>
      <c r="C1719" t="s">
        <v>239</v>
      </c>
      <c r="D1719">
        <v>1824743</v>
      </c>
      <c r="E1719" t="s">
        <v>731</v>
      </c>
      <c r="F1719" t="s">
        <v>20</v>
      </c>
      <c r="G1719" t="s">
        <v>1601</v>
      </c>
      <c r="H1719" t="s">
        <v>1602</v>
      </c>
      <c r="I1719" t="s">
        <v>3455</v>
      </c>
      <c r="J1719">
        <v>51155151870</v>
      </c>
      <c r="K1719" t="s">
        <v>3226</v>
      </c>
      <c r="L1719" t="s">
        <v>4461</v>
      </c>
      <c r="M1719">
        <v>3000</v>
      </c>
      <c r="N1719" s="10">
        <v>0.28999999999999998</v>
      </c>
      <c r="O1719" s="10">
        <f t="shared" si="165"/>
        <v>869.99999999999989</v>
      </c>
      <c r="P1719" s="10">
        <v>0</v>
      </c>
      <c r="Q1719" s="10">
        <v>0</v>
      </c>
      <c r="R1719" s="10">
        <f>IF(COUNTIF($J$2:J1719,J1719)=1,SUMIFS($O:$O,$J:$J,J1719)+SUMIFS($P:$P,$J:$J,J1719)+SUMIFS($Q:$Q,$J:$J,J1719),"")</f>
        <v>38705</v>
      </c>
      <c r="S1719" s="10">
        <v>38705</v>
      </c>
      <c r="T1719" s="11" t="str">
        <f t="shared" si="168"/>
        <v>Ok</v>
      </c>
      <c r="U1719" s="12">
        <v>46119</v>
      </c>
      <c r="V1719" s="10">
        <v>37835</v>
      </c>
      <c r="W1719" s="10" t="str">
        <f t="shared" si="166"/>
        <v>Short Paid</v>
      </c>
      <c r="X1719" t="s">
        <v>476</v>
      </c>
      <c r="Y1719" t="s">
        <v>28</v>
      </c>
      <c r="Z1719">
        <v>100285</v>
      </c>
      <c r="AA1719" t="s">
        <v>501</v>
      </c>
      <c r="AB1719" t="s">
        <v>521</v>
      </c>
      <c r="AC1719" s="9">
        <v>2</v>
      </c>
      <c r="AD1719" s="9" t="str">
        <f t="shared" si="167"/>
        <v>Ok</v>
      </c>
      <c r="AE1719" s="11">
        <f t="shared" si="169"/>
        <v>0</v>
      </c>
    </row>
    <row r="1720" spans="1:31" x14ac:dyDescent="0.3">
      <c r="A1720">
        <v>17</v>
      </c>
      <c r="B1720">
        <v>4863926</v>
      </c>
      <c r="C1720" t="s">
        <v>239</v>
      </c>
      <c r="D1720">
        <v>1824743</v>
      </c>
      <c r="E1720" t="s">
        <v>731</v>
      </c>
      <c r="F1720" t="s">
        <v>20</v>
      </c>
      <c r="G1720" t="s">
        <v>1601</v>
      </c>
      <c r="H1720" t="s">
        <v>1602</v>
      </c>
      <c r="I1720" t="s">
        <v>3227</v>
      </c>
      <c r="J1720">
        <v>51155151870</v>
      </c>
      <c r="K1720" t="s">
        <v>3244</v>
      </c>
      <c r="L1720" t="s">
        <v>4462</v>
      </c>
      <c r="M1720">
        <v>500</v>
      </c>
      <c r="N1720" s="10">
        <v>75.67</v>
      </c>
      <c r="O1720" s="10">
        <f t="shared" si="165"/>
        <v>37835</v>
      </c>
      <c r="P1720" s="10" t="s">
        <v>5006</v>
      </c>
      <c r="Q1720" s="10" t="s">
        <v>5006</v>
      </c>
      <c r="R1720" s="10" t="str">
        <f>IF(COUNTIF($J$2:J1720,J1720)=1,SUMIFS($O:$O,$J:$J,J1720)+SUMIFS($P:$P,$J:$J,J1720)+SUMIFS($Q:$Q,$J:$J,J1720),"")</f>
        <v/>
      </c>
      <c r="S1720" s="10" t="s">
        <v>5006</v>
      </c>
      <c r="T1720" s="11" t="str">
        <f t="shared" si="168"/>
        <v>Ok</v>
      </c>
      <c r="U1720" s="12">
        <v>46119</v>
      </c>
      <c r="V1720" s="10">
        <v>37835</v>
      </c>
      <c r="W1720" s="10" t="str">
        <f t="shared" si="166"/>
        <v>N/A</v>
      </c>
      <c r="X1720" t="s">
        <v>476</v>
      </c>
      <c r="Y1720" t="s">
        <v>28</v>
      </c>
      <c r="Z1720">
        <v>100285</v>
      </c>
      <c r="AA1720" t="s">
        <v>501</v>
      </c>
      <c r="AB1720" t="s">
        <v>521</v>
      </c>
      <c r="AC1720" s="9">
        <v>2</v>
      </c>
      <c r="AD1720" s="9" t="str">
        <f t="shared" si="167"/>
        <v>N/A</v>
      </c>
      <c r="AE1720" s="11" t="e">
        <f t="shared" si="169"/>
        <v>#VALUE!</v>
      </c>
    </row>
    <row r="1721" spans="1:31" x14ac:dyDescent="0.3">
      <c r="A1721">
        <v>21</v>
      </c>
      <c r="B1721">
        <v>4848342</v>
      </c>
      <c r="C1721" t="s">
        <v>94</v>
      </c>
      <c r="D1721">
        <v>1412732</v>
      </c>
      <c r="E1721" t="s">
        <v>578</v>
      </c>
      <c r="F1721" t="s">
        <v>18</v>
      </c>
      <c r="G1721" t="s">
        <v>1534</v>
      </c>
      <c r="H1721" t="s">
        <v>1535</v>
      </c>
      <c r="I1721" t="s">
        <v>3267</v>
      </c>
      <c r="J1721">
        <v>51155201246</v>
      </c>
      <c r="K1721" t="s">
        <v>4464</v>
      </c>
      <c r="L1721" t="s">
        <v>4463</v>
      </c>
      <c r="M1721">
        <v>90</v>
      </c>
      <c r="N1721" s="10">
        <v>42.67</v>
      </c>
      <c r="O1721" s="10">
        <f t="shared" si="165"/>
        <v>3840.3</v>
      </c>
      <c r="P1721" s="10">
        <v>0</v>
      </c>
      <c r="Q1721" s="10">
        <v>883.27</v>
      </c>
      <c r="R1721" s="10">
        <f>IF(COUNTIF($J$2:J1721,J1721)=1,SUMIFS($O:$O,$J:$J,J1721)+SUMIFS($P:$P,$J:$J,J1721)+SUMIFS($Q:$Q,$J:$J,J1721),"")</f>
        <v>4727.8540000000003</v>
      </c>
      <c r="S1721" s="10">
        <v>4727.8499999999995</v>
      </c>
      <c r="T1721" s="11" t="str">
        <f t="shared" si="168"/>
        <v>Check</v>
      </c>
      <c r="U1721" s="12">
        <v>46157</v>
      </c>
      <c r="V1721" s="10">
        <v>4.28</v>
      </c>
      <c r="W1721" s="10" t="str">
        <f t="shared" si="166"/>
        <v>Short Paid</v>
      </c>
      <c r="X1721" t="s">
        <v>450</v>
      </c>
      <c r="Y1721" t="s">
        <v>28</v>
      </c>
      <c r="Z1721">
        <v>100167</v>
      </c>
      <c r="AA1721" t="s">
        <v>499</v>
      </c>
      <c r="AB1721" t="s">
        <v>523</v>
      </c>
      <c r="AC1721" s="9">
        <v>2</v>
      </c>
      <c r="AD1721" s="9" t="str">
        <f t="shared" si="167"/>
        <v>Check</v>
      </c>
      <c r="AE1721" s="11">
        <f t="shared" si="169"/>
        <v>4.0000000008149073E-3</v>
      </c>
    </row>
    <row r="1722" spans="1:31" x14ac:dyDescent="0.3">
      <c r="A1722">
        <v>21</v>
      </c>
      <c r="B1722">
        <v>4848342</v>
      </c>
      <c r="C1722" t="s">
        <v>94</v>
      </c>
      <c r="D1722">
        <v>1412732</v>
      </c>
      <c r="E1722" t="s">
        <v>578</v>
      </c>
      <c r="F1722" t="s">
        <v>18</v>
      </c>
      <c r="G1722" t="s">
        <v>1534</v>
      </c>
      <c r="H1722" t="s">
        <v>1535</v>
      </c>
      <c r="I1722" t="s">
        <v>3412</v>
      </c>
      <c r="J1722">
        <v>51155201246</v>
      </c>
      <c r="K1722" t="s">
        <v>3429</v>
      </c>
      <c r="L1722" t="s">
        <v>4465</v>
      </c>
      <c r="M1722">
        <v>153</v>
      </c>
      <c r="N1722" s="10">
        <v>2.8000000000000001E-2</v>
      </c>
      <c r="O1722" s="10">
        <f t="shared" si="165"/>
        <v>4.2839999999999998</v>
      </c>
      <c r="P1722" s="10" t="s">
        <v>5006</v>
      </c>
      <c r="Q1722" s="10" t="s">
        <v>5006</v>
      </c>
      <c r="R1722" s="10" t="str">
        <f>IF(COUNTIF($J$2:J1722,J1722)=1,SUMIFS($O:$O,$J:$J,J1722)+SUMIFS($P:$P,$J:$J,J1722)+SUMIFS($Q:$Q,$J:$J,J1722),"")</f>
        <v/>
      </c>
      <c r="S1722" s="10" t="s">
        <v>5006</v>
      </c>
      <c r="T1722" s="11" t="str">
        <f t="shared" si="168"/>
        <v>Check</v>
      </c>
      <c r="U1722" s="12">
        <v>46157</v>
      </c>
      <c r="V1722" s="10">
        <v>4.28</v>
      </c>
      <c r="W1722" s="10" t="str">
        <f t="shared" si="166"/>
        <v>N/A</v>
      </c>
      <c r="X1722" t="s">
        <v>450</v>
      </c>
      <c r="Y1722" t="s">
        <v>28</v>
      </c>
      <c r="Z1722">
        <v>100167</v>
      </c>
      <c r="AA1722" t="s">
        <v>499</v>
      </c>
      <c r="AB1722" t="s">
        <v>523</v>
      </c>
      <c r="AC1722" s="9">
        <v>2</v>
      </c>
      <c r="AD1722" s="9" t="str">
        <f t="shared" si="167"/>
        <v>N/A</v>
      </c>
      <c r="AE1722" s="11" t="e">
        <f t="shared" si="169"/>
        <v>#VALUE!</v>
      </c>
    </row>
    <row r="1723" spans="1:31" x14ac:dyDescent="0.3">
      <c r="A1723">
        <v>15</v>
      </c>
      <c r="B1723">
        <v>4881458</v>
      </c>
      <c r="C1723" t="s">
        <v>217</v>
      </c>
      <c r="D1723">
        <v>1160621</v>
      </c>
      <c r="E1723" t="s">
        <v>571</v>
      </c>
      <c r="F1723" t="s">
        <v>18</v>
      </c>
      <c r="G1723" t="s">
        <v>1662</v>
      </c>
      <c r="H1723" t="s">
        <v>1663</v>
      </c>
      <c r="I1723" t="s">
        <v>3421</v>
      </c>
      <c r="J1723">
        <v>51155228047</v>
      </c>
      <c r="K1723" t="s">
        <v>3177</v>
      </c>
      <c r="L1723" t="s">
        <v>4397</v>
      </c>
      <c r="M1723">
        <v>244</v>
      </c>
      <c r="N1723" s="10">
        <v>47.8</v>
      </c>
      <c r="O1723" s="10">
        <f t="shared" si="165"/>
        <v>11663.199999999999</v>
      </c>
      <c r="P1723" s="10">
        <v>0</v>
      </c>
      <c r="Q1723" s="10">
        <v>2955.84</v>
      </c>
      <c r="R1723" s="10">
        <f>IF(COUNTIF($J$2:J1723,J1723)=1,SUMIFS($O:$O,$J:$J,J1723)+SUMIFS($P:$P,$J:$J,J1723)+SUMIFS($Q:$Q,$J:$J,J1723),"")</f>
        <v>14899.039999999999</v>
      </c>
      <c r="S1723" s="10">
        <v>14899.04</v>
      </c>
      <c r="T1723" s="11" t="str">
        <f t="shared" si="168"/>
        <v>Ok</v>
      </c>
      <c r="U1723" s="12">
        <v>46073</v>
      </c>
      <c r="V1723" s="10">
        <v>320.04000000000002</v>
      </c>
      <c r="W1723" s="10" t="str">
        <f t="shared" si="166"/>
        <v>Short Paid</v>
      </c>
      <c r="X1723" t="s">
        <v>468</v>
      </c>
      <c r="Y1723" t="s">
        <v>28</v>
      </c>
      <c r="Z1723">
        <v>100156</v>
      </c>
      <c r="AA1723" t="s">
        <v>3112</v>
      </c>
      <c r="AB1723" t="s">
        <v>523</v>
      </c>
      <c r="AC1723" s="9">
        <v>2</v>
      </c>
      <c r="AD1723" s="9" t="str">
        <f t="shared" si="167"/>
        <v>Ok</v>
      </c>
      <c r="AE1723" s="11">
        <f t="shared" si="169"/>
        <v>0</v>
      </c>
    </row>
    <row r="1724" spans="1:31" x14ac:dyDescent="0.3">
      <c r="A1724">
        <v>15</v>
      </c>
      <c r="B1724">
        <v>4881458</v>
      </c>
      <c r="C1724" t="s">
        <v>217</v>
      </c>
      <c r="D1724">
        <v>1160621</v>
      </c>
      <c r="E1724" t="s">
        <v>571</v>
      </c>
      <c r="F1724" t="s">
        <v>18</v>
      </c>
      <c r="G1724" t="s">
        <v>1662</v>
      </c>
      <c r="H1724" t="s">
        <v>1663</v>
      </c>
      <c r="I1724" t="s">
        <v>3185</v>
      </c>
      <c r="J1724">
        <v>51155228047</v>
      </c>
      <c r="K1724" t="s">
        <v>3537</v>
      </c>
      <c r="L1724" t="s">
        <v>4466</v>
      </c>
      <c r="M1724">
        <v>2000</v>
      </c>
      <c r="N1724" s="10">
        <v>0.14000000000000001</v>
      </c>
      <c r="O1724" s="10">
        <f t="shared" si="165"/>
        <v>280</v>
      </c>
      <c r="P1724" s="10" t="s">
        <v>5006</v>
      </c>
      <c r="Q1724" s="10" t="s">
        <v>5006</v>
      </c>
      <c r="R1724" s="10" t="str">
        <f>IF(COUNTIF($J$2:J1724,J1724)=1,SUMIFS($O:$O,$J:$J,J1724)+SUMIFS($P:$P,$J:$J,J1724)+SUMIFS($Q:$Q,$J:$J,J1724),"")</f>
        <v/>
      </c>
      <c r="S1724" s="10" t="s">
        <v>5006</v>
      </c>
      <c r="T1724" s="11" t="str">
        <f t="shared" si="168"/>
        <v>Ok</v>
      </c>
      <c r="U1724" s="12">
        <v>46073</v>
      </c>
      <c r="V1724" s="10">
        <v>320.04000000000002</v>
      </c>
      <c r="W1724" s="10" t="str">
        <f t="shared" si="166"/>
        <v>N/A</v>
      </c>
      <c r="X1724" t="s">
        <v>468</v>
      </c>
      <c r="Y1724" t="s">
        <v>28</v>
      </c>
      <c r="Z1724">
        <v>100156</v>
      </c>
      <c r="AA1724" t="s">
        <v>3112</v>
      </c>
      <c r="AB1724" t="s">
        <v>523</v>
      </c>
      <c r="AC1724" s="9">
        <v>2</v>
      </c>
      <c r="AD1724" s="9" t="str">
        <f t="shared" si="167"/>
        <v>N/A</v>
      </c>
      <c r="AE1724" s="11" t="e">
        <f t="shared" si="169"/>
        <v>#VALUE!</v>
      </c>
    </row>
    <row r="1725" spans="1:31" x14ac:dyDescent="0.3">
      <c r="A1725">
        <v>21</v>
      </c>
      <c r="B1725">
        <v>4847507</v>
      </c>
      <c r="C1725" t="s">
        <v>217</v>
      </c>
      <c r="D1725">
        <v>1422000</v>
      </c>
      <c r="E1725" t="s">
        <v>723</v>
      </c>
      <c r="F1725" t="s">
        <v>20</v>
      </c>
      <c r="G1725" t="s">
        <v>1532</v>
      </c>
      <c r="H1725" t="s">
        <v>1533</v>
      </c>
      <c r="I1725" t="s">
        <v>3397</v>
      </c>
      <c r="J1725">
        <v>51155243189</v>
      </c>
      <c r="K1725" t="s">
        <v>3168</v>
      </c>
      <c r="L1725" t="s">
        <v>3456</v>
      </c>
      <c r="M1725">
        <v>6000</v>
      </c>
      <c r="N1725" s="10">
        <v>0.17269999999999999</v>
      </c>
      <c r="O1725" s="10">
        <f t="shared" si="165"/>
        <v>1036.2</v>
      </c>
      <c r="P1725" s="10">
        <v>85.49</v>
      </c>
      <c r="Q1725" s="10">
        <v>0</v>
      </c>
      <c r="R1725" s="10">
        <f>IF(COUNTIF($J$2:J1725,J1725)=1,SUMIFS($O:$O,$J:$J,J1725)+SUMIFS($P:$P,$J:$J,J1725)+SUMIFS($Q:$Q,$J:$J,J1725),"")</f>
        <v>2115.94</v>
      </c>
      <c r="S1725" s="10">
        <v>2115.94</v>
      </c>
      <c r="T1725" s="11" t="str">
        <f t="shared" si="168"/>
        <v>Ok</v>
      </c>
      <c r="U1725" s="12">
        <v>46104</v>
      </c>
      <c r="V1725" s="10">
        <v>994.25</v>
      </c>
      <c r="W1725" s="10" t="str">
        <f t="shared" si="166"/>
        <v>Short Paid</v>
      </c>
      <c r="X1725" t="s">
        <v>468</v>
      </c>
      <c r="Y1725" t="s">
        <v>28</v>
      </c>
      <c r="Z1725">
        <v>100116</v>
      </c>
      <c r="AA1725" t="s">
        <v>3082</v>
      </c>
      <c r="AB1725" t="s">
        <v>521</v>
      </c>
      <c r="AC1725" s="9">
        <v>2</v>
      </c>
      <c r="AD1725" s="9" t="str">
        <f t="shared" si="167"/>
        <v>Ok</v>
      </c>
      <c r="AE1725" s="11">
        <f t="shared" si="169"/>
        <v>0</v>
      </c>
    </row>
    <row r="1726" spans="1:31" x14ac:dyDescent="0.3">
      <c r="A1726">
        <v>21</v>
      </c>
      <c r="B1726">
        <v>4847507</v>
      </c>
      <c r="C1726" t="s">
        <v>217</v>
      </c>
      <c r="D1726">
        <v>1422000</v>
      </c>
      <c r="E1726" t="s">
        <v>723</v>
      </c>
      <c r="F1726" t="s">
        <v>20</v>
      </c>
      <c r="G1726" t="s">
        <v>1532</v>
      </c>
      <c r="H1726" t="s">
        <v>1533</v>
      </c>
      <c r="I1726" t="s">
        <v>3414</v>
      </c>
      <c r="J1726">
        <v>51155243189</v>
      </c>
      <c r="K1726" t="s">
        <v>3201</v>
      </c>
      <c r="L1726" t="s">
        <v>4467</v>
      </c>
      <c r="M1726">
        <v>2500</v>
      </c>
      <c r="N1726" s="10">
        <v>0.3977</v>
      </c>
      <c r="O1726" s="10">
        <f t="shared" si="165"/>
        <v>994.25</v>
      </c>
      <c r="P1726" s="10" t="s">
        <v>5006</v>
      </c>
      <c r="Q1726" s="10" t="s">
        <v>5006</v>
      </c>
      <c r="R1726" s="10" t="str">
        <f>IF(COUNTIF($J$2:J1726,J1726)=1,SUMIFS($O:$O,$J:$J,J1726)+SUMIFS($P:$P,$J:$J,J1726)+SUMIFS($Q:$Q,$J:$J,J1726),"")</f>
        <v/>
      </c>
      <c r="S1726" s="10" t="s">
        <v>5006</v>
      </c>
      <c r="T1726" s="11" t="str">
        <f t="shared" si="168"/>
        <v>Ok</v>
      </c>
      <c r="U1726" s="12">
        <v>46104</v>
      </c>
      <c r="V1726" s="10">
        <v>994.25</v>
      </c>
      <c r="W1726" s="10" t="str">
        <f t="shared" si="166"/>
        <v>N/A</v>
      </c>
      <c r="X1726" t="s">
        <v>468</v>
      </c>
      <c r="Y1726" t="s">
        <v>28</v>
      </c>
      <c r="Z1726">
        <v>100116</v>
      </c>
      <c r="AA1726" t="s">
        <v>3082</v>
      </c>
      <c r="AB1726" t="s">
        <v>521</v>
      </c>
      <c r="AC1726" s="9">
        <v>2</v>
      </c>
      <c r="AD1726" s="9" t="str">
        <f t="shared" si="167"/>
        <v>N/A</v>
      </c>
      <c r="AE1726" s="11" t="e">
        <f t="shared" si="169"/>
        <v>#VALUE!</v>
      </c>
    </row>
    <row r="1727" spans="1:31" x14ac:dyDescent="0.3">
      <c r="A1727">
        <v>21</v>
      </c>
      <c r="B1727">
        <v>4847229</v>
      </c>
      <c r="C1727" t="s">
        <v>239</v>
      </c>
      <c r="D1727">
        <v>1422093</v>
      </c>
      <c r="E1727" t="s">
        <v>722</v>
      </c>
      <c r="F1727" t="s">
        <v>24</v>
      </c>
      <c r="G1727" t="s">
        <v>1500</v>
      </c>
      <c r="H1727" t="s">
        <v>1501</v>
      </c>
      <c r="I1727" t="s">
        <v>3420</v>
      </c>
      <c r="J1727">
        <v>51155247630</v>
      </c>
      <c r="K1727" t="s">
        <v>3168</v>
      </c>
      <c r="L1727" t="s">
        <v>3456</v>
      </c>
      <c r="M1727">
        <v>5951</v>
      </c>
      <c r="N1727" s="10">
        <v>0.17269999999999999</v>
      </c>
      <c r="O1727" s="10">
        <f t="shared" si="165"/>
        <v>1027.7376999999999</v>
      </c>
      <c r="P1727" s="10">
        <v>249.25</v>
      </c>
      <c r="Q1727" s="10">
        <v>0</v>
      </c>
      <c r="R1727" s="10">
        <f>IF(COUNTIF($J$2:J1727,J1727)=1,SUMIFS($O:$O,$J:$J,J1727)+SUMIFS($P:$P,$J:$J,J1727)+SUMIFS($Q:$Q,$J:$J,J1727),"")</f>
        <v>2542.0976999999998</v>
      </c>
      <c r="S1727" s="10">
        <v>2542.1</v>
      </c>
      <c r="T1727" s="11" t="str">
        <f t="shared" si="168"/>
        <v>Check</v>
      </c>
      <c r="U1727" s="12">
        <v>46087</v>
      </c>
      <c r="V1727" s="10">
        <v>722.41</v>
      </c>
      <c r="W1727" s="10" t="str">
        <f t="shared" si="166"/>
        <v>Short Paid</v>
      </c>
      <c r="X1727" t="s">
        <v>476</v>
      </c>
      <c r="Y1727" t="s">
        <v>40</v>
      </c>
      <c r="Z1727">
        <v>100185</v>
      </c>
      <c r="AA1727" t="s">
        <v>3153</v>
      </c>
      <c r="AB1727" t="s">
        <v>522</v>
      </c>
      <c r="AC1727" s="9">
        <v>2</v>
      </c>
      <c r="AD1727" s="9" t="str">
        <f t="shared" si="167"/>
        <v>Check</v>
      </c>
      <c r="AE1727" s="11">
        <f t="shared" si="169"/>
        <v>-2.3000000001047738E-3</v>
      </c>
    </row>
    <row r="1728" spans="1:31" x14ac:dyDescent="0.3">
      <c r="A1728">
        <v>21</v>
      </c>
      <c r="B1728">
        <v>4847229</v>
      </c>
      <c r="C1728" t="s">
        <v>239</v>
      </c>
      <c r="D1728">
        <v>1422093</v>
      </c>
      <c r="E1728" t="s">
        <v>722</v>
      </c>
      <c r="F1728" t="s">
        <v>24</v>
      </c>
      <c r="G1728" t="s">
        <v>1500</v>
      </c>
      <c r="H1728" t="s">
        <v>1501</v>
      </c>
      <c r="I1728" t="s">
        <v>3513</v>
      </c>
      <c r="J1728">
        <v>51155247630</v>
      </c>
      <c r="K1728" t="s">
        <v>3401</v>
      </c>
      <c r="L1728" t="s">
        <v>4468</v>
      </c>
      <c r="M1728">
        <v>265</v>
      </c>
      <c r="N1728" s="10">
        <v>4.774</v>
      </c>
      <c r="O1728" s="10">
        <f t="shared" si="165"/>
        <v>1265.1099999999999</v>
      </c>
      <c r="P1728" s="10" t="s">
        <v>5006</v>
      </c>
      <c r="Q1728" s="10" t="s">
        <v>5006</v>
      </c>
      <c r="R1728" s="10" t="str">
        <f>IF(COUNTIF($J$2:J1728,J1728)=1,SUMIFS($O:$O,$J:$J,J1728)+SUMIFS($P:$P,$J:$J,J1728)+SUMIFS($Q:$Q,$J:$J,J1728),"")</f>
        <v/>
      </c>
      <c r="S1728" s="10" t="s">
        <v>5006</v>
      </c>
      <c r="T1728" s="11" t="str">
        <f t="shared" si="168"/>
        <v>Check</v>
      </c>
      <c r="U1728" s="12">
        <v>46087</v>
      </c>
      <c r="V1728" s="10">
        <v>722.41</v>
      </c>
      <c r="W1728" s="10" t="str">
        <f t="shared" si="166"/>
        <v>N/A</v>
      </c>
      <c r="X1728" t="s">
        <v>476</v>
      </c>
      <c r="Y1728" t="s">
        <v>40</v>
      </c>
      <c r="Z1728">
        <v>100185</v>
      </c>
      <c r="AA1728" t="s">
        <v>3153</v>
      </c>
      <c r="AB1728" t="s">
        <v>522</v>
      </c>
      <c r="AC1728" s="9">
        <v>2</v>
      </c>
      <c r="AD1728" s="9" t="str">
        <f t="shared" si="167"/>
        <v>N/A</v>
      </c>
      <c r="AE1728" s="11" t="e">
        <f t="shared" si="169"/>
        <v>#VALUE!</v>
      </c>
    </row>
    <row r="1729" spans="1:31" x14ac:dyDescent="0.3">
      <c r="A1729">
        <v>24</v>
      </c>
      <c r="B1729">
        <v>4833315</v>
      </c>
      <c r="C1729" t="s">
        <v>38</v>
      </c>
      <c r="D1729">
        <v>1373071</v>
      </c>
      <c r="E1729" t="s">
        <v>559</v>
      </c>
      <c r="F1729" t="s">
        <v>44</v>
      </c>
      <c r="G1729" t="s">
        <v>1479</v>
      </c>
      <c r="H1729" t="s">
        <v>1480</v>
      </c>
      <c r="I1729" t="s">
        <v>3496</v>
      </c>
      <c r="J1729">
        <v>51155316230</v>
      </c>
      <c r="K1729" t="s">
        <v>3177</v>
      </c>
      <c r="L1729" t="s">
        <v>4469</v>
      </c>
      <c r="M1729">
        <v>12000</v>
      </c>
      <c r="N1729" s="10">
        <v>0.16400000000000001</v>
      </c>
      <c r="O1729" s="10">
        <f t="shared" si="165"/>
        <v>1968</v>
      </c>
      <c r="P1729" s="10">
        <v>0</v>
      </c>
      <c r="Q1729" s="10">
        <v>0</v>
      </c>
      <c r="R1729" s="10">
        <f>IF(COUNTIF($J$2:J1729,J1729)=1,SUMIFS($O:$O,$J:$J,J1729)+SUMIFS($P:$P,$J:$J,J1729)+SUMIFS($Q:$Q,$J:$J,J1729),"")</f>
        <v>30501.5</v>
      </c>
      <c r="S1729" s="10">
        <v>30501.5</v>
      </c>
      <c r="T1729" s="11" t="str">
        <f t="shared" si="168"/>
        <v>Ok</v>
      </c>
      <c r="U1729" s="12">
        <v>46010</v>
      </c>
      <c r="V1729" s="10">
        <v>28533.5</v>
      </c>
      <c r="W1729" s="10" t="str">
        <f t="shared" si="166"/>
        <v>Short Paid</v>
      </c>
      <c r="X1729" t="s">
        <v>474</v>
      </c>
      <c r="Y1729" t="s">
        <v>28</v>
      </c>
      <c r="Z1729">
        <v>100289</v>
      </c>
      <c r="AA1729" t="s">
        <v>475</v>
      </c>
      <c r="AB1729" t="s">
        <v>3037</v>
      </c>
      <c r="AC1729" s="9">
        <v>2</v>
      </c>
      <c r="AD1729" s="9" t="str">
        <f t="shared" si="167"/>
        <v>Ok</v>
      </c>
      <c r="AE1729" s="11">
        <f t="shared" si="169"/>
        <v>0</v>
      </c>
    </row>
    <row r="1730" spans="1:31" x14ac:dyDescent="0.3">
      <c r="A1730">
        <v>24</v>
      </c>
      <c r="B1730">
        <v>4833315</v>
      </c>
      <c r="C1730" t="s">
        <v>38</v>
      </c>
      <c r="D1730">
        <v>1373071</v>
      </c>
      <c r="E1730" t="s">
        <v>559</v>
      </c>
      <c r="F1730" t="s">
        <v>44</v>
      </c>
      <c r="G1730" t="s">
        <v>1479</v>
      </c>
      <c r="H1730" t="s">
        <v>1480</v>
      </c>
      <c r="I1730" t="s">
        <v>3184</v>
      </c>
      <c r="J1730">
        <v>51155316230</v>
      </c>
      <c r="K1730" t="s">
        <v>3289</v>
      </c>
      <c r="L1730" t="s">
        <v>4470</v>
      </c>
      <c r="M1730">
        <v>19150</v>
      </c>
      <c r="N1730" s="10">
        <v>1.49</v>
      </c>
      <c r="O1730" s="10">
        <f t="shared" ref="O1730:O1793" si="170">M1730*N1730</f>
        <v>28533.5</v>
      </c>
      <c r="P1730" s="10" t="s">
        <v>5006</v>
      </c>
      <c r="Q1730" s="10" t="s">
        <v>5006</v>
      </c>
      <c r="R1730" s="10" t="str">
        <f>IF(COUNTIF($J$2:J1730,J1730)=1,SUMIFS($O:$O,$J:$J,J1730)+SUMIFS($P:$P,$J:$J,J1730)+SUMIFS($Q:$Q,$J:$J,J1730),"")</f>
        <v/>
      </c>
      <c r="S1730" s="10" t="s">
        <v>5006</v>
      </c>
      <c r="T1730" s="11" t="str">
        <f t="shared" si="168"/>
        <v>Ok</v>
      </c>
      <c r="U1730" s="12">
        <v>46010</v>
      </c>
      <c r="V1730" s="10">
        <v>28533.5</v>
      </c>
      <c r="W1730" s="10" t="str">
        <f t="shared" ref="W1730:W1793" si="171">IF(OR(S1730="",V1730=""),"N/A",IF(S1730&lt;&gt;V1730,"Short Paid","Not Paid"))</f>
        <v>N/A</v>
      </c>
      <c r="X1730" t="s">
        <v>474</v>
      </c>
      <c r="Y1730" t="s">
        <v>28</v>
      </c>
      <c r="Z1730">
        <v>100289</v>
      </c>
      <c r="AA1730" t="s">
        <v>475</v>
      </c>
      <c r="AB1730" t="s">
        <v>3037</v>
      </c>
      <c r="AC1730" s="9">
        <v>2</v>
      </c>
      <c r="AD1730" s="9" t="str">
        <f t="shared" ref="AD1730:AD1793" si="172">IF(AND(R1730="",S1730=""),"N/A",IF(R1730=S1730,"Ok","Check"))</f>
        <v>N/A</v>
      </c>
      <c r="AE1730" s="11" t="e">
        <f t="shared" si="169"/>
        <v>#VALUE!</v>
      </c>
    </row>
    <row r="1731" spans="1:31" x14ac:dyDescent="0.3">
      <c r="A1731">
        <v>6</v>
      </c>
      <c r="B1731">
        <v>4934889</v>
      </c>
      <c r="C1731" t="s">
        <v>239</v>
      </c>
      <c r="D1731">
        <v>1567459</v>
      </c>
      <c r="E1731" t="s">
        <v>592</v>
      </c>
      <c r="F1731" t="s">
        <v>24</v>
      </c>
      <c r="G1731" t="s">
        <v>1801</v>
      </c>
      <c r="H1731" t="s">
        <v>1802</v>
      </c>
      <c r="I1731" t="s">
        <v>3350</v>
      </c>
      <c r="J1731">
        <v>51155316355</v>
      </c>
      <c r="K1731" t="s">
        <v>3302</v>
      </c>
      <c r="L1731" t="s">
        <v>4471</v>
      </c>
      <c r="M1731">
        <v>5600</v>
      </c>
      <c r="N1731" s="10">
        <v>1.2784500000000001</v>
      </c>
      <c r="O1731" s="10">
        <f t="shared" si="170"/>
        <v>7159.3200000000006</v>
      </c>
      <c r="P1731" s="10">
        <v>0</v>
      </c>
      <c r="Q1731" s="10">
        <v>1764.76</v>
      </c>
      <c r="R1731" s="10">
        <f>IF(COUNTIF($J$2:J1731,J1731)=1,SUMIFS($O:$O,$J:$J,J1731)+SUMIFS($P:$P,$J:$J,J1731)+SUMIFS($Q:$Q,$J:$J,J1731),"")</f>
        <v>9146.08</v>
      </c>
      <c r="S1731" s="10">
        <v>9401.77</v>
      </c>
      <c r="T1731" s="11" t="str">
        <f t="shared" ref="T1731:T1794" si="173">IFERROR(INDEX(AD:AD,MATCH(J1731,J:J,0)),"")</f>
        <v>Check</v>
      </c>
      <c r="U1731" s="12">
        <v>46154</v>
      </c>
      <c r="V1731" s="10">
        <v>540</v>
      </c>
      <c r="W1731" s="10" t="str">
        <f t="shared" si="171"/>
        <v>Short Paid</v>
      </c>
      <c r="X1731" t="s">
        <v>476</v>
      </c>
      <c r="Y1731" t="s">
        <v>40</v>
      </c>
      <c r="Z1731">
        <v>100265</v>
      </c>
      <c r="AA1731" t="s">
        <v>3103</v>
      </c>
      <c r="AB1731" t="s">
        <v>522</v>
      </c>
      <c r="AC1731" s="9">
        <v>2</v>
      </c>
      <c r="AD1731" s="9" t="str">
        <f t="shared" si="172"/>
        <v>Check</v>
      </c>
      <c r="AE1731" s="11">
        <f t="shared" si="169"/>
        <v>-255.69000000000051</v>
      </c>
    </row>
    <row r="1732" spans="1:31" x14ac:dyDescent="0.3">
      <c r="A1732">
        <v>6</v>
      </c>
      <c r="B1732">
        <v>4934889</v>
      </c>
      <c r="C1732" t="s">
        <v>239</v>
      </c>
      <c r="D1732">
        <v>1567459</v>
      </c>
      <c r="E1732" t="s">
        <v>592</v>
      </c>
      <c r="F1732" t="s">
        <v>24</v>
      </c>
      <c r="G1732" t="s">
        <v>1801</v>
      </c>
      <c r="H1732" t="s">
        <v>1802</v>
      </c>
      <c r="I1732" t="s">
        <v>3543</v>
      </c>
      <c r="J1732">
        <v>51155316355</v>
      </c>
      <c r="K1732" t="s">
        <v>3177</v>
      </c>
      <c r="L1732" t="s">
        <v>3892</v>
      </c>
      <c r="M1732">
        <v>60000</v>
      </c>
      <c r="N1732" s="10">
        <v>3.7000000000000002E-3</v>
      </c>
      <c r="O1732" s="10">
        <f t="shared" si="170"/>
        <v>222</v>
      </c>
      <c r="P1732" s="10" t="s">
        <v>5006</v>
      </c>
      <c r="Q1732" s="10" t="s">
        <v>5006</v>
      </c>
      <c r="R1732" s="10" t="str">
        <f>IF(COUNTIF($J$2:J1732,J1732)=1,SUMIFS($O:$O,$J:$J,J1732)+SUMIFS($P:$P,$J:$J,J1732)+SUMIFS($Q:$Q,$J:$J,J1732),"")</f>
        <v/>
      </c>
      <c r="S1732" s="10" t="s">
        <v>5006</v>
      </c>
      <c r="T1732" s="11" t="str">
        <f t="shared" si="173"/>
        <v>Check</v>
      </c>
      <c r="U1732" s="12">
        <v>46154</v>
      </c>
      <c r="V1732" s="10">
        <v>540</v>
      </c>
      <c r="W1732" s="10" t="str">
        <f t="shared" si="171"/>
        <v>N/A</v>
      </c>
      <c r="X1732" t="s">
        <v>476</v>
      </c>
      <c r="Y1732" t="s">
        <v>40</v>
      </c>
      <c r="Z1732">
        <v>100265</v>
      </c>
      <c r="AA1732" t="s">
        <v>3103</v>
      </c>
      <c r="AB1732" t="s">
        <v>522</v>
      </c>
      <c r="AC1732" s="9">
        <v>2</v>
      </c>
      <c r="AD1732" s="9" t="str">
        <f t="shared" si="172"/>
        <v>N/A</v>
      </c>
      <c r="AE1732" s="11" t="e">
        <f t="shared" si="169"/>
        <v>#VALUE!</v>
      </c>
    </row>
    <row r="1733" spans="1:31" x14ac:dyDescent="0.3">
      <c r="A1733">
        <v>25</v>
      </c>
      <c r="B1733">
        <v>4809382</v>
      </c>
      <c r="C1733" t="s">
        <v>239</v>
      </c>
      <c r="D1733">
        <v>1079286</v>
      </c>
      <c r="E1733" t="s">
        <v>629</v>
      </c>
      <c r="F1733" t="s">
        <v>20</v>
      </c>
      <c r="G1733" t="s">
        <v>1399</v>
      </c>
      <c r="H1733" t="s">
        <v>1400</v>
      </c>
      <c r="I1733" t="s">
        <v>3192</v>
      </c>
      <c r="J1733">
        <v>51155358446</v>
      </c>
      <c r="K1733" t="s">
        <v>3194</v>
      </c>
      <c r="L1733" t="s">
        <v>4472</v>
      </c>
      <c r="M1733">
        <v>960</v>
      </c>
      <c r="N1733" s="10">
        <v>1.6900000000000002</v>
      </c>
      <c r="O1733" s="10">
        <f t="shared" si="170"/>
        <v>1622.4</v>
      </c>
      <c r="P1733" s="10">
        <v>0</v>
      </c>
      <c r="Q1733" s="10">
        <v>0</v>
      </c>
      <c r="R1733" s="10">
        <f>IF(COUNTIF($J$2:J1733,J1733)=1,SUMIFS($O:$O,$J:$J,J1733)+SUMIFS($P:$P,$J:$J,J1733)+SUMIFS($Q:$Q,$J:$J,J1733),"")</f>
        <v>1695.1000000000001</v>
      </c>
      <c r="S1733" s="10">
        <v>1767.8000000000002</v>
      </c>
      <c r="T1733" s="11" t="str">
        <f t="shared" si="173"/>
        <v>Check</v>
      </c>
      <c r="U1733" s="12">
        <v>45958</v>
      </c>
      <c r="V1733" s="10">
        <v>145.4</v>
      </c>
      <c r="W1733" s="10" t="str">
        <f t="shared" si="171"/>
        <v>Short Paid</v>
      </c>
      <c r="X1733" t="s">
        <v>476</v>
      </c>
      <c r="Y1733" t="s">
        <v>28</v>
      </c>
      <c r="Z1733">
        <v>100165</v>
      </c>
      <c r="AA1733" t="s">
        <v>3100</v>
      </c>
      <c r="AB1733" t="s">
        <v>521</v>
      </c>
      <c r="AC1733" s="9">
        <v>2</v>
      </c>
      <c r="AD1733" s="9" t="str">
        <f t="shared" si="172"/>
        <v>Check</v>
      </c>
      <c r="AE1733" s="11">
        <f t="shared" si="169"/>
        <v>-72.700000000000045</v>
      </c>
    </row>
    <row r="1734" spans="1:31" x14ac:dyDescent="0.3">
      <c r="A1734">
        <v>25</v>
      </c>
      <c r="B1734">
        <v>4809382</v>
      </c>
      <c r="C1734" t="s">
        <v>239</v>
      </c>
      <c r="D1734">
        <v>1079286</v>
      </c>
      <c r="E1734" t="s">
        <v>629</v>
      </c>
      <c r="F1734" t="s">
        <v>20</v>
      </c>
      <c r="G1734" t="s">
        <v>1399</v>
      </c>
      <c r="H1734" t="s">
        <v>1400</v>
      </c>
      <c r="I1734" t="s">
        <v>3528</v>
      </c>
      <c r="J1734">
        <v>51155358446</v>
      </c>
      <c r="K1734" t="s">
        <v>3370</v>
      </c>
      <c r="L1734" t="s">
        <v>4473</v>
      </c>
      <c r="M1734">
        <v>1000</v>
      </c>
      <c r="N1734" s="10">
        <v>7.2700000000000001E-2</v>
      </c>
      <c r="O1734" s="10">
        <f t="shared" si="170"/>
        <v>72.7</v>
      </c>
      <c r="P1734" s="10" t="s">
        <v>5006</v>
      </c>
      <c r="Q1734" s="10" t="s">
        <v>5006</v>
      </c>
      <c r="R1734" s="10" t="str">
        <f>IF(COUNTIF($J$2:J1734,J1734)=1,SUMIFS($O:$O,$J:$J,J1734)+SUMIFS($P:$P,$J:$J,J1734)+SUMIFS($Q:$Q,$J:$J,J1734),"")</f>
        <v/>
      </c>
      <c r="S1734" s="10" t="s">
        <v>5006</v>
      </c>
      <c r="T1734" s="11" t="str">
        <f t="shared" si="173"/>
        <v>Check</v>
      </c>
      <c r="U1734" s="12">
        <v>45958</v>
      </c>
      <c r="V1734" s="10">
        <v>145.4</v>
      </c>
      <c r="W1734" s="10" t="str">
        <f t="shared" si="171"/>
        <v>N/A</v>
      </c>
      <c r="X1734" t="s">
        <v>476</v>
      </c>
      <c r="Y1734" t="s">
        <v>28</v>
      </c>
      <c r="Z1734">
        <v>100165</v>
      </c>
      <c r="AA1734" t="s">
        <v>3100</v>
      </c>
      <c r="AB1734" t="s">
        <v>521</v>
      </c>
      <c r="AC1734" s="9">
        <v>2</v>
      </c>
      <c r="AD1734" s="9" t="str">
        <f t="shared" si="172"/>
        <v>N/A</v>
      </c>
      <c r="AE1734" s="11" t="e">
        <f t="shared" si="169"/>
        <v>#VALUE!</v>
      </c>
    </row>
    <row r="1735" spans="1:31" x14ac:dyDescent="0.3">
      <c r="A1735">
        <v>15</v>
      </c>
      <c r="B1735">
        <v>4879788</v>
      </c>
      <c r="C1735" t="s">
        <v>217</v>
      </c>
      <c r="D1735">
        <v>1160621</v>
      </c>
      <c r="E1735" t="s">
        <v>571</v>
      </c>
      <c r="F1735" t="s">
        <v>18</v>
      </c>
      <c r="G1735" t="s">
        <v>2884</v>
      </c>
      <c r="H1735" t="s">
        <v>1654</v>
      </c>
      <c r="I1735" t="s">
        <v>3217</v>
      </c>
      <c r="J1735">
        <v>51155428813</v>
      </c>
      <c r="K1735" t="s">
        <v>3532</v>
      </c>
      <c r="L1735" t="s">
        <v>3534</v>
      </c>
      <c r="M1735">
        <v>15000</v>
      </c>
      <c r="N1735" s="10">
        <v>0.21210000000000001</v>
      </c>
      <c r="O1735" s="10">
        <f t="shared" si="170"/>
        <v>3181.5</v>
      </c>
      <c r="P1735" s="10">
        <v>0</v>
      </c>
      <c r="Q1735" s="10">
        <v>339.38</v>
      </c>
      <c r="R1735" s="10">
        <f>IF(COUNTIF($J$2:J1735,J1735)=1,SUMIFS($O:$O,$J:$J,J1735)+SUMIFS($P:$P,$J:$J,J1735)+SUMIFS($Q:$Q,$J:$J,J1735),"")</f>
        <v>5464.9878500000004</v>
      </c>
      <c r="S1735" s="10">
        <v>5464.99</v>
      </c>
      <c r="T1735" s="11" t="str">
        <f t="shared" si="173"/>
        <v>Check</v>
      </c>
      <c r="U1735" s="12">
        <v>46072</v>
      </c>
      <c r="V1735" s="10">
        <v>2283.4899999999998</v>
      </c>
      <c r="W1735" s="10" t="str">
        <f t="shared" si="171"/>
        <v>Short Paid</v>
      </c>
      <c r="X1735" t="s">
        <v>468</v>
      </c>
      <c r="Y1735" t="s">
        <v>28</v>
      </c>
      <c r="Z1735">
        <v>100236</v>
      </c>
      <c r="AA1735" t="s">
        <v>3059</v>
      </c>
      <c r="AB1735" t="s">
        <v>523</v>
      </c>
      <c r="AC1735" s="9">
        <v>4</v>
      </c>
      <c r="AD1735" s="9" t="str">
        <f t="shared" si="172"/>
        <v>Check</v>
      </c>
      <c r="AE1735" s="11">
        <f t="shared" ref="AE1735:AE1798" si="174">R1735-S1735</f>
        <v>-2.149999999346619E-3</v>
      </c>
    </row>
    <row r="1736" spans="1:31" x14ac:dyDescent="0.3">
      <c r="A1736">
        <v>15</v>
      </c>
      <c r="B1736">
        <v>4879788</v>
      </c>
      <c r="C1736" t="s">
        <v>217</v>
      </c>
      <c r="D1736">
        <v>1160621</v>
      </c>
      <c r="E1736" t="s">
        <v>571</v>
      </c>
      <c r="F1736" t="s">
        <v>18</v>
      </c>
      <c r="G1736" t="s">
        <v>2884</v>
      </c>
      <c r="H1736" t="s">
        <v>1654</v>
      </c>
      <c r="I1736" t="s">
        <v>3208</v>
      </c>
      <c r="J1736">
        <v>51155428813</v>
      </c>
      <c r="K1736" t="s">
        <v>3246</v>
      </c>
      <c r="L1736" t="s">
        <v>4474</v>
      </c>
      <c r="M1736">
        <v>10000</v>
      </c>
      <c r="N1736" s="10">
        <v>0.17849999999999999</v>
      </c>
      <c r="O1736" s="10">
        <f t="shared" si="170"/>
        <v>1785</v>
      </c>
      <c r="P1736" s="10" t="s">
        <v>5006</v>
      </c>
      <c r="Q1736" s="10" t="s">
        <v>5006</v>
      </c>
      <c r="R1736" s="10" t="str">
        <f>IF(COUNTIF($J$2:J1736,J1736)=1,SUMIFS($O:$O,$J:$J,J1736)+SUMIFS($P:$P,$J:$J,J1736)+SUMIFS($Q:$Q,$J:$J,J1736),"")</f>
        <v/>
      </c>
      <c r="S1736" s="10" t="s">
        <v>5006</v>
      </c>
      <c r="T1736" s="11" t="str">
        <f t="shared" si="173"/>
        <v>Check</v>
      </c>
      <c r="U1736" s="12">
        <v>46072</v>
      </c>
      <c r="V1736" s="10">
        <v>2283.4899999999998</v>
      </c>
      <c r="W1736" s="10" t="str">
        <f t="shared" si="171"/>
        <v>N/A</v>
      </c>
      <c r="X1736" t="s">
        <v>468</v>
      </c>
      <c r="Y1736" t="s">
        <v>28</v>
      </c>
      <c r="Z1736">
        <v>100236</v>
      </c>
      <c r="AA1736" t="s">
        <v>3059</v>
      </c>
      <c r="AB1736" t="s">
        <v>523</v>
      </c>
      <c r="AC1736" s="9">
        <v>4</v>
      </c>
      <c r="AD1736" s="9" t="str">
        <f t="shared" si="172"/>
        <v>N/A</v>
      </c>
      <c r="AE1736" s="11" t="e">
        <f t="shared" si="174"/>
        <v>#VALUE!</v>
      </c>
    </row>
    <row r="1737" spans="1:31" x14ac:dyDescent="0.3">
      <c r="A1737">
        <v>15</v>
      </c>
      <c r="B1737">
        <v>4879788</v>
      </c>
      <c r="C1737" t="s">
        <v>217</v>
      </c>
      <c r="D1737">
        <v>1160621</v>
      </c>
      <c r="E1737" t="s">
        <v>571</v>
      </c>
      <c r="F1737" t="s">
        <v>18</v>
      </c>
      <c r="G1737" t="s">
        <v>2884</v>
      </c>
      <c r="H1737" t="s">
        <v>1654</v>
      </c>
      <c r="I1737" t="s">
        <v>3208</v>
      </c>
      <c r="J1737">
        <v>51155428813</v>
      </c>
      <c r="K1737" t="s">
        <v>3168</v>
      </c>
      <c r="L1737" t="s">
        <v>4475</v>
      </c>
      <c r="M1737">
        <v>2500</v>
      </c>
      <c r="N1737" s="10">
        <v>5.8470000000000001E-2</v>
      </c>
      <c r="O1737" s="10">
        <f t="shared" si="170"/>
        <v>146.17500000000001</v>
      </c>
      <c r="P1737" s="10" t="s">
        <v>5006</v>
      </c>
      <c r="Q1737" s="10" t="s">
        <v>5006</v>
      </c>
      <c r="R1737" s="10" t="str">
        <f>IF(COUNTIF($J$2:J1737,J1737)=1,SUMIFS($O:$O,$J:$J,J1737)+SUMIFS($P:$P,$J:$J,J1737)+SUMIFS($Q:$Q,$J:$J,J1737),"")</f>
        <v/>
      </c>
      <c r="S1737" s="10" t="s">
        <v>5006</v>
      </c>
      <c r="T1737" s="11" t="str">
        <f t="shared" si="173"/>
        <v>Check</v>
      </c>
      <c r="U1737" s="12">
        <v>46072</v>
      </c>
      <c r="V1737" s="10">
        <v>2283.4899999999998</v>
      </c>
      <c r="W1737" s="10" t="str">
        <f t="shared" si="171"/>
        <v>N/A</v>
      </c>
      <c r="X1737" t="s">
        <v>468</v>
      </c>
      <c r="Y1737" t="s">
        <v>28</v>
      </c>
      <c r="Z1737">
        <v>100236</v>
      </c>
      <c r="AA1737" t="s">
        <v>3059</v>
      </c>
      <c r="AB1737" t="s">
        <v>523</v>
      </c>
      <c r="AC1737" s="9">
        <v>4</v>
      </c>
      <c r="AD1737" s="9" t="str">
        <f t="shared" si="172"/>
        <v>N/A</v>
      </c>
      <c r="AE1737" s="11" t="e">
        <f t="shared" si="174"/>
        <v>#VALUE!</v>
      </c>
    </row>
    <row r="1738" spans="1:31" x14ac:dyDescent="0.3">
      <c r="A1738">
        <v>15</v>
      </c>
      <c r="B1738">
        <v>4879788</v>
      </c>
      <c r="C1738" t="s">
        <v>217</v>
      </c>
      <c r="D1738">
        <v>1160621</v>
      </c>
      <c r="E1738" t="s">
        <v>571</v>
      </c>
      <c r="F1738" t="s">
        <v>18</v>
      </c>
      <c r="G1738" t="s">
        <v>2884</v>
      </c>
      <c r="H1738" t="s">
        <v>1654</v>
      </c>
      <c r="I1738" t="s">
        <v>3208</v>
      </c>
      <c r="J1738">
        <v>51155428813</v>
      </c>
      <c r="K1738" t="s">
        <v>3401</v>
      </c>
      <c r="L1738" t="s">
        <v>3563</v>
      </c>
      <c r="M1738">
        <v>109</v>
      </c>
      <c r="N1738" s="10">
        <v>0.11865000000000002</v>
      </c>
      <c r="O1738" s="10">
        <f t="shared" si="170"/>
        <v>12.932850000000002</v>
      </c>
      <c r="P1738" s="10" t="s">
        <v>5006</v>
      </c>
      <c r="Q1738" s="10" t="s">
        <v>5006</v>
      </c>
      <c r="R1738" s="10" t="str">
        <f>IF(COUNTIF($J$2:J1738,J1738)=1,SUMIFS($O:$O,$J:$J,J1738)+SUMIFS($P:$P,$J:$J,J1738)+SUMIFS($Q:$Q,$J:$J,J1738),"")</f>
        <v/>
      </c>
      <c r="S1738" s="10" t="s">
        <v>5006</v>
      </c>
      <c r="T1738" s="11" t="str">
        <f t="shared" si="173"/>
        <v>Check</v>
      </c>
      <c r="U1738" s="12">
        <v>46072</v>
      </c>
      <c r="V1738" s="10">
        <v>2283.4899999999998</v>
      </c>
      <c r="W1738" s="10" t="str">
        <f t="shared" si="171"/>
        <v>N/A</v>
      </c>
      <c r="X1738" t="s">
        <v>468</v>
      </c>
      <c r="Y1738" t="s">
        <v>28</v>
      </c>
      <c r="Z1738">
        <v>100236</v>
      </c>
      <c r="AA1738" t="s">
        <v>3059</v>
      </c>
      <c r="AB1738" t="s">
        <v>523</v>
      </c>
      <c r="AC1738" s="9">
        <v>4</v>
      </c>
      <c r="AD1738" s="9" t="str">
        <f t="shared" si="172"/>
        <v>N/A</v>
      </c>
      <c r="AE1738" s="11" t="e">
        <f t="shared" si="174"/>
        <v>#VALUE!</v>
      </c>
    </row>
    <row r="1739" spans="1:31" x14ac:dyDescent="0.3">
      <c r="A1739">
        <v>20</v>
      </c>
      <c r="B1739">
        <v>4856691</v>
      </c>
      <c r="C1739" t="s">
        <v>239</v>
      </c>
      <c r="D1739">
        <v>1098309</v>
      </c>
      <c r="E1739" t="s">
        <v>544</v>
      </c>
      <c r="F1739" t="s">
        <v>49</v>
      </c>
      <c r="G1739" t="s">
        <v>1567</v>
      </c>
      <c r="H1739" t="s">
        <v>1568</v>
      </c>
      <c r="I1739" t="s">
        <v>3449</v>
      </c>
      <c r="J1739">
        <v>51155443166</v>
      </c>
      <c r="K1739" t="s">
        <v>4477</v>
      </c>
      <c r="L1739" t="s">
        <v>4476</v>
      </c>
      <c r="M1739">
        <v>60</v>
      </c>
      <c r="N1739" s="10">
        <v>75</v>
      </c>
      <c r="O1739" s="10">
        <f t="shared" si="170"/>
        <v>4500</v>
      </c>
      <c r="P1739" s="10">
        <v>281.25</v>
      </c>
      <c r="Q1739" s="10">
        <v>0</v>
      </c>
      <c r="R1739" s="10">
        <f>IF(COUNTIF($J$2:J1739,J1739)=1,SUMIFS($O:$O,$J:$J,J1739)+SUMIFS($P:$P,$J:$J,J1739)+SUMIFS($Q:$Q,$J:$J,J1739),"")</f>
        <v>17981.25</v>
      </c>
      <c r="S1739" s="10">
        <v>17981.25</v>
      </c>
      <c r="T1739" s="11" t="str">
        <f t="shared" si="173"/>
        <v>Ok</v>
      </c>
      <c r="U1739" s="12">
        <v>46108</v>
      </c>
      <c r="V1739" s="10">
        <v>281.25</v>
      </c>
      <c r="W1739" s="10" t="str">
        <f t="shared" si="171"/>
        <v>Short Paid</v>
      </c>
      <c r="X1739" t="s">
        <v>476</v>
      </c>
      <c r="Y1739" t="s">
        <v>29</v>
      </c>
      <c r="Z1739">
        <v>100295</v>
      </c>
      <c r="AA1739" t="s">
        <v>3127</v>
      </c>
      <c r="AB1739" t="s">
        <v>3041</v>
      </c>
      <c r="AC1739" s="9">
        <v>2</v>
      </c>
      <c r="AD1739" s="9" t="str">
        <f t="shared" si="172"/>
        <v>Ok</v>
      </c>
      <c r="AE1739" s="11">
        <f t="shared" si="174"/>
        <v>0</v>
      </c>
    </row>
    <row r="1740" spans="1:31" x14ac:dyDescent="0.3">
      <c r="A1740">
        <v>20</v>
      </c>
      <c r="B1740">
        <v>4856691</v>
      </c>
      <c r="C1740" t="s">
        <v>239</v>
      </c>
      <c r="D1740">
        <v>1098309</v>
      </c>
      <c r="E1740" t="s">
        <v>544</v>
      </c>
      <c r="F1740" t="s">
        <v>49</v>
      </c>
      <c r="G1740" t="s">
        <v>1567</v>
      </c>
      <c r="H1740" t="s">
        <v>1568</v>
      </c>
      <c r="I1740" t="s">
        <v>3408</v>
      </c>
      <c r="J1740">
        <v>51155443166</v>
      </c>
      <c r="K1740" t="s">
        <v>3194</v>
      </c>
      <c r="L1740" t="s">
        <v>3193</v>
      </c>
      <c r="M1740">
        <v>30000</v>
      </c>
      <c r="N1740" s="10">
        <v>0.44</v>
      </c>
      <c r="O1740" s="10">
        <f t="shared" si="170"/>
        <v>13200</v>
      </c>
      <c r="P1740" s="10" t="s">
        <v>5006</v>
      </c>
      <c r="Q1740" s="10" t="s">
        <v>5006</v>
      </c>
      <c r="R1740" s="10" t="str">
        <f>IF(COUNTIF($J$2:J1740,J1740)=1,SUMIFS($O:$O,$J:$J,J1740)+SUMIFS($P:$P,$J:$J,J1740)+SUMIFS($Q:$Q,$J:$J,J1740),"")</f>
        <v/>
      </c>
      <c r="S1740" s="10" t="s">
        <v>5006</v>
      </c>
      <c r="T1740" s="11" t="str">
        <f t="shared" si="173"/>
        <v>Ok</v>
      </c>
      <c r="U1740" s="12">
        <v>46108</v>
      </c>
      <c r="V1740" s="10">
        <v>281.25</v>
      </c>
      <c r="W1740" s="10" t="str">
        <f t="shared" si="171"/>
        <v>N/A</v>
      </c>
      <c r="X1740" t="s">
        <v>476</v>
      </c>
      <c r="Y1740" t="s">
        <v>29</v>
      </c>
      <c r="Z1740">
        <v>100295</v>
      </c>
      <c r="AA1740" t="s">
        <v>3127</v>
      </c>
      <c r="AB1740" t="s">
        <v>3041</v>
      </c>
      <c r="AC1740" s="9">
        <v>2</v>
      </c>
      <c r="AD1740" s="9" t="str">
        <f t="shared" si="172"/>
        <v>N/A</v>
      </c>
      <c r="AE1740" s="11" t="e">
        <f t="shared" si="174"/>
        <v>#VALUE!</v>
      </c>
    </row>
    <row r="1741" spans="1:31" x14ac:dyDescent="0.3">
      <c r="A1741">
        <v>15</v>
      </c>
      <c r="B1741">
        <v>4875892</v>
      </c>
      <c r="C1741" t="s">
        <v>217</v>
      </c>
      <c r="D1741">
        <v>1160621</v>
      </c>
      <c r="E1741" t="s">
        <v>571</v>
      </c>
      <c r="F1741" t="s">
        <v>18</v>
      </c>
      <c r="G1741" t="s">
        <v>1642</v>
      </c>
      <c r="H1741" t="s">
        <v>1643</v>
      </c>
      <c r="I1741" t="s">
        <v>3388</v>
      </c>
      <c r="J1741">
        <v>51155444267</v>
      </c>
      <c r="K1741" t="s">
        <v>3177</v>
      </c>
      <c r="L1741" t="s">
        <v>4478</v>
      </c>
      <c r="M1741">
        <v>1000</v>
      </c>
      <c r="N1741" s="10">
        <v>9.7670000000000007E-2</v>
      </c>
      <c r="O1741" s="10">
        <f t="shared" si="170"/>
        <v>97.67</v>
      </c>
      <c r="P1741" s="10">
        <v>0</v>
      </c>
      <c r="Q1741" s="10">
        <v>9.2799999999999994</v>
      </c>
      <c r="R1741" s="10">
        <f>IF(COUNTIF($J$2:J1741,J1741)=1,SUMIFS($O:$O,$J:$J,J1741)+SUMIFS($P:$P,$J:$J,J1741)+SUMIFS($Q:$Q,$J:$J,J1741),"")</f>
        <v>455.25</v>
      </c>
      <c r="S1741" s="10">
        <v>455.25</v>
      </c>
      <c r="T1741" s="11" t="str">
        <f t="shared" si="173"/>
        <v>Ok</v>
      </c>
      <c r="U1741" s="12">
        <v>46066</v>
      </c>
      <c r="V1741" s="10">
        <v>106.95</v>
      </c>
      <c r="W1741" s="10" t="str">
        <f t="shared" si="171"/>
        <v>Short Paid</v>
      </c>
      <c r="X1741" t="s">
        <v>468</v>
      </c>
      <c r="Y1741" t="s">
        <v>28</v>
      </c>
      <c r="Z1741">
        <v>100156</v>
      </c>
      <c r="AA1741" t="s">
        <v>3112</v>
      </c>
      <c r="AB1741" t="s">
        <v>523</v>
      </c>
      <c r="AC1741" s="9">
        <v>2</v>
      </c>
      <c r="AD1741" s="9" t="str">
        <f t="shared" si="172"/>
        <v>Ok</v>
      </c>
      <c r="AE1741" s="11">
        <f t="shared" si="174"/>
        <v>0</v>
      </c>
    </row>
    <row r="1742" spans="1:31" x14ac:dyDescent="0.3">
      <c r="A1742">
        <v>15</v>
      </c>
      <c r="B1742">
        <v>4875892</v>
      </c>
      <c r="C1742" t="s">
        <v>217</v>
      </c>
      <c r="D1742">
        <v>1160621</v>
      </c>
      <c r="E1742" t="s">
        <v>571</v>
      </c>
      <c r="F1742" t="s">
        <v>18</v>
      </c>
      <c r="G1742" t="s">
        <v>1642</v>
      </c>
      <c r="H1742" t="s">
        <v>1643</v>
      </c>
      <c r="I1742" t="s">
        <v>3232</v>
      </c>
      <c r="J1742">
        <v>51155444267</v>
      </c>
      <c r="K1742" t="s">
        <v>3212</v>
      </c>
      <c r="L1742" t="s">
        <v>4479</v>
      </c>
      <c r="M1742">
        <v>810000</v>
      </c>
      <c r="N1742" s="10">
        <v>4.2999999999999999E-4</v>
      </c>
      <c r="O1742" s="10">
        <f t="shared" si="170"/>
        <v>348.3</v>
      </c>
      <c r="P1742" s="10" t="s">
        <v>5006</v>
      </c>
      <c r="Q1742" s="10" t="s">
        <v>5006</v>
      </c>
      <c r="R1742" s="10" t="str">
        <f>IF(COUNTIF($J$2:J1742,J1742)=1,SUMIFS($O:$O,$J:$J,J1742)+SUMIFS($P:$P,$J:$J,J1742)+SUMIFS($Q:$Q,$J:$J,J1742),"")</f>
        <v/>
      </c>
      <c r="S1742" s="10" t="s">
        <v>5006</v>
      </c>
      <c r="T1742" s="11" t="str">
        <f t="shared" si="173"/>
        <v>Ok</v>
      </c>
      <c r="U1742" s="12">
        <v>46066</v>
      </c>
      <c r="V1742" s="10">
        <v>106.95</v>
      </c>
      <c r="W1742" s="10" t="str">
        <f t="shared" si="171"/>
        <v>N/A</v>
      </c>
      <c r="X1742" t="s">
        <v>468</v>
      </c>
      <c r="Y1742" t="s">
        <v>28</v>
      </c>
      <c r="Z1742">
        <v>100156</v>
      </c>
      <c r="AA1742" t="s">
        <v>3112</v>
      </c>
      <c r="AB1742" t="s">
        <v>523</v>
      </c>
      <c r="AC1742" s="9">
        <v>2</v>
      </c>
      <c r="AD1742" s="9" t="str">
        <f t="shared" si="172"/>
        <v>N/A</v>
      </c>
      <c r="AE1742" s="11" t="e">
        <f t="shared" si="174"/>
        <v>#VALUE!</v>
      </c>
    </row>
    <row r="1743" spans="1:31" x14ac:dyDescent="0.3">
      <c r="A1743">
        <v>15</v>
      </c>
      <c r="B1743">
        <v>4874779</v>
      </c>
      <c r="C1743" t="s">
        <v>217</v>
      </c>
      <c r="D1743">
        <v>1160621</v>
      </c>
      <c r="E1743" t="s">
        <v>571</v>
      </c>
      <c r="F1743" t="s">
        <v>18</v>
      </c>
      <c r="G1743" t="s">
        <v>1638</v>
      </c>
      <c r="H1743" t="s">
        <v>1639</v>
      </c>
      <c r="I1743" t="s">
        <v>3359</v>
      </c>
      <c r="J1743">
        <v>51155444271</v>
      </c>
      <c r="K1743" t="s">
        <v>3168</v>
      </c>
      <c r="L1743" t="s">
        <v>3456</v>
      </c>
      <c r="M1743">
        <v>9000</v>
      </c>
      <c r="N1743" s="10">
        <v>0.17269999999999999</v>
      </c>
      <c r="O1743" s="10">
        <f t="shared" si="170"/>
        <v>1554.3</v>
      </c>
      <c r="P1743" s="10">
        <v>128.22999999999999</v>
      </c>
      <c r="Q1743" s="10">
        <v>0</v>
      </c>
      <c r="R1743" s="10">
        <f>IF(COUNTIF($J$2:J1743,J1743)=1,SUMIFS($O:$O,$J:$J,J1743)+SUMIFS($P:$P,$J:$J,J1743)+SUMIFS($Q:$Q,$J:$J,J1743),"")</f>
        <v>3250.1860000000001</v>
      </c>
      <c r="S1743" s="10">
        <v>4817.83</v>
      </c>
      <c r="T1743" s="11" t="str">
        <f t="shared" si="173"/>
        <v>Check</v>
      </c>
      <c r="U1743" s="12">
        <v>46065</v>
      </c>
      <c r="V1743" s="10">
        <v>3135.3</v>
      </c>
      <c r="W1743" s="10" t="str">
        <f t="shared" si="171"/>
        <v>Short Paid</v>
      </c>
      <c r="X1743" t="s">
        <v>468</v>
      </c>
      <c r="Y1743" t="s">
        <v>28</v>
      </c>
      <c r="Z1743">
        <v>100276</v>
      </c>
      <c r="AA1743" t="s">
        <v>469</v>
      </c>
      <c r="AB1743" t="s">
        <v>523</v>
      </c>
      <c r="AC1743" s="9">
        <v>2</v>
      </c>
      <c r="AD1743" s="9" t="str">
        <f t="shared" si="172"/>
        <v>Check</v>
      </c>
      <c r="AE1743" s="11">
        <f t="shared" si="174"/>
        <v>-1567.6439999999998</v>
      </c>
    </row>
    <row r="1744" spans="1:31" x14ac:dyDescent="0.3">
      <c r="A1744">
        <v>15</v>
      </c>
      <c r="B1744">
        <v>4874779</v>
      </c>
      <c r="C1744" t="s">
        <v>217</v>
      </c>
      <c r="D1744">
        <v>1160621</v>
      </c>
      <c r="E1744" t="s">
        <v>571</v>
      </c>
      <c r="F1744" t="s">
        <v>18</v>
      </c>
      <c r="G1744" t="s">
        <v>1638</v>
      </c>
      <c r="H1744" t="s">
        <v>1639</v>
      </c>
      <c r="I1744" t="s">
        <v>3230</v>
      </c>
      <c r="J1744">
        <v>51155444271</v>
      </c>
      <c r="K1744" t="s">
        <v>3324</v>
      </c>
      <c r="L1744" t="s">
        <v>4480</v>
      </c>
      <c r="M1744">
        <v>1800</v>
      </c>
      <c r="N1744" s="10">
        <v>0.87092000000000003</v>
      </c>
      <c r="O1744" s="10">
        <f t="shared" si="170"/>
        <v>1567.6559999999999</v>
      </c>
      <c r="P1744" s="10" t="s">
        <v>5006</v>
      </c>
      <c r="Q1744" s="10" t="s">
        <v>5006</v>
      </c>
      <c r="R1744" s="10" t="str">
        <f>IF(COUNTIF($J$2:J1744,J1744)=1,SUMIFS($O:$O,$J:$J,J1744)+SUMIFS($P:$P,$J:$J,J1744)+SUMIFS($Q:$Q,$J:$J,J1744),"")</f>
        <v/>
      </c>
      <c r="S1744" s="10" t="s">
        <v>5006</v>
      </c>
      <c r="T1744" s="11" t="str">
        <f t="shared" si="173"/>
        <v>Check</v>
      </c>
      <c r="U1744" s="12">
        <v>46065</v>
      </c>
      <c r="V1744" s="10">
        <v>3135.3</v>
      </c>
      <c r="W1744" s="10" t="str">
        <f t="shared" si="171"/>
        <v>N/A</v>
      </c>
      <c r="X1744" t="s">
        <v>468</v>
      </c>
      <c r="Y1744" t="s">
        <v>28</v>
      </c>
      <c r="Z1744">
        <v>100276</v>
      </c>
      <c r="AA1744" t="s">
        <v>469</v>
      </c>
      <c r="AB1744" t="s">
        <v>523</v>
      </c>
      <c r="AC1744" s="9">
        <v>2</v>
      </c>
      <c r="AD1744" s="9" t="str">
        <f t="shared" si="172"/>
        <v>N/A</v>
      </c>
      <c r="AE1744" s="11" t="e">
        <f t="shared" si="174"/>
        <v>#VALUE!</v>
      </c>
    </row>
    <row r="1745" spans="1:31" x14ac:dyDescent="0.3">
      <c r="A1745">
        <v>24</v>
      </c>
      <c r="B1745">
        <v>4832758</v>
      </c>
      <c r="C1745" t="s">
        <v>38</v>
      </c>
      <c r="D1745">
        <v>1373071</v>
      </c>
      <c r="E1745" t="s">
        <v>559</v>
      </c>
      <c r="F1745" t="s">
        <v>18</v>
      </c>
      <c r="G1745" t="s">
        <v>1472</v>
      </c>
      <c r="H1745" t="s">
        <v>1473</v>
      </c>
      <c r="I1745" t="s">
        <v>3178</v>
      </c>
      <c r="J1745">
        <v>51155473932</v>
      </c>
      <c r="K1745" t="s">
        <v>4415</v>
      </c>
      <c r="L1745" t="s">
        <v>4481</v>
      </c>
      <c r="M1745">
        <v>6000</v>
      </c>
      <c r="N1745" s="10">
        <v>8.5000000000000006E-2</v>
      </c>
      <c r="O1745" s="10">
        <f t="shared" si="170"/>
        <v>510.00000000000006</v>
      </c>
      <c r="P1745" s="10">
        <v>0</v>
      </c>
      <c r="Q1745" s="10">
        <v>0</v>
      </c>
      <c r="R1745" s="10">
        <f>IF(COUNTIF($J$2:J1745,J1745)=1,SUMIFS($O:$O,$J:$J,J1745)+SUMIFS($P:$P,$J:$J,J1745)+SUMIFS($Q:$Q,$J:$J,J1745),"")</f>
        <v>2567.25</v>
      </c>
      <c r="S1745" s="10">
        <v>2567.25</v>
      </c>
      <c r="T1745" s="11" t="str">
        <f t="shared" si="173"/>
        <v>Ok</v>
      </c>
      <c r="U1745" s="12">
        <v>45965</v>
      </c>
      <c r="V1745" s="10">
        <v>510</v>
      </c>
      <c r="W1745" s="10" t="str">
        <f t="shared" si="171"/>
        <v>Short Paid</v>
      </c>
      <c r="X1745" t="s">
        <v>474</v>
      </c>
      <c r="Y1745" t="s">
        <v>28</v>
      </c>
      <c r="Z1745">
        <v>100249</v>
      </c>
      <c r="AA1745" t="s">
        <v>484</v>
      </c>
      <c r="AB1745" t="s">
        <v>523</v>
      </c>
      <c r="AC1745" s="9">
        <v>2</v>
      </c>
      <c r="AD1745" s="9" t="str">
        <f t="shared" si="172"/>
        <v>Ok</v>
      </c>
      <c r="AE1745" s="11">
        <f t="shared" si="174"/>
        <v>0</v>
      </c>
    </row>
    <row r="1746" spans="1:31" x14ac:dyDescent="0.3">
      <c r="A1746">
        <v>24</v>
      </c>
      <c r="B1746">
        <v>4832758</v>
      </c>
      <c r="C1746" t="s">
        <v>38</v>
      </c>
      <c r="D1746">
        <v>1373071</v>
      </c>
      <c r="E1746" t="s">
        <v>559</v>
      </c>
      <c r="F1746" t="s">
        <v>18</v>
      </c>
      <c r="G1746" t="s">
        <v>1472</v>
      </c>
      <c r="H1746" t="s">
        <v>1473</v>
      </c>
      <c r="I1746" t="s">
        <v>3421</v>
      </c>
      <c r="J1746">
        <v>51155473932</v>
      </c>
      <c r="K1746" t="s">
        <v>3375</v>
      </c>
      <c r="L1746" t="s">
        <v>3380</v>
      </c>
      <c r="M1746">
        <v>7500</v>
      </c>
      <c r="N1746" s="10">
        <v>0.27429999999999999</v>
      </c>
      <c r="O1746" s="10">
        <f t="shared" si="170"/>
        <v>2057.25</v>
      </c>
      <c r="P1746" s="10" t="s">
        <v>5006</v>
      </c>
      <c r="Q1746" s="10" t="s">
        <v>5006</v>
      </c>
      <c r="R1746" s="10" t="str">
        <f>IF(COUNTIF($J$2:J1746,J1746)=1,SUMIFS($O:$O,$J:$J,J1746)+SUMIFS($P:$P,$J:$J,J1746)+SUMIFS($Q:$Q,$J:$J,J1746),"")</f>
        <v/>
      </c>
      <c r="S1746" s="10" t="s">
        <v>5006</v>
      </c>
      <c r="T1746" s="11" t="str">
        <f t="shared" si="173"/>
        <v>Ok</v>
      </c>
      <c r="U1746" s="12">
        <v>45965</v>
      </c>
      <c r="V1746" s="10">
        <v>510</v>
      </c>
      <c r="W1746" s="10" t="str">
        <f t="shared" si="171"/>
        <v>N/A</v>
      </c>
      <c r="X1746" t="s">
        <v>474</v>
      </c>
      <c r="Y1746" t="s">
        <v>28</v>
      </c>
      <c r="Z1746">
        <v>100249</v>
      </c>
      <c r="AA1746" t="s">
        <v>484</v>
      </c>
      <c r="AB1746" t="s">
        <v>523</v>
      </c>
      <c r="AC1746" s="9">
        <v>2</v>
      </c>
      <c r="AD1746" s="9" t="str">
        <f t="shared" si="172"/>
        <v>N/A</v>
      </c>
      <c r="AE1746" s="11" t="e">
        <f t="shared" si="174"/>
        <v>#VALUE!</v>
      </c>
    </row>
    <row r="1747" spans="1:31" x14ac:dyDescent="0.3">
      <c r="A1747">
        <v>18</v>
      </c>
      <c r="B1747">
        <v>4857247</v>
      </c>
      <c r="C1747" t="s">
        <v>239</v>
      </c>
      <c r="D1747">
        <v>1017836</v>
      </c>
      <c r="E1747" t="s">
        <v>282</v>
      </c>
      <c r="F1747" t="s">
        <v>20</v>
      </c>
      <c r="G1747" t="s">
        <v>1570</v>
      </c>
      <c r="H1747" t="s">
        <v>1571</v>
      </c>
      <c r="I1747" t="s">
        <v>3393</v>
      </c>
      <c r="J1747">
        <v>51155480164</v>
      </c>
      <c r="K1747" t="s">
        <v>4483</v>
      </c>
      <c r="L1747" t="s">
        <v>4482</v>
      </c>
      <c r="M1747">
        <v>116</v>
      </c>
      <c r="N1747" s="10">
        <v>466.77</v>
      </c>
      <c r="O1747" s="10">
        <f t="shared" si="170"/>
        <v>54145.32</v>
      </c>
      <c r="P1747" s="10">
        <v>0</v>
      </c>
      <c r="Q1747" s="10">
        <v>0</v>
      </c>
      <c r="R1747" s="10">
        <f>IF(COUNTIF($J$2:J1747,J1747)=1,SUMIFS($O:$O,$J:$J,J1747)+SUMIFS($P:$P,$J:$J,J1747)+SUMIFS($Q:$Q,$J:$J,J1747),"")</f>
        <v>54983.8</v>
      </c>
      <c r="S1747" s="10">
        <v>54983.8</v>
      </c>
      <c r="T1747" s="11" t="str">
        <f t="shared" si="173"/>
        <v>Ok</v>
      </c>
      <c r="U1747" s="12">
        <v>46100</v>
      </c>
      <c r="V1747" s="10">
        <v>54145.32</v>
      </c>
      <c r="W1747" s="10" t="str">
        <f t="shared" si="171"/>
        <v>Short Paid</v>
      </c>
      <c r="X1747" t="s">
        <v>476</v>
      </c>
      <c r="Y1747" t="s">
        <v>28</v>
      </c>
      <c r="Z1747">
        <v>100205</v>
      </c>
      <c r="AA1747" t="s">
        <v>3075</v>
      </c>
      <c r="AB1747" t="s">
        <v>521</v>
      </c>
      <c r="AC1747" s="9">
        <v>2</v>
      </c>
      <c r="AD1747" s="9" t="str">
        <f t="shared" si="172"/>
        <v>Ok</v>
      </c>
      <c r="AE1747" s="11">
        <f t="shared" si="174"/>
        <v>0</v>
      </c>
    </row>
    <row r="1748" spans="1:31" x14ac:dyDescent="0.3">
      <c r="A1748">
        <v>18</v>
      </c>
      <c r="B1748">
        <v>4857247</v>
      </c>
      <c r="C1748" t="s">
        <v>239</v>
      </c>
      <c r="D1748">
        <v>1017836</v>
      </c>
      <c r="E1748" t="s">
        <v>282</v>
      </c>
      <c r="F1748" t="s">
        <v>20</v>
      </c>
      <c r="G1748" t="s">
        <v>1570</v>
      </c>
      <c r="H1748" t="s">
        <v>1571</v>
      </c>
      <c r="I1748" t="s">
        <v>3236</v>
      </c>
      <c r="J1748">
        <v>51155480164</v>
      </c>
      <c r="K1748" t="s">
        <v>3375</v>
      </c>
      <c r="L1748" t="s">
        <v>3481</v>
      </c>
      <c r="M1748">
        <v>8000</v>
      </c>
      <c r="N1748" s="10">
        <v>0.10481</v>
      </c>
      <c r="O1748" s="10">
        <f t="shared" si="170"/>
        <v>838.48</v>
      </c>
      <c r="P1748" s="10" t="s">
        <v>5006</v>
      </c>
      <c r="Q1748" s="10" t="s">
        <v>5006</v>
      </c>
      <c r="R1748" s="10" t="str">
        <f>IF(COUNTIF($J$2:J1748,J1748)=1,SUMIFS($O:$O,$J:$J,J1748)+SUMIFS($P:$P,$J:$J,J1748)+SUMIFS($Q:$Q,$J:$J,J1748),"")</f>
        <v/>
      </c>
      <c r="S1748" s="10" t="s">
        <v>5006</v>
      </c>
      <c r="T1748" s="11" t="str">
        <f t="shared" si="173"/>
        <v>Ok</v>
      </c>
      <c r="U1748" s="12">
        <v>46100</v>
      </c>
      <c r="V1748" s="10">
        <v>54145.32</v>
      </c>
      <c r="W1748" s="10" t="str">
        <f t="shared" si="171"/>
        <v>N/A</v>
      </c>
      <c r="X1748" t="s">
        <v>476</v>
      </c>
      <c r="Y1748" t="s">
        <v>28</v>
      </c>
      <c r="Z1748">
        <v>100205</v>
      </c>
      <c r="AA1748" t="s">
        <v>3075</v>
      </c>
      <c r="AB1748" t="s">
        <v>521</v>
      </c>
      <c r="AC1748" s="9">
        <v>2</v>
      </c>
      <c r="AD1748" s="9" t="str">
        <f t="shared" si="172"/>
        <v>N/A</v>
      </c>
      <c r="AE1748" s="11" t="e">
        <f t="shared" si="174"/>
        <v>#VALUE!</v>
      </c>
    </row>
    <row r="1749" spans="1:31" x14ac:dyDescent="0.3">
      <c r="A1749">
        <v>20</v>
      </c>
      <c r="B1749">
        <v>4856134</v>
      </c>
      <c r="C1749" t="s">
        <v>38</v>
      </c>
      <c r="D1749">
        <v>1395048</v>
      </c>
      <c r="E1749" t="s">
        <v>726</v>
      </c>
      <c r="F1749" t="s">
        <v>24</v>
      </c>
      <c r="G1749" t="s">
        <v>1565</v>
      </c>
      <c r="H1749" t="s">
        <v>1566</v>
      </c>
      <c r="I1749" t="s">
        <v>3349</v>
      </c>
      <c r="J1749">
        <v>51155486918</v>
      </c>
      <c r="K1749" t="s">
        <v>3386</v>
      </c>
      <c r="L1749" t="s">
        <v>3575</v>
      </c>
      <c r="M1749">
        <v>8000</v>
      </c>
      <c r="N1749" s="10">
        <v>3.8620000000000002E-2</v>
      </c>
      <c r="O1749" s="10">
        <f t="shared" si="170"/>
        <v>308.96000000000004</v>
      </c>
      <c r="P1749" s="10">
        <v>25.49</v>
      </c>
      <c r="Q1749" s="10">
        <v>0</v>
      </c>
      <c r="R1749" s="10">
        <f>IF(COUNTIF($J$2:J1749,J1749)=1,SUMIFS($O:$O,$J:$J,J1749)+SUMIFS($P:$P,$J:$J,J1749)+SUMIFS($Q:$Q,$J:$J,J1749),"")</f>
        <v>15194.749999999998</v>
      </c>
      <c r="S1749" s="10">
        <v>15194.75</v>
      </c>
      <c r="T1749" s="11" t="str">
        <f t="shared" si="173"/>
        <v>Ok</v>
      </c>
      <c r="U1749" s="12">
        <v>46084</v>
      </c>
      <c r="V1749" s="10">
        <v>276.89999999999998</v>
      </c>
      <c r="W1749" s="10" t="str">
        <f t="shared" si="171"/>
        <v>Short Paid</v>
      </c>
      <c r="X1749" t="s">
        <v>474</v>
      </c>
      <c r="Y1749" t="s">
        <v>40</v>
      </c>
      <c r="Z1749">
        <v>100109</v>
      </c>
      <c r="AA1749" t="s">
        <v>3151</v>
      </c>
      <c r="AB1749" t="s">
        <v>522</v>
      </c>
      <c r="AC1749" s="9">
        <v>2</v>
      </c>
      <c r="AD1749" s="9" t="str">
        <f t="shared" si="172"/>
        <v>Ok</v>
      </c>
      <c r="AE1749" s="11">
        <f t="shared" si="174"/>
        <v>0</v>
      </c>
    </row>
    <row r="1750" spans="1:31" x14ac:dyDescent="0.3">
      <c r="A1750">
        <v>20</v>
      </c>
      <c r="B1750">
        <v>4856134</v>
      </c>
      <c r="C1750" t="s">
        <v>38</v>
      </c>
      <c r="D1750">
        <v>1395048</v>
      </c>
      <c r="E1750" t="s">
        <v>726</v>
      </c>
      <c r="F1750" t="s">
        <v>24</v>
      </c>
      <c r="G1750" t="s">
        <v>1565</v>
      </c>
      <c r="H1750" t="s">
        <v>1566</v>
      </c>
      <c r="I1750" t="s">
        <v>3256</v>
      </c>
      <c r="J1750">
        <v>51155486918</v>
      </c>
      <c r="K1750" t="s">
        <v>4460</v>
      </c>
      <c r="L1750" t="s">
        <v>4484</v>
      </c>
      <c r="M1750">
        <v>161</v>
      </c>
      <c r="N1750" s="10">
        <v>92.3</v>
      </c>
      <c r="O1750" s="10">
        <f t="shared" si="170"/>
        <v>14860.3</v>
      </c>
      <c r="P1750" s="10" t="s">
        <v>5006</v>
      </c>
      <c r="Q1750" s="10" t="s">
        <v>5006</v>
      </c>
      <c r="R1750" s="10" t="str">
        <f>IF(COUNTIF($J$2:J1750,J1750)=1,SUMIFS($O:$O,$J:$J,J1750)+SUMIFS($P:$P,$J:$J,J1750)+SUMIFS($Q:$Q,$J:$J,J1750),"")</f>
        <v/>
      </c>
      <c r="S1750" s="10" t="s">
        <v>5006</v>
      </c>
      <c r="T1750" s="11" t="str">
        <f t="shared" si="173"/>
        <v>Ok</v>
      </c>
      <c r="U1750" s="12">
        <v>46084</v>
      </c>
      <c r="V1750" s="10">
        <v>276.89999999999998</v>
      </c>
      <c r="W1750" s="10" t="str">
        <f t="shared" si="171"/>
        <v>N/A</v>
      </c>
      <c r="X1750" t="s">
        <v>474</v>
      </c>
      <c r="Y1750" t="s">
        <v>40</v>
      </c>
      <c r="Z1750">
        <v>100109</v>
      </c>
      <c r="AA1750" t="s">
        <v>3151</v>
      </c>
      <c r="AB1750" t="s">
        <v>522</v>
      </c>
      <c r="AC1750" s="9">
        <v>2</v>
      </c>
      <c r="AD1750" s="9" t="str">
        <f t="shared" si="172"/>
        <v>N/A</v>
      </c>
      <c r="AE1750" s="11" t="e">
        <f t="shared" si="174"/>
        <v>#VALUE!</v>
      </c>
    </row>
    <row r="1751" spans="1:31" x14ac:dyDescent="0.3">
      <c r="A1751">
        <v>15</v>
      </c>
      <c r="B1751">
        <v>4870883</v>
      </c>
      <c r="C1751" t="s">
        <v>239</v>
      </c>
      <c r="D1751">
        <v>1112351</v>
      </c>
      <c r="E1751" t="s">
        <v>701</v>
      </c>
      <c r="F1751" t="s">
        <v>47</v>
      </c>
      <c r="G1751" t="s">
        <v>1614</v>
      </c>
      <c r="H1751" t="s">
        <v>1615</v>
      </c>
      <c r="I1751" t="s">
        <v>3419</v>
      </c>
      <c r="J1751">
        <v>51155515135</v>
      </c>
      <c r="K1751" t="s">
        <v>3532</v>
      </c>
      <c r="L1751" t="s">
        <v>3531</v>
      </c>
      <c r="M1751">
        <v>12000</v>
      </c>
      <c r="N1751" s="10">
        <v>0.77429999999999988</v>
      </c>
      <c r="O1751" s="10">
        <f t="shared" si="170"/>
        <v>9291.5999999999985</v>
      </c>
      <c r="P1751" s="10">
        <v>1567.3700000000001</v>
      </c>
      <c r="Q1751" s="10">
        <v>2722.8</v>
      </c>
      <c r="R1751" s="10">
        <f>IF(COUNTIF($J$2:J1751,J1751)=1,SUMIFS($O:$O,$J:$J,J1751)+SUMIFS($P:$P,$J:$J,J1751)+SUMIFS($Q:$Q,$J:$J,J1751),"")</f>
        <v>19747.369999999995</v>
      </c>
      <c r="S1751" s="10">
        <v>19747.370000000003</v>
      </c>
      <c r="T1751" s="11" t="str">
        <f t="shared" si="173"/>
        <v>Ok</v>
      </c>
      <c r="U1751" s="12">
        <v>46127</v>
      </c>
      <c r="V1751" s="10">
        <v>7375.83</v>
      </c>
      <c r="W1751" s="10" t="str">
        <f t="shared" si="171"/>
        <v>Short Paid</v>
      </c>
      <c r="X1751" t="s">
        <v>476</v>
      </c>
      <c r="Y1751" t="s">
        <v>28</v>
      </c>
      <c r="Z1751">
        <v>100195</v>
      </c>
      <c r="AA1751" t="s">
        <v>3070</v>
      </c>
      <c r="AB1751" t="s">
        <v>3039</v>
      </c>
      <c r="AC1751" s="9">
        <v>2</v>
      </c>
      <c r="AD1751" s="9" t="str">
        <f t="shared" si="172"/>
        <v>Ok</v>
      </c>
      <c r="AE1751" s="11">
        <f t="shared" si="174"/>
        <v>0</v>
      </c>
    </row>
    <row r="1752" spans="1:31" x14ac:dyDescent="0.3">
      <c r="A1752">
        <v>15</v>
      </c>
      <c r="B1752">
        <v>4870883</v>
      </c>
      <c r="C1752" t="s">
        <v>239</v>
      </c>
      <c r="D1752">
        <v>1112351</v>
      </c>
      <c r="E1752" t="s">
        <v>701</v>
      </c>
      <c r="F1752" t="s">
        <v>47</v>
      </c>
      <c r="G1752" t="s">
        <v>1614</v>
      </c>
      <c r="H1752" t="s">
        <v>1615</v>
      </c>
      <c r="I1752" t="s">
        <v>3316</v>
      </c>
      <c r="J1752">
        <v>51155515135</v>
      </c>
      <c r="K1752" t="s">
        <v>3431</v>
      </c>
      <c r="L1752" t="s">
        <v>3562</v>
      </c>
      <c r="M1752">
        <v>210</v>
      </c>
      <c r="N1752" s="10">
        <v>29.36</v>
      </c>
      <c r="O1752" s="10">
        <f t="shared" si="170"/>
        <v>6165.5999999999995</v>
      </c>
      <c r="P1752" s="10" t="s">
        <v>5006</v>
      </c>
      <c r="Q1752" s="10" t="s">
        <v>5006</v>
      </c>
      <c r="R1752" s="10" t="str">
        <f>IF(COUNTIF($J$2:J1752,J1752)=1,SUMIFS($O:$O,$J:$J,J1752)+SUMIFS($P:$P,$J:$J,J1752)+SUMIFS($Q:$Q,$J:$J,J1752),"")</f>
        <v/>
      </c>
      <c r="S1752" s="10" t="s">
        <v>5006</v>
      </c>
      <c r="T1752" s="11" t="str">
        <f t="shared" si="173"/>
        <v>Ok</v>
      </c>
      <c r="U1752" s="12">
        <v>46127</v>
      </c>
      <c r="V1752" s="10">
        <v>7375.83</v>
      </c>
      <c r="W1752" s="10" t="str">
        <f t="shared" si="171"/>
        <v>N/A</v>
      </c>
      <c r="X1752" t="s">
        <v>476</v>
      </c>
      <c r="Y1752" t="s">
        <v>28</v>
      </c>
      <c r="Z1752">
        <v>100195</v>
      </c>
      <c r="AA1752" t="s">
        <v>3070</v>
      </c>
      <c r="AB1752" t="s">
        <v>3039</v>
      </c>
      <c r="AC1752" s="9">
        <v>2</v>
      </c>
      <c r="AD1752" s="9" t="str">
        <f t="shared" si="172"/>
        <v>N/A</v>
      </c>
      <c r="AE1752" s="11" t="e">
        <f t="shared" si="174"/>
        <v>#VALUE!</v>
      </c>
    </row>
    <row r="1753" spans="1:31" x14ac:dyDescent="0.3">
      <c r="A1753">
        <v>7</v>
      </c>
      <c r="B1753">
        <v>4931271</v>
      </c>
      <c r="C1753" t="s">
        <v>217</v>
      </c>
      <c r="D1753">
        <v>1153947</v>
      </c>
      <c r="E1753" t="s">
        <v>747</v>
      </c>
      <c r="F1753" t="s">
        <v>24</v>
      </c>
      <c r="G1753" t="s">
        <v>1791</v>
      </c>
      <c r="H1753" t="s">
        <v>1792</v>
      </c>
      <c r="I1753" t="s">
        <v>3175</v>
      </c>
      <c r="J1753">
        <v>51155515638</v>
      </c>
      <c r="K1753" t="s">
        <v>3168</v>
      </c>
      <c r="L1753" t="s">
        <v>4485</v>
      </c>
      <c r="M1753">
        <v>9000</v>
      </c>
      <c r="N1753" s="10">
        <v>4.7370000000000002E-2</v>
      </c>
      <c r="O1753" s="10">
        <f t="shared" si="170"/>
        <v>426.33000000000004</v>
      </c>
      <c r="P1753" s="10">
        <v>0</v>
      </c>
      <c r="Q1753" s="10">
        <v>0</v>
      </c>
      <c r="R1753" s="10">
        <f>IF(COUNTIF($J$2:J1753,J1753)=1,SUMIFS($O:$O,$J:$J,J1753)+SUMIFS($P:$P,$J:$J,J1753)+SUMIFS($Q:$Q,$J:$J,J1753),"")</f>
        <v>25178.33</v>
      </c>
      <c r="S1753" s="10">
        <v>25178.33</v>
      </c>
      <c r="T1753" s="11" t="str">
        <f t="shared" si="173"/>
        <v>Ok</v>
      </c>
      <c r="U1753" s="12">
        <v>45719</v>
      </c>
      <c r="V1753" s="10">
        <v>295.85000000000002</v>
      </c>
      <c r="W1753" s="10" t="str">
        <f t="shared" si="171"/>
        <v>Short Paid</v>
      </c>
      <c r="X1753" t="s">
        <v>468</v>
      </c>
      <c r="Y1753" t="s">
        <v>40</v>
      </c>
      <c r="Z1753">
        <v>100226</v>
      </c>
      <c r="AA1753" t="s">
        <v>3162</v>
      </c>
      <c r="AB1753" t="s">
        <v>522</v>
      </c>
      <c r="AC1753" s="9">
        <v>2</v>
      </c>
      <c r="AD1753" s="9" t="str">
        <f t="shared" si="172"/>
        <v>Ok</v>
      </c>
      <c r="AE1753" s="11">
        <f t="shared" si="174"/>
        <v>0</v>
      </c>
    </row>
    <row r="1754" spans="1:31" x14ac:dyDescent="0.3">
      <c r="A1754">
        <v>7</v>
      </c>
      <c r="B1754">
        <v>4931271</v>
      </c>
      <c r="C1754" t="s">
        <v>217</v>
      </c>
      <c r="D1754">
        <v>1153947</v>
      </c>
      <c r="E1754" t="s">
        <v>747</v>
      </c>
      <c r="F1754" t="s">
        <v>24</v>
      </c>
      <c r="G1754" t="s">
        <v>1791</v>
      </c>
      <c r="H1754" t="s">
        <v>1792</v>
      </c>
      <c r="I1754" t="s">
        <v>3421</v>
      </c>
      <c r="J1754">
        <v>51155515638</v>
      </c>
      <c r="K1754" t="s">
        <v>3266</v>
      </c>
      <c r="L1754" t="s">
        <v>3403</v>
      </c>
      <c r="M1754">
        <v>5600</v>
      </c>
      <c r="N1754" s="10">
        <v>4.42</v>
      </c>
      <c r="O1754" s="10">
        <f t="shared" si="170"/>
        <v>24752</v>
      </c>
      <c r="P1754" s="10" t="s">
        <v>5006</v>
      </c>
      <c r="Q1754" s="10" t="s">
        <v>5006</v>
      </c>
      <c r="R1754" s="10" t="str">
        <f>IF(COUNTIF($J$2:J1754,J1754)=1,SUMIFS($O:$O,$J:$J,J1754)+SUMIFS($P:$P,$J:$J,J1754)+SUMIFS($Q:$Q,$J:$J,J1754),"")</f>
        <v/>
      </c>
      <c r="S1754" s="10" t="s">
        <v>5006</v>
      </c>
      <c r="T1754" s="11" t="str">
        <f t="shared" si="173"/>
        <v>Ok</v>
      </c>
      <c r="U1754" s="12">
        <v>45719</v>
      </c>
      <c r="V1754" s="10">
        <v>295.85000000000002</v>
      </c>
      <c r="W1754" s="10" t="str">
        <f t="shared" si="171"/>
        <v>N/A</v>
      </c>
      <c r="X1754" t="s">
        <v>468</v>
      </c>
      <c r="Y1754" t="s">
        <v>40</v>
      </c>
      <c r="Z1754">
        <v>100226</v>
      </c>
      <c r="AA1754" t="s">
        <v>3162</v>
      </c>
      <c r="AB1754" t="s">
        <v>522</v>
      </c>
      <c r="AC1754" s="9">
        <v>2</v>
      </c>
      <c r="AD1754" s="9" t="str">
        <f t="shared" si="172"/>
        <v>N/A</v>
      </c>
      <c r="AE1754" s="11" t="e">
        <f t="shared" si="174"/>
        <v>#VALUE!</v>
      </c>
    </row>
    <row r="1755" spans="1:31" x14ac:dyDescent="0.3">
      <c r="A1755">
        <v>18</v>
      </c>
      <c r="B1755">
        <v>4857525</v>
      </c>
      <c r="C1755" t="s">
        <v>56</v>
      </c>
      <c r="D1755">
        <v>1388979</v>
      </c>
      <c r="E1755" t="s">
        <v>728</v>
      </c>
      <c r="F1755" t="s">
        <v>46</v>
      </c>
      <c r="G1755" t="s">
        <v>1572</v>
      </c>
      <c r="H1755" t="s">
        <v>1573</v>
      </c>
      <c r="I1755" t="s">
        <v>3256</v>
      </c>
      <c r="J1755">
        <v>51155531403</v>
      </c>
      <c r="K1755" t="s">
        <v>3289</v>
      </c>
      <c r="L1755" t="s">
        <v>4486</v>
      </c>
      <c r="M1755">
        <v>200</v>
      </c>
      <c r="N1755" s="10">
        <v>46.67</v>
      </c>
      <c r="O1755" s="10">
        <f t="shared" si="170"/>
        <v>9334</v>
      </c>
      <c r="P1755" s="10">
        <v>583.38</v>
      </c>
      <c r="Q1755" s="10">
        <v>0</v>
      </c>
      <c r="R1755" s="10">
        <f>IF(COUNTIF($J$2:J1755,J1755)=1,SUMIFS($O:$O,$J:$J,J1755)+SUMIFS($P:$P,$J:$J,J1755)+SUMIFS($Q:$Q,$J:$J,J1755),"")</f>
        <v>12852.06</v>
      </c>
      <c r="S1755" s="10">
        <v>12852.06</v>
      </c>
      <c r="T1755" s="11" t="str">
        <f t="shared" si="173"/>
        <v>Ok</v>
      </c>
      <c r="U1755" s="12">
        <v>46170</v>
      </c>
      <c r="V1755" s="10">
        <v>9917.3799999999992</v>
      </c>
      <c r="W1755" s="10" t="str">
        <f t="shared" si="171"/>
        <v>Short Paid</v>
      </c>
      <c r="X1755" t="s">
        <v>435</v>
      </c>
      <c r="Y1755" t="s">
        <v>436</v>
      </c>
      <c r="Z1755">
        <v>100131</v>
      </c>
      <c r="AA1755" t="s">
        <v>3046</v>
      </c>
      <c r="AB1755" t="s">
        <v>3038</v>
      </c>
      <c r="AC1755" s="9">
        <v>2</v>
      </c>
      <c r="AD1755" s="9" t="str">
        <f t="shared" si="172"/>
        <v>Ok</v>
      </c>
      <c r="AE1755" s="11">
        <f t="shared" si="174"/>
        <v>0</v>
      </c>
    </row>
    <row r="1756" spans="1:31" x14ac:dyDescent="0.3">
      <c r="A1756">
        <v>18</v>
      </c>
      <c r="B1756">
        <v>4857525</v>
      </c>
      <c r="C1756" t="s">
        <v>56</v>
      </c>
      <c r="D1756">
        <v>1388979</v>
      </c>
      <c r="E1756" t="s">
        <v>728</v>
      </c>
      <c r="F1756" t="s">
        <v>46</v>
      </c>
      <c r="G1756" t="s">
        <v>1572</v>
      </c>
      <c r="H1756" t="s">
        <v>1573</v>
      </c>
      <c r="I1756" t="s">
        <v>3410</v>
      </c>
      <c r="J1756">
        <v>51155531403</v>
      </c>
      <c r="K1756" t="s">
        <v>3375</v>
      </c>
      <c r="L1756" t="s">
        <v>3481</v>
      </c>
      <c r="M1756">
        <v>28000</v>
      </c>
      <c r="N1756" s="10">
        <v>0.10481</v>
      </c>
      <c r="O1756" s="10">
        <f t="shared" si="170"/>
        <v>2934.68</v>
      </c>
      <c r="P1756" s="10" t="s">
        <v>5006</v>
      </c>
      <c r="Q1756" s="10" t="s">
        <v>5006</v>
      </c>
      <c r="R1756" s="10" t="str">
        <f>IF(COUNTIF($J$2:J1756,J1756)=1,SUMIFS($O:$O,$J:$J,J1756)+SUMIFS($P:$P,$J:$J,J1756)+SUMIFS($Q:$Q,$J:$J,J1756),"")</f>
        <v/>
      </c>
      <c r="S1756" s="10" t="s">
        <v>5006</v>
      </c>
      <c r="T1756" s="11" t="str">
        <f t="shared" si="173"/>
        <v>Ok</v>
      </c>
      <c r="U1756" s="12">
        <v>46170</v>
      </c>
      <c r="V1756" s="10">
        <v>9917.3799999999992</v>
      </c>
      <c r="W1756" s="10" t="str">
        <f t="shared" si="171"/>
        <v>N/A</v>
      </c>
      <c r="X1756" t="s">
        <v>435</v>
      </c>
      <c r="Y1756" t="s">
        <v>436</v>
      </c>
      <c r="Z1756">
        <v>100131</v>
      </c>
      <c r="AA1756" t="s">
        <v>3046</v>
      </c>
      <c r="AB1756" t="s">
        <v>3038</v>
      </c>
      <c r="AC1756" s="9">
        <v>2</v>
      </c>
      <c r="AD1756" s="9" t="str">
        <f t="shared" si="172"/>
        <v>N/A</v>
      </c>
      <c r="AE1756" s="11" t="e">
        <f t="shared" si="174"/>
        <v>#VALUE!</v>
      </c>
    </row>
    <row r="1757" spans="1:31" x14ac:dyDescent="0.3">
      <c r="A1757">
        <v>21</v>
      </c>
      <c r="B1757">
        <v>4854464</v>
      </c>
      <c r="C1757" t="s">
        <v>220</v>
      </c>
      <c r="D1757">
        <v>1400161</v>
      </c>
      <c r="E1757" t="s">
        <v>724</v>
      </c>
      <c r="F1757" t="s">
        <v>18</v>
      </c>
      <c r="G1757" t="s">
        <v>1559</v>
      </c>
      <c r="H1757" t="s">
        <v>1560</v>
      </c>
      <c r="I1757" t="s">
        <v>3195</v>
      </c>
      <c r="J1757">
        <v>51155577214</v>
      </c>
      <c r="K1757" t="s">
        <v>3168</v>
      </c>
      <c r="L1757" t="s">
        <v>4438</v>
      </c>
      <c r="M1757">
        <v>69000</v>
      </c>
      <c r="N1757" s="10">
        <v>0.36459999999999998</v>
      </c>
      <c r="O1757" s="10">
        <f t="shared" si="170"/>
        <v>25157.399999999998</v>
      </c>
      <c r="P1757" s="10">
        <v>0</v>
      </c>
      <c r="Q1757" s="10">
        <v>0</v>
      </c>
      <c r="R1757" s="10">
        <f>IF(COUNTIF($J$2:J1757,J1757)=1,SUMIFS($O:$O,$J:$J,J1757)+SUMIFS($P:$P,$J:$J,J1757)+SUMIFS($Q:$Q,$J:$J,J1757),"")</f>
        <v>30387.149999999998</v>
      </c>
      <c r="S1757" s="10">
        <v>30387.15</v>
      </c>
      <c r="T1757" s="11" t="str">
        <f t="shared" si="173"/>
        <v>Ok</v>
      </c>
      <c r="U1757" s="12">
        <v>46095</v>
      </c>
      <c r="V1757" s="10">
        <v>25157.4</v>
      </c>
      <c r="W1757" s="10" t="str">
        <f t="shared" si="171"/>
        <v>Short Paid</v>
      </c>
      <c r="X1757" t="s">
        <v>470</v>
      </c>
      <c r="Y1757" t="s">
        <v>28</v>
      </c>
      <c r="Z1757">
        <v>100208</v>
      </c>
      <c r="AA1757" t="s">
        <v>3098</v>
      </c>
      <c r="AB1757" t="s">
        <v>523</v>
      </c>
      <c r="AC1757" s="9">
        <v>2</v>
      </c>
      <c r="AD1757" s="9" t="str">
        <f t="shared" si="172"/>
        <v>Ok</v>
      </c>
      <c r="AE1757" s="11">
        <f t="shared" si="174"/>
        <v>0</v>
      </c>
    </row>
    <row r="1758" spans="1:31" x14ac:dyDescent="0.3">
      <c r="A1758">
        <v>21</v>
      </c>
      <c r="B1758">
        <v>4854464</v>
      </c>
      <c r="C1758" t="s">
        <v>220</v>
      </c>
      <c r="D1758">
        <v>1400161</v>
      </c>
      <c r="E1758" t="s">
        <v>724</v>
      </c>
      <c r="F1758" t="s">
        <v>18</v>
      </c>
      <c r="G1758" t="s">
        <v>1559</v>
      </c>
      <c r="H1758" t="s">
        <v>1560</v>
      </c>
      <c r="I1758" t="s">
        <v>3365</v>
      </c>
      <c r="J1758">
        <v>51155577214</v>
      </c>
      <c r="K1758" t="s">
        <v>3338</v>
      </c>
      <c r="L1758" t="s">
        <v>3337</v>
      </c>
      <c r="M1758">
        <v>5</v>
      </c>
      <c r="N1758" s="10">
        <v>1045.95</v>
      </c>
      <c r="O1758" s="10">
        <f t="shared" si="170"/>
        <v>5229.75</v>
      </c>
      <c r="P1758" s="10" t="s">
        <v>5006</v>
      </c>
      <c r="Q1758" s="10" t="s">
        <v>5006</v>
      </c>
      <c r="R1758" s="10" t="str">
        <f>IF(COUNTIF($J$2:J1758,J1758)=1,SUMIFS($O:$O,$J:$J,J1758)+SUMIFS($P:$P,$J:$J,J1758)+SUMIFS($Q:$Q,$J:$J,J1758),"")</f>
        <v/>
      </c>
      <c r="S1758" s="10" t="s">
        <v>5006</v>
      </c>
      <c r="T1758" s="11" t="str">
        <f t="shared" si="173"/>
        <v>Ok</v>
      </c>
      <c r="U1758" s="12">
        <v>46095</v>
      </c>
      <c r="V1758" s="10">
        <v>25157.4</v>
      </c>
      <c r="W1758" s="10" t="str">
        <f t="shared" si="171"/>
        <v>N/A</v>
      </c>
      <c r="X1758" t="s">
        <v>470</v>
      </c>
      <c r="Y1758" t="s">
        <v>28</v>
      </c>
      <c r="Z1758">
        <v>100208</v>
      </c>
      <c r="AA1758" t="s">
        <v>3098</v>
      </c>
      <c r="AB1758" t="s">
        <v>523</v>
      </c>
      <c r="AC1758" s="9">
        <v>2</v>
      </c>
      <c r="AD1758" s="9" t="str">
        <f t="shared" si="172"/>
        <v>N/A</v>
      </c>
      <c r="AE1758" s="11" t="e">
        <f t="shared" si="174"/>
        <v>#VALUE!</v>
      </c>
    </row>
    <row r="1759" spans="1:31" x14ac:dyDescent="0.3">
      <c r="A1759">
        <v>21</v>
      </c>
      <c r="B1759">
        <v>4854186</v>
      </c>
      <c r="C1759" t="s">
        <v>220</v>
      </c>
      <c r="D1759">
        <v>1400161</v>
      </c>
      <c r="E1759" t="s">
        <v>724</v>
      </c>
      <c r="F1759" t="s">
        <v>23</v>
      </c>
      <c r="G1759" t="s">
        <v>1557</v>
      </c>
      <c r="H1759" t="s">
        <v>1558</v>
      </c>
      <c r="I1759" t="s">
        <v>3344</v>
      </c>
      <c r="J1759">
        <v>51155606205</v>
      </c>
      <c r="K1759" t="s">
        <v>3495</v>
      </c>
      <c r="L1759" t="s">
        <v>3538</v>
      </c>
      <c r="M1759">
        <v>540</v>
      </c>
      <c r="N1759" s="10">
        <v>102.37</v>
      </c>
      <c r="O1759" s="10">
        <f t="shared" si="170"/>
        <v>55279.8</v>
      </c>
      <c r="P1759" s="10">
        <v>0</v>
      </c>
      <c r="Q1759" s="10">
        <v>0</v>
      </c>
      <c r="R1759" s="10">
        <f>IF(COUNTIF($J$2:J1759,J1759)=1,SUMIFS($O:$O,$J:$J,J1759)+SUMIFS($P:$P,$J:$J,J1759)+SUMIFS($Q:$Q,$J:$J,J1759),"")</f>
        <v>162679.79999999999</v>
      </c>
      <c r="S1759" s="10">
        <v>162679.79999999999</v>
      </c>
      <c r="T1759" s="11" t="str">
        <f t="shared" si="173"/>
        <v>Ok</v>
      </c>
      <c r="U1759" s="12">
        <v>46104</v>
      </c>
      <c r="V1759" s="10">
        <v>107400</v>
      </c>
      <c r="W1759" s="10" t="str">
        <f t="shared" si="171"/>
        <v>Short Paid</v>
      </c>
      <c r="X1759" t="s">
        <v>470</v>
      </c>
      <c r="Y1759" t="s">
        <v>436</v>
      </c>
      <c r="Z1759">
        <v>100258</v>
      </c>
      <c r="AA1759" t="s">
        <v>3135</v>
      </c>
      <c r="AB1759" t="s">
        <v>520</v>
      </c>
      <c r="AC1759" s="9">
        <v>2</v>
      </c>
      <c r="AD1759" s="9" t="str">
        <f t="shared" si="172"/>
        <v>Ok</v>
      </c>
      <c r="AE1759" s="11">
        <f t="shared" si="174"/>
        <v>0</v>
      </c>
    </row>
    <row r="1760" spans="1:31" x14ac:dyDescent="0.3">
      <c r="A1760">
        <v>21</v>
      </c>
      <c r="B1760">
        <v>4854186</v>
      </c>
      <c r="C1760" t="s">
        <v>220</v>
      </c>
      <c r="D1760">
        <v>1400161</v>
      </c>
      <c r="E1760" t="s">
        <v>724</v>
      </c>
      <c r="F1760" t="s">
        <v>23</v>
      </c>
      <c r="G1760" t="s">
        <v>1557</v>
      </c>
      <c r="H1760" t="s">
        <v>1558</v>
      </c>
      <c r="I1760" t="s">
        <v>3236</v>
      </c>
      <c r="J1760">
        <v>51155606205</v>
      </c>
      <c r="K1760" t="s">
        <v>3194</v>
      </c>
      <c r="L1760" t="s">
        <v>4487</v>
      </c>
      <c r="M1760">
        <v>12000</v>
      </c>
      <c r="N1760" s="10">
        <v>8.9499999999999993</v>
      </c>
      <c r="O1760" s="10">
        <f t="shared" si="170"/>
        <v>107399.99999999999</v>
      </c>
      <c r="P1760" s="10" t="s">
        <v>5006</v>
      </c>
      <c r="Q1760" s="10" t="s">
        <v>5006</v>
      </c>
      <c r="R1760" s="10" t="str">
        <f>IF(COUNTIF($J$2:J1760,J1760)=1,SUMIFS($O:$O,$J:$J,J1760)+SUMIFS($P:$P,$J:$J,J1760)+SUMIFS($Q:$Q,$J:$J,J1760),"")</f>
        <v/>
      </c>
      <c r="S1760" s="10" t="s">
        <v>5006</v>
      </c>
      <c r="T1760" s="11" t="str">
        <f t="shared" si="173"/>
        <v>Ok</v>
      </c>
      <c r="U1760" s="12">
        <v>46104</v>
      </c>
      <c r="V1760" s="10">
        <v>107400</v>
      </c>
      <c r="W1760" s="10" t="str">
        <f t="shared" si="171"/>
        <v>N/A</v>
      </c>
      <c r="X1760" t="s">
        <v>470</v>
      </c>
      <c r="Y1760" t="s">
        <v>436</v>
      </c>
      <c r="Z1760">
        <v>100258</v>
      </c>
      <c r="AA1760" t="s">
        <v>3135</v>
      </c>
      <c r="AB1760" t="s">
        <v>520</v>
      </c>
      <c r="AC1760" s="9">
        <v>2</v>
      </c>
      <c r="AD1760" s="9" t="str">
        <f t="shared" si="172"/>
        <v>N/A</v>
      </c>
      <c r="AE1760" s="11" t="e">
        <f t="shared" si="174"/>
        <v>#VALUE!</v>
      </c>
    </row>
    <row r="1761" spans="1:31" x14ac:dyDescent="0.3">
      <c r="A1761">
        <v>20</v>
      </c>
      <c r="B1761">
        <v>4856412</v>
      </c>
      <c r="C1761" t="s">
        <v>167</v>
      </c>
      <c r="D1761">
        <v>1384231</v>
      </c>
      <c r="E1761" t="s">
        <v>727</v>
      </c>
      <c r="F1761" t="s">
        <v>18</v>
      </c>
      <c r="G1761" t="s">
        <v>1542</v>
      </c>
      <c r="H1761" t="s">
        <v>1543</v>
      </c>
      <c r="I1761" t="s">
        <v>3254</v>
      </c>
      <c r="J1761">
        <v>51155617737</v>
      </c>
      <c r="K1761" t="s">
        <v>3475</v>
      </c>
      <c r="L1761" t="s">
        <v>3564</v>
      </c>
      <c r="M1761">
        <v>197</v>
      </c>
      <c r="N1761" s="10">
        <v>7.4950000000000001</v>
      </c>
      <c r="O1761" s="10">
        <f t="shared" si="170"/>
        <v>1476.5150000000001</v>
      </c>
      <c r="P1761" s="10">
        <v>121.81</v>
      </c>
      <c r="Q1761" s="10">
        <v>0</v>
      </c>
      <c r="R1761" s="10">
        <f>IF(COUNTIF($J$2:J1761,J1761)=1,SUMIFS($O:$O,$J:$J,J1761)+SUMIFS($P:$P,$J:$J,J1761)+SUMIFS($Q:$Q,$J:$J,J1761),"")</f>
        <v>4073.8250000000003</v>
      </c>
      <c r="S1761" s="10">
        <v>4073.83</v>
      </c>
      <c r="T1761" s="11" t="str">
        <f t="shared" si="173"/>
        <v>Check</v>
      </c>
      <c r="U1761" s="12">
        <v>46043</v>
      </c>
      <c r="V1761" s="10">
        <v>173.5</v>
      </c>
      <c r="W1761" s="10" t="str">
        <f t="shared" si="171"/>
        <v>Short Paid</v>
      </c>
      <c r="X1761" t="s">
        <v>455</v>
      </c>
      <c r="Y1761" t="s">
        <v>28</v>
      </c>
      <c r="Z1761">
        <v>100150</v>
      </c>
      <c r="AA1761" t="s">
        <v>458</v>
      </c>
      <c r="AB1761" t="s">
        <v>523</v>
      </c>
      <c r="AC1761" s="9">
        <v>2</v>
      </c>
      <c r="AD1761" s="9" t="str">
        <f t="shared" si="172"/>
        <v>Check</v>
      </c>
      <c r="AE1761" s="11">
        <f t="shared" si="174"/>
        <v>-4.999999999654392E-3</v>
      </c>
    </row>
    <row r="1762" spans="1:31" x14ac:dyDescent="0.3">
      <c r="A1762">
        <v>20</v>
      </c>
      <c r="B1762">
        <v>4856412</v>
      </c>
      <c r="C1762" t="s">
        <v>167</v>
      </c>
      <c r="D1762">
        <v>1384231</v>
      </c>
      <c r="E1762" t="s">
        <v>727</v>
      </c>
      <c r="F1762" t="s">
        <v>18</v>
      </c>
      <c r="G1762" t="s">
        <v>1542</v>
      </c>
      <c r="H1762" t="s">
        <v>1543</v>
      </c>
      <c r="I1762" t="s">
        <v>3256</v>
      </c>
      <c r="J1762">
        <v>51155617737</v>
      </c>
      <c r="K1762" t="s">
        <v>3611</v>
      </c>
      <c r="L1762" t="s">
        <v>4488</v>
      </c>
      <c r="M1762">
        <v>5000</v>
      </c>
      <c r="N1762" s="10">
        <v>0.49509999999999998</v>
      </c>
      <c r="O1762" s="10">
        <f t="shared" si="170"/>
        <v>2475.5</v>
      </c>
      <c r="P1762" s="10" t="s">
        <v>5006</v>
      </c>
      <c r="Q1762" s="10" t="s">
        <v>5006</v>
      </c>
      <c r="R1762" s="10" t="str">
        <f>IF(COUNTIF($J$2:J1762,J1762)=1,SUMIFS($O:$O,$J:$J,J1762)+SUMIFS($P:$P,$J:$J,J1762)+SUMIFS($Q:$Q,$J:$J,J1762),"")</f>
        <v/>
      </c>
      <c r="S1762" s="10" t="s">
        <v>5006</v>
      </c>
      <c r="T1762" s="11" t="str">
        <f t="shared" si="173"/>
        <v>Check</v>
      </c>
      <c r="U1762" s="12">
        <v>46043</v>
      </c>
      <c r="V1762" s="10">
        <v>173.5</v>
      </c>
      <c r="W1762" s="10" t="str">
        <f t="shared" si="171"/>
        <v>N/A</v>
      </c>
      <c r="X1762" t="s">
        <v>455</v>
      </c>
      <c r="Y1762" t="s">
        <v>28</v>
      </c>
      <c r="Z1762">
        <v>100150</v>
      </c>
      <c r="AA1762" t="s">
        <v>458</v>
      </c>
      <c r="AB1762" t="s">
        <v>523</v>
      </c>
      <c r="AC1762" s="9">
        <v>2</v>
      </c>
      <c r="AD1762" s="9" t="str">
        <f t="shared" si="172"/>
        <v>N/A</v>
      </c>
      <c r="AE1762" s="11" t="e">
        <f t="shared" si="174"/>
        <v>#VALUE!</v>
      </c>
    </row>
    <row r="1763" spans="1:31" x14ac:dyDescent="0.3">
      <c r="A1763">
        <v>21</v>
      </c>
      <c r="B1763">
        <v>4855299</v>
      </c>
      <c r="C1763" t="s">
        <v>220</v>
      </c>
      <c r="D1763">
        <v>1122365</v>
      </c>
      <c r="E1763" t="s">
        <v>725</v>
      </c>
      <c r="F1763" t="s">
        <v>20</v>
      </c>
      <c r="G1763" t="s">
        <v>1561</v>
      </c>
      <c r="H1763" t="s">
        <v>1562</v>
      </c>
      <c r="I1763" t="s">
        <v>3322</v>
      </c>
      <c r="J1763">
        <v>51155624921</v>
      </c>
      <c r="K1763" t="s">
        <v>3379</v>
      </c>
      <c r="L1763" t="s">
        <v>3878</v>
      </c>
      <c r="M1763">
        <v>28000</v>
      </c>
      <c r="N1763" s="10">
        <v>8.9999999999999993E-3</v>
      </c>
      <c r="O1763" s="10">
        <f t="shared" si="170"/>
        <v>251.99999999999997</v>
      </c>
      <c r="P1763" s="10">
        <v>0</v>
      </c>
      <c r="Q1763" s="10">
        <v>0</v>
      </c>
      <c r="R1763" s="10">
        <f>IF(COUNTIF($J$2:J1763,J1763)=1,SUMIFS($O:$O,$J:$J,J1763)+SUMIFS($P:$P,$J:$J,J1763)+SUMIFS($Q:$Q,$J:$J,J1763),"")</f>
        <v>14303.38</v>
      </c>
      <c r="S1763" s="10">
        <v>14303.38</v>
      </c>
      <c r="T1763" s="11" t="str">
        <f t="shared" si="173"/>
        <v>Ok</v>
      </c>
      <c r="U1763" s="12">
        <v>46027</v>
      </c>
      <c r="V1763" s="10">
        <v>14051.38</v>
      </c>
      <c r="W1763" s="10" t="str">
        <f t="shared" si="171"/>
        <v>Short Paid</v>
      </c>
      <c r="X1763" t="s">
        <v>470</v>
      </c>
      <c r="Y1763" t="s">
        <v>28</v>
      </c>
      <c r="Z1763">
        <v>100278</v>
      </c>
      <c r="AA1763" t="s">
        <v>3114</v>
      </c>
      <c r="AB1763" t="s">
        <v>521</v>
      </c>
      <c r="AC1763" s="9">
        <v>2</v>
      </c>
      <c r="AD1763" s="9" t="str">
        <f t="shared" si="172"/>
        <v>Ok</v>
      </c>
      <c r="AE1763" s="11">
        <f t="shared" si="174"/>
        <v>0</v>
      </c>
    </row>
    <row r="1764" spans="1:31" x14ac:dyDescent="0.3">
      <c r="A1764">
        <v>21</v>
      </c>
      <c r="B1764">
        <v>4855299</v>
      </c>
      <c r="C1764" t="s">
        <v>220</v>
      </c>
      <c r="D1764">
        <v>1122365</v>
      </c>
      <c r="E1764" t="s">
        <v>725</v>
      </c>
      <c r="F1764" t="s">
        <v>20</v>
      </c>
      <c r="G1764" t="s">
        <v>1561</v>
      </c>
      <c r="H1764" t="s">
        <v>1562</v>
      </c>
      <c r="I1764" t="s">
        <v>3393</v>
      </c>
      <c r="J1764">
        <v>51155624921</v>
      </c>
      <c r="K1764" t="s">
        <v>3201</v>
      </c>
      <c r="L1764" t="s">
        <v>4489</v>
      </c>
      <c r="M1764">
        <v>1202</v>
      </c>
      <c r="N1764" s="10">
        <v>11.69</v>
      </c>
      <c r="O1764" s="10">
        <f t="shared" si="170"/>
        <v>14051.38</v>
      </c>
      <c r="P1764" s="10" t="s">
        <v>5006</v>
      </c>
      <c r="Q1764" s="10" t="s">
        <v>5006</v>
      </c>
      <c r="R1764" s="10" t="str">
        <f>IF(COUNTIF($J$2:J1764,J1764)=1,SUMIFS($O:$O,$J:$J,J1764)+SUMIFS($P:$P,$J:$J,J1764)+SUMIFS($Q:$Q,$J:$J,J1764),"")</f>
        <v/>
      </c>
      <c r="S1764" s="10" t="s">
        <v>5006</v>
      </c>
      <c r="T1764" s="11" t="str">
        <f t="shared" si="173"/>
        <v>Ok</v>
      </c>
      <c r="U1764" s="12">
        <v>46027</v>
      </c>
      <c r="V1764" s="10">
        <v>14051.38</v>
      </c>
      <c r="W1764" s="10" t="str">
        <f t="shared" si="171"/>
        <v>N/A</v>
      </c>
      <c r="X1764" t="s">
        <v>470</v>
      </c>
      <c r="Y1764" t="s">
        <v>28</v>
      </c>
      <c r="Z1764">
        <v>100278</v>
      </c>
      <c r="AA1764" t="s">
        <v>3114</v>
      </c>
      <c r="AB1764" t="s">
        <v>521</v>
      </c>
      <c r="AC1764" s="9">
        <v>2</v>
      </c>
      <c r="AD1764" s="9" t="str">
        <f t="shared" si="172"/>
        <v>N/A</v>
      </c>
      <c r="AE1764" s="11" t="e">
        <f t="shared" si="174"/>
        <v>#VALUE!</v>
      </c>
    </row>
    <row r="1765" spans="1:31" x14ac:dyDescent="0.3">
      <c r="A1765">
        <v>16</v>
      </c>
      <c r="B1765">
        <v>4865596</v>
      </c>
      <c r="C1765" t="s">
        <v>160</v>
      </c>
      <c r="D1765">
        <v>1262308</v>
      </c>
      <c r="E1765" t="s">
        <v>611</v>
      </c>
      <c r="F1765" t="s">
        <v>24</v>
      </c>
      <c r="G1765" t="s">
        <v>1604</v>
      </c>
      <c r="H1765" t="s">
        <v>1605</v>
      </c>
      <c r="I1765" t="s">
        <v>3581</v>
      </c>
      <c r="J1765">
        <v>51155653794</v>
      </c>
      <c r="K1765" t="s">
        <v>3177</v>
      </c>
      <c r="L1765" t="s">
        <v>4490</v>
      </c>
      <c r="M1765">
        <v>2000</v>
      </c>
      <c r="N1765" s="10">
        <v>0.24</v>
      </c>
      <c r="O1765" s="10">
        <f t="shared" si="170"/>
        <v>480</v>
      </c>
      <c r="P1765" s="10">
        <v>0</v>
      </c>
      <c r="Q1765" s="10">
        <v>45.6</v>
      </c>
      <c r="R1765" s="10">
        <f>IF(COUNTIF($J$2:J1765,J1765)=1,SUMIFS($O:$O,$J:$J,J1765)+SUMIFS($P:$P,$J:$J,J1765)+SUMIFS($Q:$Q,$J:$J,J1765),"")</f>
        <v>741.6</v>
      </c>
      <c r="S1765" s="10">
        <v>741.6</v>
      </c>
      <c r="T1765" s="11" t="str">
        <f t="shared" si="173"/>
        <v>Ok</v>
      </c>
      <c r="U1765" s="12">
        <v>46127</v>
      </c>
      <c r="V1765" s="10">
        <v>480</v>
      </c>
      <c r="W1765" s="10" t="str">
        <f t="shared" si="171"/>
        <v>Short Paid</v>
      </c>
      <c r="X1765" t="s">
        <v>453</v>
      </c>
      <c r="Y1765" t="s">
        <v>40</v>
      </c>
      <c r="Z1765">
        <v>100264</v>
      </c>
      <c r="AA1765" t="s">
        <v>3154</v>
      </c>
      <c r="AB1765" t="s">
        <v>522</v>
      </c>
      <c r="AC1765" s="9">
        <v>2</v>
      </c>
      <c r="AD1765" s="9" t="str">
        <f t="shared" si="172"/>
        <v>Ok</v>
      </c>
      <c r="AE1765" s="11">
        <f t="shared" si="174"/>
        <v>0</v>
      </c>
    </row>
    <row r="1766" spans="1:31" x14ac:dyDescent="0.3">
      <c r="A1766">
        <v>16</v>
      </c>
      <c r="B1766">
        <v>4865596</v>
      </c>
      <c r="C1766" t="s">
        <v>160</v>
      </c>
      <c r="D1766">
        <v>1262308</v>
      </c>
      <c r="E1766" t="s">
        <v>611</v>
      </c>
      <c r="F1766" t="s">
        <v>24</v>
      </c>
      <c r="G1766" t="s">
        <v>1604</v>
      </c>
      <c r="H1766" t="s">
        <v>1605</v>
      </c>
      <c r="I1766" t="s">
        <v>3247</v>
      </c>
      <c r="J1766">
        <v>51155653794</v>
      </c>
      <c r="K1766" t="s">
        <v>3370</v>
      </c>
      <c r="L1766" t="s">
        <v>3548</v>
      </c>
      <c r="M1766">
        <v>3000</v>
      </c>
      <c r="N1766" s="10">
        <v>7.1999999999999995E-2</v>
      </c>
      <c r="O1766" s="10">
        <f t="shared" si="170"/>
        <v>215.99999999999997</v>
      </c>
      <c r="P1766" s="10" t="s">
        <v>5006</v>
      </c>
      <c r="Q1766" s="10" t="s">
        <v>5006</v>
      </c>
      <c r="R1766" s="10" t="str">
        <f>IF(COUNTIF($J$2:J1766,J1766)=1,SUMIFS($O:$O,$J:$J,J1766)+SUMIFS($P:$P,$J:$J,J1766)+SUMIFS($Q:$Q,$J:$J,J1766),"")</f>
        <v/>
      </c>
      <c r="S1766" s="10" t="s">
        <v>5006</v>
      </c>
      <c r="T1766" s="11" t="str">
        <f t="shared" si="173"/>
        <v>Ok</v>
      </c>
      <c r="U1766" s="12">
        <v>46127</v>
      </c>
      <c r="V1766" s="10">
        <v>480</v>
      </c>
      <c r="W1766" s="10" t="str">
        <f t="shared" si="171"/>
        <v>N/A</v>
      </c>
      <c r="X1766" t="s">
        <v>453</v>
      </c>
      <c r="Y1766" t="s">
        <v>40</v>
      </c>
      <c r="Z1766">
        <v>100264</v>
      </c>
      <c r="AA1766" t="s">
        <v>3154</v>
      </c>
      <c r="AB1766" t="s">
        <v>522</v>
      </c>
      <c r="AC1766" s="9">
        <v>2</v>
      </c>
      <c r="AD1766" s="9" t="str">
        <f t="shared" si="172"/>
        <v>N/A</v>
      </c>
      <c r="AE1766" s="11" t="e">
        <f t="shared" si="174"/>
        <v>#VALUE!</v>
      </c>
    </row>
    <row r="1767" spans="1:31" x14ac:dyDescent="0.3">
      <c r="A1767">
        <v>24</v>
      </c>
      <c r="B1767">
        <v>4834150</v>
      </c>
      <c r="C1767" t="s">
        <v>239</v>
      </c>
      <c r="D1767">
        <v>1981156</v>
      </c>
      <c r="E1767" t="s">
        <v>573</v>
      </c>
      <c r="F1767" t="s">
        <v>25</v>
      </c>
      <c r="G1767" t="s">
        <v>2853</v>
      </c>
      <c r="H1767" t="s">
        <v>2854</v>
      </c>
      <c r="I1767" t="s">
        <v>3163</v>
      </c>
      <c r="J1767">
        <v>51155698447</v>
      </c>
      <c r="K1767" t="s">
        <v>3216</v>
      </c>
      <c r="L1767" t="s">
        <v>3215</v>
      </c>
      <c r="M1767">
        <v>100000</v>
      </c>
      <c r="N1767" s="10">
        <v>1.8700000000000001E-2</v>
      </c>
      <c r="O1767" s="10">
        <f t="shared" si="170"/>
        <v>1870.0000000000002</v>
      </c>
      <c r="P1767" s="10">
        <v>88.88</v>
      </c>
      <c r="Q1767" s="10">
        <v>0</v>
      </c>
      <c r="R1767" s="10">
        <f>IF(COUNTIF($J$2:J1767,J1767)=1,SUMIFS($O:$O,$J:$J,J1767)+SUMIFS($P:$P,$J:$J,J1767)+SUMIFS($Q:$Q,$J:$J,J1767),"")</f>
        <v>66811.58</v>
      </c>
      <c r="S1767" s="10">
        <v>103171.58</v>
      </c>
      <c r="T1767" s="11" t="str">
        <f t="shared" si="173"/>
        <v>Check</v>
      </c>
      <c r="U1767" s="12">
        <v>46043</v>
      </c>
      <c r="V1767" s="10">
        <v>1076.3800000000001</v>
      </c>
      <c r="W1767" s="10" t="str">
        <f t="shared" si="171"/>
        <v>Short Paid</v>
      </c>
      <c r="X1767" t="s">
        <v>476</v>
      </c>
      <c r="Y1767" t="s">
        <v>28</v>
      </c>
      <c r="Z1767">
        <v>100155</v>
      </c>
      <c r="AA1767" t="s">
        <v>3072</v>
      </c>
      <c r="AB1767" t="s">
        <v>525</v>
      </c>
      <c r="AC1767" s="9">
        <v>5</v>
      </c>
      <c r="AD1767" s="9" t="str">
        <f t="shared" si="172"/>
        <v>Check</v>
      </c>
      <c r="AE1767" s="11">
        <f t="shared" si="174"/>
        <v>-36360</v>
      </c>
    </row>
    <row r="1768" spans="1:31" x14ac:dyDescent="0.3">
      <c r="A1768">
        <v>24</v>
      </c>
      <c r="B1768">
        <v>4834150</v>
      </c>
      <c r="C1768" t="s">
        <v>239</v>
      </c>
      <c r="D1768">
        <v>1981156</v>
      </c>
      <c r="E1768" t="s">
        <v>573</v>
      </c>
      <c r="F1768" t="s">
        <v>25</v>
      </c>
      <c r="G1768" t="s">
        <v>2853</v>
      </c>
      <c r="H1768" t="s">
        <v>2854</v>
      </c>
      <c r="I1768" t="s">
        <v>3163</v>
      </c>
      <c r="J1768">
        <v>51155698447</v>
      </c>
      <c r="K1768" t="s">
        <v>4492</v>
      </c>
      <c r="L1768" t="s">
        <v>4491</v>
      </c>
      <c r="M1768">
        <v>24000</v>
      </c>
      <c r="N1768" s="10">
        <v>1.5149999999999999</v>
      </c>
      <c r="O1768" s="10">
        <f t="shared" si="170"/>
        <v>36360</v>
      </c>
      <c r="P1768" s="10" t="s">
        <v>5006</v>
      </c>
      <c r="Q1768" s="10" t="s">
        <v>5006</v>
      </c>
      <c r="R1768" s="10" t="str">
        <f>IF(COUNTIF($J$2:J1768,J1768)=1,SUMIFS($O:$O,$J:$J,J1768)+SUMIFS($P:$P,$J:$J,J1768)+SUMIFS($Q:$Q,$J:$J,J1768),"")</f>
        <v/>
      </c>
      <c r="S1768" s="10" t="s">
        <v>5006</v>
      </c>
      <c r="T1768" s="11" t="str">
        <f t="shared" si="173"/>
        <v>Check</v>
      </c>
      <c r="U1768" s="12">
        <v>46043</v>
      </c>
      <c r="V1768" s="10">
        <v>1076.3800000000001</v>
      </c>
      <c r="W1768" s="10" t="str">
        <f t="shared" si="171"/>
        <v>N/A</v>
      </c>
      <c r="X1768" t="s">
        <v>476</v>
      </c>
      <c r="Y1768" t="s">
        <v>28</v>
      </c>
      <c r="Z1768">
        <v>100155</v>
      </c>
      <c r="AA1768" t="s">
        <v>3072</v>
      </c>
      <c r="AB1768" t="s">
        <v>525</v>
      </c>
      <c r="AC1768" s="9">
        <v>5</v>
      </c>
      <c r="AD1768" s="9" t="str">
        <f t="shared" si="172"/>
        <v>N/A</v>
      </c>
      <c r="AE1768" s="11" t="e">
        <f t="shared" si="174"/>
        <v>#VALUE!</v>
      </c>
    </row>
    <row r="1769" spans="1:31" x14ac:dyDescent="0.3">
      <c r="A1769">
        <v>24</v>
      </c>
      <c r="B1769">
        <v>4834150</v>
      </c>
      <c r="C1769" t="s">
        <v>239</v>
      </c>
      <c r="D1769">
        <v>1981156</v>
      </c>
      <c r="E1769" t="s">
        <v>573</v>
      </c>
      <c r="F1769" t="s">
        <v>25</v>
      </c>
      <c r="G1769" t="s">
        <v>2853</v>
      </c>
      <c r="H1769" t="s">
        <v>2854</v>
      </c>
      <c r="I1769" t="s">
        <v>3163</v>
      </c>
      <c r="J1769">
        <v>51155698447</v>
      </c>
      <c r="K1769" t="s">
        <v>3488</v>
      </c>
      <c r="L1769" t="s">
        <v>3721</v>
      </c>
      <c r="M1769">
        <v>50400</v>
      </c>
      <c r="N1769" s="10">
        <v>0.48799999999999999</v>
      </c>
      <c r="O1769" s="10">
        <f t="shared" si="170"/>
        <v>24595.200000000001</v>
      </c>
      <c r="P1769" s="10" t="s">
        <v>5006</v>
      </c>
      <c r="Q1769" s="10" t="s">
        <v>5006</v>
      </c>
      <c r="R1769" s="10" t="str">
        <f>IF(COUNTIF($J$2:J1769,J1769)=1,SUMIFS($O:$O,$J:$J,J1769)+SUMIFS($P:$P,$J:$J,J1769)+SUMIFS($Q:$Q,$J:$J,J1769),"")</f>
        <v/>
      </c>
      <c r="S1769" s="10" t="s">
        <v>5006</v>
      </c>
      <c r="T1769" s="11" t="str">
        <f t="shared" si="173"/>
        <v>Check</v>
      </c>
      <c r="U1769" s="12">
        <v>46043</v>
      </c>
      <c r="V1769" s="10">
        <v>1076.3800000000001</v>
      </c>
      <c r="W1769" s="10" t="str">
        <f t="shared" si="171"/>
        <v>N/A</v>
      </c>
      <c r="X1769" t="s">
        <v>476</v>
      </c>
      <c r="Y1769" t="s">
        <v>28</v>
      </c>
      <c r="Z1769">
        <v>100155</v>
      </c>
      <c r="AA1769" t="s">
        <v>3072</v>
      </c>
      <c r="AB1769" t="s">
        <v>525</v>
      </c>
      <c r="AC1769" s="9">
        <v>5</v>
      </c>
      <c r="AD1769" s="9" t="str">
        <f t="shared" si="172"/>
        <v>N/A</v>
      </c>
      <c r="AE1769" s="11" t="e">
        <f t="shared" si="174"/>
        <v>#VALUE!</v>
      </c>
    </row>
    <row r="1770" spans="1:31" x14ac:dyDescent="0.3">
      <c r="A1770">
        <v>24</v>
      </c>
      <c r="B1770">
        <v>4834150</v>
      </c>
      <c r="C1770" t="s">
        <v>239</v>
      </c>
      <c r="D1770">
        <v>1981156</v>
      </c>
      <c r="E1770" t="s">
        <v>573</v>
      </c>
      <c r="F1770" t="s">
        <v>25</v>
      </c>
      <c r="G1770" t="s">
        <v>2853</v>
      </c>
      <c r="H1770" t="s">
        <v>2854</v>
      </c>
      <c r="I1770" t="s">
        <v>3163</v>
      </c>
      <c r="J1770">
        <v>51155698447</v>
      </c>
      <c r="K1770" t="s">
        <v>3207</v>
      </c>
      <c r="L1770" t="s">
        <v>3870</v>
      </c>
      <c r="M1770">
        <v>100000</v>
      </c>
      <c r="N1770" s="10">
        <v>2.9100000000000001E-2</v>
      </c>
      <c r="O1770" s="10">
        <f t="shared" si="170"/>
        <v>2910</v>
      </c>
      <c r="P1770" s="10" t="s">
        <v>5006</v>
      </c>
      <c r="Q1770" s="10" t="s">
        <v>5006</v>
      </c>
      <c r="R1770" s="10" t="str">
        <f>IF(COUNTIF($J$2:J1770,J1770)=1,SUMIFS($O:$O,$J:$J,J1770)+SUMIFS($P:$P,$J:$J,J1770)+SUMIFS($Q:$Q,$J:$J,J1770),"")</f>
        <v/>
      </c>
      <c r="S1770" s="10" t="s">
        <v>5006</v>
      </c>
      <c r="T1770" s="11" t="str">
        <f t="shared" si="173"/>
        <v>Check</v>
      </c>
      <c r="U1770" s="12">
        <v>46043</v>
      </c>
      <c r="V1770" s="10">
        <v>1076.3800000000001</v>
      </c>
      <c r="W1770" s="10" t="str">
        <f t="shared" si="171"/>
        <v>N/A</v>
      </c>
      <c r="X1770" t="s">
        <v>476</v>
      </c>
      <c r="Y1770" t="s">
        <v>28</v>
      </c>
      <c r="Z1770">
        <v>100155</v>
      </c>
      <c r="AA1770" t="s">
        <v>3072</v>
      </c>
      <c r="AB1770" t="s">
        <v>525</v>
      </c>
      <c r="AC1770" s="9">
        <v>5</v>
      </c>
      <c r="AD1770" s="9" t="str">
        <f t="shared" si="172"/>
        <v>N/A</v>
      </c>
      <c r="AE1770" s="11" t="e">
        <f t="shared" si="174"/>
        <v>#VALUE!</v>
      </c>
    </row>
    <row r="1771" spans="1:31" x14ac:dyDescent="0.3">
      <c r="A1771">
        <v>24</v>
      </c>
      <c r="B1771">
        <v>4834150</v>
      </c>
      <c r="C1771" t="s">
        <v>239</v>
      </c>
      <c r="D1771">
        <v>1981156</v>
      </c>
      <c r="E1771" t="s">
        <v>573</v>
      </c>
      <c r="F1771" t="s">
        <v>25</v>
      </c>
      <c r="G1771" t="s">
        <v>2853</v>
      </c>
      <c r="H1771" t="s">
        <v>2854</v>
      </c>
      <c r="I1771" t="s">
        <v>3249</v>
      </c>
      <c r="J1771">
        <v>51155698447</v>
      </c>
      <c r="K1771" t="s">
        <v>4040</v>
      </c>
      <c r="L1771" t="s">
        <v>4493</v>
      </c>
      <c r="M1771">
        <v>2</v>
      </c>
      <c r="N1771" s="10">
        <v>493.75</v>
      </c>
      <c r="O1771" s="10">
        <f t="shared" si="170"/>
        <v>987.5</v>
      </c>
      <c r="P1771" s="10" t="s">
        <v>5006</v>
      </c>
      <c r="Q1771" s="10" t="s">
        <v>5006</v>
      </c>
      <c r="R1771" s="10" t="str">
        <f>IF(COUNTIF($J$2:J1771,J1771)=1,SUMIFS($O:$O,$J:$J,J1771)+SUMIFS($P:$P,$J:$J,J1771)+SUMIFS($Q:$Q,$J:$J,J1771),"")</f>
        <v/>
      </c>
      <c r="S1771" s="10" t="s">
        <v>5006</v>
      </c>
      <c r="T1771" s="11" t="str">
        <f t="shared" si="173"/>
        <v>Check</v>
      </c>
      <c r="U1771" s="12">
        <v>46043</v>
      </c>
      <c r="V1771" s="10">
        <v>1076.3800000000001</v>
      </c>
      <c r="W1771" s="10" t="str">
        <f t="shared" si="171"/>
        <v>N/A</v>
      </c>
      <c r="X1771" t="s">
        <v>476</v>
      </c>
      <c r="Y1771" t="s">
        <v>28</v>
      </c>
      <c r="Z1771">
        <v>100155</v>
      </c>
      <c r="AA1771" t="s">
        <v>3072</v>
      </c>
      <c r="AB1771" t="s">
        <v>525</v>
      </c>
      <c r="AC1771" s="9">
        <v>5</v>
      </c>
      <c r="AD1771" s="9" t="str">
        <f t="shared" si="172"/>
        <v>N/A</v>
      </c>
      <c r="AE1771" s="11" t="e">
        <f t="shared" si="174"/>
        <v>#VALUE!</v>
      </c>
    </row>
    <row r="1772" spans="1:31" x14ac:dyDescent="0.3">
      <c r="A1772">
        <v>22</v>
      </c>
      <c r="B1772">
        <v>4837767</v>
      </c>
      <c r="C1772" t="s">
        <v>160</v>
      </c>
      <c r="D1772">
        <v>1507117</v>
      </c>
      <c r="E1772" t="s">
        <v>161</v>
      </c>
      <c r="F1772" t="s">
        <v>24</v>
      </c>
      <c r="G1772" t="s">
        <v>2816</v>
      </c>
      <c r="H1772" t="s">
        <v>1499</v>
      </c>
      <c r="I1772" t="s">
        <v>3395</v>
      </c>
      <c r="J1772">
        <v>51155736614</v>
      </c>
      <c r="K1772" t="s">
        <v>3656</v>
      </c>
      <c r="L1772" t="s">
        <v>4494</v>
      </c>
      <c r="M1772">
        <v>4000</v>
      </c>
      <c r="N1772" s="10">
        <v>0.629</v>
      </c>
      <c r="O1772" s="10">
        <f t="shared" si="170"/>
        <v>2516</v>
      </c>
      <c r="P1772" s="10">
        <v>0</v>
      </c>
      <c r="Q1772" s="10">
        <v>0</v>
      </c>
      <c r="R1772" s="10">
        <f>IF(COUNTIF($J$2:J1772,J1772)=1,SUMIFS($O:$O,$J:$J,J1772)+SUMIFS($P:$P,$J:$J,J1772)+SUMIFS($Q:$Q,$J:$J,J1772),"")</f>
        <v>3328</v>
      </c>
      <c r="S1772" s="10">
        <v>3613</v>
      </c>
      <c r="T1772" s="11" t="str">
        <f t="shared" si="173"/>
        <v>Check</v>
      </c>
      <c r="U1772" s="12">
        <v>46149</v>
      </c>
      <c r="V1772" s="10">
        <v>527</v>
      </c>
      <c r="W1772" s="10" t="str">
        <f t="shared" si="171"/>
        <v>Short Paid</v>
      </c>
      <c r="X1772" t="s">
        <v>453</v>
      </c>
      <c r="Y1772" t="s">
        <v>40</v>
      </c>
      <c r="Z1772">
        <v>100224</v>
      </c>
      <c r="AA1772" t="s">
        <v>3079</v>
      </c>
      <c r="AB1772" t="s">
        <v>522</v>
      </c>
      <c r="AC1772" s="9">
        <v>3</v>
      </c>
      <c r="AD1772" s="9" t="str">
        <f t="shared" si="172"/>
        <v>Check</v>
      </c>
      <c r="AE1772" s="11">
        <f t="shared" si="174"/>
        <v>-285</v>
      </c>
    </row>
    <row r="1773" spans="1:31" x14ac:dyDescent="0.3">
      <c r="A1773">
        <v>22</v>
      </c>
      <c r="B1773">
        <v>4837767</v>
      </c>
      <c r="C1773" t="s">
        <v>160</v>
      </c>
      <c r="D1773">
        <v>1507117</v>
      </c>
      <c r="E1773" t="s">
        <v>161</v>
      </c>
      <c r="F1773" t="s">
        <v>24</v>
      </c>
      <c r="G1773" t="s">
        <v>2816</v>
      </c>
      <c r="H1773" t="s">
        <v>1499</v>
      </c>
      <c r="I1773" t="s">
        <v>3329</v>
      </c>
      <c r="J1773">
        <v>51155736614</v>
      </c>
      <c r="K1773" t="s">
        <v>3209</v>
      </c>
      <c r="L1773" t="s">
        <v>4495</v>
      </c>
      <c r="M1773">
        <v>1</v>
      </c>
      <c r="N1773" s="10">
        <v>285</v>
      </c>
      <c r="O1773" s="10">
        <f t="shared" si="170"/>
        <v>285</v>
      </c>
      <c r="P1773" s="10" t="s">
        <v>5006</v>
      </c>
      <c r="Q1773" s="10" t="s">
        <v>5006</v>
      </c>
      <c r="R1773" s="10" t="str">
        <f>IF(COUNTIF($J$2:J1773,J1773)=1,SUMIFS($O:$O,$J:$J,J1773)+SUMIFS($P:$P,$J:$J,J1773)+SUMIFS($Q:$Q,$J:$J,J1773),"")</f>
        <v/>
      </c>
      <c r="S1773" s="10" t="s">
        <v>5006</v>
      </c>
      <c r="T1773" s="11" t="str">
        <f t="shared" si="173"/>
        <v>Check</v>
      </c>
      <c r="U1773" s="12">
        <v>46149</v>
      </c>
      <c r="V1773" s="10">
        <v>527</v>
      </c>
      <c r="W1773" s="10" t="str">
        <f t="shared" si="171"/>
        <v>N/A</v>
      </c>
      <c r="X1773" t="s">
        <v>453</v>
      </c>
      <c r="Y1773" t="s">
        <v>40</v>
      </c>
      <c r="Z1773">
        <v>100224</v>
      </c>
      <c r="AA1773" t="s">
        <v>3079</v>
      </c>
      <c r="AB1773" t="s">
        <v>522</v>
      </c>
      <c r="AC1773" s="9">
        <v>3</v>
      </c>
      <c r="AD1773" s="9" t="str">
        <f t="shared" si="172"/>
        <v>N/A</v>
      </c>
      <c r="AE1773" s="11" t="e">
        <f t="shared" si="174"/>
        <v>#VALUE!</v>
      </c>
    </row>
    <row r="1774" spans="1:31" x14ac:dyDescent="0.3">
      <c r="A1774">
        <v>22</v>
      </c>
      <c r="B1774">
        <v>4837767</v>
      </c>
      <c r="C1774" t="s">
        <v>160</v>
      </c>
      <c r="D1774">
        <v>1507117</v>
      </c>
      <c r="E1774" t="s">
        <v>161</v>
      </c>
      <c r="F1774" t="s">
        <v>24</v>
      </c>
      <c r="G1774" t="s">
        <v>2816</v>
      </c>
      <c r="H1774" t="s">
        <v>1499</v>
      </c>
      <c r="I1774" t="s">
        <v>3329</v>
      </c>
      <c r="J1774">
        <v>51155736614</v>
      </c>
      <c r="K1774" t="s">
        <v>3209</v>
      </c>
      <c r="L1774" t="s">
        <v>4496</v>
      </c>
      <c r="M1774">
        <v>50</v>
      </c>
      <c r="N1774" s="10">
        <v>10.54</v>
      </c>
      <c r="O1774" s="10">
        <f t="shared" si="170"/>
        <v>527</v>
      </c>
      <c r="P1774" s="10" t="s">
        <v>5006</v>
      </c>
      <c r="Q1774" s="10" t="s">
        <v>5006</v>
      </c>
      <c r="R1774" s="10" t="str">
        <f>IF(COUNTIF($J$2:J1774,J1774)=1,SUMIFS($O:$O,$J:$J,J1774)+SUMIFS($P:$P,$J:$J,J1774)+SUMIFS($Q:$Q,$J:$J,J1774),"")</f>
        <v/>
      </c>
      <c r="S1774" s="10" t="s">
        <v>5006</v>
      </c>
      <c r="T1774" s="11" t="str">
        <f t="shared" si="173"/>
        <v>Check</v>
      </c>
      <c r="U1774" s="12">
        <v>46149</v>
      </c>
      <c r="V1774" s="10">
        <v>527</v>
      </c>
      <c r="W1774" s="10" t="str">
        <f t="shared" si="171"/>
        <v>N/A</v>
      </c>
      <c r="X1774" t="s">
        <v>453</v>
      </c>
      <c r="Y1774" t="s">
        <v>40</v>
      </c>
      <c r="Z1774">
        <v>100224</v>
      </c>
      <c r="AA1774" t="s">
        <v>3079</v>
      </c>
      <c r="AB1774" t="s">
        <v>522</v>
      </c>
      <c r="AC1774" s="9">
        <v>3</v>
      </c>
      <c r="AD1774" s="9" t="str">
        <f t="shared" si="172"/>
        <v>N/A</v>
      </c>
      <c r="AE1774" s="11" t="e">
        <f t="shared" si="174"/>
        <v>#VALUE!</v>
      </c>
    </row>
    <row r="1775" spans="1:31" x14ac:dyDescent="0.3">
      <c r="A1775">
        <v>18</v>
      </c>
      <c r="B1775">
        <v>4860587</v>
      </c>
      <c r="C1775" t="s">
        <v>220</v>
      </c>
      <c r="D1775">
        <v>1379208</v>
      </c>
      <c r="E1775" t="s">
        <v>603</v>
      </c>
      <c r="F1775" t="s">
        <v>20</v>
      </c>
      <c r="G1775" t="s">
        <v>1587</v>
      </c>
      <c r="H1775" t="s">
        <v>1588</v>
      </c>
      <c r="I1775" t="s">
        <v>3206</v>
      </c>
      <c r="J1775">
        <v>51155782322</v>
      </c>
      <c r="K1775" t="s">
        <v>3370</v>
      </c>
      <c r="L1775" t="s">
        <v>3578</v>
      </c>
      <c r="M1775">
        <v>95000</v>
      </c>
      <c r="N1775" s="10">
        <v>2.8899999999999999E-2</v>
      </c>
      <c r="O1775" s="10">
        <f t="shared" si="170"/>
        <v>2745.5</v>
      </c>
      <c r="P1775" s="10">
        <v>0</v>
      </c>
      <c r="Q1775" s="10" t="s">
        <v>5006</v>
      </c>
      <c r="R1775" s="10">
        <f>IF(COUNTIF($J$2:J1775,J1775)=1,SUMIFS($O:$O,$J:$J,J1775)+SUMIFS($P:$P,$J:$J,J1775)+SUMIFS($Q:$Q,$J:$J,J1775),"")</f>
        <v>4868.0599999999995</v>
      </c>
      <c r="S1775" s="10">
        <v>4868.0599999999995</v>
      </c>
      <c r="T1775" s="11" t="str">
        <f t="shared" si="173"/>
        <v>Ok</v>
      </c>
      <c r="U1775" s="12">
        <v>46129</v>
      </c>
      <c r="V1775" s="10">
        <v>2122.56</v>
      </c>
      <c r="W1775" s="10" t="str">
        <f t="shared" si="171"/>
        <v>Short Paid</v>
      </c>
      <c r="X1775" t="s">
        <v>470</v>
      </c>
      <c r="Y1775" t="s">
        <v>28</v>
      </c>
      <c r="Z1775">
        <v>100248</v>
      </c>
      <c r="AA1775" t="s">
        <v>3117</v>
      </c>
      <c r="AB1775" t="s">
        <v>521</v>
      </c>
      <c r="AC1775" s="9">
        <v>2</v>
      </c>
      <c r="AD1775" s="9" t="str">
        <f t="shared" si="172"/>
        <v>Ok</v>
      </c>
      <c r="AE1775" s="11">
        <f t="shared" si="174"/>
        <v>0</v>
      </c>
    </row>
    <row r="1776" spans="1:31" x14ac:dyDescent="0.3">
      <c r="A1776">
        <v>18</v>
      </c>
      <c r="B1776">
        <v>4860587</v>
      </c>
      <c r="C1776" t="s">
        <v>220</v>
      </c>
      <c r="D1776">
        <v>1379208</v>
      </c>
      <c r="E1776" t="s">
        <v>603</v>
      </c>
      <c r="F1776" t="s">
        <v>20</v>
      </c>
      <c r="G1776" t="s">
        <v>1587</v>
      </c>
      <c r="H1776" t="s">
        <v>1588</v>
      </c>
      <c r="I1776" t="s">
        <v>3195</v>
      </c>
      <c r="J1776">
        <v>51155782322</v>
      </c>
      <c r="K1776" s="12">
        <v>46082</v>
      </c>
      <c r="L1776" t="s">
        <v>3592</v>
      </c>
      <c r="M1776">
        <v>288</v>
      </c>
      <c r="N1776" s="10">
        <v>7.37</v>
      </c>
      <c r="O1776" s="10">
        <f t="shared" si="170"/>
        <v>2122.56</v>
      </c>
      <c r="P1776" s="10" t="s">
        <v>5006</v>
      </c>
      <c r="Q1776" s="10" t="s">
        <v>5006</v>
      </c>
      <c r="R1776" s="10" t="str">
        <f>IF(COUNTIF($J$2:J1776,J1776)=1,SUMIFS($O:$O,$J:$J,J1776)+SUMIFS($P:$P,$J:$J,J1776)+SUMIFS($Q:$Q,$J:$J,J1776),"")</f>
        <v/>
      </c>
      <c r="S1776" s="10" t="s">
        <v>5006</v>
      </c>
      <c r="T1776" s="11" t="str">
        <f t="shared" si="173"/>
        <v>Ok</v>
      </c>
      <c r="U1776" s="12">
        <v>46129</v>
      </c>
      <c r="V1776" s="10">
        <v>2122.56</v>
      </c>
      <c r="W1776" s="10" t="str">
        <f t="shared" si="171"/>
        <v>N/A</v>
      </c>
      <c r="X1776" t="s">
        <v>470</v>
      </c>
      <c r="Y1776" t="s">
        <v>28</v>
      </c>
      <c r="Z1776">
        <v>100248</v>
      </c>
      <c r="AA1776" t="s">
        <v>3117</v>
      </c>
      <c r="AB1776" t="s">
        <v>521</v>
      </c>
      <c r="AC1776" s="9">
        <v>2</v>
      </c>
      <c r="AD1776" s="9" t="str">
        <f t="shared" si="172"/>
        <v>N/A</v>
      </c>
      <c r="AE1776" s="11" t="e">
        <f t="shared" si="174"/>
        <v>#VALUE!</v>
      </c>
    </row>
    <row r="1777" spans="1:31" x14ac:dyDescent="0.3">
      <c r="A1777">
        <v>24</v>
      </c>
      <c r="B1777">
        <v>4833871</v>
      </c>
      <c r="C1777" t="s">
        <v>239</v>
      </c>
      <c r="D1777">
        <v>1981156</v>
      </c>
      <c r="E1777" t="s">
        <v>573</v>
      </c>
      <c r="F1777" t="s">
        <v>18</v>
      </c>
      <c r="G1777" t="s">
        <v>1485</v>
      </c>
      <c r="H1777" t="s">
        <v>1486</v>
      </c>
      <c r="I1777" t="s">
        <v>3525</v>
      </c>
      <c r="J1777">
        <v>51155785218</v>
      </c>
      <c r="K1777" t="s">
        <v>3177</v>
      </c>
      <c r="L1777" t="s">
        <v>4412</v>
      </c>
      <c r="M1777">
        <v>9000</v>
      </c>
      <c r="N1777" s="10">
        <v>9.9299999999999999E-2</v>
      </c>
      <c r="O1777" s="10">
        <f t="shared" si="170"/>
        <v>893.7</v>
      </c>
      <c r="P1777" s="10">
        <v>18.38</v>
      </c>
      <c r="Q1777" s="10">
        <v>17.48</v>
      </c>
      <c r="R1777" s="10">
        <f>IF(COUNTIF($J$2:J1777,J1777)=1,SUMIFS($O:$O,$J:$J,J1777)+SUMIFS($P:$P,$J:$J,J1777)+SUMIFS($Q:$Q,$J:$J,J1777),"")</f>
        <v>952.56000000000006</v>
      </c>
      <c r="S1777" s="10">
        <v>1122.56</v>
      </c>
      <c r="T1777" s="11" t="str">
        <f t="shared" si="173"/>
        <v>Check</v>
      </c>
      <c r="U1777" s="12">
        <v>45965</v>
      </c>
      <c r="V1777" s="10">
        <v>228.86</v>
      </c>
      <c r="W1777" s="10" t="str">
        <f t="shared" si="171"/>
        <v>Short Paid</v>
      </c>
      <c r="X1777" t="s">
        <v>476</v>
      </c>
      <c r="Y1777" t="s">
        <v>28</v>
      </c>
      <c r="Z1777">
        <v>100125</v>
      </c>
      <c r="AA1777" t="s">
        <v>477</v>
      </c>
      <c r="AB1777" t="s">
        <v>523</v>
      </c>
      <c r="AC1777" s="9">
        <v>2</v>
      </c>
      <c r="AD1777" s="9" t="str">
        <f t="shared" si="172"/>
        <v>Check</v>
      </c>
      <c r="AE1777" s="11">
        <f t="shared" si="174"/>
        <v>-169.99999999999989</v>
      </c>
    </row>
    <row r="1778" spans="1:31" x14ac:dyDescent="0.3">
      <c r="A1778">
        <v>24</v>
      </c>
      <c r="B1778">
        <v>4833871</v>
      </c>
      <c r="C1778" t="s">
        <v>239</v>
      </c>
      <c r="D1778">
        <v>1981156</v>
      </c>
      <c r="E1778" t="s">
        <v>573</v>
      </c>
      <c r="F1778" t="s">
        <v>18</v>
      </c>
      <c r="G1778" t="s">
        <v>1485</v>
      </c>
      <c r="H1778" t="s">
        <v>1486</v>
      </c>
      <c r="I1778" t="s">
        <v>3528</v>
      </c>
      <c r="J1778">
        <v>51155785218</v>
      </c>
      <c r="K1778" t="s">
        <v>3209</v>
      </c>
      <c r="L1778" t="s">
        <v>4497</v>
      </c>
      <c r="M1778">
        <v>10000</v>
      </c>
      <c r="N1778" s="10">
        <v>2.3E-3</v>
      </c>
      <c r="O1778" s="10">
        <f t="shared" si="170"/>
        <v>23</v>
      </c>
      <c r="P1778" s="10" t="s">
        <v>5006</v>
      </c>
      <c r="Q1778" s="10" t="s">
        <v>5006</v>
      </c>
      <c r="R1778" s="10" t="str">
        <f>IF(COUNTIF($J$2:J1778,J1778)=1,SUMIFS($O:$O,$J:$J,J1778)+SUMIFS($P:$P,$J:$J,J1778)+SUMIFS($Q:$Q,$J:$J,J1778),"")</f>
        <v/>
      </c>
      <c r="S1778" s="10" t="s">
        <v>5006</v>
      </c>
      <c r="T1778" s="11" t="str">
        <f t="shared" si="173"/>
        <v>Check</v>
      </c>
      <c r="U1778" s="12">
        <v>45965</v>
      </c>
      <c r="V1778" s="10">
        <v>228.86</v>
      </c>
      <c r="W1778" s="10" t="str">
        <f t="shared" si="171"/>
        <v>N/A</v>
      </c>
      <c r="X1778" t="s">
        <v>476</v>
      </c>
      <c r="Y1778" t="s">
        <v>28</v>
      </c>
      <c r="Z1778">
        <v>100125</v>
      </c>
      <c r="AA1778" t="s">
        <v>477</v>
      </c>
      <c r="AB1778" t="s">
        <v>523</v>
      </c>
      <c r="AC1778" s="9">
        <v>2</v>
      </c>
      <c r="AD1778" s="9" t="str">
        <f t="shared" si="172"/>
        <v>N/A</v>
      </c>
      <c r="AE1778" s="11" t="e">
        <f t="shared" si="174"/>
        <v>#VALUE!</v>
      </c>
    </row>
    <row r="1779" spans="1:31" x14ac:dyDescent="0.3">
      <c r="A1779">
        <v>6</v>
      </c>
      <c r="B1779">
        <v>4932662</v>
      </c>
      <c r="C1779" t="s">
        <v>220</v>
      </c>
      <c r="D1779">
        <v>1469829</v>
      </c>
      <c r="E1779" t="s">
        <v>224</v>
      </c>
      <c r="F1779" t="s">
        <v>24</v>
      </c>
      <c r="G1779" t="s">
        <v>1768</v>
      </c>
      <c r="H1779" t="s">
        <v>1769</v>
      </c>
      <c r="I1779" t="s">
        <v>3455</v>
      </c>
      <c r="J1779">
        <v>51155787553</v>
      </c>
      <c r="K1779" t="s">
        <v>3168</v>
      </c>
      <c r="L1779" t="s">
        <v>4498</v>
      </c>
      <c r="M1779">
        <v>10000</v>
      </c>
      <c r="N1779" s="10">
        <v>9.4700000000000006E-2</v>
      </c>
      <c r="O1779" s="10">
        <f t="shared" si="170"/>
        <v>947.00000000000011</v>
      </c>
      <c r="P1779" s="10">
        <v>0</v>
      </c>
      <c r="Q1779" s="10">
        <v>0</v>
      </c>
      <c r="R1779" s="10">
        <f>IF(COUNTIF($J$2:J1779,J1779)=1,SUMIFS($O:$O,$J:$J,J1779)+SUMIFS($P:$P,$J:$J,J1779)+SUMIFS($Q:$Q,$J:$J,J1779),"")</f>
        <v>4032.5650000000001</v>
      </c>
      <c r="S1779" s="10">
        <v>4032.57</v>
      </c>
      <c r="T1779" s="11" t="str">
        <f t="shared" si="173"/>
        <v>Check</v>
      </c>
      <c r="U1779" s="12">
        <v>46140</v>
      </c>
      <c r="V1779" s="10">
        <v>327</v>
      </c>
      <c r="W1779" s="10" t="str">
        <f t="shared" si="171"/>
        <v>Short Paid</v>
      </c>
      <c r="X1779" t="s">
        <v>470</v>
      </c>
      <c r="Y1779" t="s">
        <v>40</v>
      </c>
      <c r="Z1779">
        <v>100148</v>
      </c>
      <c r="AA1779" t="s">
        <v>3097</v>
      </c>
      <c r="AB1779" t="s">
        <v>522</v>
      </c>
      <c r="AC1779" s="9">
        <v>2</v>
      </c>
      <c r="AD1779" s="9" t="str">
        <f t="shared" si="172"/>
        <v>Check</v>
      </c>
      <c r="AE1779" s="11">
        <f t="shared" si="174"/>
        <v>-5.0000000001091394E-3</v>
      </c>
    </row>
    <row r="1780" spans="1:31" x14ac:dyDescent="0.3">
      <c r="A1780">
        <v>6</v>
      </c>
      <c r="B1780">
        <v>4932662</v>
      </c>
      <c r="C1780" t="s">
        <v>220</v>
      </c>
      <c r="D1780">
        <v>1469829</v>
      </c>
      <c r="E1780" t="s">
        <v>224</v>
      </c>
      <c r="F1780" t="s">
        <v>24</v>
      </c>
      <c r="G1780" t="s">
        <v>1768</v>
      </c>
      <c r="H1780" t="s">
        <v>1769</v>
      </c>
      <c r="I1780" t="s">
        <v>3291</v>
      </c>
      <c r="J1780">
        <v>51155787553</v>
      </c>
      <c r="K1780" t="s">
        <v>3203</v>
      </c>
      <c r="L1780" t="s">
        <v>3565</v>
      </c>
      <c r="M1780">
        <v>805</v>
      </c>
      <c r="N1780" s="10">
        <v>3.8330000000000002</v>
      </c>
      <c r="O1780" s="10">
        <f t="shared" si="170"/>
        <v>3085.5650000000001</v>
      </c>
      <c r="P1780" s="10" t="s">
        <v>5006</v>
      </c>
      <c r="Q1780" s="10" t="s">
        <v>5006</v>
      </c>
      <c r="R1780" s="10" t="str">
        <f>IF(COUNTIF($J$2:J1780,J1780)=1,SUMIFS($O:$O,$J:$J,J1780)+SUMIFS($P:$P,$J:$J,J1780)+SUMIFS($Q:$Q,$J:$J,J1780),"")</f>
        <v/>
      </c>
      <c r="S1780" s="10" t="s">
        <v>5006</v>
      </c>
      <c r="T1780" s="11" t="str">
        <f t="shared" si="173"/>
        <v>Check</v>
      </c>
      <c r="U1780" s="12">
        <v>46140</v>
      </c>
      <c r="V1780" s="10">
        <v>327</v>
      </c>
      <c r="W1780" s="10" t="str">
        <f t="shared" si="171"/>
        <v>N/A</v>
      </c>
      <c r="X1780" t="s">
        <v>470</v>
      </c>
      <c r="Y1780" t="s">
        <v>40</v>
      </c>
      <c r="Z1780">
        <v>100148</v>
      </c>
      <c r="AA1780" t="s">
        <v>3097</v>
      </c>
      <c r="AB1780" t="s">
        <v>522</v>
      </c>
      <c r="AC1780" s="9">
        <v>2</v>
      </c>
      <c r="AD1780" s="9" t="str">
        <f t="shared" si="172"/>
        <v>N/A</v>
      </c>
      <c r="AE1780" s="11" t="e">
        <f t="shared" si="174"/>
        <v>#VALUE!</v>
      </c>
    </row>
    <row r="1781" spans="1:31" x14ac:dyDescent="0.3">
      <c r="A1781">
        <v>24</v>
      </c>
      <c r="B1781">
        <v>4833593</v>
      </c>
      <c r="C1781" t="s">
        <v>38</v>
      </c>
      <c r="D1781">
        <v>1373071</v>
      </c>
      <c r="E1781" t="s">
        <v>559</v>
      </c>
      <c r="F1781" t="s">
        <v>20</v>
      </c>
      <c r="G1781" t="s">
        <v>1481</v>
      </c>
      <c r="H1781" t="s">
        <v>1482</v>
      </c>
      <c r="I1781" t="s">
        <v>3399</v>
      </c>
      <c r="J1781">
        <v>51155787719</v>
      </c>
      <c r="K1781" t="s">
        <v>3168</v>
      </c>
      <c r="L1781" t="s">
        <v>4499</v>
      </c>
      <c r="M1781">
        <v>234000</v>
      </c>
      <c r="N1781" s="10">
        <v>7.3000000000000001E-3</v>
      </c>
      <c r="O1781" s="10">
        <f t="shared" si="170"/>
        <v>1708.2</v>
      </c>
      <c r="P1781" s="10">
        <v>17.079999999999998</v>
      </c>
      <c r="Q1781" s="10">
        <v>0</v>
      </c>
      <c r="R1781" s="10">
        <f>IF(COUNTIF($J$2:J1781,J1781)=1,SUMIFS($O:$O,$J:$J,J1781)+SUMIFS($P:$P,$J:$J,J1781)+SUMIFS($Q:$Q,$J:$J,J1781),"")</f>
        <v>1932.28</v>
      </c>
      <c r="S1781" s="10">
        <v>1932.28</v>
      </c>
      <c r="T1781" s="11" t="str">
        <f t="shared" si="173"/>
        <v>Ok</v>
      </c>
      <c r="U1781" s="12">
        <v>45958</v>
      </c>
      <c r="V1781" s="10">
        <v>1708.2</v>
      </c>
      <c r="W1781" s="10" t="str">
        <f t="shared" si="171"/>
        <v>Short Paid</v>
      </c>
      <c r="X1781" t="s">
        <v>474</v>
      </c>
      <c r="Y1781" t="s">
        <v>28</v>
      </c>
      <c r="Z1781">
        <v>100119</v>
      </c>
      <c r="AA1781" t="s">
        <v>491</v>
      </c>
      <c r="AB1781" t="s">
        <v>521</v>
      </c>
      <c r="AC1781" s="9">
        <v>2</v>
      </c>
      <c r="AD1781" s="9" t="str">
        <f t="shared" si="172"/>
        <v>Ok</v>
      </c>
      <c r="AE1781" s="11">
        <f t="shared" si="174"/>
        <v>0</v>
      </c>
    </row>
    <row r="1782" spans="1:31" x14ac:dyDescent="0.3">
      <c r="A1782">
        <v>24</v>
      </c>
      <c r="B1782">
        <v>4833593</v>
      </c>
      <c r="C1782" t="s">
        <v>38</v>
      </c>
      <c r="D1782">
        <v>1373071</v>
      </c>
      <c r="E1782" t="s">
        <v>559</v>
      </c>
      <c r="F1782" t="s">
        <v>20</v>
      </c>
      <c r="G1782" t="s">
        <v>1481</v>
      </c>
      <c r="H1782" t="s">
        <v>1482</v>
      </c>
      <c r="I1782" t="s">
        <v>3416</v>
      </c>
      <c r="J1782">
        <v>51155787719</v>
      </c>
      <c r="K1782" t="s">
        <v>3209</v>
      </c>
      <c r="L1782" t="s">
        <v>3547</v>
      </c>
      <c r="M1782">
        <v>10000</v>
      </c>
      <c r="N1782" s="10">
        <v>2.07E-2</v>
      </c>
      <c r="O1782" s="10">
        <f t="shared" si="170"/>
        <v>207</v>
      </c>
      <c r="P1782" s="10" t="s">
        <v>5006</v>
      </c>
      <c r="Q1782" s="10" t="s">
        <v>5006</v>
      </c>
      <c r="R1782" s="10" t="str">
        <f>IF(COUNTIF($J$2:J1782,J1782)=1,SUMIFS($O:$O,$J:$J,J1782)+SUMIFS($P:$P,$J:$J,J1782)+SUMIFS($Q:$Q,$J:$J,J1782),"")</f>
        <v/>
      </c>
      <c r="S1782" s="10" t="s">
        <v>5006</v>
      </c>
      <c r="T1782" s="11" t="str">
        <f t="shared" si="173"/>
        <v>Ok</v>
      </c>
      <c r="U1782" s="12">
        <v>45958</v>
      </c>
      <c r="V1782" s="10">
        <v>1708.2</v>
      </c>
      <c r="W1782" s="10" t="str">
        <f t="shared" si="171"/>
        <v>N/A</v>
      </c>
      <c r="X1782" t="s">
        <v>474</v>
      </c>
      <c r="Y1782" t="s">
        <v>28</v>
      </c>
      <c r="Z1782">
        <v>100119</v>
      </c>
      <c r="AA1782" t="s">
        <v>491</v>
      </c>
      <c r="AB1782" t="s">
        <v>521</v>
      </c>
      <c r="AC1782" s="9">
        <v>2</v>
      </c>
      <c r="AD1782" s="9" t="str">
        <f t="shared" si="172"/>
        <v>N/A</v>
      </c>
      <c r="AE1782" s="11" t="e">
        <f t="shared" si="174"/>
        <v>#VALUE!</v>
      </c>
    </row>
    <row r="1783" spans="1:31" x14ac:dyDescent="0.3">
      <c r="A1783">
        <v>15</v>
      </c>
      <c r="B1783">
        <v>4881180</v>
      </c>
      <c r="C1783" t="s">
        <v>217</v>
      </c>
      <c r="D1783">
        <v>1160621</v>
      </c>
      <c r="E1783" t="s">
        <v>571</v>
      </c>
      <c r="F1783" t="s">
        <v>18</v>
      </c>
      <c r="G1783" t="s">
        <v>1660</v>
      </c>
      <c r="H1783" t="s">
        <v>1661</v>
      </c>
      <c r="I1783" t="s">
        <v>3312</v>
      </c>
      <c r="J1783">
        <v>51155827078</v>
      </c>
      <c r="K1783" t="s">
        <v>3177</v>
      </c>
      <c r="L1783" t="s">
        <v>4500</v>
      </c>
      <c r="M1783">
        <v>4000</v>
      </c>
      <c r="N1783" s="10">
        <v>0.16200000000000001</v>
      </c>
      <c r="O1783" s="10">
        <f t="shared" si="170"/>
        <v>648</v>
      </c>
      <c r="P1783" s="10">
        <v>25.39</v>
      </c>
      <c r="Q1783" s="10">
        <v>117.29</v>
      </c>
      <c r="R1783" s="10">
        <f>IF(COUNTIF($J$2:J1783,J1783)=1,SUMIFS($O:$O,$J:$J,J1783)+SUMIFS($P:$P,$J:$J,J1783)+SUMIFS($Q:$Q,$J:$J,J1783),"")</f>
        <v>985.9799999999999</v>
      </c>
      <c r="S1783" s="10">
        <v>985.98</v>
      </c>
      <c r="T1783" s="11" t="str">
        <f t="shared" si="173"/>
        <v>Ok</v>
      </c>
      <c r="U1783" s="12">
        <v>46073</v>
      </c>
      <c r="V1783" s="10">
        <v>765.29</v>
      </c>
      <c r="W1783" s="10" t="str">
        <f t="shared" si="171"/>
        <v>Short Paid</v>
      </c>
      <c r="X1783" t="s">
        <v>468</v>
      </c>
      <c r="Y1783" t="s">
        <v>28</v>
      </c>
      <c r="Z1783">
        <v>100126</v>
      </c>
      <c r="AA1783" t="s">
        <v>3123</v>
      </c>
      <c r="AB1783" t="s">
        <v>523</v>
      </c>
      <c r="AC1783" s="9">
        <v>2</v>
      </c>
      <c r="AD1783" s="9" t="str">
        <f t="shared" si="172"/>
        <v>Ok</v>
      </c>
      <c r="AE1783" s="11">
        <f t="shared" si="174"/>
        <v>0</v>
      </c>
    </row>
    <row r="1784" spans="1:31" x14ac:dyDescent="0.3">
      <c r="A1784">
        <v>15</v>
      </c>
      <c r="B1784">
        <v>4881180</v>
      </c>
      <c r="C1784" t="s">
        <v>217</v>
      </c>
      <c r="D1784">
        <v>1160621</v>
      </c>
      <c r="E1784" t="s">
        <v>571</v>
      </c>
      <c r="F1784" t="s">
        <v>18</v>
      </c>
      <c r="G1784" t="s">
        <v>1660</v>
      </c>
      <c r="H1784" t="s">
        <v>1661</v>
      </c>
      <c r="I1784" t="s">
        <v>3242</v>
      </c>
      <c r="J1784">
        <v>51155827078</v>
      </c>
      <c r="K1784" t="s">
        <v>3506</v>
      </c>
      <c r="L1784" t="s">
        <v>4501</v>
      </c>
      <c r="M1784">
        <v>45</v>
      </c>
      <c r="N1784" s="10">
        <v>4.34</v>
      </c>
      <c r="O1784" s="10">
        <f t="shared" si="170"/>
        <v>195.29999999999998</v>
      </c>
      <c r="P1784" s="10" t="s">
        <v>5006</v>
      </c>
      <c r="Q1784" s="10" t="s">
        <v>5006</v>
      </c>
      <c r="R1784" s="10" t="str">
        <f>IF(COUNTIF($J$2:J1784,J1784)=1,SUMIFS($O:$O,$J:$J,J1784)+SUMIFS($P:$P,$J:$J,J1784)+SUMIFS($Q:$Q,$J:$J,J1784),"")</f>
        <v/>
      </c>
      <c r="S1784" s="10" t="s">
        <v>5006</v>
      </c>
      <c r="T1784" s="11" t="str">
        <f t="shared" si="173"/>
        <v>Ok</v>
      </c>
      <c r="U1784" s="12">
        <v>46073</v>
      </c>
      <c r="V1784" s="10">
        <v>765.29</v>
      </c>
      <c r="W1784" s="10" t="str">
        <f t="shared" si="171"/>
        <v>N/A</v>
      </c>
      <c r="X1784" t="s">
        <v>468</v>
      </c>
      <c r="Y1784" t="s">
        <v>28</v>
      </c>
      <c r="Z1784">
        <v>100126</v>
      </c>
      <c r="AA1784" t="s">
        <v>3123</v>
      </c>
      <c r="AB1784" t="s">
        <v>523</v>
      </c>
      <c r="AC1784" s="9">
        <v>2</v>
      </c>
      <c r="AD1784" s="9" t="str">
        <f t="shared" si="172"/>
        <v>N/A</v>
      </c>
      <c r="AE1784" s="11" t="e">
        <f t="shared" si="174"/>
        <v>#VALUE!</v>
      </c>
    </row>
    <row r="1785" spans="1:31" x14ac:dyDescent="0.3">
      <c r="A1785">
        <v>15</v>
      </c>
      <c r="B1785">
        <v>4880901</v>
      </c>
      <c r="C1785" t="s">
        <v>217</v>
      </c>
      <c r="D1785">
        <v>1160621</v>
      </c>
      <c r="E1785" t="s">
        <v>571</v>
      </c>
      <c r="F1785" t="s">
        <v>18</v>
      </c>
      <c r="G1785" t="s">
        <v>1658</v>
      </c>
      <c r="H1785" t="s">
        <v>1659</v>
      </c>
      <c r="I1785" t="s">
        <v>3315</v>
      </c>
      <c r="J1785">
        <v>51155838159</v>
      </c>
      <c r="K1785" t="s">
        <v>4503</v>
      </c>
      <c r="L1785" t="s">
        <v>4502</v>
      </c>
      <c r="M1785">
        <v>96</v>
      </c>
      <c r="N1785" s="10">
        <v>23.9756</v>
      </c>
      <c r="O1785" s="10">
        <f t="shared" si="170"/>
        <v>2301.6576</v>
      </c>
      <c r="P1785" s="10">
        <v>0</v>
      </c>
      <c r="Q1785" s="10">
        <v>0</v>
      </c>
      <c r="R1785" s="10">
        <f>IF(COUNTIF($J$2:J1785,J1785)=1,SUMIFS($O:$O,$J:$J,J1785)+SUMIFS($P:$P,$J:$J,J1785)+SUMIFS($Q:$Q,$J:$J,J1785),"")</f>
        <v>4461.6576000000005</v>
      </c>
      <c r="S1785" s="10">
        <v>4461.66</v>
      </c>
      <c r="T1785" s="11" t="str">
        <f t="shared" si="173"/>
        <v>Check</v>
      </c>
      <c r="U1785" s="12">
        <v>46074</v>
      </c>
      <c r="V1785" s="10">
        <v>2301.66</v>
      </c>
      <c r="W1785" s="10" t="str">
        <f t="shared" si="171"/>
        <v>Short Paid</v>
      </c>
      <c r="X1785" t="s">
        <v>468</v>
      </c>
      <c r="Y1785" t="s">
        <v>28</v>
      </c>
      <c r="Z1785">
        <v>100116</v>
      </c>
      <c r="AA1785" t="s">
        <v>3082</v>
      </c>
      <c r="AB1785" t="s">
        <v>523</v>
      </c>
      <c r="AC1785" s="9">
        <v>2</v>
      </c>
      <c r="AD1785" s="9" t="str">
        <f t="shared" si="172"/>
        <v>Check</v>
      </c>
      <c r="AE1785" s="11">
        <f t="shared" si="174"/>
        <v>-2.3999999993975507E-3</v>
      </c>
    </row>
    <row r="1786" spans="1:31" x14ac:dyDescent="0.3">
      <c r="A1786">
        <v>15</v>
      </c>
      <c r="B1786">
        <v>4880901</v>
      </c>
      <c r="C1786" t="s">
        <v>217</v>
      </c>
      <c r="D1786">
        <v>1160621</v>
      </c>
      <c r="E1786" t="s">
        <v>571</v>
      </c>
      <c r="F1786" t="s">
        <v>18</v>
      </c>
      <c r="G1786" t="s">
        <v>1658</v>
      </c>
      <c r="H1786" t="s">
        <v>1659</v>
      </c>
      <c r="I1786" t="s">
        <v>3412</v>
      </c>
      <c r="J1786">
        <v>51155838159</v>
      </c>
      <c r="K1786" t="s">
        <v>3379</v>
      </c>
      <c r="L1786" t="s">
        <v>3461</v>
      </c>
      <c r="M1786">
        <v>80000</v>
      </c>
      <c r="N1786" s="10">
        <v>2.7E-2</v>
      </c>
      <c r="O1786" s="10">
        <f t="shared" si="170"/>
        <v>2160</v>
      </c>
      <c r="P1786" s="10" t="s">
        <v>5006</v>
      </c>
      <c r="Q1786" s="10" t="s">
        <v>5006</v>
      </c>
      <c r="R1786" s="10" t="str">
        <f>IF(COUNTIF($J$2:J1786,J1786)=1,SUMIFS($O:$O,$J:$J,J1786)+SUMIFS($P:$P,$J:$J,J1786)+SUMIFS($Q:$Q,$J:$J,J1786),"")</f>
        <v/>
      </c>
      <c r="S1786" s="10" t="s">
        <v>5006</v>
      </c>
      <c r="T1786" s="11" t="str">
        <f t="shared" si="173"/>
        <v>Check</v>
      </c>
      <c r="U1786" s="12">
        <v>46074</v>
      </c>
      <c r="V1786" s="10">
        <v>2301.66</v>
      </c>
      <c r="W1786" s="10" t="str">
        <f t="shared" si="171"/>
        <v>N/A</v>
      </c>
      <c r="X1786" t="s">
        <v>468</v>
      </c>
      <c r="Y1786" t="s">
        <v>28</v>
      </c>
      <c r="Z1786">
        <v>100116</v>
      </c>
      <c r="AA1786" t="s">
        <v>3082</v>
      </c>
      <c r="AB1786" t="s">
        <v>523</v>
      </c>
      <c r="AC1786" s="9">
        <v>2</v>
      </c>
      <c r="AD1786" s="9" t="str">
        <f t="shared" si="172"/>
        <v>N/A</v>
      </c>
      <c r="AE1786" s="11" t="e">
        <f t="shared" si="174"/>
        <v>#VALUE!</v>
      </c>
    </row>
    <row r="1787" spans="1:31" x14ac:dyDescent="0.3">
      <c r="A1787">
        <v>14</v>
      </c>
      <c r="B1787">
        <v>4892868</v>
      </c>
      <c r="C1787" t="s">
        <v>220</v>
      </c>
      <c r="D1787">
        <v>1121733</v>
      </c>
      <c r="E1787" t="s">
        <v>735</v>
      </c>
      <c r="F1787" t="s">
        <v>20</v>
      </c>
      <c r="G1787" t="s">
        <v>1715</v>
      </c>
      <c r="H1787" t="s">
        <v>1716</v>
      </c>
      <c r="I1787" t="s">
        <v>3169</v>
      </c>
      <c r="J1787">
        <v>51155844026</v>
      </c>
      <c r="K1787" t="s">
        <v>3611</v>
      </c>
      <c r="L1787" t="s">
        <v>4504</v>
      </c>
      <c r="M1787">
        <v>50</v>
      </c>
      <c r="N1787" s="10">
        <v>38</v>
      </c>
      <c r="O1787" s="10">
        <f t="shared" si="170"/>
        <v>1900</v>
      </c>
      <c r="P1787" s="10">
        <v>686.31</v>
      </c>
      <c r="Q1787" s="10" t="s">
        <v>5006</v>
      </c>
      <c r="R1787" s="10">
        <f>IF(COUNTIF($J$2:J1787,J1787)=1,SUMIFS($O:$O,$J:$J,J1787)+SUMIFS($P:$P,$J:$J,J1787)+SUMIFS($Q:$Q,$J:$J,J1787),"")</f>
        <v>11441.859999999999</v>
      </c>
      <c r="S1787" s="10">
        <v>11441.86</v>
      </c>
      <c r="T1787" s="11" t="str">
        <f t="shared" si="173"/>
        <v>Ok</v>
      </c>
      <c r="U1787" s="12">
        <v>46007</v>
      </c>
      <c r="V1787" s="10">
        <v>1900</v>
      </c>
      <c r="W1787" s="10" t="str">
        <f t="shared" si="171"/>
        <v>Short Paid</v>
      </c>
      <c r="X1787" t="s">
        <v>470</v>
      </c>
      <c r="Y1787" t="s">
        <v>28</v>
      </c>
      <c r="Z1787">
        <v>100168</v>
      </c>
      <c r="AA1787" t="s">
        <v>514</v>
      </c>
      <c r="AB1787" t="s">
        <v>521</v>
      </c>
      <c r="AC1787" s="9">
        <v>2</v>
      </c>
      <c r="AD1787" s="9" t="str">
        <f t="shared" si="172"/>
        <v>Ok</v>
      </c>
      <c r="AE1787" s="11">
        <f t="shared" si="174"/>
        <v>0</v>
      </c>
    </row>
    <row r="1788" spans="1:31" x14ac:dyDescent="0.3">
      <c r="A1788">
        <v>14</v>
      </c>
      <c r="B1788">
        <v>4892868</v>
      </c>
      <c r="C1788" t="s">
        <v>220</v>
      </c>
      <c r="D1788">
        <v>1121733</v>
      </c>
      <c r="E1788" t="s">
        <v>735</v>
      </c>
      <c r="F1788" t="s">
        <v>20</v>
      </c>
      <c r="G1788" t="s">
        <v>1715</v>
      </c>
      <c r="H1788" t="s">
        <v>1716</v>
      </c>
      <c r="I1788" t="s">
        <v>3224</v>
      </c>
      <c r="J1788">
        <v>51155844026</v>
      </c>
      <c r="K1788" t="s">
        <v>3745</v>
      </c>
      <c r="L1788" t="s">
        <v>4505</v>
      </c>
      <c r="M1788">
        <v>5</v>
      </c>
      <c r="N1788" s="10">
        <v>1771.11</v>
      </c>
      <c r="O1788" s="10">
        <f t="shared" si="170"/>
        <v>8855.5499999999993</v>
      </c>
      <c r="P1788" s="10" t="s">
        <v>5006</v>
      </c>
      <c r="Q1788" s="10" t="s">
        <v>5006</v>
      </c>
      <c r="R1788" s="10" t="str">
        <f>IF(COUNTIF($J$2:J1788,J1788)=1,SUMIFS($O:$O,$J:$J,J1788)+SUMIFS($P:$P,$J:$J,J1788)+SUMIFS($Q:$Q,$J:$J,J1788),"")</f>
        <v/>
      </c>
      <c r="S1788" s="10" t="s">
        <v>5006</v>
      </c>
      <c r="T1788" s="11" t="str">
        <f t="shared" si="173"/>
        <v>Ok</v>
      </c>
      <c r="U1788" s="12">
        <v>46007</v>
      </c>
      <c r="V1788" s="10">
        <v>1900</v>
      </c>
      <c r="W1788" s="10" t="str">
        <f t="shared" si="171"/>
        <v>N/A</v>
      </c>
      <c r="X1788" t="s">
        <v>470</v>
      </c>
      <c r="Y1788" t="s">
        <v>28</v>
      </c>
      <c r="Z1788">
        <v>100168</v>
      </c>
      <c r="AA1788" t="s">
        <v>514</v>
      </c>
      <c r="AB1788" t="s">
        <v>521</v>
      </c>
      <c r="AC1788" s="9">
        <v>2</v>
      </c>
      <c r="AD1788" s="9" t="str">
        <f t="shared" si="172"/>
        <v>N/A</v>
      </c>
      <c r="AE1788" s="11" t="e">
        <f t="shared" si="174"/>
        <v>#VALUE!</v>
      </c>
    </row>
    <row r="1789" spans="1:31" x14ac:dyDescent="0.3">
      <c r="A1789">
        <v>16</v>
      </c>
      <c r="B1789">
        <v>4867822</v>
      </c>
      <c r="C1789" t="s">
        <v>60</v>
      </c>
      <c r="D1789">
        <v>1006248</v>
      </c>
      <c r="E1789" t="s">
        <v>129</v>
      </c>
      <c r="F1789" t="s">
        <v>20</v>
      </c>
      <c r="G1789" t="s">
        <v>1610</v>
      </c>
      <c r="H1789" t="s">
        <v>1611</v>
      </c>
      <c r="I1789" t="s">
        <v>3328</v>
      </c>
      <c r="J1789">
        <v>51155848406</v>
      </c>
      <c r="K1789" t="s">
        <v>3479</v>
      </c>
      <c r="L1789" t="s">
        <v>4506</v>
      </c>
      <c r="M1789">
        <v>190000</v>
      </c>
      <c r="N1789" s="10">
        <v>1.5350000000000001E-2</v>
      </c>
      <c r="O1789" s="10">
        <f t="shared" si="170"/>
        <v>2916.5</v>
      </c>
      <c r="P1789" s="10">
        <v>82.5</v>
      </c>
      <c r="Q1789" s="10">
        <v>186.99</v>
      </c>
      <c r="R1789" s="10">
        <f>IF(COUNTIF($J$2:J1789,J1789)=1,SUMIFS($O:$O,$J:$J,J1789)+SUMIFS($P:$P,$J:$J,J1789)+SUMIFS($Q:$Q,$J:$J,J1789),"")</f>
        <v>3998.99</v>
      </c>
      <c r="S1789" s="10">
        <v>3998.99</v>
      </c>
      <c r="T1789" s="11" t="str">
        <f t="shared" si="173"/>
        <v>Ok</v>
      </c>
      <c r="U1789" s="12">
        <v>46097</v>
      </c>
      <c r="V1789" s="10">
        <v>2916.5</v>
      </c>
      <c r="W1789" s="10" t="str">
        <f t="shared" si="171"/>
        <v>Short Paid</v>
      </c>
      <c r="X1789" t="s">
        <v>438</v>
      </c>
      <c r="Y1789" t="s">
        <v>28</v>
      </c>
      <c r="Z1789">
        <v>100163</v>
      </c>
      <c r="AA1789" t="s">
        <v>443</v>
      </c>
      <c r="AB1789" t="s">
        <v>521</v>
      </c>
      <c r="AC1789" s="9">
        <v>2</v>
      </c>
      <c r="AD1789" s="9" t="str">
        <f t="shared" si="172"/>
        <v>Ok</v>
      </c>
      <c r="AE1789" s="11">
        <f t="shared" si="174"/>
        <v>0</v>
      </c>
    </row>
    <row r="1790" spans="1:31" x14ac:dyDescent="0.3">
      <c r="A1790">
        <v>16</v>
      </c>
      <c r="B1790">
        <v>4867822</v>
      </c>
      <c r="C1790" t="s">
        <v>60</v>
      </c>
      <c r="D1790">
        <v>1006248</v>
      </c>
      <c r="E1790" t="s">
        <v>129</v>
      </c>
      <c r="F1790" t="s">
        <v>20</v>
      </c>
      <c r="G1790" t="s">
        <v>1610</v>
      </c>
      <c r="H1790" t="s">
        <v>1611</v>
      </c>
      <c r="I1790" t="s">
        <v>3166</v>
      </c>
      <c r="J1790">
        <v>51155848406</v>
      </c>
      <c r="K1790" t="s">
        <v>3168</v>
      </c>
      <c r="L1790" t="s">
        <v>3383</v>
      </c>
      <c r="M1790">
        <v>30000</v>
      </c>
      <c r="N1790" s="10">
        <v>2.7099999999999999E-2</v>
      </c>
      <c r="O1790" s="10">
        <f t="shared" si="170"/>
        <v>813</v>
      </c>
      <c r="P1790" s="10" t="s">
        <v>5006</v>
      </c>
      <c r="Q1790" s="10" t="s">
        <v>5006</v>
      </c>
      <c r="R1790" s="10" t="str">
        <f>IF(COUNTIF($J$2:J1790,J1790)=1,SUMIFS($O:$O,$J:$J,J1790)+SUMIFS($P:$P,$J:$J,J1790)+SUMIFS($Q:$Q,$J:$J,J1790),"")</f>
        <v/>
      </c>
      <c r="S1790" s="10" t="s">
        <v>5006</v>
      </c>
      <c r="T1790" s="11" t="str">
        <f t="shared" si="173"/>
        <v>Ok</v>
      </c>
      <c r="U1790" s="12">
        <v>46097</v>
      </c>
      <c r="V1790" s="10">
        <v>2916.5</v>
      </c>
      <c r="W1790" s="10" t="str">
        <f t="shared" si="171"/>
        <v>N/A</v>
      </c>
      <c r="X1790" t="s">
        <v>438</v>
      </c>
      <c r="Y1790" t="s">
        <v>28</v>
      </c>
      <c r="Z1790">
        <v>100163</v>
      </c>
      <c r="AA1790" t="s">
        <v>443</v>
      </c>
      <c r="AB1790" t="s">
        <v>521</v>
      </c>
      <c r="AC1790" s="9">
        <v>2</v>
      </c>
      <c r="AD1790" s="9" t="str">
        <f t="shared" si="172"/>
        <v>N/A</v>
      </c>
      <c r="AE1790" s="11" t="e">
        <f t="shared" si="174"/>
        <v>#VALUE!</v>
      </c>
    </row>
    <row r="1791" spans="1:31" x14ac:dyDescent="0.3">
      <c r="A1791">
        <v>17</v>
      </c>
      <c r="B1791">
        <v>4861421</v>
      </c>
      <c r="C1791" t="s">
        <v>240</v>
      </c>
      <c r="D1791">
        <v>1264221</v>
      </c>
      <c r="E1791" t="s">
        <v>581</v>
      </c>
      <c r="F1791" t="s">
        <v>20</v>
      </c>
      <c r="G1791" t="s">
        <v>1591</v>
      </c>
      <c r="H1791" t="s">
        <v>1592</v>
      </c>
      <c r="I1791" t="s">
        <v>3419</v>
      </c>
      <c r="J1791">
        <v>51155857679</v>
      </c>
      <c r="K1791" t="s">
        <v>3203</v>
      </c>
      <c r="L1791" t="s">
        <v>4507</v>
      </c>
      <c r="M1791">
        <v>320</v>
      </c>
      <c r="N1791" s="10">
        <v>2.2250000000000001</v>
      </c>
      <c r="O1791" s="10">
        <f t="shared" si="170"/>
        <v>712</v>
      </c>
      <c r="P1791" s="10">
        <v>74.55</v>
      </c>
      <c r="Q1791" s="10">
        <v>163.76</v>
      </c>
      <c r="R1791" s="10">
        <f>IF(COUNTIF($J$2:J1791,J1791)=1,SUMIFS($O:$O,$J:$J,J1791)+SUMIFS($P:$P,$J:$J,J1791)+SUMIFS($Q:$Q,$J:$J,J1791),"")</f>
        <v>3236.3100000000004</v>
      </c>
      <c r="S1791" s="10">
        <v>3236.31</v>
      </c>
      <c r="T1791" s="11" t="str">
        <f t="shared" si="173"/>
        <v>Ok</v>
      </c>
      <c r="U1791" s="12">
        <v>45815</v>
      </c>
      <c r="V1791" s="10">
        <v>2258.16</v>
      </c>
      <c r="W1791" s="10" t="str">
        <f t="shared" si="171"/>
        <v>Short Paid</v>
      </c>
      <c r="X1791" t="s">
        <v>478</v>
      </c>
      <c r="Y1791" t="s">
        <v>28</v>
      </c>
      <c r="Z1791">
        <v>100112</v>
      </c>
      <c r="AA1791" t="s">
        <v>479</v>
      </c>
      <c r="AB1791" t="s">
        <v>521</v>
      </c>
      <c r="AC1791" s="9">
        <v>3</v>
      </c>
      <c r="AD1791" s="9" t="str">
        <f t="shared" si="172"/>
        <v>Ok</v>
      </c>
      <c r="AE1791" s="11">
        <f t="shared" si="174"/>
        <v>0</v>
      </c>
    </row>
    <row r="1792" spans="1:31" x14ac:dyDescent="0.3">
      <c r="A1792">
        <v>17</v>
      </c>
      <c r="B1792">
        <v>4861421</v>
      </c>
      <c r="C1792" t="s">
        <v>240</v>
      </c>
      <c r="D1792">
        <v>1264221</v>
      </c>
      <c r="E1792" t="s">
        <v>581</v>
      </c>
      <c r="F1792" t="s">
        <v>20</v>
      </c>
      <c r="G1792" t="s">
        <v>1591</v>
      </c>
      <c r="H1792" t="s">
        <v>1592</v>
      </c>
      <c r="I1792" t="s">
        <v>3419</v>
      </c>
      <c r="J1792">
        <v>51155857679</v>
      </c>
      <c r="K1792" t="s">
        <v>3203</v>
      </c>
      <c r="L1792" t="s">
        <v>4508</v>
      </c>
      <c r="M1792">
        <v>14400</v>
      </c>
      <c r="N1792" s="10">
        <v>9.6000000000000016E-2</v>
      </c>
      <c r="O1792" s="10">
        <f t="shared" si="170"/>
        <v>1382.4000000000003</v>
      </c>
      <c r="P1792" s="10" t="s">
        <v>5006</v>
      </c>
      <c r="Q1792" s="10" t="s">
        <v>5006</v>
      </c>
      <c r="R1792" s="10" t="str">
        <f>IF(COUNTIF($J$2:J1792,J1792)=1,SUMIFS($O:$O,$J:$J,J1792)+SUMIFS($P:$P,$J:$J,J1792)+SUMIFS($Q:$Q,$J:$J,J1792),"")</f>
        <v/>
      </c>
      <c r="S1792" s="10" t="s">
        <v>5006</v>
      </c>
      <c r="T1792" s="11" t="str">
        <f t="shared" si="173"/>
        <v>Ok</v>
      </c>
      <c r="U1792" s="12">
        <v>45815</v>
      </c>
      <c r="V1792" s="10">
        <v>2258.16</v>
      </c>
      <c r="W1792" s="10" t="str">
        <f t="shared" si="171"/>
        <v>N/A</v>
      </c>
      <c r="X1792" t="s">
        <v>478</v>
      </c>
      <c r="Y1792" t="s">
        <v>28</v>
      </c>
      <c r="Z1792">
        <v>100112</v>
      </c>
      <c r="AA1792" t="s">
        <v>479</v>
      </c>
      <c r="AB1792" t="s">
        <v>521</v>
      </c>
      <c r="AC1792" s="9">
        <v>3</v>
      </c>
      <c r="AD1792" s="9" t="str">
        <f t="shared" si="172"/>
        <v>N/A</v>
      </c>
      <c r="AE1792" s="11" t="e">
        <f t="shared" si="174"/>
        <v>#VALUE!</v>
      </c>
    </row>
    <row r="1793" spans="1:31" x14ac:dyDescent="0.3">
      <c r="A1793">
        <v>17</v>
      </c>
      <c r="B1793">
        <v>4861421</v>
      </c>
      <c r="C1793" t="s">
        <v>240</v>
      </c>
      <c r="D1793">
        <v>1264221</v>
      </c>
      <c r="E1793" t="s">
        <v>581</v>
      </c>
      <c r="F1793" t="s">
        <v>20</v>
      </c>
      <c r="G1793" t="s">
        <v>1591</v>
      </c>
      <c r="H1793" t="s">
        <v>1592</v>
      </c>
      <c r="I1793" t="s">
        <v>3376</v>
      </c>
      <c r="J1793">
        <v>51155857679</v>
      </c>
      <c r="K1793" t="s">
        <v>3209</v>
      </c>
      <c r="L1793" t="s">
        <v>3552</v>
      </c>
      <c r="M1793">
        <v>60000</v>
      </c>
      <c r="N1793" s="10">
        <v>1.506E-2</v>
      </c>
      <c r="O1793" s="10">
        <f t="shared" si="170"/>
        <v>903.6</v>
      </c>
      <c r="P1793" s="10" t="s">
        <v>5006</v>
      </c>
      <c r="Q1793" s="10" t="s">
        <v>5006</v>
      </c>
      <c r="R1793" s="10" t="str">
        <f>IF(COUNTIF($J$2:J1793,J1793)=1,SUMIFS($O:$O,$J:$J,J1793)+SUMIFS($P:$P,$J:$J,J1793)+SUMIFS($Q:$Q,$J:$J,J1793),"")</f>
        <v/>
      </c>
      <c r="S1793" s="10" t="s">
        <v>5006</v>
      </c>
      <c r="T1793" s="11" t="str">
        <f t="shared" si="173"/>
        <v>Ok</v>
      </c>
      <c r="U1793" s="12">
        <v>45815</v>
      </c>
      <c r="V1793" s="10">
        <v>2258.16</v>
      </c>
      <c r="W1793" s="10" t="str">
        <f t="shared" si="171"/>
        <v>N/A</v>
      </c>
      <c r="X1793" t="s">
        <v>478</v>
      </c>
      <c r="Y1793" t="s">
        <v>28</v>
      </c>
      <c r="Z1793">
        <v>100112</v>
      </c>
      <c r="AA1793" t="s">
        <v>479</v>
      </c>
      <c r="AB1793" t="s">
        <v>521</v>
      </c>
      <c r="AC1793" s="9">
        <v>3</v>
      </c>
      <c r="AD1793" s="9" t="str">
        <f t="shared" si="172"/>
        <v>N/A</v>
      </c>
      <c r="AE1793" s="11" t="e">
        <f t="shared" si="174"/>
        <v>#VALUE!</v>
      </c>
    </row>
    <row r="1794" spans="1:31" x14ac:dyDescent="0.3">
      <c r="A1794">
        <v>17</v>
      </c>
      <c r="B1794">
        <v>4861143</v>
      </c>
      <c r="C1794" t="s">
        <v>60</v>
      </c>
      <c r="D1794">
        <v>1815641</v>
      </c>
      <c r="E1794" t="s">
        <v>748</v>
      </c>
      <c r="F1794" t="s">
        <v>20</v>
      </c>
      <c r="G1794" t="s">
        <v>1589</v>
      </c>
      <c r="H1794" t="s">
        <v>1590</v>
      </c>
      <c r="I1794" t="s">
        <v>3365</v>
      </c>
      <c r="J1794">
        <v>51155875980</v>
      </c>
      <c r="K1794" t="s">
        <v>3209</v>
      </c>
      <c r="L1794" t="s">
        <v>3552</v>
      </c>
      <c r="M1794">
        <v>40000</v>
      </c>
      <c r="N1794" s="10">
        <v>1.506E-2</v>
      </c>
      <c r="O1794" s="10">
        <f t="shared" ref="O1794:O1857" si="175">M1794*N1794</f>
        <v>602.4</v>
      </c>
      <c r="P1794" s="10">
        <v>49.7</v>
      </c>
      <c r="Q1794" s="10">
        <v>16827.16</v>
      </c>
      <c r="R1794" s="10">
        <f>IF(COUNTIF($J$2:J1794,J1794)=1,SUMIFS($O:$O,$J:$J,J1794)+SUMIFS($P:$P,$J:$J,J1794)+SUMIFS($Q:$Q,$J:$J,J1794),"")</f>
        <v>68011.259999999995</v>
      </c>
      <c r="S1794" s="10">
        <v>68023.570000000007</v>
      </c>
      <c r="T1794" s="11" t="str">
        <f t="shared" si="173"/>
        <v>Check</v>
      </c>
      <c r="U1794" s="12">
        <v>46071</v>
      </c>
      <c r="V1794" s="10">
        <v>67371.47</v>
      </c>
      <c r="W1794" s="10" t="str">
        <f t="shared" ref="W1794:W1857" si="176">IF(OR(S1794="",V1794=""),"N/A",IF(S1794&lt;&gt;V1794,"Short Paid","Not Paid"))</f>
        <v>Short Paid</v>
      </c>
      <c r="X1794" t="s">
        <v>438</v>
      </c>
      <c r="Y1794" t="s">
        <v>28</v>
      </c>
      <c r="Z1794">
        <v>100283</v>
      </c>
      <c r="AA1794" t="s">
        <v>439</v>
      </c>
      <c r="AB1794" t="s">
        <v>521</v>
      </c>
      <c r="AC1794" s="9">
        <v>2</v>
      </c>
      <c r="AD1794" s="9" t="str">
        <f t="shared" ref="AD1794:AD1857" si="177">IF(AND(R1794="",S1794=""),"N/A",IF(R1794=S1794,"Ok","Check"))</f>
        <v>Check</v>
      </c>
      <c r="AE1794" s="11">
        <f t="shared" si="174"/>
        <v>-12.310000000012224</v>
      </c>
    </row>
    <row r="1795" spans="1:31" x14ac:dyDescent="0.3">
      <c r="A1795">
        <v>17</v>
      </c>
      <c r="B1795">
        <v>4861143</v>
      </c>
      <c r="C1795" t="s">
        <v>60</v>
      </c>
      <c r="D1795">
        <v>1815641</v>
      </c>
      <c r="E1795" t="s">
        <v>748</v>
      </c>
      <c r="F1795" t="s">
        <v>20</v>
      </c>
      <c r="G1795" t="s">
        <v>1589</v>
      </c>
      <c r="H1795" t="s">
        <v>1590</v>
      </c>
      <c r="I1795" t="s">
        <v>3367</v>
      </c>
      <c r="J1795">
        <v>51155875980</v>
      </c>
      <c r="K1795" t="s">
        <v>3783</v>
      </c>
      <c r="L1795" t="s">
        <v>4509</v>
      </c>
      <c r="M1795">
        <v>2</v>
      </c>
      <c r="N1795" s="10">
        <v>25266</v>
      </c>
      <c r="O1795" s="10">
        <f t="shared" si="175"/>
        <v>50532</v>
      </c>
      <c r="P1795" s="10" t="s">
        <v>5006</v>
      </c>
      <c r="Q1795" s="10" t="s">
        <v>5006</v>
      </c>
      <c r="R1795" s="10" t="str">
        <f>IF(COUNTIF($J$2:J1795,J1795)=1,SUMIFS($O:$O,$J:$J,J1795)+SUMIFS($P:$P,$J:$J,J1795)+SUMIFS($Q:$Q,$J:$J,J1795),"")</f>
        <v/>
      </c>
      <c r="S1795" s="10" t="s">
        <v>5006</v>
      </c>
      <c r="T1795" s="11" t="str">
        <f t="shared" ref="T1795:T1858" si="178">IFERROR(INDEX(AD:AD,MATCH(J1795,J:J,0)),"")</f>
        <v>Check</v>
      </c>
      <c r="U1795" s="12">
        <v>46071</v>
      </c>
      <c r="V1795" s="10">
        <v>67371.47</v>
      </c>
      <c r="W1795" s="10" t="str">
        <f t="shared" si="176"/>
        <v>N/A</v>
      </c>
      <c r="X1795" t="s">
        <v>438</v>
      </c>
      <c r="Y1795" t="s">
        <v>28</v>
      </c>
      <c r="Z1795">
        <v>100283</v>
      </c>
      <c r="AA1795" t="s">
        <v>439</v>
      </c>
      <c r="AB1795" t="s">
        <v>521</v>
      </c>
      <c r="AC1795" s="9">
        <v>2</v>
      </c>
      <c r="AD1795" s="9" t="str">
        <f t="shared" si="177"/>
        <v>N/A</v>
      </c>
      <c r="AE1795" s="11" t="e">
        <f t="shared" si="174"/>
        <v>#VALUE!</v>
      </c>
    </row>
    <row r="1796" spans="1:31" x14ac:dyDescent="0.3">
      <c r="A1796">
        <v>15</v>
      </c>
      <c r="B1796">
        <v>4871161</v>
      </c>
      <c r="C1796" t="s">
        <v>239</v>
      </c>
      <c r="D1796">
        <v>1112351</v>
      </c>
      <c r="E1796" t="s">
        <v>701</v>
      </c>
      <c r="F1796" t="s">
        <v>47</v>
      </c>
      <c r="G1796" t="s">
        <v>1616</v>
      </c>
      <c r="H1796" t="s">
        <v>1617</v>
      </c>
      <c r="I1796" t="s">
        <v>3305</v>
      </c>
      <c r="J1796">
        <v>51155890494</v>
      </c>
      <c r="K1796" t="s">
        <v>3431</v>
      </c>
      <c r="L1796" t="s">
        <v>4510</v>
      </c>
      <c r="M1796">
        <v>40</v>
      </c>
      <c r="N1796" s="10">
        <v>4.3899999999999997</v>
      </c>
      <c r="O1796" s="10">
        <f t="shared" si="175"/>
        <v>175.6</v>
      </c>
      <c r="P1796" s="10">
        <v>478.14000000000004</v>
      </c>
      <c r="Q1796" s="10">
        <v>16.68</v>
      </c>
      <c r="R1796" s="10">
        <f>IF(COUNTIF($J$2:J1796,J1796)=1,SUMIFS($O:$O,$J:$J,J1796)+SUMIFS($P:$P,$J:$J,J1796)+SUMIFS($Q:$Q,$J:$J,J1796),"")</f>
        <v>6250.420000000001</v>
      </c>
      <c r="S1796" s="10">
        <v>6250.42</v>
      </c>
      <c r="T1796" s="11" t="str">
        <f t="shared" si="178"/>
        <v>Ok</v>
      </c>
      <c r="U1796" s="12">
        <v>46127</v>
      </c>
      <c r="V1796" s="10">
        <v>210.07</v>
      </c>
      <c r="W1796" s="10" t="str">
        <f t="shared" si="176"/>
        <v>Short Paid</v>
      </c>
      <c r="X1796" t="s">
        <v>476</v>
      </c>
      <c r="Y1796" t="s">
        <v>28</v>
      </c>
      <c r="Z1796">
        <v>100205</v>
      </c>
      <c r="AA1796" t="s">
        <v>3075</v>
      </c>
      <c r="AB1796" t="s">
        <v>3039</v>
      </c>
      <c r="AC1796" s="9">
        <v>2</v>
      </c>
      <c r="AD1796" s="9" t="str">
        <f t="shared" si="177"/>
        <v>Ok</v>
      </c>
      <c r="AE1796" s="11">
        <f t="shared" si="174"/>
        <v>0</v>
      </c>
    </row>
    <row r="1797" spans="1:31" x14ac:dyDescent="0.3">
      <c r="A1797">
        <v>15</v>
      </c>
      <c r="B1797">
        <v>4871161</v>
      </c>
      <c r="C1797" t="s">
        <v>239</v>
      </c>
      <c r="D1797">
        <v>1112351</v>
      </c>
      <c r="E1797" t="s">
        <v>701</v>
      </c>
      <c r="F1797" t="s">
        <v>47</v>
      </c>
      <c r="G1797" t="s">
        <v>1616</v>
      </c>
      <c r="H1797" t="s">
        <v>1617</v>
      </c>
      <c r="I1797" t="s">
        <v>3336</v>
      </c>
      <c r="J1797">
        <v>51155890494</v>
      </c>
      <c r="K1797" t="s">
        <v>3168</v>
      </c>
      <c r="L1797" t="s">
        <v>3499</v>
      </c>
      <c r="M1797">
        <v>120000</v>
      </c>
      <c r="N1797" s="10">
        <v>4.65E-2</v>
      </c>
      <c r="O1797" s="10">
        <f t="shared" si="175"/>
        <v>5580</v>
      </c>
      <c r="P1797" s="10" t="s">
        <v>5006</v>
      </c>
      <c r="Q1797" s="10" t="s">
        <v>5006</v>
      </c>
      <c r="R1797" s="10" t="str">
        <f>IF(COUNTIF($J$2:J1797,J1797)=1,SUMIFS($O:$O,$J:$J,J1797)+SUMIFS($P:$P,$J:$J,J1797)+SUMIFS($Q:$Q,$J:$J,J1797),"")</f>
        <v/>
      </c>
      <c r="S1797" s="10" t="s">
        <v>5006</v>
      </c>
      <c r="T1797" s="11" t="str">
        <f t="shared" si="178"/>
        <v>Ok</v>
      </c>
      <c r="U1797" s="12">
        <v>46127</v>
      </c>
      <c r="V1797" s="10">
        <v>210.07</v>
      </c>
      <c r="W1797" s="10" t="str">
        <f t="shared" si="176"/>
        <v>N/A</v>
      </c>
      <c r="X1797" t="s">
        <v>476</v>
      </c>
      <c r="Y1797" t="s">
        <v>28</v>
      </c>
      <c r="Z1797">
        <v>100205</v>
      </c>
      <c r="AA1797" t="s">
        <v>3075</v>
      </c>
      <c r="AB1797" t="s">
        <v>3039</v>
      </c>
      <c r="AC1797" s="9">
        <v>2</v>
      </c>
      <c r="AD1797" s="9" t="str">
        <f t="shared" si="177"/>
        <v>N/A</v>
      </c>
      <c r="AE1797" s="11" t="e">
        <f t="shared" si="174"/>
        <v>#VALUE!</v>
      </c>
    </row>
    <row r="1798" spans="1:31" x14ac:dyDescent="0.3">
      <c r="A1798">
        <v>17</v>
      </c>
      <c r="B1798">
        <v>4860865</v>
      </c>
      <c r="C1798" t="s">
        <v>217</v>
      </c>
      <c r="D1798">
        <v>1409411</v>
      </c>
      <c r="E1798" t="s">
        <v>635</v>
      </c>
      <c r="F1798" t="s">
        <v>20</v>
      </c>
      <c r="G1798" t="s">
        <v>1574</v>
      </c>
      <c r="H1798" t="s">
        <v>1575</v>
      </c>
      <c r="I1798" t="s">
        <v>3388</v>
      </c>
      <c r="J1798">
        <v>51155924681</v>
      </c>
      <c r="K1798" t="s">
        <v>3168</v>
      </c>
      <c r="L1798" t="s">
        <v>3456</v>
      </c>
      <c r="M1798">
        <v>2517</v>
      </c>
      <c r="N1798" s="10">
        <v>0.17269999999999999</v>
      </c>
      <c r="O1798" s="10">
        <f t="shared" si="175"/>
        <v>434.6859</v>
      </c>
      <c r="P1798" s="10">
        <v>35.86</v>
      </c>
      <c r="Q1798" s="10">
        <v>3414.8500000000004</v>
      </c>
      <c r="R1798" s="10">
        <f>IF(COUNTIF($J$2:J1798,J1798)=1,SUMIFS($O:$O,$J:$J,J1798)+SUMIFS($P:$P,$J:$J,J1798)+SUMIFS($Q:$Q,$J:$J,J1798),"")</f>
        <v>11863.9959</v>
      </c>
      <c r="S1798" s="10">
        <v>11864</v>
      </c>
      <c r="T1798" s="11" t="str">
        <f t="shared" si="178"/>
        <v>Check</v>
      </c>
      <c r="U1798" s="12">
        <v>46093</v>
      </c>
      <c r="V1798" s="10">
        <v>11393.45</v>
      </c>
      <c r="W1798" s="10" t="str">
        <f t="shared" si="176"/>
        <v>Short Paid</v>
      </c>
      <c r="X1798" t="s">
        <v>468</v>
      </c>
      <c r="Y1798" t="s">
        <v>28</v>
      </c>
      <c r="Z1798">
        <v>100276</v>
      </c>
      <c r="AA1798" t="s">
        <v>469</v>
      </c>
      <c r="AB1798" t="s">
        <v>521</v>
      </c>
      <c r="AC1798" s="9">
        <v>2</v>
      </c>
      <c r="AD1798" s="9" t="str">
        <f t="shared" si="177"/>
        <v>Check</v>
      </c>
      <c r="AE1798" s="11">
        <f t="shared" si="174"/>
        <v>-4.1000000001076842E-3</v>
      </c>
    </row>
    <row r="1799" spans="1:31" x14ac:dyDescent="0.3">
      <c r="A1799">
        <v>17</v>
      </c>
      <c r="B1799">
        <v>4860865</v>
      </c>
      <c r="C1799" t="s">
        <v>217</v>
      </c>
      <c r="D1799">
        <v>1409411</v>
      </c>
      <c r="E1799" t="s">
        <v>635</v>
      </c>
      <c r="F1799" t="s">
        <v>20</v>
      </c>
      <c r="G1799" t="s">
        <v>1574</v>
      </c>
      <c r="H1799" t="s">
        <v>1575</v>
      </c>
      <c r="I1799" t="s">
        <v>3316</v>
      </c>
      <c r="J1799">
        <v>51155924681</v>
      </c>
      <c r="K1799" t="s">
        <v>3177</v>
      </c>
      <c r="L1799" t="s">
        <v>4200</v>
      </c>
      <c r="M1799">
        <v>82000</v>
      </c>
      <c r="N1799" s="10">
        <v>9.7299999999999998E-2</v>
      </c>
      <c r="O1799" s="10">
        <f t="shared" si="175"/>
        <v>7978.5999999999995</v>
      </c>
      <c r="P1799" s="10" t="s">
        <v>5006</v>
      </c>
      <c r="Q1799" s="10" t="s">
        <v>5006</v>
      </c>
      <c r="R1799" s="10" t="str">
        <f>IF(COUNTIF($J$2:J1799,J1799)=1,SUMIFS($O:$O,$J:$J,J1799)+SUMIFS($P:$P,$J:$J,J1799)+SUMIFS($Q:$Q,$J:$J,J1799),"")</f>
        <v/>
      </c>
      <c r="S1799" s="10" t="s">
        <v>5006</v>
      </c>
      <c r="T1799" s="11" t="str">
        <f t="shared" si="178"/>
        <v>Check</v>
      </c>
      <c r="U1799" s="12">
        <v>46093</v>
      </c>
      <c r="V1799" s="10">
        <v>11393.45</v>
      </c>
      <c r="W1799" s="10" t="str">
        <f t="shared" si="176"/>
        <v>N/A</v>
      </c>
      <c r="X1799" t="s">
        <v>468</v>
      </c>
      <c r="Y1799" t="s">
        <v>28</v>
      </c>
      <c r="Z1799">
        <v>100276</v>
      </c>
      <c r="AA1799" t="s">
        <v>469</v>
      </c>
      <c r="AB1799" t="s">
        <v>521</v>
      </c>
      <c r="AC1799" s="9">
        <v>2</v>
      </c>
      <c r="AD1799" s="9" t="str">
        <f t="shared" si="177"/>
        <v>N/A</v>
      </c>
      <c r="AE1799" s="11" t="e">
        <f t="shared" ref="AE1799:AE1862" si="179">R1799-S1799</f>
        <v>#VALUE!</v>
      </c>
    </row>
    <row r="1800" spans="1:31" x14ac:dyDescent="0.3">
      <c r="A1800">
        <v>16</v>
      </c>
      <c r="B1800">
        <v>4866987</v>
      </c>
      <c r="C1800" t="s">
        <v>94</v>
      </c>
      <c r="D1800">
        <v>1847634</v>
      </c>
      <c r="E1800" t="s">
        <v>583</v>
      </c>
      <c r="F1800" t="s">
        <v>24</v>
      </c>
      <c r="G1800" t="s">
        <v>1606</v>
      </c>
      <c r="H1800" t="s">
        <v>1607</v>
      </c>
      <c r="I1800" t="s">
        <v>3217</v>
      </c>
      <c r="J1800">
        <v>51155947099</v>
      </c>
      <c r="K1800" t="s">
        <v>3318</v>
      </c>
      <c r="L1800" t="s">
        <v>4511</v>
      </c>
      <c r="M1800">
        <v>49</v>
      </c>
      <c r="N1800" s="10">
        <v>16.010000000000002</v>
      </c>
      <c r="O1800" s="10">
        <f t="shared" si="175"/>
        <v>784.49000000000012</v>
      </c>
      <c r="P1800" s="10">
        <v>0</v>
      </c>
      <c r="Q1800" s="10">
        <v>74.53</v>
      </c>
      <c r="R1800" s="10">
        <f>IF(COUNTIF($J$2:J1800,J1800)=1,SUMIFS($O:$O,$J:$J,J1800)+SUMIFS($P:$P,$J:$J,J1800)+SUMIFS($Q:$Q,$J:$J,J1800),"")</f>
        <v>49361.219999999994</v>
      </c>
      <c r="S1800" s="10">
        <v>162321.22</v>
      </c>
      <c r="T1800" s="11" t="str">
        <f t="shared" si="178"/>
        <v>Check</v>
      </c>
      <c r="U1800" s="12">
        <v>46114</v>
      </c>
      <c r="V1800" s="10">
        <v>784.49</v>
      </c>
      <c r="W1800" s="10" t="str">
        <f t="shared" si="176"/>
        <v>Short Paid</v>
      </c>
      <c r="X1800" t="s">
        <v>450</v>
      </c>
      <c r="Y1800" t="s">
        <v>40</v>
      </c>
      <c r="Z1800">
        <v>100147</v>
      </c>
      <c r="AA1800" t="s">
        <v>3155</v>
      </c>
      <c r="AB1800" t="s">
        <v>522</v>
      </c>
      <c r="AC1800" s="9">
        <v>2</v>
      </c>
      <c r="AD1800" s="9" t="str">
        <f t="shared" si="177"/>
        <v>Check</v>
      </c>
      <c r="AE1800" s="11">
        <f t="shared" si="179"/>
        <v>-112960</v>
      </c>
    </row>
    <row r="1801" spans="1:31" x14ac:dyDescent="0.3">
      <c r="A1801">
        <v>16</v>
      </c>
      <c r="B1801">
        <v>4866987</v>
      </c>
      <c r="C1801" t="s">
        <v>94</v>
      </c>
      <c r="D1801">
        <v>1847634</v>
      </c>
      <c r="E1801" t="s">
        <v>583</v>
      </c>
      <c r="F1801" t="s">
        <v>24</v>
      </c>
      <c r="G1801" t="s">
        <v>1606</v>
      </c>
      <c r="H1801" t="s">
        <v>1607</v>
      </c>
      <c r="I1801" t="s">
        <v>3224</v>
      </c>
      <c r="J1801">
        <v>51155947099</v>
      </c>
      <c r="K1801" t="s">
        <v>3259</v>
      </c>
      <c r="L1801" t="s">
        <v>4059</v>
      </c>
      <c r="M1801">
        <v>687</v>
      </c>
      <c r="N1801" s="10">
        <v>70.599999999999994</v>
      </c>
      <c r="O1801" s="10">
        <f t="shared" si="175"/>
        <v>48502.2</v>
      </c>
      <c r="P1801" s="10" t="s">
        <v>5006</v>
      </c>
      <c r="Q1801" s="10" t="s">
        <v>5006</v>
      </c>
      <c r="R1801" s="10" t="str">
        <f>IF(COUNTIF($J$2:J1801,J1801)=1,SUMIFS($O:$O,$J:$J,J1801)+SUMIFS($P:$P,$J:$J,J1801)+SUMIFS($Q:$Q,$J:$J,J1801),"")</f>
        <v/>
      </c>
      <c r="S1801" s="10" t="s">
        <v>5006</v>
      </c>
      <c r="T1801" s="11" t="str">
        <f t="shared" si="178"/>
        <v>Check</v>
      </c>
      <c r="U1801" s="12">
        <v>46114</v>
      </c>
      <c r="V1801" s="10">
        <v>784.49</v>
      </c>
      <c r="W1801" s="10" t="str">
        <f t="shared" si="176"/>
        <v>N/A</v>
      </c>
      <c r="X1801" t="s">
        <v>450</v>
      </c>
      <c r="Y1801" t="s">
        <v>40</v>
      </c>
      <c r="Z1801">
        <v>100147</v>
      </c>
      <c r="AA1801" t="s">
        <v>3155</v>
      </c>
      <c r="AB1801" t="s">
        <v>522</v>
      </c>
      <c r="AC1801" s="9">
        <v>2</v>
      </c>
      <c r="AD1801" s="9" t="str">
        <f t="shared" si="177"/>
        <v>N/A</v>
      </c>
      <c r="AE1801" s="11" t="e">
        <f t="shared" si="179"/>
        <v>#VALUE!</v>
      </c>
    </row>
    <row r="1802" spans="1:31" x14ac:dyDescent="0.3">
      <c r="A1802">
        <v>16</v>
      </c>
      <c r="B1802">
        <v>4868379</v>
      </c>
      <c r="C1802" t="s">
        <v>60</v>
      </c>
      <c r="D1802">
        <v>1006248</v>
      </c>
      <c r="E1802" t="s">
        <v>129</v>
      </c>
      <c r="F1802" t="s">
        <v>20</v>
      </c>
      <c r="G1802" t="s">
        <v>1612</v>
      </c>
      <c r="H1802" t="s">
        <v>1613</v>
      </c>
      <c r="I1802" t="s">
        <v>3411</v>
      </c>
      <c r="J1802">
        <v>51155956454</v>
      </c>
      <c r="K1802" t="s">
        <v>3479</v>
      </c>
      <c r="L1802" t="s">
        <v>4506</v>
      </c>
      <c r="M1802">
        <v>114000</v>
      </c>
      <c r="N1802" s="10">
        <v>1.5350000000000001E-2</v>
      </c>
      <c r="O1802" s="10">
        <f t="shared" si="175"/>
        <v>1749.9</v>
      </c>
      <c r="P1802" s="10">
        <v>1064.8399999999999</v>
      </c>
      <c r="Q1802" s="10">
        <v>2413.5300000000002</v>
      </c>
      <c r="R1802" s="10">
        <f>IF(COUNTIF($J$2:J1802,J1802)=1,SUMIFS($O:$O,$J:$J,J1802)+SUMIFS($P:$P,$J:$J,J1802)+SUMIFS($Q:$Q,$J:$J,J1802),"")</f>
        <v>15721.87</v>
      </c>
      <c r="S1802" s="10">
        <v>15721.869999999999</v>
      </c>
      <c r="T1802" s="11" t="str">
        <f t="shared" si="178"/>
        <v>Ok</v>
      </c>
      <c r="U1802" s="12">
        <v>46062</v>
      </c>
      <c r="V1802" s="10">
        <v>1749.9</v>
      </c>
      <c r="W1802" s="10" t="str">
        <f t="shared" si="176"/>
        <v>Short Paid</v>
      </c>
      <c r="X1802" t="s">
        <v>438</v>
      </c>
      <c r="Y1802" t="s">
        <v>28</v>
      </c>
      <c r="Z1802">
        <v>100203</v>
      </c>
      <c r="AA1802" t="s">
        <v>441</v>
      </c>
      <c r="AB1802" t="s">
        <v>521</v>
      </c>
      <c r="AC1802" s="9">
        <v>2</v>
      </c>
      <c r="AD1802" s="9" t="str">
        <f t="shared" si="177"/>
        <v>Ok</v>
      </c>
      <c r="AE1802" s="11">
        <f t="shared" si="179"/>
        <v>0</v>
      </c>
    </row>
    <row r="1803" spans="1:31" x14ac:dyDescent="0.3">
      <c r="A1803">
        <v>16</v>
      </c>
      <c r="B1803">
        <v>4868379</v>
      </c>
      <c r="C1803" t="s">
        <v>60</v>
      </c>
      <c r="D1803">
        <v>1006248</v>
      </c>
      <c r="E1803" t="s">
        <v>129</v>
      </c>
      <c r="F1803" t="s">
        <v>20</v>
      </c>
      <c r="G1803" t="s">
        <v>1612</v>
      </c>
      <c r="H1803" t="s">
        <v>1613</v>
      </c>
      <c r="I1803" t="s">
        <v>3419</v>
      </c>
      <c r="J1803">
        <v>51155956454</v>
      </c>
      <c r="K1803" t="s">
        <v>3532</v>
      </c>
      <c r="L1803" t="s">
        <v>3531</v>
      </c>
      <c r="M1803">
        <v>13000</v>
      </c>
      <c r="N1803" s="10">
        <v>0.80720000000000003</v>
      </c>
      <c r="O1803" s="10">
        <f t="shared" si="175"/>
        <v>10493.6</v>
      </c>
      <c r="P1803" s="10" t="s">
        <v>5006</v>
      </c>
      <c r="Q1803" s="10" t="s">
        <v>5006</v>
      </c>
      <c r="R1803" s="10" t="str">
        <f>IF(COUNTIF($J$2:J1803,J1803)=1,SUMIFS($O:$O,$J:$J,J1803)+SUMIFS($P:$P,$J:$J,J1803)+SUMIFS($Q:$Q,$J:$J,J1803),"")</f>
        <v/>
      </c>
      <c r="S1803" s="10" t="s">
        <v>5006</v>
      </c>
      <c r="T1803" s="11" t="str">
        <f t="shared" si="178"/>
        <v>Ok</v>
      </c>
      <c r="U1803" s="12">
        <v>46062</v>
      </c>
      <c r="V1803" s="10">
        <v>1749.9</v>
      </c>
      <c r="W1803" s="10" t="str">
        <f t="shared" si="176"/>
        <v>N/A</v>
      </c>
      <c r="X1803" t="s">
        <v>438</v>
      </c>
      <c r="Y1803" t="s">
        <v>28</v>
      </c>
      <c r="Z1803">
        <v>100203</v>
      </c>
      <c r="AA1803" t="s">
        <v>441</v>
      </c>
      <c r="AB1803" t="s">
        <v>521</v>
      </c>
      <c r="AC1803" s="9">
        <v>2</v>
      </c>
      <c r="AD1803" s="9" t="str">
        <f t="shared" si="177"/>
        <v>N/A</v>
      </c>
      <c r="AE1803" s="11" t="e">
        <f t="shared" si="179"/>
        <v>#VALUE!</v>
      </c>
    </row>
    <row r="1804" spans="1:31" x14ac:dyDescent="0.3">
      <c r="A1804">
        <v>16</v>
      </c>
      <c r="B1804">
        <v>4866709</v>
      </c>
      <c r="C1804" t="s">
        <v>94</v>
      </c>
      <c r="D1804">
        <v>1847634</v>
      </c>
      <c r="E1804" t="s">
        <v>583</v>
      </c>
      <c r="F1804" t="s">
        <v>24</v>
      </c>
      <c r="G1804" t="s">
        <v>2857</v>
      </c>
      <c r="H1804" t="s">
        <v>2858</v>
      </c>
      <c r="I1804" t="s">
        <v>3342</v>
      </c>
      <c r="J1804">
        <v>51155956460</v>
      </c>
      <c r="K1804" t="s">
        <v>3320</v>
      </c>
      <c r="L1804" t="s">
        <v>4512</v>
      </c>
      <c r="M1804">
        <v>590</v>
      </c>
      <c r="N1804" s="10">
        <v>15.52572</v>
      </c>
      <c r="O1804" s="10">
        <f t="shared" si="175"/>
        <v>9160.1748000000007</v>
      </c>
      <c r="P1804" s="10">
        <v>0</v>
      </c>
      <c r="Q1804" s="10">
        <v>56.09</v>
      </c>
      <c r="R1804" s="10">
        <f>IF(COUNTIF($J$2:J1804,J1804)=1,SUMIFS($O:$O,$J:$J,J1804)+SUMIFS($P:$P,$J:$J,J1804)+SUMIFS($Q:$Q,$J:$J,J1804),"")</f>
        <v>9806.6768000000011</v>
      </c>
      <c r="S1804" s="10">
        <v>9823.34</v>
      </c>
      <c r="T1804" s="11" t="str">
        <f t="shared" si="178"/>
        <v>Check</v>
      </c>
      <c r="U1804" s="12">
        <v>46108</v>
      </c>
      <c r="V1804" s="10">
        <v>590.41</v>
      </c>
      <c r="W1804" s="10" t="str">
        <f t="shared" si="176"/>
        <v>Short Paid</v>
      </c>
      <c r="X1804" t="s">
        <v>450</v>
      </c>
      <c r="Y1804" t="s">
        <v>40</v>
      </c>
      <c r="Z1804">
        <v>100107</v>
      </c>
      <c r="AA1804" t="s">
        <v>3137</v>
      </c>
      <c r="AB1804" t="s">
        <v>522</v>
      </c>
      <c r="AC1804" s="9">
        <v>2</v>
      </c>
      <c r="AD1804" s="9" t="str">
        <f t="shared" si="177"/>
        <v>Check</v>
      </c>
      <c r="AE1804" s="11">
        <f t="shared" si="179"/>
        <v>-16.663199999999051</v>
      </c>
    </row>
    <row r="1805" spans="1:31" x14ac:dyDescent="0.3">
      <c r="A1805">
        <v>16</v>
      </c>
      <c r="B1805">
        <v>4866709</v>
      </c>
      <c r="C1805" t="s">
        <v>94</v>
      </c>
      <c r="D1805">
        <v>1847634</v>
      </c>
      <c r="E1805" t="s">
        <v>583</v>
      </c>
      <c r="F1805" t="s">
        <v>24</v>
      </c>
      <c r="G1805" t="s">
        <v>2857</v>
      </c>
      <c r="H1805" t="s">
        <v>2858</v>
      </c>
      <c r="I1805" t="s">
        <v>3408</v>
      </c>
      <c r="J1805">
        <v>51155956460</v>
      </c>
      <c r="K1805" t="s">
        <v>3209</v>
      </c>
      <c r="L1805" t="s">
        <v>4513</v>
      </c>
      <c r="M1805">
        <v>100</v>
      </c>
      <c r="N1805" s="10">
        <v>5.9041199999999998</v>
      </c>
      <c r="O1805" s="10">
        <f t="shared" si="175"/>
        <v>590.41200000000003</v>
      </c>
      <c r="P1805" s="10" t="s">
        <v>5006</v>
      </c>
      <c r="Q1805" s="10" t="s">
        <v>5006</v>
      </c>
      <c r="R1805" s="10" t="str">
        <f>IF(COUNTIF($J$2:J1805,J1805)=1,SUMIFS($O:$O,$J:$J,J1805)+SUMIFS($P:$P,$J:$J,J1805)+SUMIFS($Q:$Q,$J:$J,J1805),"")</f>
        <v/>
      </c>
      <c r="S1805" s="10" t="s">
        <v>5006</v>
      </c>
      <c r="T1805" s="11" t="str">
        <f t="shared" si="178"/>
        <v>Check</v>
      </c>
      <c r="U1805" s="12">
        <v>46108</v>
      </c>
      <c r="V1805" s="10">
        <v>590.41</v>
      </c>
      <c r="W1805" s="10" t="str">
        <f t="shared" si="176"/>
        <v>N/A</v>
      </c>
      <c r="X1805" t="s">
        <v>450</v>
      </c>
      <c r="Y1805" t="s">
        <v>40</v>
      </c>
      <c r="Z1805">
        <v>100107</v>
      </c>
      <c r="AA1805" t="s">
        <v>3137</v>
      </c>
      <c r="AB1805" t="s">
        <v>522</v>
      </c>
      <c r="AC1805" s="9">
        <v>2</v>
      </c>
      <c r="AD1805" s="9" t="str">
        <f t="shared" si="177"/>
        <v>N/A</v>
      </c>
      <c r="AE1805" s="11" t="e">
        <f t="shared" si="179"/>
        <v>#VALUE!</v>
      </c>
    </row>
    <row r="1806" spans="1:31" x14ac:dyDescent="0.3">
      <c r="A1806">
        <v>15</v>
      </c>
      <c r="B1806">
        <v>4880623</v>
      </c>
      <c r="C1806" t="s">
        <v>217</v>
      </c>
      <c r="D1806">
        <v>1160621</v>
      </c>
      <c r="E1806" t="s">
        <v>571</v>
      </c>
      <c r="F1806" t="s">
        <v>18</v>
      </c>
      <c r="G1806" t="s">
        <v>2910</v>
      </c>
      <c r="H1806" t="s">
        <v>2911</v>
      </c>
      <c r="I1806" t="s">
        <v>3350</v>
      </c>
      <c r="J1806">
        <v>51155992650</v>
      </c>
      <c r="K1806" t="s">
        <v>3537</v>
      </c>
      <c r="L1806" t="s">
        <v>4466</v>
      </c>
      <c r="M1806">
        <v>4000</v>
      </c>
      <c r="N1806" s="10">
        <v>0.14000000000000001</v>
      </c>
      <c r="O1806" s="10">
        <f t="shared" si="175"/>
        <v>560</v>
      </c>
      <c r="P1806" s="10">
        <v>0</v>
      </c>
      <c r="Q1806" s="10">
        <v>80.08</v>
      </c>
      <c r="R1806" s="10">
        <f>IF(COUNTIF($J$2:J1806,J1806)=1,SUMIFS($O:$O,$J:$J,J1806)+SUMIFS($P:$P,$J:$J,J1806)+SUMIFS($Q:$Q,$J:$J,J1806),"")</f>
        <v>25298.680000000008</v>
      </c>
      <c r="S1806" s="10">
        <v>25842.68</v>
      </c>
      <c r="T1806" s="11" t="str">
        <f t="shared" si="178"/>
        <v>Check</v>
      </c>
      <c r="U1806" s="12">
        <v>46072</v>
      </c>
      <c r="V1806" s="10">
        <v>640.08000000000004</v>
      </c>
      <c r="W1806" s="10" t="str">
        <f t="shared" si="176"/>
        <v>Short Paid</v>
      </c>
      <c r="X1806" t="s">
        <v>468</v>
      </c>
      <c r="Y1806" t="s">
        <v>28</v>
      </c>
      <c r="Z1806">
        <v>100286</v>
      </c>
      <c r="AA1806" t="s">
        <v>3061</v>
      </c>
      <c r="AB1806" t="s">
        <v>523</v>
      </c>
      <c r="AC1806" s="9">
        <v>7</v>
      </c>
      <c r="AD1806" s="9" t="str">
        <f t="shared" si="177"/>
        <v>Check</v>
      </c>
      <c r="AE1806" s="11">
        <f t="shared" si="179"/>
        <v>-543.99999999999272</v>
      </c>
    </row>
    <row r="1807" spans="1:31" x14ac:dyDescent="0.3">
      <c r="A1807">
        <v>15</v>
      </c>
      <c r="B1807">
        <v>4880623</v>
      </c>
      <c r="C1807" t="s">
        <v>217</v>
      </c>
      <c r="D1807">
        <v>1160621</v>
      </c>
      <c r="E1807" t="s">
        <v>571</v>
      </c>
      <c r="F1807" t="s">
        <v>18</v>
      </c>
      <c r="G1807" t="s">
        <v>2910</v>
      </c>
      <c r="H1807" t="s">
        <v>2911</v>
      </c>
      <c r="I1807" t="s">
        <v>3484</v>
      </c>
      <c r="J1807">
        <v>51155992650</v>
      </c>
      <c r="K1807" t="s">
        <v>3177</v>
      </c>
      <c r="L1807" t="s">
        <v>3874</v>
      </c>
      <c r="M1807">
        <v>80000</v>
      </c>
      <c r="N1807" s="10">
        <v>2.5400000000000002E-3</v>
      </c>
      <c r="O1807" s="10">
        <f t="shared" si="175"/>
        <v>203.20000000000002</v>
      </c>
      <c r="P1807" s="10" t="s">
        <v>5006</v>
      </c>
      <c r="Q1807" s="10" t="s">
        <v>5006</v>
      </c>
      <c r="R1807" s="10" t="str">
        <f>IF(COUNTIF($J$2:J1807,J1807)=1,SUMIFS($O:$O,$J:$J,J1807)+SUMIFS($P:$P,$J:$J,J1807)+SUMIFS($Q:$Q,$J:$J,J1807),"")</f>
        <v/>
      </c>
      <c r="S1807" s="10" t="s">
        <v>5006</v>
      </c>
      <c r="T1807" s="11" t="str">
        <f t="shared" si="178"/>
        <v>Check</v>
      </c>
      <c r="U1807" s="12">
        <v>46072</v>
      </c>
      <c r="V1807" s="10">
        <v>640.08000000000004</v>
      </c>
      <c r="W1807" s="10" t="str">
        <f t="shared" si="176"/>
        <v>N/A</v>
      </c>
      <c r="X1807" t="s">
        <v>468</v>
      </c>
      <c r="Y1807" t="s">
        <v>28</v>
      </c>
      <c r="Z1807">
        <v>100286</v>
      </c>
      <c r="AA1807" t="s">
        <v>3061</v>
      </c>
      <c r="AB1807" t="s">
        <v>523</v>
      </c>
      <c r="AC1807" s="9">
        <v>7</v>
      </c>
      <c r="AD1807" s="9" t="str">
        <f t="shared" si="177"/>
        <v>N/A</v>
      </c>
      <c r="AE1807" s="11" t="e">
        <f t="shared" si="179"/>
        <v>#VALUE!</v>
      </c>
    </row>
    <row r="1808" spans="1:31" x14ac:dyDescent="0.3">
      <c r="A1808">
        <v>15</v>
      </c>
      <c r="B1808">
        <v>4880623</v>
      </c>
      <c r="C1808" t="s">
        <v>217</v>
      </c>
      <c r="D1808">
        <v>1160621</v>
      </c>
      <c r="E1808" t="s">
        <v>571</v>
      </c>
      <c r="F1808" t="s">
        <v>18</v>
      </c>
      <c r="G1808" t="s">
        <v>2910</v>
      </c>
      <c r="H1808" t="s">
        <v>2911</v>
      </c>
      <c r="I1808" t="s">
        <v>3484</v>
      </c>
      <c r="J1808">
        <v>51155992650</v>
      </c>
      <c r="K1808" t="s">
        <v>3216</v>
      </c>
      <c r="L1808" t="s">
        <v>3215</v>
      </c>
      <c r="M1808">
        <v>48000</v>
      </c>
      <c r="N1808" s="10">
        <v>1.8700000000000001E-2</v>
      </c>
      <c r="O1808" s="10">
        <f t="shared" si="175"/>
        <v>897.6</v>
      </c>
      <c r="P1808" s="10" t="s">
        <v>5006</v>
      </c>
      <c r="Q1808" s="10" t="s">
        <v>5006</v>
      </c>
      <c r="R1808" s="10" t="str">
        <f>IF(COUNTIF($J$2:J1808,J1808)=1,SUMIFS($O:$O,$J:$J,J1808)+SUMIFS($P:$P,$J:$J,J1808)+SUMIFS($Q:$Q,$J:$J,J1808),"")</f>
        <v/>
      </c>
      <c r="S1808" s="10" t="s">
        <v>5006</v>
      </c>
      <c r="T1808" s="11" t="str">
        <f t="shared" si="178"/>
        <v>Check</v>
      </c>
      <c r="U1808" s="12">
        <v>46072</v>
      </c>
      <c r="V1808" s="10">
        <v>640.08000000000004</v>
      </c>
      <c r="W1808" s="10" t="str">
        <f t="shared" si="176"/>
        <v>N/A</v>
      </c>
      <c r="X1808" t="s">
        <v>468</v>
      </c>
      <c r="Y1808" t="s">
        <v>28</v>
      </c>
      <c r="Z1808">
        <v>100286</v>
      </c>
      <c r="AA1808" t="s">
        <v>3061</v>
      </c>
      <c r="AB1808" t="s">
        <v>523</v>
      </c>
      <c r="AC1808" s="9">
        <v>7</v>
      </c>
      <c r="AD1808" s="9" t="str">
        <f t="shared" si="177"/>
        <v>N/A</v>
      </c>
      <c r="AE1808" s="11" t="e">
        <f t="shared" si="179"/>
        <v>#VALUE!</v>
      </c>
    </row>
    <row r="1809" spans="1:31" x14ac:dyDescent="0.3">
      <c r="A1809">
        <v>15</v>
      </c>
      <c r="B1809">
        <v>4880623</v>
      </c>
      <c r="C1809" t="s">
        <v>217</v>
      </c>
      <c r="D1809">
        <v>1160621</v>
      </c>
      <c r="E1809" t="s">
        <v>571</v>
      </c>
      <c r="F1809" t="s">
        <v>18</v>
      </c>
      <c r="G1809" t="s">
        <v>2910</v>
      </c>
      <c r="H1809" t="s">
        <v>2911</v>
      </c>
      <c r="I1809" t="s">
        <v>3484</v>
      </c>
      <c r="J1809">
        <v>51155992650</v>
      </c>
      <c r="K1809" t="s">
        <v>3229</v>
      </c>
      <c r="L1809" t="s">
        <v>4514</v>
      </c>
      <c r="M1809">
        <v>12000</v>
      </c>
      <c r="N1809" s="10">
        <v>4.7999999999999996E-3</v>
      </c>
      <c r="O1809" s="10">
        <f t="shared" si="175"/>
        <v>57.599999999999994</v>
      </c>
      <c r="P1809" s="10" t="s">
        <v>5006</v>
      </c>
      <c r="Q1809" s="10" t="s">
        <v>5006</v>
      </c>
      <c r="R1809" s="10" t="str">
        <f>IF(COUNTIF($J$2:J1809,J1809)=1,SUMIFS($O:$O,$J:$J,J1809)+SUMIFS($P:$P,$J:$J,J1809)+SUMIFS($Q:$Q,$J:$J,J1809),"")</f>
        <v/>
      </c>
      <c r="S1809" s="10" t="s">
        <v>5006</v>
      </c>
      <c r="T1809" s="11" t="str">
        <f t="shared" si="178"/>
        <v>Check</v>
      </c>
      <c r="U1809" s="12">
        <v>46072</v>
      </c>
      <c r="V1809" s="10">
        <v>640.08000000000004</v>
      </c>
      <c r="W1809" s="10" t="str">
        <f t="shared" si="176"/>
        <v>N/A</v>
      </c>
      <c r="X1809" t="s">
        <v>468</v>
      </c>
      <c r="Y1809" t="s">
        <v>28</v>
      </c>
      <c r="Z1809">
        <v>100286</v>
      </c>
      <c r="AA1809" t="s">
        <v>3061</v>
      </c>
      <c r="AB1809" t="s">
        <v>523</v>
      </c>
      <c r="AC1809" s="9">
        <v>7</v>
      </c>
      <c r="AD1809" s="9" t="str">
        <f t="shared" si="177"/>
        <v>N/A</v>
      </c>
      <c r="AE1809" s="11" t="e">
        <f t="shared" si="179"/>
        <v>#VALUE!</v>
      </c>
    </row>
    <row r="1810" spans="1:31" x14ac:dyDescent="0.3">
      <c r="A1810">
        <v>15</v>
      </c>
      <c r="B1810">
        <v>4880623</v>
      </c>
      <c r="C1810" t="s">
        <v>217</v>
      </c>
      <c r="D1810">
        <v>1160621</v>
      </c>
      <c r="E1810" t="s">
        <v>571</v>
      </c>
      <c r="F1810" t="s">
        <v>18</v>
      </c>
      <c r="G1810" t="s">
        <v>2910</v>
      </c>
      <c r="H1810" t="s">
        <v>2911</v>
      </c>
      <c r="I1810" t="s">
        <v>3484</v>
      </c>
      <c r="J1810">
        <v>51155992650</v>
      </c>
      <c r="K1810" t="s">
        <v>3168</v>
      </c>
      <c r="L1810" t="s">
        <v>4185</v>
      </c>
      <c r="M1810">
        <v>201000</v>
      </c>
      <c r="N1810" s="10">
        <v>9.4100000000000003E-2</v>
      </c>
      <c r="O1810" s="10">
        <f t="shared" si="175"/>
        <v>18914.100000000002</v>
      </c>
      <c r="P1810" s="10" t="s">
        <v>5006</v>
      </c>
      <c r="Q1810" s="10" t="s">
        <v>5006</v>
      </c>
      <c r="R1810" s="10" t="str">
        <f>IF(COUNTIF($J$2:J1810,J1810)=1,SUMIFS($O:$O,$J:$J,J1810)+SUMIFS($P:$P,$J:$J,J1810)+SUMIFS($Q:$Q,$J:$J,J1810),"")</f>
        <v/>
      </c>
      <c r="S1810" s="10" t="s">
        <v>5006</v>
      </c>
      <c r="T1810" s="11" t="str">
        <f t="shared" si="178"/>
        <v>Check</v>
      </c>
      <c r="U1810" s="12">
        <v>46072</v>
      </c>
      <c r="V1810" s="10">
        <v>640.08000000000004</v>
      </c>
      <c r="W1810" s="10" t="str">
        <f t="shared" si="176"/>
        <v>N/A</v>
      </c>
      <c r="X1810" t="s">
        <v>468</v>
      </c>
      <c r="Y1810" t="s">
        <v>28</v>
      </c>
      <c r="Z1810">
        <v>100286</v>
      </c>
      <c r="AA1810" t="s">
        <v>3061</v>
      </c>
      <c r="AB1810" t="s">
        <v>523</v>
      </c>
      <c r="AC1810" s="9">
        <v>7</v>
      </c>
      <c r="AD1810" s="9" t="str">
        <f t="shared" si="177"/>
        <v>N/A</v>
      </c>
      <c r="AE1810" s="11" t="e">
        <f t="shared" si="179"/>
        <v>#VALUE!</v>
      </c>
    </row>
    <row r="1811" spans="1:31" x14ac:dyDescent="0.3">
      <c r="A1811">
        <v>15</v>
      </c>
      <c r="B1811">
        <v>4880623</v>
      </c>
      <c r="C1811" t="s">
        <v>217</v>
      </c>
      <c r="D1811">
        <v>1160621</v>
      </c>
      <c r="E1811" t="s">
        <v>571</v>
      </c>
      <c r="F1811" t="s">
        <v>18</v>
      </c>
      <c r="G1811" t="s">
        <v>2910</v>
      </c>
      <c r="H1811" t="s">
        <v>2911</v>
      </c>
      <c r="I1811" t="s">
        <v>3484</v>
      </c>
      <c r="J1811">
        <v>51155992650</v>
      </c>
      <c r="K1811" t="s">
        <v>3207</v>
      </c>
      <c r="L1811" t="s">
        <v>3724</v>
      </c>
      <c r="M1811">
        <v>21000</v>
      </c>
      <c r="N1811" s="10">
        <v>2.3E-2</v>
      </c>
      <c r="O1811" s="10">
        <f t="shared" si="175"/>
        <v>483</v>
      </c>
      <c r="P1811" s="10" t="s">
        <v>5006</v>
      </c>
      <c r="Q1811" s="10" t="s">
        <v>5006</v>
      </c>
      <c r="R1811" s="10" t="str">
        <f>IF(COUNTIF($J$2:J1811,J1811)=1,SUMIFS($O:$O,$J:$J,J1811)+SUMIFS($P:$P,$J:$J,J1811)+SUMIFS($Q:$Q,$J:$J,J1811),"")</f>
        <v/>
      </c>
      <c r="S1811" s="10" t="s">
        <v>5006</v>
      </c>
      <c r="T1811" s="11" t="str">
        <f t="shared" si="178"/>
        <v>Check</v>
      </c>
      <c r="U1811" s="12">
        <v>46072</v>
      </c>
      <c r="V1811" s="10">
        <v>640.08000000000004</v>
      </c>
      <c r="W1811" s="10" t="str">
        <f t="shared" si="176"/>
        <v>N/A</v>
      </c>
      <c r="X1811" t="s">
        <v>468</v>
      </c>
      <c r="Y1811" t="s">
        <v>28</v>
      </c>
      <c r="Z1811">
        <v>100286</v>
      </c>
      <c r="AA1811" t="s">
        <v>3061</v>
      </c>
      <c r="AB1811" t="s">
        <v>523</v>
      </c>
      <c r="AC1811" s="9">
        <v>7</v>
      </c>
      <c r="AD1811" s="9" t="str">
        <f t="shared" si="177"/>
        <v>N/A</v>
      </c>
      <c r="AE1811" s="11" t="e">
        <f t="shared" si="179"/>
        <v>#VALUE!</v>
      </c>
    </row>
    <row r="1812" spans="1:31" x14ac:dyDescent="0.3">
      <c r="A1812">
        <v>15</v>
      </c>
      <c r="B1812">
        <v>4880623</v>
      </c>
      <c r="C1812" t="s">
        <v>217</v>
      </c>
      <c r="D1812">
        <v>1160621</v>
      </c>
      <c r="E1812" t="s">
        <v>571</v>
      </c>
      <c r="F1812" t="s">
        <v>18</v>
      </c>
      <c r="G1812" t="s">
        <v>2910</v>
      </c>
      <c r="H1812" t="s">
        <v>2911</v>
      </c>
      <c r="I1812" t="s">
        <v>3484</v>
      </c>
      <c r="J1812">
        <v>51155992650</v>
      </c>
      <c r="K1812" t="s">
        <v>3207</v>
      </c>
      <c r="L1812" t="s">
        <v>3870</v>
      </c>
      <c r="M1812">
        <v>141000</v>
      </c>
      <c r="N1812" s="10">
        <v>2.9100000000000001E-2</v>
      </c>
      <c r="O1812" s="10">
        <f t="shared" si="175"/>
        <v>4103.1000000000004</v>
      </c>
      <c r="P1812" s="10" t="s">
        <v>5006</v>
      </c>
      <c r="Q1812" s="10" t="s">
        <v>5006</v>
      </c>
      <c r="R1812" s="10" t="str">
        <f>IF(COUNTIF($J$2:J1812,J1812)=1,SUMIFS($O:$O,$J:$J,J1812)+SUMIFS($P:$P,$J:$J,J1812)+SUMIFS($Q:$Q,$J:$J,J1812),"")</f>
        <v/>
      </c>
      <c r="S1812" s="10" t="s">
        <v>5006</v>
      </c>
      <c r="T1812" s="11" t="str">
        <f t="shared" si="178"/>
        <v>Check</v>
      </c>
      <c r="U1812" s="12">
        <v>46072</v>
      </c>
      <c r="V1812" s="10">
        <v>640.08000000000004</v>
      </c>
      <c r="W1812" s="10" t="str">
        <f t="shared" si="176"/>
        <v>N/A</v>
      </c>
      <c r="X1812" t="s">
        <v>468</v>
      </c>
      <c r="Y1812" t="s">
        <v>28</v>
      </c>
      <c r="Z1812">
        <v>100286</v>
      </c>
      <c r="AA1812" t="s">
        <v>3061</v>
      </c>
      <c r="AB1812" t="s">
        <v>523</v>
      </c>
      <c r="AC1812" s="9">
        <v>7</v>
      </c>
      <c r="AD1812" s="9" t="str">
        <f t="shared" si="177"/>
        <v>N/A</v>
      </c>
      <c r="AE1812" s="11" t="e">
        <f t="shared" si="179"/>
        <v>#VALUE!</v>
      </c>
    </row>
    <row r="1813" spans="1:31" x14ac:dyDescent="0.3">
      <c r="A1813">
        <v>0</v>
      </c>
      <c r="B1813">
        <v>4980806</v>
      </c>
      <c r="C1813" t="s">
        <v>167</v>
      </c>
      <c r="D1813">
        <v>1139721</v>
      </c>
      <c r="E1813" t="s">
        <v>547</v>
      </c>
      <c r="F1813" t="s">
        <v>24</v>
      </c>
      <c r="G1813" t="s">
        <v>3030</v>
      </c>
      <c r="H1813" t="s">
        <v>1931</v>
      </c>
      <c r="I1813" t="s">
        <v>3469</v>
      </c>
      <c r="J1813">
        <v>51156005220</v>
      </c>
      <c r="K1813" t="s">
        <v>3168</v>
      </c>
      <c r="L1813" t="s">
        <v>4515</v>
      </c>
      <c r="M1813">
        <v>12000</v>
      </c>
      <c r="N1813" s="10">
        <v>3.4599999999999999E-2</v>
      </c>
      <c r="O1813" s="10">
        <f t="shared" si="175"/>
        <v>415.2</v>
      </c>
      <c r="P1813" s="10">
        <v>53.980000000000004</v>
      </c>
      <c r="Q1813" s="10">
        <v>318.7</v>
      </c>
      <c r="R1813" s="10">
        <f>IF(COUNTIF($J$2:J1813,J1813)=1,SUMIFS($O:$O,$J:$J,J1813)+SUMIFS($P:$P,$J:$J,J1813)+SUMIFS($Q:$Q,$J:$J,J1813),"")</f>
        <v>2126.9699999999998</v>
      </c>
      <c r="S1813" s="10">
        <v>2126.9699999999998</v>
      </c>
      <c r="T1813" s="11" t="str">
        <f t="shared" si="178"/>
        <v>Ok</v>
      </c>
      <c r="U1813" s="12">
        <v>46087</v>
      </c>
      <c r="V1813" s="10">
        <v>255.85</v>
      </c>
      <c r="W1813" s="10" t="str">
        <f t="shared" si="176"/>
        <v>Short Paid</v>
      </c>
      <c r="X1813" t="s">
        <v>455</v>
      </c>
      <c r="Y1813" t="s">
        <v>40</v>
      </c>
      <c r="Z1813">
        <v>100180</v>
      </c>
      <c r="AA1813" t="s">
        <v>3049</v>
      </c>
      <c r="AB1813" t="s">
        <v>522</v>
      </c>
      <c r="AC1813" s="9">
        <v>3</v>
      </c>
      <c r="AD1813" s="9" t="str">
        <f t="shared" si="177"/>
        <v>Ok</v>
      </c>
      <c r="AE1813" s="11">
        <f t="shared" si="179"/>
        <v>0</v>
      </c>
    </row>
    <row r="1814" spans="1:31" x14ac:dyDescent="0.3">
      <c r="A1814">
        <v>0</v>
      </c>
      <c r="B1814">
        <v>4980806</v>
      </c>
      <c r="C1814" t="s">
        <v>167</v>
      </c>
      <c r="D1814">
        <v>1139721</v>
      </c>
      <c r="E1814" t="s">
        <v>547</v>
      </c>
      <c r="F1814" t="s">
        <v>24</v>
      </c>
      <c r="G1814" t="s">
        <v>3030</v>
      </c>
      <c r="H1814" t="s">
        <v>1931</v>
      </c>
      <c r="I1814" t="s">
        <v>3283</v>
      </c>
      <c r="J1814">
        <v>51156005220</v>
      </c>
      <c r="K1814" t="s">
        <v>3635</v>
      </c>
      <c r="L1814" t="s">
        <v>4516</v>
      </c>
      <c r="M1814">
        <v>1</v>
      </c>
      <c r="N1814" s="10">
        <v>1075</v>
      </c>
      <c r="O1814" s="10">
        <f t="shared" si="175"/>
        <v>1075</v>
      </c>
      <c r="P1814" s="10" t="s">
        <v>5006</v>
      </c>
      <c r="Q1814" s="10" t="s">
        <v>5006</v>
      </c>
      <c r="R1814" s="10" t="str">
        <f>IF(COUNTIF($J$2:J1814,J1814)=1,SUMIFS($O:$O,$J:$J,J1814)+SUMIFS($P:$P,$J:$J,J1814)+SUMIFS($Q:$Q,$J:$J,J1814),"")</f>
        <v/>
      </c>
      <c r="S1814" s="10" t="s">
        <v>5006</v>
      </c>
      <c r="T1814" s="11" t="str">
        <f t="shared" si="178"/>
        <v>Ok</v>
      </c>
      <c r="U1814" s="12">
        <v>46087</v>
      </c>
      <c r="V1814" s="10">
        <v>255.85</v>
      </c>
      <c r="W1814" s="10" t="str">
        <f t="shared" si="176"/>
        <v>N/A</v>
      </c>
      <c r="X1814" t="s">
        <v>455</v>
      </c>
      <c r="Y1814" t="s">
        <v>40</v>
      </c>
      <c r="Z1814">
        <v>100180</v>
      </c>
      <c r="AA1814" t="s">
        <v>3049</v>
      </c>
      <c r="AB1814" t="s">
        <v>522</v>
      </c>
      <c r="AC1814" s="9">
        <v>3</v>
      </c>
      <c r="AD1814" s="9" t="str">
        <f t="shared" si="177"/>
        <v>N/A</v>
      </c>
      <c r="AE1814" s="11" t="e">
        <f t="shared" si="179"/>
        <v>#VALUE!</v>
      </c>
    </row>
    <row r="1815" spans="1:31" x14ac:dyDescent="0.3">
      <c r="A1815">
        <v>0</v>
      </c>
      <c r="B1815">
        <v>4980806</v>
      </c>
      <c r="C1815" t="s">
        <v>167</v>
      </c>
      <c r="D1815">
        <v>1139721</v>
      </c>
      <c r="E1815" t="s">
        <v>547</v>
      </c>
      <c r="F1815" t="s">
        <v>24</v>
      </c>
      <c r="G1815" t="s">
        <v>3030</v>
      </c>
      <c r="H1815" t="s">
        <v>1931</v>
      </c>
      <c r="I1815" t="s">
        <v>3283</v>
      </c>
      <c r="J1815">
        <v>51156005220</v>
      </c>
      <c r="K1815" t="s">
        <v>3635</v>
      </c>
      <c r="L1815" t="s">
        <v>4517</v>
      </c>
      <c r="M1815">
        <v>3</v>
      </c>
      <c r="N1815" s="10">
        <v>88.03</v>
      </c>
      <c r="O1815" s="10">
        <f t="shared" si="175"/>
        <v>264.09000000000003</v>
      </c>
      <c r="P1815" s="10" t="s">
        <v>5006</v>
      </c>
      <c r="Q1815" s="10" t="s">
        <v>5006</v>
      </c>
      <c r="R1815" s="10" t="str">
        <f>IF(COUNTIF($J$2:J1815,J1815)=1,SUMIFS($O:$O,$J:$J,J1815)+SUMIFS($P:$P,$J:$J,J1815)+SUMIFS($Q:$Q,$J:$J,J1815),"")</f>
        <v/>
      </c>
      <c r="S1815" s="10" t="s">
        <v>5006</v>
      </c>
      <c r="T1815" s="11" t="str">
        <f t="shared" si="178"/>
        <v>Ok</v>
      </c>
      <c r="U1815" s="12">
        <v>46087</v>
      </c>
      <c r="V1815" s="10">
        <v>255.85</v>
      </c>
      <c r="W1815" s="10" t="str">
        <f t="shared" si="176"/>
        <v>N/A</v>
      </c>
      <c r="X1815" t="s">
        <v>455</v>
      </c>
      <c r="Y1815" t="s">
        <v>40</v>
      </c>
      <c r="Z1815">
        <v>100180</v>
      </c>
      <c r="AA1815" t="s">
        <v>3049</v>
      </c>
      <c r="AB1815" t="s">
        <v>522</v>
      </c>
      <c r="AC1815" s="9">
        <v>3</v>
      </c>
      <c r="AD1815" s="9" t="str">
        <f t="shared" si="177"/>
        <v>N/A</v>
      </c>
      <c r="AE1815" s="11" t="e">
        <f t="shared" si="179"/>
        <v>#VALUE!</v>
      </c>
    </row>
    <row r="1816" spans="1:31" x14ac:dyDescent="0.3">
      <c r="A1816">
        <v>16</v>
      </c>
      <c r="B1816">
        <v>4867265</v>
      </c>
      <c r="C1816" t="s">
        <v>94</v>
      </c>
      <c r="D1816">
        <v>1847634</v>
      </c>
      <c r="E1816" t="s">
        <v>583</v>
      </c>
      <c r="F1816" t="s">
        <v>20</v>
      </c>
      <c r="G1816" t="s">
        <v>1608</v>
      </c>
      <c r="H1816" t="s">
        <v>1609</v>
      </c>
      <c r="I1816" t="s">
        <v>3542</v>
      </c>
      <c r="J1816">
        <v>51156006588</v>
      </c>
      <c r="K1816" t="s">
        <v>3177</v>
      </c>
      <c r="L1816" t="s">
        <v>4518</v>
      </c>
      <c r="M1816">
        <v>100</v>
      </c>
      <c r="N1816" s="10">
        <v>7.9814400000000001</v>
      </c>
      <c r="O1816" s="10">
        <f t="shared" si="175"/>
        <v>798.14400000000001</v>
      </c>
      <c r="P1816" s="10">
        <v>31.28</v>
      </c>
      <c r="Q1816" s="10">
        <v>70.900000000000006</v>
      </c>
      <c r="R1816" s="10">
        <f>IF(COUNTIF($J$2:J1816,J1816)=1,SUMIFS($O:$O,$J:$J,J1816)+SUMIFS($P:$P,$J:$J,J1816)+SUMIFS($Q:$Q,$J:$J,J1816),"")</f>
        <v>1208.5640000000001</v>
      </c>
      <c r="S1816" s="10">
        <v>1208.56</v>
      </c>
      <c r="T1816" s="11" t="str">
        <f t="shared" si="178"/>
        <v>Check</v>
      </c>
      <c r="U1816" s="12">
        <v>46094</v>
      </c>
      <c r="V1816" s="10">
        <v>159.63</v>
      </c>
      <c r="W1816" s="10" t="str">
        <f t="shared" si="176"/>
        <v>Short Paid</v>
      </c>
      <c r="X1816" t="s">
        <v>450</v>
      </c>
      <c r="Y1816" t="s">
        <v>28</v>
      </c>
      <c r="Z1816">
        <v>100127</v>
      </c>
      <c r="AA1816" t="s">
        <v>3090</v>
      </c>
      <c r="AB1816" t="s">
        <v>521</v>
      </c>
      <c r="AC1816" s="9">
        <v>2</v>
      </c>
      <c r="AD1816" s="9" t="str">
        <f t="shared" si="177"/>
        <v>Check</v>
      </c>
      <c r="AE1816" s="11">
        <f t="shared" si="179"/>
        <v>4.0000000001327862E-3</v>
      </c>
    </row>
    <row r="1817" spans="1:31" x14ac:dyDescent="0.3">
      <c r="A1817">
        <v>16</v>
      </c>
      <c r="B1817">
        <v>4867265</v>
      </c>
      <c r="C1817" t="s">
        <v>94</v>
      </c>
      <c r="D1817">
        <v>1847634</v>
      </c>
      <c r="E1817" t="s">
        <v>583</v>
      </c>
      <c r="F1817" t="s">
        <v>20</v>
      </c>
      <c r="G1817" t="s">
        <v>1608</v>
      </c>
      <c r="H1817" t="s">
        <v>1609</v>
      </c>
      <c r="I1817" t="s">
        <v>3213</v>
      </c>
      <c r="J1817">
        <v>51156006588</v>
      </c>
      <c r="K1817" t="s">
        <v>3246</v>
      </c>
      <c r="L1817" t="s">
        <v>4519</v>
      </c>
      <c r="M1817">
        <v>1000</v>
      </c>
      <c r="N1817" s="10">
        <v>0.30824000000000001</v>
      </c>
      <c r="O1817" s="10">
        <f t="shared" si="175"/>
        <v>308.24</v>
      </c>
      <c r="P1817" s="10" t="s">
        <v>5006</v>
      </c>
      <c r="Q1817" s="10" t="s">
        <v>5006</v>
      </c>
      <c r="R1817" s="10" t="str">
        <f>IF(COUNTIF($J$2:J1817,J1817)=1,SUMIFS($O:$O,$J:$J,J1817)+SUMIFS($P:$P,$J:$J,J1817)+SUMIFS($Q:$Q,$J:$J,J1817),"")</f>
        <v/>
      </c>
      <c r="S1817" s="10" t="s">
        <v>5006</v>
      </c>
      <c r="T1817" s="11" t="str">
        <f t="shared" si="178"/>
        <v>Check</v>
      </c>
      <c r="U1817" s="12">
        <v>46094</v>
      </c>
      <c r="V1817" s="10">
        <v>159.63</v>
      </c>
      <c r="W1817" s="10" t="str">
        <f t="shared" si="176"/>
        <v>N/A</v>
      </c>
      <c r="X1817" t="s">
        <v>450</v>
      </c>
      <c r="Y1817" t="s">
        <v>28</v>
      </c>
      <c r="Z1817">
        <v>100127</v>
      </c>
      <c r="AA1817" t="s">
        <v>3090</v>
      </c>
      <c r="AB1817" t="s">
        <v>521</v>
      </c>
      <c r="AC1817" s="9">
        <v>2</v>
      </c>
      <c r="AD1817" s="9" t="str">
        <f t="shared" si="177"/>
        <v>N/A</v>
      </c>
      <c r="AE1817" s="11" t="e">
        <f t="shared" si="179"/>
        <v>#VALUE!</v>
      </c>
    </row>
    <row r="1818" spans="1:31" x14ac:dyDescent="0.3">
      <c r="A1818">
        <v>15</v>
      </c>
      <c r="B1818">
        <v>4880345</v>
      </c>
      <c r="C1818" t="s">
        <v>217</v>
      </c>
      <c r="D1818">
        <v>1160621</v>
      </c>
      <c r="E1818" t="s">
        <v>571</v>
      </c>
      <c r="F1818" t="s">
        <v>18</v>
      </c>
      <c r="G1818" t="s">
        <v>1656</v>
      </c>
      <c r="H1818" t="s">
        <v>1657</v>
      </c>
      <c r="I1818" t="s">
        <v>3200</v>
      </c>
      <c r="J1818">
        <v>51156039821</v>
      </c>
      <c r="K1818" t="s">
        <v>3168</v>
      </c>
      <c r="L1818" t="s">
        <v>4475</v>
      </c>
      <c r="M1818">
        <v>12500</v>
      </c>
      <c r="N1818" s="10">
        <v>5.8819999999999997E-2</v>
      </c>
      <c r="O1818" s="10">
        <f t="shared" si="175"/>
        <v>735.25</v>
      </c>
      <c r="P1818" s="10">
        <v>64.569999999999993</v>
      </c>
      <c r="Q1818" s="10">
        <v>146.35</v>
      </c>
      <c r="R1818" s="10">
        <f>IF(COUNTIF($J$2:J1818,J1818)=1,SUMIFS($O:$O,$J:$J,J1818)+SUMIFS($P:$P,$J:$J,J1818)+SUMIFS($Q:$Q,$J:$J,J1818),"")</f>
        <v>1582.47</v>
      </c>
      <c r="S1818" s="10">
        <v>1729.52</v>
      </c>
      <c r="T1818" s="11" t="str">
        <f t="shared" si="178"/>
        <v>Check</v>
      </c>
      <c r="U1818" s="12">
        <v>46073</v>
      </c>
      <c r="V1818" s="10">
        <v>882.3</v>
      </c>
      <c r="W1818" s="10" t="str">
        <f t="shared" si="176"/>
        <v>Short Paid</v>
      </c>
      <c r="X1818" t="s">
        <v>468</v>
      </c>
      <c r="Y1818" t="s">
        <v>28</v>
      </c>
      <c r="Z1818">
        <v>100276</v>
      </c>
      <c r="AA1818" t="s">
        <v>469</v>
      </c>
      <c r="AB1818" t="s">
        <v>523</v>
      </c>
      <c r="AC1818" s="9">
        <v>2</v>
      </c>
      <c r="AD1818" s="9" t="str">
        <f t="shared" si="177"/>
        <v>Check</v>
      </c>
      <c r="AE1818" s="11">
        <f t="shared" si="179"/>
        <v>-147.04999999999995</v>
      </c>
    </row>
    <row r="1819" spans="1:31" x14ac:dyDescent="0.3">
      <c r="A1819">
        <v>15</v>
      </c>
      <c r="B1819">
        <v>4880345</v>
      </c>
      <c r="C1819" t="s">
        <v>217</v>
      </c>
      <c r="D1819">
        <v>1160621</v>
      </c>
      <c r="E1819" t="s">
        <v>571</v>
      </c>
      <c r="F1819" t="s">
        <v>18</v>
      </c>
      <c r="G1819" t="s">
        <v>1656</v>
      </c>
      <c r="H1819" t="s">
        <v>1657</v>
      </c>
      <c r="I1819" t="s">
        <v>3300</v>
      </c>
      <c r="J1819">
        <v>51156039821</v>
      </c>
      <c r="K1819" t="s">
        <v>3532</v>
      </c>
      <c r="L1819" t="s">
        <v>3534</v>
      </c>
      <c r="M1819">
        <v>3000</v>
      </c>
      <c r="N1819" s="10">
        <v>0.21210000000000001</v>
      </c>
      <c r="O1819" s="10">
        <f t="shared" si="175"/>
        <v>636.30000000000007</v>
      </c>
      <c r="P1819" s="10" t="s">
        <v>5006</v>
      </c>
      <c r="Q1819" s="10" t="s">
        <v>5006</v>
      </c>
      <c r="R1819" s="10" t="str">
        <f>IF(COUNTIF($J$2:J1819,J1819)=1,SUMIFS($O:$O,$J:$J,J1819)+SUMIFS($P:$P,$J:$J,J1819)+SUMIFS($Q:$Q,$J:$J,J1819),"")</f>
        <v/>
      </c>
      <c r="S1819" s="10" t="s">
        <v>5006</v>
      </c>
      <c r="T1819" s="11" t="str">
        <f t="shared" si="178"/>
        <v>Check</v>
      </c>
      <c r="U1819" s="12">
        <v>46073</v>
      </c>
      <c r="V1819" s="10">
        <v>882.3</v>
      </c>
      <c r="W1819" s="10" t="str">
        <f t="shared" si="176"/>
        <v>N/A</v>
      </c>
      <c r="X1819" t="s">
        <v>468</v>
      </c>
      <c r="Y1819" t="s">
        <v>28</v>
      </c>
      <c r="Z1819">
        <v>100276</v>
      </c>
      <c r="AA1819" t="s">
        <v>469</v>
      </c>
      <c r="AB1819" t="s">
        <v>523</v>
      </c>
      <c r="AC1819" s="9">
        <v>2</v>
      </c>
      <c r="AD1819" s="9" t="str">
        <f t="shared" si="177"/>
        <v>N/A</v>
      </c>
      <c r="AE1819" s="11" t="e">
        <f t="shared" si="179"/>
        <v>#VALUE!</v>
      </c>
    </row>
    <row r="1820" spans="1:31" x14ac:dyDescent="0.3">
      <c r="A1820">
        <v>15</v>
      </c>
      <c r="B1820">
        <v>4880066</v>
      </c>
      <c r="C1820" t="s">
        <v>217</v>
      </c>
      <c r="D1820">
        <v>1160621</v>
      </c>
      <c r="E1820" t="s">
        <v>571</v>
      </c>
      <c r="F1820" t="s">
        <v>18</v>
      </c>
      <c r="G1820" t="s">
        <v>2875</v>
      </c>
      <c r="H1820" t="s">
        <v>1655</v>
      </c>
      <c r="I1820" t="s">
        <v>3200</v>
      </c>
      <c r="J1820">
        <v>51156059502</v>
      </c>
      <c r="K1820" t="s">
        <v>3532</v>
      </c>
      <c r="L1820" t="s">
        <v>3534</v>
      </c>
      <c r="M1820">
        <v>27000</v>
      </c>
      <c r="N1820" s="10">
        <v>0.20335</v>
      </c>
      <c r="O1820" s="10">
        <f t="shared" si="175"/>
        <v>5490.45</v>
      </c>
      <c r="P1820" s="10">
        <v>0</v>
      </c>
      <c r="Q1820" s="10">
        <v>163.34</v>
      </c>
      <c r="R1820" s="10">
        <f>IF(COUNTIF($J$2:J1820,J1820)=1,SUMIFS($O:$O,$J:$J,J1820)+SUMIFS($P:$P,$J:$J,J1820)+SUMIFS($Q:$Q,$J:$J,J1820),"")</f>
        <v>5972.19</v>
      </c>
      <c r="S1820" s="10">
        <v>5972.19</v>
      </c>
      <c r="T1820" s="11" t="str">
        <f t="shared" si="178"/>
        <v>Ok</v>
      </c>
      <c r="U1820" s="12">
        <v>46073</v>
      </c>
      <c r="V1820" s="10">
        <v>481.74</v>
      </c>
      <c r="W1820" s="10" t="str">
        <f t="shared" si="176"/>
        <v>Short Paid</v>
      </c>
      <c r="X1820" t="s">
        <v>468</v>
      </c>
      <c r="Y1820" t="s">
        <v>28</v>
      </c>
      <c r="Z1820">
        <v>100246</v>
      </c>
      <c r="AA1820" t="s">
        <v>3060</v>
      </c>
      <c r="AB1820" t="s">
        <v>523</v>
      </c>
      <c r="AC1820" s="9">
        <v>3</v>
      </c>
      <c r="AD1820" s="9" t="str">
        <f t="shared" si="177"/>
        <v>Ok</v>
      </c>
      <c r="AE1820" s="11">
        <f t="shared" si="179"/>
        <v>0</v>
      </c>
    </row>
    <row r="1821" spans="1:31" x14ac:dyDescent="0.3">
      <c r="A1821">
        <v>15</v>
      </c>
      <c r="B1821">
        <v>4880066</v>
      </c>
      <c r="C1821" t="s">
        <v>217</v>
      </c>
      <c r="D1821">
        <v>1160621</v>
      </c>
      <c r="E1821" t="s">
        <v>571</v>
      </c>
      <c r="F1821" t="s">
        <v>18</v>
      </c>
      <c r="G1821" t="s">
        <v>2875</v>
      </c>
      <c r="H1821" t="s">
        <v>1655</v>
      </c>
      <c r="I1821" t="s">
        <v>3347</v>
      </c>
      <c r="J1821">
        <v>51156059502</v>
      </c>
      <c r="K1821" t="s">
        <v>3379</v>
      </c>
      <c r="L1821" t="s">
        <v>4197</v>
      </c>
      <c r="M1821">
        <v>4000</v>
      </c>
      <c r="N1821" s="10">
        <v>2.5000000000000001E-2</v>
      </c>
      <c r="O1821" s="10">
        <f t="shared" si="175"/>
        <v>100</v>
      </c>
      <c r="P1821" s="10" t="s">
        <v>5006</v>
      </c>
      <c r="Q1821" s="10" t="s">
        <v>5006</v>
      </c>
      <c r="R1821" s="10" t="str">
        <f>IF(COUNTIF($J$2:J1821,J1821)=1,SUMIFS($O:$O,$J:$J,J1821)+SUMIFS($P:$P,$J:$J,J1821)+SUMIFS($Q:$Q,$J:$J,J1821),"")</f>
        <v/>
      </c>
      <c r="S1821" s="10" t="s">
        <v>5006</v>
      </c>
      <c r="T1821" s="11" t="str">
        <f t="shared" si="178"/>
        <v>Ok</v>
      </c>
      <c r="U1821" s="12">
        <v>46073</v>
      </c>
      <c r="V1821" s="10">
        <v>481.74</v>
      </c>
      <c r="W1821" s="10" t="str">
        <f t="shared" si="176"/>
        <v>N/A</v>
      </c>
      <c r="X1821" t="s">
        <v>468</v>
      </c>
      <c r="Y1821" t="s">
        <v>28</v>
      </c>
      <c r="Z1821">
        <v>100246</v>
      </c>
      <c r="AA1821" t="s">
        <v>3060</v>
      </c>
      <c r="AB1821" t="s">
        <v>523</v>
      </c>
      <c r="AC1821" s="9">
        <v>3</v>
      </c>
      <c r="AD1821" s="9" t="str">
        <f t="shared" si="177"/>
        <v>N/A</v>
      </c>
      <c r="AE1821" s="11" t="e">
        <f t="shared" si="179"/>
        <v>#VALUE!</v>
      </c>
    </row>
    <row r="1822" spans="1:31" x14ac:dyDescent="0.3">
      <c r="A1822">
        <v>15</v>
      </c>
      <c r="B1822">
        <v>4880066</v>
      </c>
      <c r="C1822" t="s">
        <v>217</v>
      </c>
      <c r="D1822">
        <v>1160621</v>
      </c>
      <c r="E1822" t="s">
        <v>571</v>
      </c>
      <c r="F1822" t="s">
        <v>18</v>
      </c>
      <c r="G1822" t="s">
        <v>2875</v>
      </c>
      <c r="H1822" t="s">
        <v>1655</v>
      </c>
      <c r="I1822" t="s">
        <v>3347</v>
      </c>
      <c r="J1822">
        <v>51156059502</v>
      </c>
      <c r="K1822" t="s">
        <v>3168</v>
      </c>
      <c r="L1822" t="s">
        <v>4520</v>
      </c>
      <c r="M1822">
        <v>2500</v>
      </c>
      <c r="N1822" s="10">
        <v>8.7359999999999993E-2</v>
      </c>
      <c r="O1822" s="10">
        <f t="shared" si="175"/>
        <v>218.39999999999998</v>
      </c>
      <c r="P1822" s="10" t="s">
        <v>5006</v>
      </c>
      <c r="Q1822" s="10" t="s">
        <v>5006</v>
      </c>
      <c r="R1822" s="10" t="str">
        <f>IF(COUNTIF($J$2:J1822,J1822)=1,SUMIFS($O:$O,$J:$J,J1822)+SUMIFS($P:$P,$J:$J,J1822)+SUMIFS($Q:$Q,$J:$J,J1822),"")</f>
        <v/>
      </c>
      <c r="S1822" s="10" t="s">
        <v>5006</v>
      </c>
      <c r="T1822" s="11" t="str">
        <f t="shared" si="178"/>
        <v>Ok</v>
      </c>
      <c r="U1822" s="12">
        <v>46073</v>
      </c>
      <c r="V1822" s="10">
        <v>481.74</v>
      </c>
      <c r="W1822" s="10" t="str">
        <f t="shared" si="176"/>
        <v>N/A</v>
      </c>
      <c r="X1822" t="s">
        <v>468</v>
      </c>
      <c r="Y1822" t="s">
        <v>28</v>
      </c>
      <c r="Z1822">
        <v>100246</v>
      </c>
      <c r="AA1822" t="s">
        <v>3060</v>
      </c>
      <c r="AB1822" t="s">
        <v>523</v>
      </c>
      <c r="AC1822" s="9">
        <v>3</v>
      </c>
      <c r="AD1822" s="9" t="str">
        <f t="shared" si="177"/>
        <v>N/A</v>
      </c>
      <c r="AE1822" s="11" t="e">
        <f t="shared" si="179"/>
        <v>#VALUE!</v>
      </c>
    </row>
    <row r="1823" spans="1:31" x14ac:dyDescent="0.3">
      <c r="A1823">
        <v>15</v>
      </c>
      <c r="B1823">
        <v>4877284</v>
      </c>
      <c r="C1823" t="s">
        <v>217</v>
      </c>
      <c r="D1823">
        <v>1160621</v>
      </c>
      <c r="E1823" t="s">
        <v>571</v>
      </c>
      <c r="F1823" t="s">
        <v>18</v>
      </c>
      <c r="G1823" t="s">
        <v>1650</v>
      </c>
      <c r="H1823" t="s">
        <v>1651</v>
      </c>
      <c r="I1823" t="s">
        <v>3349</v>
      </c>
      <c r="J1823">
        <v>51156067132</v>
      </c>
      <c r="K1823" t="s">
        <v>3379</v>
      </c>
      <c r="L1823" t="s">
        <v>3461</v>
      </c>
      <c r="M1823">
        <v>80000</v>
      </c>
      <c r="N1823" s="10">
        <v>2.7E-2</v>
      </c>
      <c r="O1823" s="10">
        <f t="shared" si="175"/>
        <v>2160</v>
      </c>
      <c r="P1823" s="10">
        <v>0</v>
      </c>
      <c r="Q1823" s="10">
        <v>281.3</v>
      </c>
      <c r="R1823" s="10">
        <f>IF(COUNTIF($J$2:J1823,J1823)=1,SUMIFS($O:$O,$J:$J,J1823)+SUMIFS($P:$P,$J:$J,J1823)+SUMIFS($Q:$Q,$J:$J,J1823),"")</f>
        <v>3329.6000000000004</v>
      </c>
      <c r="S1823" s="10">
        <v>3921.8</v>
      </c>
      <c r="T1823" s="11" t="str">
        <f t="shared" si="178"/>
        <v>Check</v>
      </c>
      <c r="U1823" s="12">
        <v>46066</v>
      </c>
      <c r="V1823" s="10">
        <v>1761.8</v>
      </c>
      <c r="W1823" s="10" t="str">
        <f t="shared" si="176"/>
        <v>Short Paid</v>
      </c>
      <c r="X1823" t="s">
        <v>468</v>
      </c>
      <c r="Y1823" t="s">
        <v>28</v>
      </c>
      <c r="Z1823">
        <v>100246</v>
      </c>
      <c r="AA1823" t="s">
        <v>3060</v>
      </c>
      <c r="AB1823" t="s">
        <v>523</v>
      </c>
      <c r="AC1823" s="9">
        <v>2</v>
      </c>
      <c r="AD1823" s="9" t="str">
        <f t="shared" si="177"/>
        <v>Check</v>
      </c>
      <c r="AE1823" s="11">
        <f t="shared" si="179"/>
        <v>-592.19999999999982</v>
      </c>
    </row>
    <row r="1824" spans="1:31" x14ac:dyDescent="0.3">
      <c r="A1824">
        <v>15</v>
      </c>
      <c r="B1824">
        <v>4877284</v>
      </c>
      <c r="C1824" t="s">
        <v>217</v>
      </c>
      <c r="D1824">
        <v>1160621</v>
      </c>
      <c r="E1824" t="s">
        <v>571</v>
      </c>
      <c r="F1824" t="s">
        <v>18</v>
      </c>
      <c r="G1824" t="s">
        <v>1650</v>
      </c>
      <c r="H1824" t="s">
        <v>1651</v>
      </c>
      <c r="I1824" t="s">
        <v>3206</v>
      </c>
      <c r="J1824">
        <v>51156067132</v>
      </c>
      <c r="K1824" t="s">
        <v>3246</v>
      </c>
      <c r="L1824" t="s">
        <v>4521</v>
      </c>
      <c r="M1824">
        <v>3000</v>
      </c>
      <c r="N1824" s="10">
        <v>0.29609999999999997</v>
      </c>
      <c r="O1824" s="10">
        <f t="shared" si="175"/>
        <v>888.3</v>
      </c>
      <c r="P1824" s="10" t="s">
        <v>5006</v>
      </c>
      <c r="Q1824" s="10" t="s">
        <v>5006</v>
      </c>
      <c r="R1824" s="10" t="str">
        <f>IF(COUNTIF($J$2:J1824,J1824)=1,SUMIFS($O:$O,$J:$J,J1824)+SUMIFS($P:$P,$J:$J,J1824)+SUMIFS($Q:$Q,$J:$J,J1824),"")</f>
        <v/>
      </c>
      <c r="S1824" s="10" t="s">
        <v>5006</v>
      </c>
      <c r="T1824" s="11" t="str">
        <f t="shared" si="178"/>
        <v>Check</v>
      </c>
      <c r="U1824" s="12">
        <v>46066</v>
      </c>
      <c r="V1824" s="10">
        <v>1761.8</v>
      </c>
      <c r="W1824" s="10" t="str">
        <f t="shared" si="176"/>
        <v>N/A</v>
      </c>
      <c r="X1824" t="s">
        <v>468</v>
      </c>
      <c r="Y1824" t="s">
        <v>28</v>
      </c>
      <c r="Z1824">
        <v>100246</v>
      </c>
      <c r="AA1824" t="s">
        <v>3060</v>
      </c>
      <c r="AB1824" t="s">
        <v>523</v>
      </c>
      <c r="AC1824" s="9">
        <v>2</v>
      </c>
      <c r="AD1824" s="9" t="str">
        <f t="shared" si="177"/>
        <v>N/A</v>
      </c>
      <c r="AE1824" s="11" t="e">
        <f t="shared" si="179"/>
        <v>#VALUE!</v>
      </c>
    </row>
    <row r="1825" spans="1:31" x14ac:dyDescent="0.3">
      <c r="A1825">
        <v>15</v>
      </c>
      <c r="B1825">
        <v>4877562</v>
      </c>
      <c r="C1825" t="s">
        <v>217</v>
      </c>
      <c r="D1825">
        <v>1160621</v>
      </c>
      <c r="E1825" t="s">
        <v>571</v>
      </c>
      <c r="F1825" t="s">
        <v>18</v>
      </c>
      <c r="G1825" t="s">
        <v>2908</v>
      </c>
      <c r="H1825" t="s">
        <v>2909</v>
      </c>
      <c r="I1825" t="s">
        <v>3227</v>
      </c>
      <c r="J1825">
        <v>51156081191</v>
      </c>
      <c r="K1825" t="s">
        <v>3177</v>
      </c>
      <c r="L1825" t="s">
        <v>3891</v>
      </c>
      <c r="M1825">
        <v>10000</v>
      </c>
      <c r="N1825" s="10">
        <v>1.495E-2</v>
      </c>
      <c r="O1825" s="10">
        <f t="shared" si="175"/>
        <v>149.5</v>
      </c>
      <c r="P1825" s="10">
        <v>0</v>
      </c>
      <c r="Q1825" s="10">
        <v>0</v>
      </c>
      <c r="R1825" s="10">
        <f>IF(COUNTIF($J$2:J1825,J1825)=1,SUMIFS($O:$O,$J:$J,J1825)+SUMIFS($P:$P,$J:$J,J1825)+SUMIFS($Q:$Q,$J:$J,J1825),"")</f>
        <v>814.3</v>
      </c>
      <c r="S1825" s="10">
        <v>1065.0999999999999</v>
      </c>
      <c r="T1825" s="11" t="str">
        <f t="shared" si="178"/>
        <v>Check</v>
      </c>
      <c r="U1825" s="12">
        <v>46069</v>
      </c>
      <c r="V1825" s="10">
        <v>600</v>
      </c>
      <c r="W1825" s="10" t="str">
        <f t="shared" si="176"/>
        <v>Short Paid</v>
      </c>
      <c r="X1825" t="s">
        <v>468</v>
      </c>
      <c r="Y1825" t="s">
        <v>28</v>
      </c>
      <c r="Z1825">
        <v>100276</v>
      </c>
      <c r="AA1825" t="s">
        <v>469</v>
      </c>
      <c r="AB1825" t="s">
        <v>523</v>
      </c>
      <c r="AC1825" s="9">
        <v>3</v>
      </c>
      <c r="AD1825" s="9" t="str">
        <f t="shared" si="177"/>
        <v>Check</v>
      </c>
      <c r="AE1825" s="11">
        <f t="shared" si="179"/>
        <v>-250.79999999999995</v>
      </c>
    </row>
    <row r="1826" spans="1:31" x14ac:dyDescent="0.3">
      <c r="A1826">
        <v>15</v>
      </c>
      <c r="B1826">
        <v>4877562</v>
      </c>
      <c r="C1826" t="s">
        <v>217</v>
      </c>
      <c r="D1826">
        <v>1160621</v>
      </c>
      <c r="E1826" t="s">
        <v>571</v>
      </c>
      <c r="F1826" t="s">
        <v>18</v>
      </c>
      <c r="G1826" t="s">
        <v>2908</v>
      </c>
      <c r="H1826" t="s">
        <v>2909</v>
      </c>
      <c r="I1826" t="s">
        <v>3227</v>
      </c>
      <c r="J1826">
        <v>51156081191</v>
      </c>
      <c r="K1826" t="s">
        <v>3479</v>
      </c>
      <c r="L1826" t="s">
        <v>3880</v>
      </c>
      <c r="M1826">
        <v>60000</v>
      </c>
      <c r="N1826" s="10">
        <v>2.0799999999999998E-3</v>
      </c>
      <c r="O1826" s="10">
        <f t="shared" si="175"/>
        <v>124.79999999999998</v>
      </c>
      <c r="P1826" s="10" t="s">
        <v>5006</v>
      </c>
      <c r="Q1826" s="10" t="s">
        <v>5006</v>
      </c>
      <c r="R1826" s="10" t="str">
        <f>IF(COUNTIF($J$2:J1826,J1826)=1,SUMIFS($O:$O,$J:$J,J1826)+SUMIFS($P:$P,$J:$J,J1826)+SUMIFS($Q:$Q,$J:$J,J1826),"")</f>
        <v/>
      </c>
      <c r="S1826" s="10" t="s">
        <v>5006</v>
      </c>
      <c r="T1826" s="11" t="str">
        <f t="shared" si="178"/>
        <v>Check</v>
      </c>
      <c r="U1826" s="12">
        <v>46069</v>
      </c>
      <c r="V1826" s="10">
        <v>600</v>
      </c>
      <c r="W1826" s="10" t="str">
        <f t="shared" si="176"/>
        <v>N/A</v>
      </c>
      <c r="X1826" t="s">
        <v>468</v>
      </c>
      <c r="Y1826" t="s">
        <v>28</v>
      </c>
      <c r="Z1826">
        <v>100276</v>
      </c>
      <c r="AA1826" t="s">
        <v>469</v>
      </c>
      <c r="AB1826" t="s">
        <v>523</v>
      </c>
      <c r="AC1826" s="9">
        <v>3</v>
      </c>
      <c r="AD1826" s="9" t="str">
        <f t="shared" si="177"/>
        <v>N/A</v>
      </c>
      <c r="AE1826" s="11" t="e">
        <f t="shared" si="179"/>
        <v>#VALUE!</v>
      </c>
    </row>
    <row r="1827" spans="1:31" x14ac:dyDescent="0.3">
      <c r="A1827">
        <v>15</v>
      </c>
      <c r="B1827">
        <v>4877562</v>
      </c>
      <c r="C1827" t="s">
        <v>217</v>
      </c>
      <c r="D1827">
        <v>1160621</v>
      </c>
      <c r="E1827" t="s">
        <v>571</v>
      </c>
      <c r="F1827" t="s">
        <v>18</v>
      </c>
      <c r="G1827" t="s">
        <v>2908</v>
      </c>
      <c r="H1827" t="s">
        <v>2909</v>
      </c>
      <c r="I1827" t="s">
        <v>3485</v>
      </c>
      <c r="J1827">
        <v>51156081191</v>
      </c>
      <c r="K1827" t="s">
        <v>3379</v>
      </c>
      <c r="L1827" t="s">
        <v>4522</v>
      </c>
      <c r="M1827">
        <v>72000</v>
      </c>
      <c r="N1827" s="10">
        <v>7.4999999999999997E-3</v>
      </c>
      <c r="O1827" s="10">
        <f t="shared" si="175"/>
        <v>540</v>
      </c>
      <c r="P1827" s="10" t="s">
        <v>5006</v>
      </c>
      <c r="Q1827" s="10" t="s">
        <v>5006</v>
      </c>
      <c r="R1827" s="10" t="str">
        <f>IF(COUNTIF($J$2:J1827,J1827)=1,SUMIFS($O:$O,$J:$J,J1827)+SUMIFS($P:$P,$J:$J,J1827)+SUMIFS($Q:$Q,$J:$J,J1827),"")</f>
        <v/>
      </c>
      <c r="S1827" s="10" t="s">
        <v>5006</v>
      </c>
      <c r="T1827" s="11" t="str">
        <f t="shared" si="178"/>
        <v>Check</v>
      </c>
      <c r="U1827" s="12">
        <v>46069</v>
      </c>
      <c r="V1827" s="10">
        <v>600</v>
      </c>
      <c r="W1827" s="10" t="str">
        <f t="shared" si="176"/>
        <v>N/A</v>
      </c>
      <c r="X1827" t="s">
        <v>468</v>
      </c>
      <c r="Y1827" t="s">
        <v>28</v>
      </c>
      <c r="Z1827">
        <v>100276</v>
      </c>
      <c r="AA1827" t="s">
        <v>469</v>
      </c>
      <c r="AB1827" t="s">
        <v>523</v>
      </c>
      <c r="AC1827" s="9">
        <v>3</v>
      </c>
      <c r="AD1827" s="9" t="str">
        <f t="shared" si="177"/>
        <v>N/A</v>
      </c>
      <c r="AE1827" s="11" t="e">
        <f t="shared" si="179"/>
        <v>#VALUE!</v>
      </c>
    </row>
    <row r="1828" spans="1:31" x14ac:dyDescent="0.3">
      <c r="A1828">
        <v>15</v>
      </c>
      <c r="B1828">
        <v>4882571</v>
      </c>
      <c r="C1828" t="s">
        <v>217</v>
      </c>
      <c r="D1828">
        <v>1160621</v>
      </c>
      <c r="E1828" t="s">
        <v>571</v>
      </c>
      <c r="F1828" t="s">
        <v>18</v>
      </c>
      <c r="G1828" t="s">
        <v>1668</v>
      </c>
      <c r="H1828" t="s">
        <v>1669</v>
      </c>
      <c r="I1828" t="s">
        <v>3393</v>
      </c>
      <c r="J1828">
        <v>51156099233</v>
      </c>
      <c r="K1828" t="s">
        <v>3190</v>
      </c>
      <c r="L1828" t="s">
        <v>4523</v>
      </c>
      <c r="M1828">
        <v>2400</v>
      </c>
      <c r="N1828" s="10">
        <v>0.26179999999999998</v>
      </c>
      <c r="O1828" s="10">
        <f t="shared" si="175"/>
        <v>628.31999999999994</v>
      </c>
      <c r="P1828" s="10">
        <v>51.84</v>
      </c>
      <c r="Q1828" s="10">
        <v>34.93</v>
      </c>
      <c r="R1828" s="10">
        <f>IF(COUNTIF($J$2:J1828,J1828)=1,SUMIFS($O:$O,$J:$J,J1828)+SUMIFS($P:$P,$J:$J,J1828)+SUMIFS($Q:$Q,$J:$J,J1828),"")</f>
        <v>898.90999999999985</v>
      </c>
      <c r="S1828" s="10">
        <v>898.91</v>
      </c>
      <c r="T1828" s="11" t="str">
        <f t="shared" si="178"/>
        <v>Ok</v>
      </c>
      <c r="U1828" s="12">
        <v>46078</v>
      </c>
      <c r="V1828" s="10">
        <v>218.75</v>
      </c>
      <c r="W1828" s="10" t="str">
        <f t="shared" si="176"/>
        <v>Short Paid</v>
      </c>
      <c r="X1828" t="s">
        <v>468</v>
      </c>
      <c r="Y1828" t="s">
        <v>28</v>
      </c>
      <c r="Z1828">
        <v>100236</v>
      </c>
      <c r="AA1828" t="s">
        <v>3059</v>
      </c>
      <c r="AB1828" t="s">
        <v>523</v>
      </c>
      <c r="AC1828" s="9">
        <v>2</v>
      </c>
      <c r="AD1828" s="9" t="str">
        <f t="shared" si="177"/>
        <v>Ok</v>
      </c>
      <c r="AE1828" s="11">
        <f t="shared" si="179"/>
        <v>0</v>
      </c>
    </row>
    <row r="1829" spans="1:31" x14ac:dyDescent="0.3">
      <c r="A1829">
        <v>15</v>
      </c>
      <c r="B1829">
        <v>4882571</v>
      </c>
      <c r="C1829" t="s">
        <v>217</v>
      </c>
      <c r="D1829">
        <v>1160621</v>
      </c>
      <c r="E1829" t="s">
        <v>571</v>
      </c>
      <c r="F1829" t="s">
        <v>18</v>
      </c>
      <c r="G1829" t="s">
        <v>1668</v>
      </c>
      <c r="H1829" t="s">
        <v>1669</v>
      </c>
      <c r="I1829" t="s">
        <v>3416</v>
      </c>
      <c r="J1829">
        <v>51156099233</v>
      </c>
      <c r="K1829" t="s">
        <v>3246</v>
      </c>
      <c r="L1829" t="s">
        <v>4524</v>
      </c>
      <c r="M1829">
        <v>350</v>
      </c>
      <c r="N1829" s="10">
        <v>0.5252</v>
      </c>
      <c r="O1829" s="10">
        <f t="shared" si="175"/>
        <v>183.82</v>
      </c>
      <c r="P1829" s="10" t="s">
        <v>5006</v>
      </c>
      <c r="Q1829" s="10" t="s">
        <v>5006</v>
      </c>
      <c r="R1829" s="10" t="str">
        <f>IF(COUNTIF($J$2:J1829,J1829)=1,SUMIFS($O:$O,$J:$J,J1829)+SUMIFS($P:$P,$J:$J,J1829)+SUMIFS($Q:$Q,$J:$J,J1829),"")</f>
        <v/>
      </c>
      <c r="S1829" s="10" t="s">
        <v>5006</v>
      </c>
      <c r="T1829" s="11" t="str">
        <f t="shared" si="178"/>
        <v>Ok</v>
      </c>
      <c r="U1829" s="12">
        <v>46078</v>
      </c>
      <c r="V1829" s="10">
        <v>218.75</v>
      </c>
      <c r="W1829" s="10" t="str">
        <f t="shared" si="176"/>
        <v>N/A</v>
      </c>
      <c r="X1829" t="s">
        <v>468</v>
      </c>
      <c r="Y1829" t="s">
        <v>28</v>
      </c>
      <c r="Z1829">
        <v>100236</v>
      </c>
      <c r="AA1829" t="s">
        <v>3059</v>
      </c>
      <c r="AB1829" t="s">
        <v>523</v>
      </c>
      <c r="AC1829" s="9">
        <v>2</v>
      </c>
      <c r="AD1829" s="9" t="str">
        <f t="shared" si="177"/>
        <v>N/A</v>
      </c>
      <c r="AE1829" s="11" t="e">
        <f t="shared" si="179"/>
        <v>#VALUE!</v>
      </c>
    </row>
    <row r="1830" spans="1:31" x14ac:dyDescent="0.3">
      <c r="A1830">
        <v>15</v>
      </c>
      <c r="B1830">
        <v>4877840</v>
      </c>
      <c r="C1830" t="s">
        <v>217</v>
      </c>
      <c r="D1830">
        <v>1160621</v>
      </c>
      <c r="E1830" t="s">
        <v>571</v>
      </c>
      <c r="F1830" t="s">
        <v>18</v>
      </c>
      <c r="G1830" t="s">
        <v>1628</v>
      </c>
      <c r="H1830" t="s">
        <v>1629</v>
      </c>
      <c r="I1830" t="s">
        <v>3221</v>
      </c>
      <c r="J1830">
        <v>51156100160</v>
      </c>
      <c r="K1830" t="s">
        <v>3434</v>
      </c>
      <c r="L1830" t="s">
        <v>4525</v>
      </c>
      <c r="M1830">
        <v>750</v>
      </c>
      <c r="N1830" s="10">
        <v>6.7199099999999996</v>
      </c>
      <c r="O1830" s="10">
        <f t="shared" si="175"/>
        <v>5039.9324999999999</v>
      </c>
      <c r="P1830" s="10">
        <v>0</v>
      </c>
      <c r="Q1830" s="10">
        <v>0</v>
      </c>
      <c r="R1830" s="10">
        <f>IF(COUNTIF($J$2:J1830,J1830)=1,SUMIFS($O:$O,$J:$J,J1830)+SUMIFS($P:$P,$J:$J,J1830)+SUMIFS($Q:$Q,$J:$J,J1830),"")</f>
        <v>19411.932500000003</v>
      </c>
      <c r="S1830" s="10">
        <v>19411.93</v>
      </c>
      <c r="T1830" s="11" t="str">
        <f t="shared" si="178"/>
        <v>Check</v>
      </c>
      <c r="U1830" s="12">
        <v>46071</v>
      </c>
      <c r="V1830" s="10">
        <v>16144.73</v>
      </c>
      <c r="W1830" s="10" t="str">
        <f t="shared" si="176"/>
        <v>Short Paid</v>
      </c>
      <c r="X1830" t="s">
        <v>468</v>
      </c>
      <c r="Y1830" t="s">
        <v>28</v>
      </c>
      <c r="Z1830">
        <v>100286</v>
      </c>
      <c r="AA1830" t="s">
        <v>3061</v>
      </c>
      <c r="AB1830" t="s">
        <v>523</v>
      </c>
      <c r="AC1830" s="9">
        <v>4</v>
      </c>
      <c r="AD1830" s="9" t="str">
        <f t="shared" si="177"/>
        <v>Check</v>
      </c>
      <c r="AE1830" s="11">
        <f t="shared" si="179"/>
        <v>2.5000000023283064E-3</v>
      </c>
    </row>
    <row r="1831" spans="1:31" x14ac:dyDescent="0.3">
      <c r="A1831">
        <v>15</v>
      </c>
      <c r="B1831">
        <v>4877840</v>
      </c>
      <c r="C1831" t="s">
        <v>217</v>
      </c>
      <c r="D1831">
        <v>1160621</v>
      </c>
      <c r="E1831" t="s">
        <v>571</v>
      </c>
      <c r="F1831" t="s">
        <v>18</v>
      </c>
      <c r="G1831" t="s">
        <v>1628</v>
      </c>
      <c r="H1831" t="s">
        <v>1629</v>
      </c>
      <c r="I1831" t="s">
        <v>3221</v>
      </c>
      <c r="J1831">
        <v>51156100160</v>
      </c>
      <c r="K1831" t="s">
        <v>3434</v>
      </c>
      <c r="L1831" t="s">
        <v>4526</v>
      </c>
      <c r="M1831">
        <v>1400</v>
      </c>
      <c r="N1831" s="10">
        <v>7.9320000000000004</v>
      </c>
      <c r="O1831" s="10">
        <f t="shared" si="175"/>
        <v>11104.800000000001</v>
      </c>
      <c r="P1831" s="10" t="s">
        <v>5006</v>
      </c>
      <c r="Q1831" s="10" t="s">
        <v>5006</v>
      </c>
      <c r="R1831" s="10" t="str">
        <f>IF(COUNTIF($J$2:J1831,J1831)=1,SUMIFS($O:$O,$J:$J,J1831)+SUMIFS($P:$P,$J:$J,J1831)+SUMIFS($Q:$Q,$J:$J,J1831),"")</f>
        <v/>
      </c>
      <c r="S1831" s="10" t="s">
        <v>5006</v>
      </c>
      <c r="T1831" s="11" t="str">
        <f t="shared" si="178"/>
        <v>Check</v>
      </c>
      <c r="U1831" s="12">
        <v>46071</v>
      </c>
      <c r="V1831" s="10">
        <v>16144.73</v>
      </c>
      <c r="W1831" s="10" t="str">
        <f t="shared" si="176"/>
        <v>N/A</v>
      </c>
      <c r="X1831" t="s">
        <v>468</v>
      </c>
      <c r="Y1831" t="s">
        <v>28</v>
      </c>
      <c r="Z1831">
        <v>100286</v>
      </c>
      <c r="AA1831" t="s">
        <v>3061</v>
      </c>
      <c r="AB1831" t="s">
        <v>523</v>
      </c>
      <c r="AC1831" s="9">
        <v>4</v>
      </c>
      <c r="AD1831" s="9" t="str">
        <f t="shared" si="177"/>
        <v>N/A</v>
      </c>
      <c r="AE1831" s="11" t="e">
        <f t="shared" si="179"/>
        <v>#VALUE!</v>
      </c>
    </row>
    <row r="1832" spans="1:31" x14ac:dyDescent="0.3">
      <c r="A1832">
        <v>15</v>
      </c>
      <c r="B1832">
        <v>4877840</v>
      </c>
      <c r="C1832" t="s">
        <v>217</v>
      </c>
      <c r="D1832">
        <v>1160621</v>
      </c>
      <c r="E1832" t="s">
        <v>571</v>
      </c>
      <c r="F1832" t="s">
        <v>18</v>
      </c>
      <c r="G1832" t="s">
        <v>1628</v>
      </c>
      <c r="H1832" t="s">
        <v>1629</v>
      </c>
      <c r="I1832" t="s">
        <v>3277</v>
      </c>
      <c r="J1832">
        <v>51156100160</v>
      </c>
      <c r="K1832" t="s">
        <v>3177</v>
      </c>
      <c r="L1832" t="s">
        <v>3891</v>
      </c>
      <c r="M1832">
        <v>20000</v>
      </c>
      <c r="N1832" s="10">
        <v>1.495E-2</v>
      </c>
      <c r="O1832" s="10">
        <f t="shared" si="175"/>
        <v>299</v>
      </c>
      <c r="P1832" s="10" t="s">
        <v>5006</v>
      </c>
      <c r="Q1832" s="10" t="s">
        <v>5006</v>
      </c>
      <c r="R1832" s="10" t="str">
        <f>IF(COUNTIF($J$2:J1832,J1832)=1,SUMIFS($O:$O,$J:$J,J1832)+SUMIFS($P:$P,$J:$J,J1832)+SUMIFS($Q:$Q,$J:$J,J1832),"")</f>
        <v/>
      </c>
      <c r="S1832" s="10" t="s">
        <v>5006</v>
      </c>
      <c r="T1832" s="11" t="str">
        <f t="shared" si="178"/>
        <v>Check</v>
      </c>
      <c r="U1832" s="12">
        <v>46071</v>
      </c>
      <c r="V1832" s="10">
        <v>16144.73</v>
      </c>
      <c r="W1832" s="10" t="str">
        <f t="shared" si="176"/>
        <v>N/A</v>
      </c>
      <c r="X1832" t="s">
        <v>468</v>
      </c>
      <c r="Y1832" t="s">
        <v>28</v>
      </c>
      <c r="Z1832">
        <v>100286</v>
      </c>
      <c r="AA1832" t="s">
        <v>3061</v>
      </c>
      <c r="AB1832" t="s">
        <v>523</v>
      </c>
      <c r="AC1832" s="9">
        <v>4</v>
      </c>
      <c r="AD1832" s="9" t="str">
        <f t="shared" si="177"/>
        <v>N/A</v>
      </c>
      <c r="AE1832" s="11" t="e">
        <f t="shared" si="179"/>
        <v>#VALUE!</v>
      </c>
    </row>
    <row r="1833" spans="1:31" x14ac:dyDescent="0.3">
      <c r="A1833">
        <v>15</v>
      </c>
      <c r="B1833">
        <v>4877840</v>
      </c>
      <c r="C1833" t="s">
        <v>217</v>
      </c>
      <c r="D1833">
        <v>1160621</v>
      </c>
      <c r="E1833" t="s">
        <v>571</v>
      </c>
      <c r="F1833" t="s">
        <v>18</v>
      </c>
      <c r="G1833" t="s">
        <v>1628</v>
      </c>
      <c r="H1833" t="s">
        <v>1629</v>
      </c>
      <c r="I1833" t="s">
        <v>3277</v>
      </c>
      <c r="J1833">
        <v>51156100160</v>
      </c>
      <c r="K1833" t="s">
        <v>3207</v>
      </c>
      <c r="L1833" t="s">
        <v>3870</v>
      </c>
      <c r="M1833">
        <v>102000</v>
      </c>
      <c r="N1833" s="10">
        <v>2.9100000000000001E-2</v>
      </c>
      <c r="O1833" s="10">
        <f t="shared" si="175"/>
        <v>2968.2000000000003</v>
      </c>
      <c r="P1833" s="10" t="s">
        <v>5006</v>
      </c>
      <c r="Q1833" s="10" t="s">
        <v>5006</v>
      </c>
      <c r="R1833" s="10" t="str">
        <f>IF(COUNTIF($J$2:J1833,J1833)=1,SUMIFS($O:$O,$J:$J,J1833)+SUMIFS($P:$P,$J:$J,J1833)+SUMIFS($Q:$Q,$J:$J,J1833),"")</f>
        <v/>
      </c>
      <c r="S1833" s="10" t="s">
        <v>5006</v>
      </c>
      <c r="T1833" s="11" t="str">
        <f t="shared" si="178"/>
        <v>Check</v>
      </c>
      <c r="U1833" s="12">
        <v>46071</v>
      </c>
      <c r="V1833" s="10">
        <v>16144.73</v>
      </c>
      <c r="W1833" s="10" t="str">
        <f t="shared" si="176"/>
        <v>N/A</v>
      </c>
      <c r="X1833" t="s">
        <v>468</v>
      </c>
      <c r="Y1833" t="s">
        <v>28</v>
      </c>
      <c r="Z1833">
        <v>100286</v>
      </c>
      <c r="AA1833" t="s">
        <v>3061</v>
      </c>
      <c r="AB1833" t="s">
        <v>523</v>
      </c>
      <c r="AC1833" s="9">
        <v>4</v>
      </c>
      <c r="AD1833" s="9" t="str">
        <f t="shared" si="177"/>
        <v>N/A</v>
      </c>
      <c r="AE1833" s="11" t="e">
        <f t="shared" si="179"/>
        <v>#VALUE!</v>
      </c>
    </row>
    <row r="1834" spans="1:31" x14ac:dyDescent="0.3">
      <c r="A1834">
        <v>15</v>
      </c>
      <c r="B1834">
        <v>4873109</v>
      </c>
      <c r="C1834" t="s">
        <v>38</v>
      </c>
      <c r="D1834">
        <v>1852662</v>
      </c>
      <c r="E1834" t="s">
        <v>584</v>
      </c>
      <c r="F1834" t="s">
        <v>24</v>
      </c>
      <c r="G1834" t="s">
        <v>2880</v>
      </c>
      <c r="H1834" t="s">
        <v>2881</v>
      </c>
      <c r="I1834" t="s">
        <v>3361</v>
      </c>
      <c r="J1834">
        <v>51156173587</v>
      </c>
      <c r="K1834" t="s">
        <v>3229</v>
      </c>
      <c r="L1834" t="s">
        <v>4527</v>
      </c>
      <c r="M1834">
        <v>1</v>
      </c>
      <c r="N1834" s="10">
        <v>1875</v>
      </c>
      <c r="O1834" s="10">
        <f t="shared" si="175"/>
        <v>1875</v>
      </c>
      <c r="P1834" s="10">
        <v>0</v>
      </c>
      <c r="Q1834" s="10">
        <v>178.13</v>
      </c>
      <c r="R1834" s="10">
        <f>IF(COUNTIF($J$2:J1834,J1834)=1,SUMIFS($O:$O,$J:$J,J1834)+SUMIFS($P:$P,$J:$J,J1834)+SUMIFS($Q:$Q,$J:$J,J1834),"")</f>
        <v>2947.13</v>
      </c>
      <c r="S1834" s="10">
        <v>2947.13</v>
      </c>
      <c r="T1834" s="11" t="str">
        <f t="shared" si="178"/>
        <v>Ok</v>
      </c>
      <c r="U1834" s="12">
        <v>46157</v>
      </c>
      <c r="V1834" s="10">
        <v>1072.1300000000001</v>
      </c>
      <c r="W1834" s="10" t="str">
        <f t="shared" si="176"/>
        <v>Short Paid</v>
      </c>
      <c r="X1834" t="s">
        <v>474</v>
      </c>
      <c r="Y1834" t="s">
        <v>40</v>
      </c>
      <c r="Z1834">
        <v>100149</v>
      </c>
      <c r="AA1834" t="s">
        <v>3115</v>
      </c>
      <c r="AB1834" t="s">
        <v>522</v>
      </c>
      <c r="AC1834" s="9">
        <v>2</v>
      </c>
      <c r="AD1834" s="9" t="str">
        <f t="shared" si="177"/>
        <v>Ok</v>
      </c>
      <c r="AE1834" s="11">
        <f t="shared" si="179"/>
        <v>0</v>
      </c>
    </row>
    <row r="1835" spans="1:31" x14ac:dyDescent="0.3">
      <c r="A1835">
        <v>15</v>
      </c>
      <c r="B1835">
        <v>4873109</v>
      </c>
      <c r="C1835" t="s">
        <v>38</v>
      </c>
      <c r="D1835">
        <v>1852662</v>
      </c>
      <c r="E1835" t="s">
        <v>584</v>
      </c>
      <c r="F1835" t="s">
        <v>24</v>
      </c>
      <c r="G1835" t="s">
        <v>2880</v>
      </c>
      <c r="H1835" t="s">
        <v>2881</v>
      </c>
      <c r="I1835" t="s">
        <v>3361</v>
      </c>
      <c r="J1835">
        <v>51156173587</v>
      </c>
      <c r="K1835" t="s">
        <v>3229</v>
      </c>
      <c r="L1835" t="s">
        <v>4528</v>
      </c>
      <c r="M1835">
        <v>100</v>
      </c>
      <c r="N1835" s="10">
        <v>8.94</v>
      </c>
      <c r="O1835" s="10">
        <f t="shared" si="175"/>
        <v>894</v>
      </c>
      <c r="P1835" s="10" t="s">
        <v>5006</v>
      </c>
      <c r="Q1835" s="10" t="s">
        <v>5006</v>
      </c>
      <c r="R1835" s="10" t="str">
        <f>IF(COUNTIF($J$2:J1835,J1835)=1,SUMIFS($O:$O,$J:$J,J1835)+SUMIFS($P:$P,$J:$J,J1835)+SUMIFS($Q:$Q,$J:$J,J1835),"")</f>
        <v/>
      </c>
      <c r="S1835" s="10" t="s">
        <v>5006</v>
      </c>
      <c r="T1835" s="11" t="str">
        <f t="shared" si="178"/>
        <v>Ok</v>
      </c>
      <c r="U1835" s="12">
        <v>46157</v>
      </c>
      <c r="V1835" s="10">
        <v>1072.1300000000001</v>
      </c>
      <c r="W1835" s="10" t="str">
        <f t="shared" si="176"/>
        <v>N/A</v>
      </c>
      <c r="X1835" t="s">
        <v>474</v>
      </c>
      <c r="Y1835" t="s">
        <v>40</v>
      </c>
      <c r="Z1835">
        <v>100149</v>
      </c>
      <c r="AA1835" t="s">
        <v>3115</v>
      </c>
      <c r="AB1835" t="s">
        <v>522</v>
      </c>
      <c r="AC1835" s="9">
        <v>2</v>
      </c>
      <c r="AD1835" s="9" t="str">
        <f t="shared" si="177"/>
        <v>N/A</v>
      </c>
      <c r="AE1835" s="11" t="e">
        <f t="shared" si="179"/>
        <v>#VALUE!</v>
      </c>
    </row>
    <row r="1836" spans="1:31" x14ac:dyDescent="0.3">
      <c r="A1836">
        <v>15</v>
      </c>
      <c r="B1836">
        <v>4876727</v>
      </c>
      <c r="C1836" t="s">
        <v>217</v>
      </c>
      <c r="D1836">
        <v>1160621</v>
      </c>
      <c r="E1836" t="s">
        <v>571</v>
      </c>
      <c r="F1836" t="s">
        <v>18</v>
      </c>
      <c r="G1836" t="s">
        <v>2869</v>
      </c>
      <c r="H1836" t="s">
        <v>2870</v>
      </c>
      <c r="I1836" t="s">
        <v>3419</v>
      </c>
      <c r="J1836">
        <v>51156177954</v>
      </c>
      <c r="K1836" t="s">
        <v>3246</v>
      </c>
      <c r="L1836" t="s">
        <v>4529</v>
      </c>
      <c r="M1836">
        <v>737</v>
      </c>
      <c r="N1836" s="10">
        <v>0.30952000000000002</v>
      </c>
      <c r="O1836" s="10">
        <f t="shared" si="175"/>
        <v>228.11624</v>
      </c>
      <c r="P1836" s="10">
        <v>0</v>
      </c>
      <c r="Q1836" s="10">
        <v>43.34</v>
      </c>
      <c r="R1836" s="10">
        <f>IF(COUNTIF($J$2:J1836,J1836)=1,SUMIFS($O:$O,$J:$J,J1836)+SUMIFS($P:$P,$J:$J,J1836)+SUMIFS($Q:$Q,$J:$J,J1836),"")</f>
        <v>2120.4562399999995</v>
      </c>
      <c r="S1836" s="10">
        <v>2305.36</v>
      </c>
      <c r="T1836" s="11" t="str">
        <f t="shared" si="178"/>
        <v>Check</v>
      </c>
      <c r="U1836" s="12">
        <v>46066</v>
      </c>
      <c r="V1836" s="10">
        <v>271.45999999999998</v>
      </c>
      <c r="W1836" s="10" t="str">
        <f t="shared" si="176"/>
        <v>Short Paid</v>
      </c>
      <c r="X1836" t="s">
        <v>468</v>
      </c>
      <c r="Y1836" t="s">
        <v>28</v>
      </c>
      <c r="Z1836">
        <v>100206</v>
      </c>
      <c r="AA1836" t="s">
        <v>3058</v>
      </c>
      <c r="AB1836" t="s">
        <v>523</v>
      </c>
      <c r="AC1836" s="9">
        <v>2</v>
      </c>
      <c r="AD1836" s="9" t="str">
        <f t="shared" si="177"/>
        <v>Check</v>
      </c>
      <c r="AE1836" s="11">
        <f t="shared" si="179"/>
        <v>-184.9037600000006</v>
      </c>
    </row>
    <row r="1837" spans="1:31" x14ac:dyDescent="0.3">
      <c r="A1837">
        <v>15</v>
      </c>
      <c r="B1837">
        <v>4876727</v>
      </c>
      <c r="C1837" t="s">
        <v>217</v>
      </c>
      <c r="D1837">
        <v>1160621</v>
      </c>
      <c r="E1837" t="s">
        <v>571</v>
      </c>
      <c r="F1837" t="s">
        <v>18</v>
      </c>
      <c r="G1837" t="s">
        <v>2869</v>
      </c>
      <c r="H1837" t="s">
        <v>2870</v>
      </c>
      <c r="I1837" t="s">
        <v>3239</v>
      </c>
      <c r="J1837">
        <v>51156177954</v>
      </c>
      <c r="K1837" t="s">
        <v>3212</v>
      </c>
      <c r="L1837" t="s">
        <v>3501</v>
      </c>
      <c r="M1837">
        <v>4300000</v>
      </c>
      <c r="N1837" s="10">
        <v>4.2999999999999988E-4</v>
      </c>
      <c r="O1837" s="10">
        <f t="shared" si="175"/>
        <v>1848.9999999999995</v>
      </c>
      <c r="P1837" s="10" t="s">
        <v>5006</v>
      </c>
      <c r="Q1837" s="10" t="s">
        <v>5006</v>
      </c>
      <c r="R1837" s="10" t="str">
        <f>IF(COUNTIF($J$2:J1837,J1837)=1,SUMIFS($O:$O,$J:$J,J1837)+SUMIFS($P:$P,$J:$J,J1837)+SUMIFS($Q:$Q,$J:$J,J1837),"")</f>
        <v/>
      </c>
      <c r="S1837" s="10" t="s">
        <v>5006</v>
      </c>
      <c r="T1837" s="11" t="str">
        <f t="shared" si="178"/>
        <v>Check</v>
      </c>
      <c r="U1837" s="12">
        <v>46066</v>
      </c>
      <c r="V1837" s="10">
        <v>271.45999999999998</v>
      </c>
      <c r="W1837" s="10" t="str">
        <f t="shared" si="176"/>
        <v>N/A</v>
      </c>
      <c r="X1837" t="s">
        <v>468</v>
      </c>
      <c r="Y1837" t="s">
        <v>28</v>
      </c>
      <c r="Z1837">
        <v>100206</v>
      </c>
      <c r="AA1837" t="s">
        <v>3058</v>
      </c>
      <c r="AB1837" t="s">
        <v>523</v>
      </c>
      <c r="AC1837" s="9">
        <v>2</v>
      </c>
      <c r="AD1837" s="9" t="str">
        <f t="shared" si="177"/>
        <v>N/A</v>
      </c>
      <c r="AE1837" s="11" t="e">
        <f t="shared" si="179"/>
        <v>#VALUE!</v>
      </c>
    </row>
    <row r="1838" spans="1:31" x14ac:dyDescent="0.3">
      <c r="A1838">
        <v>24</v>
      </c>
      <c r="B1838">
        <v>4831923</v>
      </c>
      <c r="C1838" t="s">
        <v>38</v>
      </c>
      <c r="D1838">
        <v>1373071</v>
      </c>
      <c r="E1838" t="s">
        <v>559</v>
      </c>
      <c r="F1838" t="s">
        <v>20</v>
      </c>
      <c r="G1838" t="s">
        <v>1468</v>
      </c>
      <c r="H1838" t="s">
        <v>1469</v>
      </c>
      <c r="I1838" t="s">
        <v>3296</v>
      </c>
      <c r="J1838">
        <v>51156187835</v>
      </c>
      <c r="K1838" t="s">
        <v>3168</v>
      </c>
      <c r="L1838" t="s">
        <v>3456</v>
      </c>
      <c r="M1838">
        <v>57000</v>
      </c>
      <c r="N1838" s="10">
        <v>0.17269999999999999</v>
      </c>
      <c r="O1838" s="10">
        <f t="shared" si="175"/>
        <v>9843.9</v>
      </c>
      <c r="P1838" s="10">
        <v>812.12</v>
      </c>
      <c r="Q1838" s="10">
        <v>193.52</v>
      </c>
      <c r="R1838" s="10">
        <f>IF(COUNTIF($J$2:J1838,J1838)=1,SUMIFS($O:$O,$J:$J,J1838)+SUMIFS($P:$P,$J:$J,J1838)+SUMIFS($Q:$Q,$J:$J,J1838),"")</f>
        <v>11868.04</v>
      </c>
      <c r="S1838" s="10">
        <v>11868.04</v>
      </c>
      <c r="T1838" s="11" t="str">
        <f t="shared" si="178"/>
        <v>Ok</v>
      </c>
      <c r="U1838" s="12">
        <v>45945</v>
      </c>
      <c r="V1838" s="10">
        <v>1212.02</v>
      </c>
      <c r="W1838" s="10" t="str">
        <f t="shared" si="176"/>
        <v>Short Paid</v>
      </c>
      <c r="X1838" t="s">
        <v>474</v>
      </c>
      <c r="Y1838" t="s">
        <v>28</v>
      </c>
      <c r="Z1838">
        <v>100199</v>
      </c>
      <c r="AA1838" t="s">
        <v>481</v>
      </c>
      <c r="AB1838" t="s">
        <v>521</v>
      </c>
      <c r="AC1838" s="9">
        <v>2</v>
      </c>
      <c r="AD1838" s="9" t="str">
        <f t="shared" si="177"/>
        <v>Ok</v>
      </c>
      <c r="AE1838" s="11">
        <f t="shared" si="179"/>
        <v>0</v>
      </c>
    </row>
    <row r="1839" spans="1:31" x14ac:dyDescent="0.3">
      <c r="A1839">
        <v>24</v>
      </c>
      <c r="B1839">
        <v>4831923</v>
      </c>
      <c r="C1839" t="s">
        <v>38</v>
      </c>
      <c r="D1839">
        <v>1373071</v>
      </c>
      <c r="E1839" t="s">
        <v>559</v>
      </c>
      <c r="F1839" t="s">
        <v>20</v>
      </c>
      <c r="G1839" t="s">
        <v>1468</v>
      </c>
      <c r="H1839" t="s">
        <v>1469</v>
      </c>
      <c r="I1839" t="s">
        <v>3513</v>
      </c>
      <c r="J1839">
        <v>51156187835</v>
      </c>
      <c r="K1839" t="s">
        <v>3314</v>
      </c>
      <c r="L1839" t="s">
        <v>4530</v>
      </c>
      <c r="M1839">
        <v>210000</v>
      </c>
      <c r="N1839" s="10">
        <v>4.8500000000000001E-3</v>
      </c>
      <c r="O1839" s="10">
        <f t="shared" si="175"/>
        <v>1018.5</v>
      </c>
      <c r="P1839" s="10" t="s">
        <v>5006</v>
      </c>
      <c r="Q1839" s="10" t="s">
        <v>5006</v>
      </c>
      <c r="R1839" s="10" t="str">
        <f>IF(COUNTIF($J$2:J1839,J1839)=1,SUMIFS($O:$O,$J:$J,J1839)+SUMIFS($P:$P,$J:$J,J1839)+SUMIFS($Q:$Q,$J:$J,J1839),"")</f>
        <v/>
      </c>
      <c r="S1839" s="10" t="s">
        <v>5006</v>
      </c>
      <c r="T1839" s="11" t="str">
        <f t="shared" si="178"/>
        <v>Ok</v>
      </c>
      <c r="U1839" s="12">
        <v>45945</v>
      </c>
      <c r="V1839" s="10">
        <v>1212.02</v>
      </c>
      <c r="W1839" s="10" t="str">
        <f t="shared" si="176"/>
        <v>N/A</v>
      </c>
      <c r="X1839" t="s">
        <v>474</v>
      </c>
      <c r="Y1839" t="s">
        <v>28</v>
      </c>
      <c r="Z1839">
        <v>100199</v>
      </c>
      <c r="AA1839" t="s">
        <v>481</v>
      </c>
      <c r="AB1839" t="s">
        <v>521</v>
      </c>
      <c r="AC1839" s="9">
        <v>2</v>
      </c>
      <c r="AD1839" s="9" t="str">
        <f t="shared" si="177"/>
        <v>N/A</v>
      </c>
      <c r="AE1839" s="11" t="e">
        <f t="shared" si="179"/>
        <v>#VALUE!</v>
      </c>
    </row>
    <row r="1840" spans="1:31" x14ac:dyDescent="0.3">
      <c r="A1840">
        <v>7</v>
      </c>
      <c r="B1840">
        <v>4930993</v>
      </c>
      <c r="C1840" t="s">
        <v>217</v>
      </c>
      <c r="D1840">
        <v>1062744</v>
      </c>
      <c r="E1840" t="s">
        <v>746</v>
      </c>
      <c r="F1840" t="s">
        <v>20</v>
      </c>
      <c r="G1840" t="s">
        <v>1789</v>
      </c>
      <c r="H1840" t="s">
        <v>1790</v>
      </c>
      <c r="I1840" t="s">
        <v>3181</v>
      </c>
      <c r="J1840">
        <v>51156232339</v>
      </c>
      <c r="K1840" t="s">
        <v>3266</v>
      </c>
      <c r="L1840" t="s">
        <v>3403</v>
      </c>
      <c r="M1840">
        <v>8400</v>
      </c>
      <c r="N1840" s="10">
        <v>4.42</v>
      </c>
      <c r="O1840" s="10">
        <f t="shared" si="175"/>
        <v>37128</v>
      </c>
      <c r="P1840" s="10">
        <v>0</v>
      </c>
      <c r="Q1840" s="10">
        <v>0</v>
      </c>
      <c r="R1840" s="10">
        <f>IF(COUNTIF($J$2:J1840,J1840)=1,SUMIFS($O:$O,$J:$J,J1840)+SUMIFS($P:$P,$J:$J,J1840)+SUMIFS($Q:$Q,$J:$J,J1840),"")</f>
        <v>38962.080000000002</v>
      </c>
      <c r="S1840" s="10">
        <v>38962.080000000002</v>
      </c>
      <c r="T1840" s="11" t="str">
        <f t="shared" si="178"/>
        <v>Ok</v>
      </c>
      <c r="U1840" s="12">
        <v>46051</v>
      </c>
      <c r="V1840" s="10">
        <v>1834.08</v>
      </c>
      <c r="W1840" s="10" t="str">
        <f t="shared" si="176"/>
        <v>Short Paid</v>
      </c>
      <c r="X1840" t="s">
        <v>468</v>
      </c>
      <c r="Y1840" t="s">
        <v>28</v>
      </c>
      <c r="Z1840">
        <v>100116</v>
      </c>
      <c r="AA1840" t="s">
        <v>3082</v>
      </c>
      <c r="AB1840" t="s">
        <v>521</v>
      </c>
      <c r="AC1840" s="9">
        <v>2</v>
      </c>
      <c r="AD1840" s="9" t="str">
        <f t="shared" si="177"/>
        <v>Ok</v>
      </c>
      <c r="AE1840" s="11">
        <f t="shared" si="179"/>
        <v>0</v>
      </c>
    </row>
    <row r="1841" spans="1:31" x14ac:dyDescent="0.3">
      <c r="A1841">
        <v>7</v>
      </c>
      <c r="B1841">
        <v>4930993</v>
      </c>
      <c r="C1841" t="s">
        <v>217</v>
      </c>
      <c r="D1841">
        <v>1062744</v>
      </c>
      <c r="E1841" t="s">
        <v>746</v>
      </c>
      <c r="F1841" t="s">
        <v>20</v>
      </c>
      <c r="G1841" t="s">
        <v>1789</v>
      </c>
      <c r="H1841" t="s">
        <v>1790</v>
      </c>
      <c r="I1841" t="s">
        <v>3441</v>
      </c>
      <c r="J1841">
        <v>51156232339</v>
      </c>
      <c r="K1841" t="s">
        <v>3375</v>
      </c>
      <c r="L1841" t="s">
        <v>4531</v>
      </c>
      <c r="M1841">
        <v>6000</v>
      </c>
      <c r="N1841" s="10">
        <v>0.30568000000000001</v>
      </c>
      <c r="O1841" s="10">
        <f t="shared" si="175"/>
        <v>1834.0800000000002</v>
      </c>
      <c r="P1841" s="10" t="s">
        <v>5006</v>
      </c>
      <c r="Q1841" s="10" t="s">
        <v>5006</v>
      </c>
      <c r="R1841" s="10" t="str">
        <f>IF(COUNTIF($J$2:J1841,J1841)=1,SUMIFS($O:$O,$J:$J,J1841)+SUMIFS($P:$P,$J:$J,J1841)+SUMIFS($Q:$Q,$J:$J,J1841),"")</f>
        <v/>
      </c>
      <c r="S1841" s="10" t="s">
        <v>5006</v>
      </c>
      <c r="T1841" s="11" t="str">
        <f t="shared" si="178"/>
        <v>Ok</v>
      </c>
      <c r="U1841" s="12">
        <v>46051</v>
      </c>
      <c r="V1841" s="10">
        <v>1834.08</v>
      </c>
      <c r="W1841" s="10" t="str">
        <f t="shared" si="176"/>
        <v>N/A</v>
      </c>
      <c r="X1841" t="s">
        <v>468</v>
      </c>
      <c r="Y1841" t="s">
        <v>28</v>
      </c>
      <c r="Z1841">
        <v>100116</v>
      </c>
      <c r="AA1841" t="s">
        <v>3082</v>
      </c>
      <c r="AB1841" t="s">
        <v>521</v>
      </c>
      <c r="AC1841" s="9">
        <v>2</v>
      </c>
      <c r="AD1841" s="9" t="str">
        <f t="shared" si="177"/>
        <v>N/A</v>
      </c>
      <c r="AE1841" s="11" t="e">
        <f t="shared" si="179"/>
        <v>#VALUE!</v>
      </c>
    </row>
    <row r="1842" spans="1:31" x14ac:dyDescent="0.3">
      <c r="A1842">
        <v>25</v>
      </c>
      <c r="B1842">
        <v>4826636</v>
      </c>
      <c r="C1842" t="s">
        <v>239</v>
      </c>
      <c r="D1842">
        <v>1079286</v>
      </c>
      <c r="E1842" t="s">
        <v>629</v>
      </c>
      <c r="F1842" t="s">
        <v>20</v>
      </c>
      <c r="G1842" t="s">
        <v>1445</v>
      </c>
      <c r="H1842" t="s">
        <v>1446</v>
      </c>
      <c r="I1842" t="s">
        <v>3218</v>
      </c>
      <c r="J1842">
        <v>51156232504</v>
      </c>
      <c r="K1842" t="s">
        <v>3379</v>
      </c>
      <c r="L1842" t="s">
        <v>4532</v>
      </c>
      <c r="M1842">
        <v>40000</v>
      </c>
      <c r="N1842" s="10">
        <v>1.2E-2</v>
      </c>
      <c r="O1842" s="10">
        <f t="shared" si="175"/>
        <v>480</v>
      </c>
      <c r="P1842" s="10">
        <v>0</v>
      </c>
      <c r="Q1842" s="10">
        <v>0</v>
      </c>
      <c r="R1842" s="10">
        <f>IF(COUNTIF($J$2:J1842,J1842)=1,SUMIFS($O:$O,$J:$J,J1842)+SUMIFS($P:$P,$J:$J,J1842)+SUMIFS($Q:$Q,$J:$J,J1842),"")</f>
        <v>2438.4</v>
      </c>
      <c r="S1842" s="10">
        <v>2438.4</v>
      </c>
      <c r="T1842" s="11" t="str">
        <f t="shared" si="178"/>
        <v>Ok</v>
      </c>
      <c r="U1842" s="12">
        <v>46020</v>
      </c>
      <c r="V1842" s="10">
        <v>480</v>
      </c>
      <c r="W1842" s="10" t="str">
        <f t="shared" si="176"/>
        <v>Short Paid</v>
      </c>
      <c r="X1842" t="s">
        <v>476</v>
      </c>
      <c r="Y1842" t="s">
        <v>28</v>
      </c>
      <c r="Z1842">
        <v>100205</v>
      </c>
      <c r="AA1842" t="s">
        <v>3075</v>
      </c>
      <c r="AB1842" t="s">
        <v>521</v>
      </c>
      <c r="AC1842" s="9">
        <v>2</v>
      </c>
      <c r="AD1842" s="9" t="str">
        <f t="shared" si="177"/>
        <v>Ok</v>
      </c>
      <c r="AE1842" s="11">
        <f t="shared" si="179"/>
        <v>0</v>
      </c>
    </row>
    <row r="1843" spans="1:31" x14ac:dyDescent="0.3">
      <c r="A1843">
        <v>25</v>
      </c>
      <c r="B1843">
        <v>4826636</v>
      </c>
      <c r="C1843" t="s">
        <v>239</v>
      </c>
      <c r="D1843">
        <v>1079286</v>
      </c>
      <c r="E1843" t="s">
        <v>629</v>
      </c>
      <c r="F1843" t="s">
        <v>20</v>
      </c>
      <c r="G1843" t="s">
        <v>1445</v>
      </c>
      <c r="H1843" t="s">
        <v>1446</v>
      </c>
      <c r="I1843" t="s">
        <v>3331</v>
      </c>
      <c r="J1843">
        <v>51156232504</v>
      </c>
      <c r="K1843" t="s">
        <v>3492</v>
      </c>
      <c r="L1843" t="s">
        <v>3491</v>
      </c>
      <c r="M1843">
        <v>14400</v>
      </c>
      <c r="N1843" s="10">
        <v>0.13600000000000001</v>
      </c>
      <c r="O1843" s="10">
        <f t="shared" si="175"/>
        <v>1958.4</v>
      </c>
      <c r="P1843" s="10" t="s">
        <v>5006</v>
      </c>
      <c r="Q1843" s="10" t="s">
        <v>5006</v>
      </c>
      <c r="R1843" s="10" t="str">
        <f>IF(COUNTIF($J$2:J1843,J1843)=1,SUMIFS($O:$O,$J:$J,J1843)+SUMIFS($P:$P,$J:$J,J1843)+SUMIFS($Q:$Q,$J:$J,J1843),"")</f>
        <v/>
      </c>
      <c r="S1843" s="10" t="s">
        <v>5006</v>
      </c>
      <c r="T1843" s="11" t="str">
        <f t="shared" si="178"/>
        <v>Ok</v>
      </c>
      <c r="U1843" s="12">
        <v>46020</v>
      </c>
      <c r="V1843" s="10">
        <v>480</v>
      </c>
      <c r="W1843" s="10" t="str">
        <f t="shared" si="176"/>
        <v>N/A</v>
      </c>
      <c r="X1843" t="s">
        <v>476</v>
      </c>
      <c r="Y1843" t="s">
        <v>28</v>
      </c>
      <c r="Z1843">
        <v>100205</v>
      </c>
      <c r="AA1843" t="s">
        <v>3075</v>
      </c>
      <c r="AB1843" t="s">
        <v>521</v>
      </c>
      <c r="AC1843" s="9">
        <v>2</v>
      </c>
      <c r="AD1843" s="9" t="str">
        <f t="shared" si="177"/>
        <v>N/A</v>
      </c>
      <c r="AE1843" s="11" t="e">
        <f t="shared" si="179"/>
        <v>#VALUE!</v>
      </c>
    </row>
    <row r="1844" spans="1:31" x14ac:dyDescent="0.3">
      <c r="A1844">
        <v>25</v>
      </c>
      <c r="B1844">
        <v>4827192</v>
      </c>
      <c r="C1844" t="s">
        <v>239</v>
      </c>
      <c r="D1844">
        <v>1079286</v>
      </c>
      <c r="E1844" t="s">
        <v>629</v>
      </c>
      <c r="F1844" t="s">
        <v>20</v>
      </c>
      <c r="G1844" t="s">
        <v>1448</v>
      </c>
      <c r="H1844" t="s">
        <v>1449</v>
      </c>
      <c r="I1844" t="s">
        <v>3253</v>
      </c>
      <c r="J1844">
        <v>51156232582</v>
      </c>
      <c r="K1844" t="s">
        <v>3370</v>
      </c>
      <c r="L1844" t="s">
        <v>4533</v>
      </c>
      <c r="M1844">
        <v>12000</v>
      </c>
      <c r="N1844" s="10">
        <v>2.6259999999999999E-2</v>
      </c>
      <c r="O1844" s="10">
        <f t="shared" si="175"/>
        <v>315.12</v>
      </c>
      <c r="P1844" s="10">
        <v>0</v>
      </c>
      <c r="Q1844" s="10">
        <v>0</v>
      </c>
      <c r="R1844" s="10">
        <f>IF(COUNTIF($J$2:J1844,J1844)=1,SUMIFS($O:$O,$J:$J,J1844)+SUMIFS($P:$P,$J:$J,J1844)+SUMIFS($Q:$Q,$J:$J,J1844),"")</f>
        <v>2781.04</v>
      </c>
      <c r="S1844" s="10">
        <v>2781.04</v>
      </c>
      <c r="T1844" s="11" t="str">
        <f t="shared" si="178"/>
        <v>Ok</v>
      </c>
      <c r="U1844" s="12">
        <v>46021</v>
      </c>
      <c r="V1844" s="10">
        <v>315.12</v>
      </c>
      <c r="W1844" s="10" t="str">
        <f t="shared" si="176"/>
        <v>Short Paid</v>
      </c>
      <c r="X1844" t="s">
        <v>476</v>
      </c>
      <c r="Y1844" t="s">
        <v>28</v>
      </c>
      <c r="Z1844">
        <v>100245</v>
      </c>
      <c r="AA1844" t="s">
        <v>507</v>
      </c>
      <c r="AB1844" t="s">
        <v>521</v>
      </c>
      <c r="AC1844" s="9">
        <v>2</v>
      </c>
      <c r="AD1844" s="9" t="str">
        <f t="shared" si="177"/>
        <v>Ok</v>
      </c>
      <c r="AE1844" s="11">
        <f t="shared" si="179"/>
        <v>0</v>
      </c>
    </row>
    <row r="1845" spans="1:31" x14ac:dyDescent="0.3">
      <c r="A1845">
        <v>25</v>
      </c>
      <c r="B1845">
        <v>4827192</v>
      </c>
      <c r="C1845" t="s">
        <v>239</v>
      </c>
      <c r="D1845">
        <v>1079286</v>
      </c>
      <c r="E1845" t="s">
        <v>629</v>
      </c>
      <c r="F1845" t="s">
        <v>20</v>
      </c>
      <c r="G1845" t="s">
        <v>1448</v>
      </c>
      <c r="H1845" t="s">
        <v>1449</v>
      </c>
      <c r="I1845" t="s">
        <v>3172</v>
      </c>
      <c r="J1845">
        <v>51156232582</v>
      </c>
      <c r="K1845" t="s">
        <v>3379</v>
      </c>
      <c r="L1845" t="s">
        <v>4534</v>
      </c>
      <c r="M1845">
        <v>64000</v>
      </c>
      <c r="N1845" s="10">
        <v>3.8530000000000002E-2</v>
      </c>
      <c r="O1845" s="10">
        <f t="shared" si="175"/>
        <v>2465.92</v>
      </c>
      <c r="P1845" s="10" t="s">
        <v>5006</v>
      </c>
      <c r="Q1845" s="10" t="s">
        <v>5006</v>
      </c>
      <c r="R1845" s="10" t="str">
        <f>IF(COUNTIF($J$2:J1845,J1845)=1,SUMIFS($O:$O,$J:$J,J1845)+SUMIFS($P:$P,$J:$J,J1845)+SUMIFS($Q:$Q,$J:$J,J1845),"")</f>
        <v/>
      </c>
      <c r="S1845" s="10" t="s">
        <v>5006</v>
      </c>
      <c r="T1845" s="11" t="str">
        <f t="shared" si="178"/>
        <v>Ok</v>
      </c>
      <c r="U1845" s="12">
        <v>46021</v>
      </c>
      <c r="V1845" s="10">
        <v>315.12</v>
      </c>
      <c r="W1845" s="10" t="str">
        <f t="shared" si="176"/>
        <v>N/A</v>
      </c>
      <c r="X1845" t="s">
        <v>476</v>
      </c>
      <c r="Y1845" t="s">
        <v>28</v>
      </c>
      <c r="Z1845">
        <v>100245</v>
      </c>
      <c r="AA1845" t="s">
        <v>507</v>
      </c>
      <c r="AB1845" t="s">
        <v>521</v>
      </c>
      <c r="AC1845" s="9">
        <v>2</v>
      </c>
      <c r="AD1845" s="9" t="str">
        <f t="shared" si="177"/>
        <v>N/A</v>
      </c>
      <c r="AE1845" s="11" t="e">
        <f t="shared" si="179"/>
        <v>#VALUE!</v>
      </c>
    </row>
    <row r="1846" spans="1:31" x14ac:dyDescent="0.3">
      <c r="A1846">
        <v>25</v>
      </c>
      <c r="B1846">
        <v>4827471</v>
      </c>
      <c r="C1846" t="s">
        <v>239</v>
      </c>
      <c r="D1846">
        <v>1079286</v>
      </c>
      <c r="E1846" t="s">
        <v>629</v>
      </c>
      <c r="F1846" t="s">
        <v>20</v>
      </c>
      <c r="G1846" t="s">
        <v>1450</v>
      </c>
      <c r="H1846" t="s">
        <v>1451</v>
      </c>
      <c r="I1846" t="s">
        <v>3298</v>
      </c>
      <c r="J1846">
        <v>51156232681</v>
      </c>
      <c r="K1846" t="s">
        <v>3168</v>
      </c>
      <c r="L1846" t="s">
        <v>3497</v>
      </c>
      <c r="M1846">
        <v>27000</v>
      </c>
      <c r="N1846" s="10">
        <v>2.1500000000000002E-2</v>
      </c>
      <c r="O1846" s="10">
        <f t="shared" si="175"/>
        <v>580.5</v>
      </c>
      <c r="P1846" s="10">
        <v>0</v>
      </c>
      <c r="Q1846" s="10">
        <v>0</v>
      </c>
      <c r="R1846" s="10">
        <f>IF(COUNTIF($J$2:J1846,J1846)=1,SUMIFS($O:$O,$J:$J,J1846)+SUMIFS($P:$P,$J:$J,J1846)+SUMIFS($Q:$Q,$J:$J,J1846),"")</f>
        <v>624.05999999999995</v>
      </c>
      <c r="S1846" s="10">
        <v>1125</v>
      </c>
      <c r="T1846" s="11" t="str">
        <f t="shared" si="178"/>
        <v>Check</v>
      </c>
      <c r="U1846" s="12">
        <v>45937</v>
      </c>
      <c r="V1846" s="10">
        <v>544.5</v>
      </c>
      <c r="W1846" s="10" t="str">
        <f t="shared" si="176"/>
        <v>Short Paid</v>
      </c>
      <c r="X1846" t="s">
        <v>476</v>
      </c>
      <c r="Y1846" t="s">
        <v>28</v>
      </c>
      <c r="Z1846">
        <v>100275</v>
      </c>
      <c r="AA1846" t="s">
        <v>492</v>
      </c>
      <c r="AB1846" t="s">
        <v>521</v>
      </c>
      <c r="AC1846" s="9">
        <v>2</v>
      </c>
      <c r="AD1846" s="9" t="str">
        <f t="shared" si="177"/>
        <v>Check</v>
      </c>
      <c r="AE1846" s="11">
        <f t="shared" si="179"/>
        <v>-500.94000000000005</v>
      </c>
    </row>
    <row r="1847" spans="1:31" x14ac:dyDescent="0.3">
      <c r="A1847">
        <v>25</v>
      </c>
      <c r="B1847">
        <v>4827471</v>
      </c>
      <c r="C1847" t="s">
        <v>239</v>
      </c>
      <c r="D1847">
        <v>1079286</v>
      </c>
      <c r="E1847" t="s">
        <v>629</v>
      </c>
      <c r="F1847" t="s">
        <v>20</v>
      </c>
      <c r="G1847" t="s">
        <v>1450</v>
      </c>
      <c r="H1847" t="s">
        <v>1451</v>
      </c>
      <c r="I1847" t="s">
        <v>3528</v>
      </c>
      <c r="J1847">
        <v>51156232681</v>
      </c>
      <c r="K1847" t="s">
        <v>3165</v>
      </c>
      <c r="L1847" t="s">
        <v>3290</v>
      </c>
      <c r="M1847">
        <v>1</v>
      </c>
      <c r="N1847" s="10">
        <v>43.56</v>
      </c>
      <c r="O1847" s="10">
        <f t="shared" si="175"/>
        <v>43.56</v>
      </c>
      <c r="P1847" s="10" t="s">
        <v>5006</v>
      </c>
      <c r="Q1847" s="10" t="s">
        <v>5006</v>
      </c>
      <c r="R1847" s="10" t="str">
        <f>IF(COUNTIF($J$2:J1847,J1847)=1,SUMIFS($O:$O,$J:$J,J1847)+SUMIFS($P:$P,$J:$J,J1847)+SUMIFS($Q:$Q,$J:$J,J1847),"")</f>
        <v/>
      </c>
      <c r="S1847" s="10" t="s">
        <v>5006</v>
      </c>
      <c r="T1847" s="11" t="str">
        <f t="shared" si="178"/>
        <v>Check</v>
      </c>
      <c r="U1847" s="12">
        <v>45937</v>
      </c>
      <c r="V1847" s="10">
        <v>544.5</v>
      </c>
      <c r="W1847" s="10" t="str">
        <f t="shared" si="176"/>
        <v>N/A</v>
      </c>
      <c r="X1847" t="s">
        <v>476</v>
      </c>
      <c r="Y1847" t="s">
        <v>28</v>
      </c>
      <c r="Z1847">
        <v>100275</v>
      </c>
      <c r="AA1847" t="s">
        <v>492</v>
      </c>
      <c r="AB1847" t="s">
        <v>521</v>
      </c>
      <c r="AC1847" s="9">
        <v>2</v>
      </c>
      <c r="AD1847" s="9" t="str">
        <f t="shared" si="177"/>
        <v>N/A</v>
      </c>
      <c r="AE1847" s="11" t="e">
        <f t="shared" si="179"/>
        <v>#VALUE!</v>
      </c>
    </row>
    <row r="1848" spans="1:31" x14ac:dyDescent="0.3">
      <c r="A1848">
        <v>24</v>
      </c>
      <c r="B1848">
        <v>4832202</v>
      </c>
      <c r="C1848" t="s">
        <v>38</v>
      </c>
      <c r="D1848">
        <v>1373071</v>
      </c>
      <c r="E1848" t="s">
        <v>559</v>
      </c>
      <c r="F1848" t="s">
        <v>19</v>
      </c>
      <c r="G1848" t="s">
        <v>1470</v>
      </c>
      <c r="H1848" t="s">
        <v>1471</v>
      </c>
      <c r="I1848" t="s">
        <v>3275</v>
      </c>
      <c r="J1848">
        <v>51156232734</v>
      </c>
      <c r="K1848" t="s">
        <v>3314</v>
      </c>
      <c r="L1848" t="s">
        <v>4535</v>
      </c>
      <c r="M1848">
        <v>6000</v>
      </c>
      <c r="N1848" s="10">
        <v>0.11210000000000002</v>
      </c>
      <c r="O1848" s="10">
        <f t="shared" si="175"/>
        <v>672.60000000000014</v>
      </c>
      <c r="P1848" s="10">
        <v>0</v>
      </c>
      <c r="Q1848" s="10">
        <v>96.19</v>
      </c>
      <c r="R1848" s="10">
        <f>IF(COUNTIF($J$2:J1848,J1848)=1,SUMIFS($O:$O,$J:$J,J1848)+SUMIFS($P:$P,$J:$J,J1848)+SUMIFS($Q:$Q,$J:$J,J1848),"")</f>
        <v>14230.99</v>
      </c>
      <c r="S1848" s="10">
        <v>14230.990000000002</v>
      </c>
      <c r="T1848" s="11" t="str">
        <f t="shared" si="178"/>
        <v>Ok</v>
      </c>
      <c r="U1848" s="12">
        <v>45945</v>
      </c>
      <c r="V1848" s="10">
        <v>768.79</v>
      </c>
      <c r="W1848" s="10" t="str">
        <f t="shared" si="176"/>
        <v>Short Paid</v>
      </c>
      <c r="X1848" t="s">
        <v>474</v>
      </c>
      <c r="Y1848" t="s">
        <v>28</v>
      </c>
      <c r="Z1848">
        <v>100209</v>
      </c>
      <c r="AA1848" t="s">
        <v>483</v>
      </c>
      <c r="AB1848" t="s">
        <v>524</v>
      </c>
      <c r="AC1848" s="9">
        <v>2</v>
      </c>
      <c r="AD1848" s="9" t="str">
        <f t="shared" si="177"/>
        <v>Ok</v>
      </c>
      <c r="AE1848" s="11">
        <f t="shared" si="179"/>
        <v>0</v>
      </c>
    </row>
    <row r="1849" spans="1:31" x14ac:dyDescent="0.3">
      <c r="A1849">
        <v>24</v>
      </c>
      <c r="B1849">
        <v>4832202</v>
      </c>
      <c r="C1849" t="s">
        <v>38</v>
      </c>
      <c r="D1849">
        <v>1373071</v>
      </c>
      <c r="E1849" t="s">
        <v>559</v>
      </c>
      <c r="F1849" t="s">
        <v>19</v>
      </c>
      <c r="G1849" t="s">
        <v>1470</v>
      </c>
      <c r="H1849" t="s">
        <v>1471</v>
      </c>
      <c r="I1849" t="s">
        <v>3420</v>
      </c>
      <c r="J1849">
        <v>51156232734</v>
      </c>
      <c r="K1849" t="s">
        <v>3183</v>
      </c>
      <c r="L1849" t="s">
        <v>3182</v>
      </c>
      <c r="M1849">
        <v>162</v>
      </c>
      <c r="N1849" s="10">
        <v>83.1</v>
      </c>
      <c r="O1849" s="10">
        <f t="shared" si="175"/>
        <v>13462.199999999999</v>
      </c>
      <c r="P1849" s="10" t="s">
        <v>5006</v>
      </c>
      <c r="Q1849" s="10" t="s">
        <v>5006</v>
      </c>
      <c r="R1849" s="10" t="str">
        <f>IF(COUNTIF($J$2:J1849,J1849)=1,SUMIFS($O:$O,$J:$J,J1849)+SUMIFS($P:$P,$J:$J,J1849)+SUMIFS($Q:$Q,$J:$J,J1849),"")</f>
        <v/>
      </c>
      <c r="S1849" s="10" t="s">
        <v>5006</v>
      </c>
      <c r="T1849" s="11" t="str">
        <f t="shared" si="178"/>
        <v>Ok</v>
      </c>
      <c r="U1849" s="12">
        <v>45945</v>
      </c>
      <c r="V1849" s="10">
        <v>768.79</v>
      </c>
      <c r="W1849" s="10" t="str">
        <f t="shared" si="176"/>
        <v>N/A</v>
      </c>
      <c r="X1849" t="s">
        <v>474</v>
      </c>
      <c r="Y1849" t="s">
        <v>28</v>
      </c>
      <c r="Z1849">
        <v>100209</v>
      </c>
      <c r="AA1849" t="s">
        <v>483</v>
      </c>
      <c r="AB1849" t="s">
        <v>524</v>
      </c>
      <c r="AC1849" s="9">
        <v>2</v>
      </c>
      <c r="AD1849" s="9" t="str">
        <f t="shared" si="177"/>
        <v>N/A</v>
      </c>
      <c r="AE1849" s="11" t="e">
        <f t="shared" si="179"/>
        <v>#VALUE!</v>
      </c>
    </row>
    <row r="1850" spans="1:31" x14ac:dyDescent="0.3">
      <c r="A1850">
        <v>4</v>
      </c>
      <c r="B1850">
        <v>4936558</v>
      </c>
      <c r="C1850" t="s">
        <v>94</v>
      </c>
      <c r="D1850">
        <v>1830445</v>
      </c>
      <c r="E1850" t="s">
        <v>95</v>
      </c>
      <c r="F1850" t="s">
        <v>19</v>
      </c>
      <c r="G1850" t="s">
        <v>1809</v>
      </c>
      <c r="H1850" t="s">
        <v>1810</v>
      </c>
      <c r="I1850" t="s">
        <v>3484</v>
      </c>
      <c r="J1850">
        <v>51156232779</v>
      </c>
      <c r="K1850" t="s">
        <v>3212</v>
      </c>
      <c r="L1850" t="s">
        <v>4536</v>
      </c>
      <c r="M1850">
        <v>13500</v>
      </c>
      <c r="N1850" s="10">
        <v>0.32100000000000001</v>
      </c>
      <c r="O1850" s="10">
        <f t="shared" si="175"/>
        <v>4333.5</v>
      </c>
      <c r="P1850" s="10">
        <v>0</v>
      </c>
      <c r="Q1850" s="10">
        <v>0</v>
      </c>
      <c r="R1850" s="10">
        <f>IF(COUNTIF($J$2:J1850,J1850)=1,SUMIFS($O:$O,$J:$J,J1850)+SUMIFS($P:$P,$J:$J,J1850)+SUMIFS($Q:$Q,$J:$J,J1850),"")</f>
        <v>223289.9</v>
      </c>
      <c r="S1850" s="10">
        <v>223289.9</v>
      </c>
      <c r="T1850" s="11" t="str">
        <f t="shared" si="178"/>
        <v>Ok</v>
      </c>
      <c r="U1850" s="12">
        <v>46091</v>
      </c>
      <c r="V1850" s="10">
        <v>218956.4</v>
      </c>
      <c r="W1850" s="10" t="str">
        <f t="shared" si="176"/>
        <v>Short Paid</v>
      </c>
      <c r="X1850" t="s">
        <v>450</v>
      </c>
      <c r="Y1850" t="s">
        <v>28</v>
      </c>
      <c r="Z1850">
        <v>100117</v>
      </c>
      <c r="AA1850" t="s">
        <v>451</v>
      </c>
      <c r="AB1850" t="s">
        <v>524</v>
      </c>
      <c r="AC1850" s="9">
        <v>2</v>
      </c>
      <c r="AD1850" s="9" t="str">
        <f t="shared" si="177"/>
        <v>Ok</v>
      </c>
      <c r="AE1850" s="11">
        <f t="shared" si="179"/>
        <v>0</v>
      </c>
    </row>
    <row r="1851" spans="1:31" x14ac:dyDescent="0.3">
      <c r="A1851">
        <v>4</v>
      </c>
      <c r="B1851">
        <v>4936558</v>
      </c>
      <c r="C1851" t="s">
        <v>94</v>
      </c>
      <c r="D1851">
        <v>1830445</v>
      </c>
      <c r="E1851" t="s">
        <v>95</v>
      </c>
      <c r="F1851" t="s">
        <v>19</v>
      </c>
      <c r="G1851" t="s">
        <v>1809</v>
      </c>
      <c r="H1851" t="s">
        <v>1810</v>
      </c>
      <c r="I1851" t="s">
        <v>3444</v>
      </c>
      <c r="J1851">
        <v>51156232779</v>
      </c>
      <c r="K1851" t="s">
        <v>4538</v>
      </c>
      <c r="L1851" t="s">
        <v>4537</v>
      </c>
      <c r="M1851">
        <v>20</v>
      </c>
      <c r="N1851" s="10">
        <v>10947.82</v>
      </c>
      <c r="O1851" s="10">
        <f t="shared" si="175"/>
        <v>218956.4</v>
      </c>
      <c r="P1851" s="10" t="s">
        <v>5006</v>
      </c>
      <c r="Q1851" s="10" t="s">
        <v>5006</v>
      </c>
      <c r="R1851" s="10" t="str">
        <f>IF(COUNTIF($J$2:J1851,J1851)=1,SUMIFS($O:$O,$J:$J,J1851)+SUMIFS($P:$P,$J:$J,J1851)+SUMIFS($Q:$Q,$J:$J,J1851),"")</f>
        <v/>
      </c>
      <c r="S1851" s="10" t="s">
        <v>5006</v>
      </c>
      <c r="T1851" s="11" t="str">
        <f t="shared" si="178"/>
        <v>Ok</v>
      </c>
      <c r="U1851" s="12">
        <v>46091</v>
      </c>
      <c r="V1851" s="10">
        <v>218956.4</v>
      </c>
      <c r="W1851" s="10" t="str">
        <f t="shared" si="176"/>
        <v>N/A</v>
      </c>
      <c r="X1851" t="s">
        <v>450</v>
      </c>
      <c r="Y1851" t="s">
        <v>28</v>
      </c>
      <c r="Z1851">
        <v>100117</v>
      </c>
      <c r="AA1851" t="s">
        <v>451</v>
      </c>
      <c r="AB1851" t="s">
        <v>524</v>
      </c>
      <c r="AC1851" s="9">
        <v>2</v>
      </c>
      <c r="AD1851" s="9" t="str">
        <f t="shared" si="177"/>
        <v>N/A</v>
      </c>
      <c r="AE1851" s="11" t="e">
        <f t="shared" si="179"/>
        <v>#VALUE!</v>
      </c>
    </row>
    <row r="1852" spans="1:31" x14ac:dyDescent="0.3">
      <c r="A1852">
        <v>25</v>
      </c>
      <c r="B1852">
        <v>4827749</v>
      </c>
      <c r="C1852" t="s">
        <v>239</v>
      </c>
      <c r="D1852">
        <v>1079286</v>
      </c>
      <c r="E1852" t="s">
        <v>629</v>
      </c>
      <c r="F1852" t="s">
        <v>20</v>
      </c>
      <c r="G1852" t="s">
        <v>1425</v>
      </c>
      <c r="H1852" t="s">
        <v>1426</v>
      </c>
      <c r="I1852" t="s">
        <v>3441</v>
      </c>
      <c r="J1852">
        <v>51156241550</v>
      </c>
      <c r="K1852" t="s">
        <v>3401</v>
      </c>
      <c r="L1852" t="s">
        <v>3459</v>
      </c>
      <c r="M1852">
        <v>182</v>
      </c>
      <c r="N1852" s="10">
        <v>37.277999999999999</v>
      </c>
      <c r="O1852" s="10">
        <f t="shared" si="175"/>
        <v>6784.5959999999995</v>
      </c>
      <c r="P1852" s="10">
        <v>0</v>
      </c>
      <c r="Q1852" s="10">
        <v>0</v>
      </c>
      <c r="R1852" s="10">
        <f>IF(COUNTIF($J$2:J1852,J1852)=1,SUMIFS($O:$O,$J:$J,J1852)+SUMIFS($P:$P,$J:$J,J1852)+SUMIFS($Q:$Q,$J:$J,J1852),"")</f>
        <v>8134.5959999999995</v>
      </c>
      <c r="S1852" s="10">
        <v>8395.5499999999993</v>
      </c>
      <c r="T1852" s="11" t="str">
        <f t="shared" si="178"/>
        <v>Check</v>
      </c>
      <c r="U1852" s="12">
        <v>45986</v>
      </c>
      <c r="V1852" s="10">
        <v>1350</v>
      </c>
      <c r="W1852" s="10" t="str">
        <f t="shared" si="176"/>
        <v>Short Paid</v>
      </c>
      <c r="X1852" t="s">
        <v>476</v>
      </c>
      <c r="Y1852" t="s">
        <v>28</v>
      </c>
      <c r="Z1852">
        <v>100285</v>
      </c>
      <c r="AA1852" t="s">
        <v>501</v>
      </c>
      <c r="AB1852" t="s">
        <v>521</v>
      </c>
      <c r="AC1852" s="9">
        <v>2</v>
      </c>
      <c r="AD1852" s="9" t="str">
        <f t="shared" si="177"/>
        <v>Check</v>
      </c>
      <c r="AE1852" s="11">
        <f t="shared" si="179"/>
        <v>-260.95399999999972</v>
      </c>
    </row>
    <row r="1853" spans="1:31" x14ac:dyDescent="0.3">
      <c r="A1853">
        <v>25</v>
      </c>
      <c r="B1853">
        <v>4827749</v>
      </c>
      <c r="C1853" t="s">
        <v>239</v>
      </c>
      <c r="D1853">
        <v>1079286</v>
      </c>
      <c r="E1853" t="s">
        <v>629</v>
      </c>
      <c r="F1853" t="s">
        <v>20</v>
      </c>
      <c r="G1853" t="s">
        <v>1425</v>
      </c>
      <c r="H1853" t="s">
        <v>1426</v>
      </c>
      <c r="I1853" t="s">
        <v>3387</v>
      </c>
      <c r="J1853">
        <v>51156241550</v>
      </c>
      <c r="K1853" t="s">
        <v>3370</v>
      </c>
      <c r="L1853" t="s">
        <v>4539</v>
      </c>
      <c r="M1853">
        <v>50000</v>
      </c>
      <c r="N1853" s="10">
        <v>2.7E-2</v>
      </c>
      <c r="O1853" s="10">
        <f t="shared" si="175"/>
        <v>1350</v>
      </c>
      <c r="P1853" s="10" t="s">
        <v>5006</v>
      </c>
      <c r="Q1853" s="10" t="s">
        <v>5006</v>
      </c>
      <c r="R1853" s="10" t="str">
        <f>IF(COUNTIF($J$2:J1853,J1853)=1,SUMIFS($O:$O,$J:$J,J1853)+SUMIFS($P:$P,$J:$J,J1853)+SUMIFS($Q:$Q,$J:$J,J1853),"")</f>
        <v/>
      </c>
      <c r="S1853" s="10" t="s">
        <v>5006</v>
      </c>
      <c r="T1853" s="11" t="str">
        <f t="shared" si="178"/>
        <v>Check</v>
      </c>
      <c r="U1853" s="12">
        <v>45986</v>
      </c>
      <c r="V1853" s="10">
        <v>1350</v>
      </c>
      <c r="W1853" s="10" t="str">
        <f t="shared" si="176"/>
        <v>N/A</v>
      </c>
      <c r="X1853" t="s">
        <v>476</v>
      </c>
      <c r="Y1853" t="s">
        <v>28</v>
      </c>
      <c r="Z1853">
        <v>100285</v>
      </c>
      <c r="AA1853" t="s">
        <v>501</v>
      </c>
      <c r="AB1853" t="s">
        <v>521</v>
      </c>
      <c r="AC1853" s="9">
        <v>2</v>
      </c>
      <c r="AD1853" s="9" t="str">
        <f t="shared" si="177"/>
        <v>N/A</v>
      </c>
      <c r="AE1853" s="11" t="e">
        <f t="shared" si="179"/>
        <v>#VALUE!</v>
      </c>
    </row>
    <row r="1854" spans="1:31" x14ac:dyDescent="0.3">
      <c r="A1854">
        <v>6</v>
      </c>
      <c r="B1854">
        <v>4934332</v>
      </c>
      <c r="C1854" t="s">
        <v>160</v>
      </c>
      <c r="D1854">
        <v>1359863</v>
      </c>
      <c r="E1854" t="s">
        <v>591</v>
      </c>
      <c r="F1854" t="s">
        <v>24</v>
      </c>
      <c r="G1854" t="s">
        <v>2940</v>
      </c>
      <c r="H1854" t="s">
        <v>2941</v>
      </c>
      <c r="I1854" t="s">
        <v>3242</v>
      </c>
      <c r="J1854">
        <v>51156263927</v>
      </c>
      <c r="K1854" t="s">
        <v>3201</v>
      </c>
      <c r="L1854" t="s">
        <v>4540</v>
      </c>
      <c r="M1854">
        <v>56</v>
      </c>
      <c r="N1854" s="10">
        <v>197.5</v>
      </c>
      <c r="O1854" s="10">
        <f t="shared" si="175"/>
        <v>11060</v>
      </c>
      <c r="P1854" s="10">
        <v>0</v>
      </c>
      <c r="Q1854" s="10">
        <v>0</v>
      </c>
      <c r="R1854" s="10">
        <f>IF(COUNTIF($J$2:J1854,J1854)=1,SUMIFS($O:$O,$J:$J,J1854)+SUMIFS($P:$P,$J:$J,J1854)+SUMIFS($Q:$Q,$J:$J,J1854),"")</f>
        <v>13883</v>
      </c>
      <c r="S1854" s="10">
        <v>14156</v>
      </c>
      <c r="T1854" s="11" t="str">
        <f t="shared" si="178"/>
        <v>Check</v>
      </c>
      <c r="U1854" s="12">
        <v>46148</v>
      </c>
      <c r="V1854" s="10">
        <v>7307.5</v>
      </c>
      <c r="W1854" s="10" t="str">
        <f t="shared" si="176"/>
        <v>Short Paid</v>
      </c>
      <c r="X1854" t="s">
        <v>453</v>
      </c>
      <c r="Y1854" t="s">
        <v>40</v>
      </c>
      <c r="Z1854">
        <v>100224</v>
      </c>
      <c r="AA1854" t="s">
        <v>3079</v>
      </c>
      <c r="AB1854" t="s">
        <v>522</v>
      </c>
      <c r="AC1854" s="9">
        <v>2</v>
      </c>
      <c r="AD1854" s="9" t="str">
        <f t="shared" si="177"/>
        <v>Check</v>
      </c>
      <c r="AE1854" s="11">
        <f t="shared" si="179"/>
        <v>-273</v>
      </c>
    </row>
    <row r="1855" spans="1:31" x14ac:dyDescent="0.3">
      <c r="A1855">
        <v>6</v>
      </c>
      <c r="B1855">
        <v>4934332</v>
      </c>
      <c r="C1855" t="s">
        <v>160</v>
      </c>
      <c r="D1855">
        <v>1359863</v>
      </c>
      <c r="E1855" t="s">
        <v>591</v>
      </c>
      <c r="F1855" t="s">
        <v>24</v>
      </c>
      <c r="G1855" t="s">
        <v>2940</v>
      </c>
      <c r="H1855" t="s">
        <v>2941</v>
      </c>
      <c r="I1855" t="s">
        <v>3381</v>
      </c>
      <c r="J1855">
        <v>51156263927</v>
      </c>
      <c r="K1855" t="s">
        <v>3168</v>
      </c>
      <c r="L1855" t="s">
        <v>4185</v>
      </c>
      <c r="M1855">
        <v>30000</v>
      </c>
      <c r="N1855" s="10">
        <v>9.4100000000000003E-2</v>
      </c>
      <c r="O1855" s="10">
        <f t="shared" si="175"/>
        <v>2823</v>
      </c>
      <c r="P1855" s="10" t="s">
        <v>5006</v>
      </c>
      <c r="Q1855" s="10" t="s">
        <v>5006</v>
      </c>
      <c r="R1855" s="10" t="str">
        <f>IF(COUNTIF($J$2:J1855,J1855)=1,SUMIFS($O:$O,$J:$J,J1855)+SUMIFS($P:$P,$J:$J,J1855)+SUMIFS($Q:$Q,$J:$J,J1855),"")</f>
        <v/>
      </c>
      <c r="S1855" s="10" t="s">
        <v>5006</v>
      </c>
      <c r="T1855" s="11" t="str">
        <f t="shared" si="178"/>
        <v>Check</v>
      </c>
      <c r="U1855" s="12">
        <v>46148</v>
      </c>
      <c r="V1855" s="10">
        <v>7307.5</v>
      </c>
      <c r="W1855" s="10" t="str">
        <f t="shared" si="176"/>
        <v>N/A</v>
      </c>
      <c r="X1855" t="s">
        <v>453</v>
      </c>
      <c r="Y1855" t="s">
        <v>40</v>
      </c>
      <c r="Z1855">
        <v>100224</v>
      </c>
      <c r="AA1855" t="s">
        <v>3079</v>
      </c>
      <c r="AB1855" t="s">
        <v>522</v>
      </c>
      <c r="AC1855" s="9">
        <v>2</v>
      </c>
      <c r="AD1855" s="9" t="str">
        <f t="shared" si="177"/>
        <v>N/A</v>
      </c>
      <c r="AE1855" s="11" t="e">
        <f t="shared" si="179"/>
        <v>#VALUE!</v>
      </c>
    </row>
    <row r="1856" spans="1:31" x14ac:dyDescent="0.3">
      <c r="A1856">
        <v>24</v>
      </c>
      <c r="B1856">
        <v>4835263</v>
      </c>
      <c r="C1856" t="s">
        <v>167</v>
      </c>
      <c r="D1856">
        <v>1212379</v>
      </c>
      <c r="E1856" t="s">
        <v>535</v>
      </c>
      <c r="F1856" t="s">
        <v>19</v>
      </c>
      <c r="G1856" t="s">
        <v>1487</v>
      </c>
      <c r="H1856" t="s">
        <v>1488</v>
      </c>
      <c r="I1856" t="s">
        <v>3432</v>
      </c>
      <c r="J1856">
        <v>51156265263</v>
      </c>
      <c r="K1856" t="s">
        <v>3908</v>
      </c>
      <c r="L1856" t="s">
        <v>4541</v>
      </c>
      <c r="M1856">
        <v>1</v>
      </c>
      <c r="N1856" s="10">
        <v>315</v>
      </c>
      <c r="O1856" s="10">
        <f t="shared" si="175"/>
        <v>315</v>
      </c>
      <c r="P1856" s="10">
        <v>0</v>
      </c>
      <c r="Q1856" s="10">
        <v>0</v>
      </c>
      <c r="R1856" s="10">
        <f>IF(COUNTIF($J$2:J1856,J1856)=1,SUMIFS($O:$O,$J:$J,J1856)+SUMIFS($P:$P,$J:$J,J1856)+SUMIFS($Q:$Q,$J:$J,J1856),"")</f>
        <v>758.1</v>
      </c>
      <c r="S1856" s="10">
        <v>1058.0999999999999</v>
      </c>
      <c r="T1856" s="11" t="str">
        <f t="shared" si="178"/>
        <v>Check</v>
      </c>
      <c r="U1856" s="12">
        <v>46108</v>
      </c>
      <c r="V1856" s="10">
        <v>615</v>
      </c>
      <c r="W1856" s="10" t="str">
        <f t="shared" si="176"/>
        <v>Short Paid</v>
      </c>
      <c r="X1856" t="s">
        <v>455</v>
      </c>
      <c r="Y1856" t="s">
        <v>28</v>
      </c>
      <c r="Z1856">
        <v>100230</v>
      </c>
      <c r="AA1856" t="s">
        <v>462</v>
      </c>
      <c r="AB1856" t="s">
        <v>524</v>
      </c>
      <c r="AC1856" s="9">
        <v>2</v>
      </c>
      <c r="AD1856" s="9" t="str">
        <f t="shared" si="177"/>
        <v>Check</v>
      </c>
      <c r="AE1856" s="11">
        <f t="shared" si="179"/>
        <v>-299.99999999999989</v>
      </c>
    </row>
    <row r="1857" spans="1:31" x14ac:dyDescent="0.3">
      <c r="A1857">
        <v>24</v>
      </c>
      <c r="B1857">
        <v>4835263</v>
      </c>
      <c r="C1857" t="s">
        <v>167</v>
      </c>
      <c r="D1857">
        <v>1212379</v>
      </c>
      <c r="E1857" t="s">
        <v>535</v>
      </c>
      <c r="F1857" t="s">
        <v>19</v>
      </c>
      <c r="G1857" t="s">
        <v>1487</v>
      </c>
      <c r="H1857" t="s">
        <v>1488</v>
      </c>
      <c r="I1857" t="s">
        <v>3327</v>
      </c>
      <c r="J1857">
        <v>51156265263</v>
      </c>
      <c r="K1857" t="s">
        <v>3370</v>
      </c>
      <c r="L1857" t="s">
        <v>4542</v>
      </c>
      <c r="M1857">
        <v>42000</v>
      </c>
      <c r="N1857" s="10">
        <v>1.055E-2</v>
      </c>
      <c r="O1857" s="10">
        <f t="shared" si="175"/>
        <v>443.1</v>
      </c>
      <c r="P1857" s="10" t="s">
        <v>5006</v>
      </c>
      <c r="Q1857" s="10" t="s">
        <v>5006</v>
      </c>
      <c r="R1857" s="10" t="str">
        <f>IF(COUNTIF($J$2:J1857,J1857)=1,SUMIFS($O:$O,$J:$J,J1857)+SUMIFS($P:$P,$J:$J,J1857)+SUMIFS($Q:$Q,$J:$J,J1857),"")</f>
        <v/>
      </c>
      <c r="S1857" s="10" t="s">
        <v>5006</v>
      </c>
      <c r="T1857" s="11" t="str">
        <f t="shared" si="178"/>
        <v>Check</v>
      </c>
      <c r="U1857" s="12">
        <v>46108</v>
      </c>
      <c r="V1857" s="10">
        <v>615</v>
      </c>
      <c r="W1857" s="10" t="str">
        <f t="shared" si="176"/>
        <v>N/A</v>
      </c>
      <c r="X1857" t="s">
        <v>455</v>
      </c>
      <c r="Y1857" t="s">
        <v>28</v>
      </c>
      <c r="Z1857">
        <v>100230</v>
      </c>
      <c r="AA1857" t="s">
        <v>462</v>
      </c>
      <c r="AB1857" t="s">
        <v>524</v>
      </c>
      <c r="AC1857" s="9">
        <v>2</v>
      </c>
      <c r="AD1857" s="9" t="str">
        <f t="shared" si="177"/>
        <v>N/A</v>
      </c>
      <c r="AE1857" s="11" t="e">
        <f t="shared" si="179"/>
        <v>#VALUE!</v>
      </c>
    </row>
    <row r="1858" spans="1:31" x14ac:dyDescent="0.3">
      <c r="A1858">
        <v>15</v>
      </c>
      <c r="B1858">
        <v>4876449</v>
      </c>
      <c r="C1858" t="s">
        <v>217</v>
      </c>
      <c r="D1858">
        <v>1160621</v>
      </c>
      <c r="E1858" t="s">
        <v>571</v>
      </c>
      <c r="F1858" t="s">
        <v>18</v>
      </c>
      <c r="G1858" t="s">
        <v>1646</v>
      </c>
      <c r="H1858" t="s">
        <v>1647</v>
      </c>
      <c r="I1858" t="s">
        <v>3494</v>
      </c>
      <c r="J1858">
        <v>51156268475</v>
      </c>
      <c r="K1858" t="s">
        <v>3401</v>
      </c>
      <c r="L1858" t="s">
        <v>4543</v>
      </c>
      <c r="M1858">
        <v>2000</v>
      </c>
      <c r="N1858" s="10">
        <v>0.32550000000000001</v>
      </c>
      <c r="O1858" s="10">
        <f t="shared" ref="O1858:O1921" si="180">M1858*N1858</f>
        <v>651</v>
      </c>
      <c r="P1858" s="10">
        <v>0</v>
      </c>
      <c r="Q1858" s="10">
        <v>123.69</v>
      </c>
      <c r="R1858" s="10">
        <f>IF(COUNTIF($J$2:J1858,J1858)=1,SUMIFS($O:$O,$J:$J,J1858)+SUMIFS($P:$P,$J:$J,J1858)+SUMIFS($Q:$Q,$J:$J,J1858),"")</f>
        <v>1258.29</v>
      </c>
      <c r="S1858" s="10">
        <v>1258.29</v>
      </c>
      <c r="T1858" s="11" t="str">
        <f t="shared" si="178"/>
        <v>Ok</v>
      </c>
      <c r="U1858" s="12">
        <v>46066</v>
      </c>
      <c r="V1858" s="10">
        <v>774.69</v>
      </c>
      <c r="W1858" s="10" t="str">
        <f t="shared" ref="W1858:W1921" si="181">IF(OR(S1858="",V1858=""),"N/A",IF(S1858&lt;&gt;V1858,"Short Paid","Not Paid"))</f>
        <v>Short Paid</v>
      </c>
      <c r="X1858" t="s">
        <v>468</v>
      </c>
      <c r="Y1858" t="s">
        <v>28</v>
      </c>
      <c r="Z1858">
        <v>100196</v>
      </c>
      <c r="AA1858" t="s">
        <v>3095</v>
      </c>
      <c r="AB1858" t="s">
        <v>523</v>
      </c>
      <c r="AC1858" s="9">
        <v>2</v>
      </c>
      <c r="AD1858" s="9" t="str">
        <f t="shared" ref="AD1858:AD1921" si="182">IF(AND(R1858="",S1858=""),"N/A",IF(R1858=S1858,"Ok","Check"))</f>
        <v>Ok</v>
      </c>
      <c r="AE1858" s="11">
        <f t="shared" si="179"/>
        <v>0</v>
      </c>
    </row>
    <row r="1859" spans="1:31" x14ac:dyDescent="0.3">
      <c r="A1859">
        <v>15</v>
      </c>
      <c r="B1859">
        <v>4876449</v>
      </c>
      <c r="C1859" t="s">
        <v>217</v>
      </c>
      <c r="D1859">
        <v>1160621</v>
      </c>
      <c r="E1859" t="s">
        <v>571</v>
      </c>
      <c r="F1859" t="s">
        <v>18</v>
      </c>
      <c r="G1859" t="s">
        <v>1646</v>
      </c>
      <c r="H1859" t="s">
        <v>1647</v>
      </c>
      <c r="I1859" t="s">
        <v>3163</v>
      </c>
      <c r="J1859">
        <v>51156268475</v>
      </c>
      <c r="K1859" t="s">
        <v>3212</v>
      </c>
      <c r="L1859" t="s">
        <v>4544</v>
      </c>
      <c r="M1859">
        <v>930000</v>
      </c>
      <c r="N1859" s="10">
        <v>5.1999999999999995E-4</v>
      </c>
      <c r="O1859" s="10">
        <f t="shared" si="180"/>
        <v>483.59999999999997</v>
      </c>
      <c r="P1859" s="10" t="s">
        <v>5006</v>
      </c>
      <c r="Q1859" s="10" t="s">
        <v>5006</v>
      </c>
      <c r="R1859" s="10" t="str">
        <f>IF(COUNTIF($J$2:J1859,J1859)=1,SUMIFS($O:$O,$J:$J,J1859)+SUMIFS($P:$P,$J:$J,J1859)+SUMIFS($Q:$Q,$J:$J,J1859),"")</f>
        <v/>
      </c>
      <c r="S1859" s="10" t="s">
        <v>5006</v>
      </c>
      <c r="T1859" s="11" t="str">
        <f t="shared" ref="T1859:T1922" si="183">IFERROR(INDEX(AD:AD,MATCH(J1859,J:J,0)),"")</f>
        <v>Ok</v>
      </c>
      <c r="U1859" s="12">
        <v>46066</v>
      </c>
      <c r="V1859" s="10">
        <v>774.69</v>
      </c>
      <c r="W1859" s="10" t="str">
        <f t="shared" si="181"/>
        <v>N/A</v>
      </c>
      <c r="X1859" t="s">
        <v>468</v>
      </c>
      <c r="Y1859" t="s">
        <v>28</v>
      </c>
      <c r="Z1859">
        <v>100196</v>
      </c>
      <c r="AA1859" t="s">
        <v>3095</v>
      </c>
      <c r="AB1859" t="s">
        <v>523</v>
      </c>
      <c r="AC1859" s="9">
        <v>2</v>
      </c>
      <c r="AD1859" s="9" t="str">
        <f t="shared" si="182"/>
        <v>N/A</v>
      </c>
      <c r="AE1859" s="11" t="e">
        <f t="shared" si="179"/>
        <v>#VALUE!</v>
      </c>
    </row>
    <row r="1860" spans="1:31" x14ac:dyDescent="0.3">
      <c r="A1860">
        <v>15</v>
      </c>
      <c r="B1860">
        <v>4877005</v>
      </c>
      <c r="C1860" t="s">
        <v>217</v>
      </c>
      <c r="D1860">
        <v>1160621</v>
      </c>
      <c r="E1860" t="s">
        <v>571</v>
      </c>
      <c r="F1860" t="s">
        <v>18</v>
      </c>
      <c r="G1860" t="s">
        <v>1630</v>
      </c>
      <c r="H1860" t="s">
        <v>1631</v>
      </c>
      <c r="I1860" t="s">
        <v>3410</v>
      </c>
      <c r="J1860">
        <v>51156279903</v>
      </c>
      <c r="K1860" t="s">
        <v>3216</v>
      </c>
      <c r="L1860" t="s">
        <v>3215</v>
      </c>
      <c r="M1860">
        <v>80000</v>
      </c>
      <c r="N1860" s="10">
        <v>1.8700000000000001E-2</v>
      </c>
      <c r="O1860" s="10">
        <f t="shared" si="180"/>
        <v>1496</v>
      </c>
      <c r="P1860" s="10">
        <v>0</v>
      </c>
      <c r="Q1860" s="10">
        <v>47.05</v>
      </c>
      <c r="R1860" s="10">
        <f>IF(COUNTIF($J$2:J1860,J1860)=1,SUMIFS($O:$O,$J:$J,J1860)+SUMIFS($P:$P,$J:$J,J1860)+SUMIFS($Q:$Q,$J:$J,J1860),"")</f>
        <v>7393.366</v>
      </c>
      <c r="S1860" s="10">
        <v>7393.37</v>
      </c>
      <c r="T1860" s="11" t="str">
        <f t="shared" si="183"/>
        <v>Check</v>
      </c>
      <c r="U1860" s="12">
        <v>46067</v>
      </c>
      <c r="V1860" s="10">
        <v>1532.37</v>
      </c>
      <c r="W1860" s="10" t="str">
        <f t="shared" si="181"/>
        <v>Short Paid</v>
      </c>
      <c r="X1860" t="s">
        <v>468</v>
      </c>
      <c r="Y1860" t="s">
        <v>28</v>
      </c>
      <c r="Z1860">
        <v>100236</v>
      </c>
      <c r="AA1860" t="s">
        <v>3059</v>
      </c>
      <c r="AB1860" t="s">
        <v>523</v>
      </c>
      <c r="AC1860" s="9">
        <v>5</v>
      </c>
      <c r="AD1860" s="9" t="str">
        <f t="shared" si="182"/>
        <v>Check</v>
      </c>
      <c r="AE1860" s="11">
        <f t="shared" si="179"/>
        <v>-3.9999999999054126E-3</v>
      </c>
    </row>
    <row r="1861" spans="1:31" x14ac:dyDescent="0.3">
      <c r="A1861">
        <v>15</v>
      </c>
      <c r="B1861">
        <v>4877005</v>
      </c>
      <c r="C1861" t="s">
        <v>217</v>
      </c>
      <c r="D1861">
        <v>1160621</v>
      </c>
      <c r="E1861" t="s">
        <v>571</v>
      </c>
      <c r="F1861" t="s">
        <v>18</v>
      </c>
      <c r="G1861" t="s">
        <v>1630</v>
      </c>
      <c r="H1861" t="s">
        <v>1631</v>
      </c>
      <c r="I1861" t="s">
        <v>3410</v>
      </c>
      <c r="J1861">
        <v>51156279903</v>
      </c>
      <c r="K1861" t="s">
        <v>3207</v>
      </c>
      <c r="L1861" t="s">
        <v>3870</v>
      </c>
      <c r="M1861">
        <v>150000</v>
      </c>
      <c r="N1861" s="10">
        <v>2.9100000000000001E-2</v>
      </c>
      <c r="O1861" s="10">
        <f t="shared" si="180"/>
        <v>4365</v>
      </c>
      <c r="P1861" s="10" t="s">
        <v>5006</v>
      </c>
      <c r="Q1861" s="10" t="s">
        <v>5006</v>
      </c>
      <c r="R1861" s="10" t="str">
        <f>IF(COUNTIF($J$2:J1861,J1861)=1,SUMIFS($O:$O,$J:$J,J1861)+SUMIFS($P:$P,$J:$J,J1861)+SUMIFS($Q:$Q,$J:$J,J1861),"")</f>
        <v/>
      </c>
      <c r="S1861" s="10" t="s">
        <v>5006</v>
      </c>
      <c r="T1861" s="11" t="str">
        <f t="shared" si="183"/>
        <v>Check</v>
      </c>
      <c r="U1861" s="12">
        <v>46067</v>
      </c>
      <c r="V1861" s="10">
        <v>1532.37</v>
      </c>
      <c r="W1861" s="10" t="str">
        <f t="shared" si="181"/>
        <v>N/A</v>
      </c>
      <c r="X1861" t="s">
        <v>468</v>
      </c>
      <c r="Y1861" t="s">
        <v>28</v>
      </c>
      <c r="Z1861">
        <v>100236</v>
      </c>
      <c r="AA1861" t="s">
        <v>3059</v>
      </c>
      <c r="AB1861" t="s">
        <v>523</v>
      </c>
      <c r="AC1861" s="9">
        <v>5</v>
      </c>
      <c r="AD1861" s="9" t="str">
        <f t="shared" si="182"/>
        <v>N/A</v>
      </c>
      <c r="AE1861" s="11" t="e">
        <f t="shared" si="179"/>
        <v>#VALUE!</v>
      </c>
    </row>
    <row r="1862" spans="1:31" x14ac:dyDescent="0.3">
      <c r="A1862">
        <v>15</v>
      </c>
      <c r="B1862">
        <v>4877005</v>
      </c>
      <c r="C1862" t="s">
        <v>217</v>
      </c>
      <c r="D1862">
        <v>1160621</v>
      </c>
      <c r="E1862" t="s">
        <v>571</v>
      </c>
      <c r="F1862" t="s">
        <v>18</v>
      </c>
      <c r="G1862" t="s">
        <v>1630</v>
      </c>
      <c r="H1862" t="s">
        <v>1631</v>
      </c>
      <c r="I1862" t="s">
        <v>3484</v>
      </c>
      <c r="J1862">
        <v>51156279903</v>
      </c>
      <c r="K1862" t="s">
        <v>3246</v>
      </c>
      <c r="L1862" t="s">
        <v>4529</v>
      </c>
      <c r="M1862">
        <v>800</v>
      </c>
      <c r="N1862" s="10">
        <v>0.30952000000000002</v>
      </c>
      <c r="O1862" s="10">
        <f t="shared" si="180"/>
        <v>247.61600000000001</v>
      </c>
      <c r="P1862" s="10" t="s">
        <v>5006</v>
      </c>
      <c r="Q1862" s="10" t="s">
        <v>5006</v>
      </c>
      <c r="R1862" s="10" t="str">
        <f>IF(COUNTIF($J$2:J1862,J1862)=1,SUMIFS($O:$O,$J:$J,J1862)+SUMIFS($P:$P,$J:$J,J1862)+SUMIFS($Q:$Q,$J:$J,J1862),"")</f>
        <v/>
      </c>
      <c r="S1862" s="10" t="s">
        <v>5006</v>
      </c>
      <c r="T1862" s="11" t="str">
        <f t="shared" si="183"/>
        <v>Check</v>
      </c>
      <c r="U1862" s="12">
        <v>46067</v>
      </c>
      <c r="V1862" s="10">
        <v>1532.37</v>
      </c>
      <c r="W1862" s="10" t="str">
        <f t="shared" si="181"/>
        <v>N/A</v>
      </c>
      <c r="X1862" t="s">
        <v>468</v>
      </c>
      <c r="Y1862" t="s">
        <v>28</v>
      </c>
      <c r="Z1862">
        <v>100236</v>
      </c>
      <c r="AA1862" t="s">
        <v>3059</v>
      </c>
      <c r="AB1862" t="s">
        <v>523</v>
      </c>
      <c r="AC1862" s="9">
        <v>5</v>
      </c>
      <c r="AD1862" s="9" t="str">
        <f t="shared" si="182"/>
        <v>N/A</v>
      </c>
      <c r="AE1862" s="11" t="e">
        <f t="shared" si="179"/>
        <v>#VALUE!</v>
      </c>
    </row>
    <row r="1863" spans="1:31" x14ac:dyDescent="0.3">
      <c r="A1863">
        <v>15</v>
      </c>
      <c r="B1863">
        <v>4877005</v>
      </c>
      <c r="C1863" t="s">
        <v>217</v>
      </c>
      <c r="D1863">
        <v>1160621</v>
      </c>
      <c r="E1863" t="s">
        <v>571</v>
      </c>
      <c r="F1863" t="s">
        <v>18</v>
      </c>
      <c r="G1863" t="s">
        <v>1630</v>
      </c>
      <c r="H1863" t="s">
        <v>1631</v>
      </c>
      <c r="I1863" t="s">
        <v>3484</v>
      </c>
      <c r="J1863">
        <v>51156279903</v>
      </c>
      <c r="K1863" t="s">
        <v>3370</v>
      </c>
      <c r="L1863" t="s">
        <v>4142</v>
      </c>
      <c r="M1863">
        <v>35000</v>
      </c>
      <c r="N1863" s="10">
        <v>3.5180000000000003E-2</v>
      </c>
      <c r="O1863" s="10">
        <f t="shared" si="180"/>
        <v>1231.3000000000002</v>
      </c>
      <c r="P1863" s="10" t="s">
        <v>5006</v>
      </c>
      <c r="Q1863" s="10" t="s">
        <v>5006</v>
      </c>
      <c r="R1863" s="10" t="str">
        <f>IF(COUNTIF($J$2:J1863,J1863)=1,SUMIFS($O:$O,$J:$J,J1863)+SUMIFS($P:$P,$J:$J,J1863)+SUMIFS($Q:$Q,$J:$J,J1863),"")</f>
        <v/>
      </c>
      <c r="S1863" s="10" t="s">
        <v>5006</v>
      </c>
      <c r="T1863" s="11" t="str">
        <f t="shared" si="183"/>
        <v>Check</v>
      </c>
      <c r="U1863" s="12">
        <v>46067</v>
      </c>
      <c r="V1863" s="10">
        <v>1532.37</v>
      </c>
      <c r="W1863" s="10" t="str">
        <f t="shared" si="181"/>
        <v>N/A</v>
      </c>
      <c r="X1863" t="s">
        <v>468</v>
      </c>
      <c r="Y1863" t="s">
        <v>28</v>
      </c>
      <c r="Z1863">
        <v>100236</v>
      </c>
      <c r="AA1863" t="s">
        <v>3059</v>
      </c>
      <c r="AB1863" t="s">
        <v>523</v>
      </c>
      <c r="AC1863" s="9">
        <v>5</v>
      </c>
      <c r="AD1863" s="9" t="str">
        <f t="shared" si="182"/>
        <v>N/A</v>
      </c>
      <c r="AE1863" s="11" t="e">
        <f t="shared" ref="AE1863:AE1926" si="184">R1863-S1863</f>
        <v>#VALUE!</v>
      </c>
    </row>
    <row r="1864" spans="1:31" x14ac:dyDescent="0.3">
      <c r="A1864">
        <v>15</v>
      </c>
      <c r="B1864">
        <v>4877005</v>
      </c>
      <c r="C1864" t="s">
        <v>217</v>
      </c>
      <c r="D1864">
        <v>1160621</v>
      </c>
      <c r="E1864" t="s">
        <v>571</v>
      </c>
      <c r="F1864" t="s">
        <v>18</v>
      </c>
      <c r="G1864" t="s">
        <v>1630</v>
      </c>
      <c r="H1864" t="s">
        <v>1631</v>
      </c>
      <c r="I1864" t="s">
        <v>3484</v>
      </c>
      <c r="J1864">
        <v>51156279903</v>
      </c>
      <c r="K1864" t="s">
        <v>3212</v>
      </c>
      <c r="L1864" t="s">
        <v>4545</v>
      </c>
      <c r="M1864">
        <v>10000</v>
      </c>
      <c r="N1864" s="10">
        <v>6.4000000000000005E-4</v>
      </c>
      <c r="O1864" s="10">
        <f t="shared" si="180"/>
        <v>6.4</v>
      </c>
      <c r="P1864" s="10" t="s">
        <v>5006</v>
      </c>
      <c r="Q1864" s="10" t="s">
        <v>5006</v>
      </c>
      <c r="R1864" s="10" t="str">
        <f>IF(COUNTIF($J$2:J1864,J1864)=1,SUMIFS($O:$O,$J:$J,J1864)+SUMIFS($P:$P,$J:$J,J1864)+SUMIFS($Q:$Q,$J:$J,J1864),"")</f>
        <v/>
      </c>
      <c r="S1864" s="10" t="s">
        <v>5006</v>
      </c>
      <c r="T1864" s="11" t="str">
        <f t="shared" si="183"/>
        <v>Check</v>
      </c>
      <c r="U1864" s="12">
        <v>46067</v>
      </c>
      <c r="V1864" s="10">
        <v>1532.37</v>
      </c>
      <c r="W1864" s="10" t="str">
        <f t="shared" si="181"/>
        <v>N/A</v>
      </c>
      <c r="X1864" t="s">
        <v>468</v>
      </c>
      <c r="Y1864" t="s">
        <v>28</v>
      </c>
      <c r="Z1864">
        <v>100236</v>
      </c>
      <c r="AA1864" t="s">
        <v>3059</v>
      </c>
      <c r="AB1864" t="s">
        <v>523</v>
      </c>
      <c r="AC1864" s="9">
        <v>5</v>
      </c>
      <c r="AD1864" s="9" t="str">
        <f t="shared" si="182"/>
        <v>N/A</v>
      </c>
      <c r="AE1864" s="11" t="e">
        <f t="shared" si="184"/>
        <v>#VALUE!</v>
      </c>
    </row>
    <row r="1865" spans="1:31" x14ac:dyDescent="0.3">
      <c r="A1865">
        <v>4</v>
      </c>
      <c r="B1865">
        <v>4943794</v>
      </c>
      <c r="C1865" t="s">
        <v>94</v>
      </c>
      <c r="D1865">
        <v>1292196</v>
      </c>
      <c r="E1865" t="s">
        <v>593</v>
      </c>
      <c r="F1865" t="s">
        <v>25</v>
      </c>
      <c r="G1865" t="s">
        <v>2948</v>
      </c>
      <c r="H1865" t="s">
        <v>1825</v>
      </c>
      <c r="I1865" t="s">
        <v>3239</v>
      </c>
      <c r="J1865">
        <v>51156316953</v>
      </c>
      <c r="K1865" t="s">
        <v>3246</v>
      </c>
      <c r="L1865" t="s">
        <v>3458</v>
      </c>
      <c r="M1865">
        <v>8000</v>
      </c>
      <c r="N1865" s="10">
        <v>0.24890000000000001</v>
      </c>
      <c r="O1865" s="10">
        <f t="shared" si="180"/>
        <v>1991.2</v>
      </c>
      <c r="P1865" s="10">
        <v>0</v>
      </c>
      <c r="Q1865" s="10">
        <v>0</v>
      </c>
      <c r="R1865" s="10">
        <f>IF(COUNTIF($J$2:J1865,J1865)=1,SUMIFS($O:$O,$J:$J,J1865)+SUMIFS($P:$P,$J:$J,J1865)+SUMIFS($Q:$Q,$J:$J,J1865),"")</f>
        <v>3086.2</v>
      </c>
      <c r="S1865" s="10">
        <v>5996.2</v>
      </c>
      <c r="T1865" s="11" t="str">
        <f t="shared" si="183"/>
        <v>Check</v>
      </c>
      <c r="U1865" s="12">
        <v>45497</v>
      </c>
      <c r="V1865" s="10">
        <v>4005</v>
      </c>
      <c r="W1865" s="10" t="str">
        <f t="shared" si="181"/>
        <v>Short Paid</v>
      </c>
      <c r="X1865" t="s">
        <v>450</v>
      </c>
      <c r="Y1865" t="s">
        <v>28</v>
      </c>
      <c r="Z1865">
        <v>100237</v>
      </c>
      <c r="AA1865" t="s">
        <v>3094</v>
      </c>
      <c r="AB1865" t="s">
        <v>525</v>
      </c>
      <c r="AC1865" s="9">
        <v>2</v>
      </c>
      <c r="AD1865" s="9" t="str">
        <f t="shared" si="182"/>
        <v>Check</v>
      </c>
      <c r="AE1865" s="11">
        <f t="shared" si="184"/>
        <v>-2910</v>
      </c>
    </row>
    <row r="1866" spans="1:31" x14ac:dyDescent="0.3">
      <c r="A1866">
        <v>4</v>
      </c>
      <c r="B1866">
        <v>4943794</v>
      </c>
      <c r="C1866" t="s">
        <v>94</v>
      </c>
      <c r="D1866">
        <v>1292196</v>
      </c>
      <c r="E1866" t="s">
        <v>593</v>
      </c>
      <c r="F1866" t="s">
        <v>25</v>
      </c>
      <c r="G1866" t="s">
        <v>2948</v>
      </c>
      <c r="H1866" t="s">
        <v>1825</v>
      </c>
      <c r="I1866" t="s">
        <v>3234</v>
      </c>
      <c r="J1866">
        <v>51156316953</v>
      </c>
      <c r="K1866" t="s">
        <v>3183</v>
      </c>
      <c r="L1866" t="s">
        <v>4546</v>
      </c>
      <c r="M1866">
        <v>1</v>
      </c>
      <c r="N1866" s="10">
        <v>1095</v>
      </c>
      <c r="O1866" s="10">
        <f t="shared" si="180"/>
        <v>1095</v>
      </c>
      <c r="P1866" s="10" t="s">
        <v>5006</v>
      </c>
      <c r="Q1866" s="10" t="s">
        <v>5006</v>
      </c>
      <c r="R1866" s="10" t="str">
        <f>IF(COUNTIF($J$2:J1866,J1866)=1,SUMIFS($O:$O,$J:$J,J1866)+SUMIFS($P:$P,$J:$J,J1866)+SUMIFS($Q:$Q,$J:$J,J1866),"")</f>
        <v/>
      </c>
      <c r="S1866" s="10" t="s">
        <v>5006</v>
      </c>
      <c r="T1866" s="11" t="str">
        <f t="shared" si="183"/>
        <v>Check</v>
      </c>
      <c r="U1866" s="12">
        <v>45497</v>
      </c>
      <c r="V1866" s="10">
        <v>4005</v>
      </c>
      <c r="W1866" s="10" t="str">
        <f t="shared" si="181"/>
        <v>N/A</v>
      </c>
      <c r="X1866" t="s">
        <v>450</v>
      </c>
      <c r="Y1866" t="s">
        <v>28</v>
      </c>
      <c r="Z1866">
        <v>100237</v>
      </c>
      <c r="AA1866" t="s">
        <v>3094</v>
      </c>
      <c r="AB1866" t="s">
        <v>525</v>
      </c>
      <c r="AC1866" s="9">
        <v>2</v>
      </c>
      <c r="AD1866" s="9" t="str">
        <f t="shared" si="182"/>
        <v>N/A</v>
      </c>
      <c r="AE1866" s="11" t="e">
        <f t="shared" si="184"/>
        <v>#VALUE!</v>
      </c>
    </row>
    <row r="1867" spans="1:31" x14ac:dyDescent="0.3">
      <c r="A1867">
        <v>25</v>
      </c>
      <c r="B1867">
        <v>4828862</v>
      </c>
      <c r="C1867" t="s">
        <v>239</v>
      </c>
      <c r="D1867">
        <v>1079286</v>
      </c>
      <c r="E1867" t="s">
        <v>629</v>
      </c>
      <c r="F1867" t="s">
        <v>20</v>
      </c>
      <c r="G1867" t="s">
        <v>1429</v>
      </c>
      <c r="H1867" t="s">
        <v>1430</v>
      </c>
      <c r="I1867" t="s">
        <v>3453</v>
      </c>
      <c r="J1867">
        <v>51156341736</v>
      </c>
      <c r="K1867" t="s">
        <v>3370</v>
      </c>
      <c r="L1867" t="s">
        <v>4547</v>
      </c>
      <c r="M1867">
        <v>36000</v>
      </c>
      <c r="N1867" s="10">
        <v>0.02</v>
      </c>
      <c r="O1867" s="10">
        <f t="shared" si="180"/>
        <v>720</v>
      </c>
      <c r="P1867" s="10">
        <v>0</v>
      </c>
      <c r="Q1867" s="10">
        <v>0</v>
      </c>
      <c r="R1867" s="10">
        <f>IF(COUNTIF($J$2:J1867,J1867)=1,SUMIFS($O:$O,$J:$J,J1867)+SUMIFS($P:$P,$J:$J,J1867)+SUMIFS($Q:$Q,$J:$J,J1867),"")</f>
        <v>2163.5203999999999</v>
      </c>
      <c r="S1867" s="10">
        <v>2163.52</v>
      </c>
      <c r="T1867" s="11" t="str">
        <f t="shared" si="183"/>
        <v>Check</v>
      </c>
      <c r="U1867" s="12">
        <v>45986</v>
      </c>
      <c r="V1867" s="10">
        <v>720</v>
      </c>
      <c r="W1867" s="10" t="str">
        <f t="shared" si="181"/>
        <v>Short Paid</v>
      </c>
      <c r="X1867" t="s">
        <v>476</v>
      </c>
      <c r="Y1867" t="s">
        <v>28</v>
      </c>
      <c r="Z1867">
        <v>100165</v>
      </c>
      <c r="AA1867" t="s">
        <v>3100</v>
      </c>
      <c r="AB1867" t="s">
        <v>521</v>
      </c>
      <c r="AC1867" s="9">
        <v>2</v>
      </c>
      <c r="AD1867" s="9" t="str">
        <f t="shared" si="182"/>
        <v>Check</v>
      </c>
      <c r="AE1867" s="11">
        <f t="shared" si="184"/>
        <v>3.9999999989959178E-4</v>
      </c>
    </row>
    <row r="1868" spans="1:31" x14ac:dyDescent="0.3">
      <c r="A1868">
        <v>25</v>
      </c>
      <c r="B1868">
        <v>4828862</v>
      </c>
      <c r="C1868" t="s">
        <v>239</v>
      </c>
      <c r="D1868">
        <v>1079286</v>
      </c>
      <c r="E1868" t="s">
        <v>629</v>
      </c>
      <c r="F1868" t="s">
        <v>20</v>
      </c>
      <c r="G1868" t="s">
        <v>1429</v>
      </c>
      <c r="H1868" t="s">
        <v>1430</v>
      </c>
      <c r="I1868" t="s">
        <v>3393</v>
      </c>
      <c r="J1868">
        <v>51156341736</v>
      </c>
      <c r="K1868" t="s">
        <v>3168</v>
      </c>
      <c r="L1868" t="s">
        <v>4548</v>
      </c>
      <c r="M1868">
        <v>98</v>
      </c>
      <c r="N1868" s="10">
        <v>14.729799999999999</v>
      </c>
      <c r="O1868" s="10">
        <f t="shared" si="180"/>
        <v>1443.5203999999999</v>
      </c>
      <c r="P1868" s="10" t="s">
        <v>5006</v>
      </c>
      <c r="Q1868" s="10" t="s">
        <v>5006</v>
      </c>
      <c r="R1868" s="10" t="str">
        <f>IF(COUNTIF($J$2:J1868,J1868)=1,SUMIFS($O:$O,$J:$J,J1868)+SUMIFS($P:$P,$J:$J,J1868)+SUMIFS($Q:$Q,$J:$J,J1868),"")</f>
        <v/>
      </c>
      <c r="S1868" s="10" t="s">
        <v>5006</v>
      </c>
      <c r="T1868" s="11" t="str">
        <f t="shared" si="183"/>
        <v>Check</v>
      </c>
      <c r="U1868" s="12">
        <v>45986</v>
      </c>
      <c r="V1868" s="10">
        <v>720</v>
      </c>
      <c r="W1868" s="10" t="str">
        <f t="shared" si="181"/>
        <v>N/A</v>
      </c>
      <c r="X1868" t="s">
        <v>476</v>
      </c>
      <c r="Y1868" t="s">
        <v>28</v>
      </c>
      <c r="Z1868">
        <v>100165</v>
      </c>
      <c r="AA1868" t="s">
        <v>3100</v>
      </c>
      <c r="AB1868" t="s">
        <v>521</v>
      </c>
      <c r="AC1868" s="9">
        <v>2</v>
      </c>
      <c r="AD1868" s="9" t="str">
        <f t="shared" si="182"/>
        <v>N/A</v>
      </c>
      <c r="AE1868" s="11" t="e">
        <f t="shared" si="184"/>
        <v>#VALUE!</v>
      </c>
    </row>
    <row r="1869" spans="1:31" x14ac:dyDescent="0.3">
      <c r="A1869">
        <v>15</v>
      </c>
      <c r="B1869">
        <v>4883128</v>
      </c>
      <c r="C1869" t="s">
        <v>217</v>
      </c>
      <c r="D1869">
        <v>1160621</v>
      </c>
      <c r="E1869" t="s">
        <v>571</v>
      </c>
      <c r="F1869" t="s">
        <v>18</v>
      </c>
      <c r="G1869" t="s">
        <v>1672</v>
      </c>
      <c r="H1869" t="s">
        <v>1673</v>
      </c>
      <c r="I1869" t="s">
        <v>3551</v>
      </c>
      <c r="J1869">
        <v>51156348701</v>
      </c>
      <c r="K1869" t="s">
        <v>3375</v>
      </c>
      <c r="L1869" t="s">
        <v>4549</v>
      </c>
      <c r="M1869">
        <v>30000</v>
      </c>
      <c r="N1869" s="10">
        <v>5.5750000000000001E-2</v>
      </c>
      <c r="O1869" s="10">
        <f t="shared" si="180"/>
        <v>1672.5</v>
      </c>
      <c r="P1869" s="10">
        <v>193.71</v>
      </c>
      <c r="Q1869" s="10">
        <v>439.05</v>
      </c>
      <c r="R1869" s="10">
        <f>IF(COUNTIF($J$2:J1869,J1869)=1,SUMIFS($O:$O,$J:$J,J1869)+SUMIFS($P:$P,$J:$J,J1869)+SUMIFS($Q:$Q,$J:$J,J1869),"")</f>
        <v>4214.16</v>
      </c>
      <c r="S1869" s="10">
        <v>4883.16</v>
      </c>
      <c r="T1869" s="11" t="str">
        <f t="shared" si="183"/>
        <v>Check</v>
      </c>
      <c r="U1869" s="12">
        <v>46080</v>
      </c>
      <c r="V1869" s="10">
        <v>2341.5</v>
      </c>
      <c r="W1869" s="10" t="str">
        <f t="shared" si="181"/>
        <v>Short Paid</v>
      </c>
      <c r="X1869" t="s">
        <v>468</v>
      </c>
      <c r="Y1869" t="s">
        <v>28</v>
      </c>
      <c r="Z1869">
        <v>100276</v>
      </c>
      <c r="AA1869" t="s">
        <v>469</v>
      </c>
      <c r="AB1869" t="s">
        <v>523</v>
      </c>
      <c r="AC1869" s="9">
        <v>2</v>
      </c>
      <c r="AD1869" s="9" t="str">
        <f t="shared" si="182"/>
        <v>Check</v>
      </c>
      <c r="AE1869" s="11">
        <f t="shared" si="184"/>
        <v>-669</v>
      </c>
    </row>
    <row r="1870" spans="1:31" x14ac:dyDescent="0.3">
      <c r="A1870">
        <v>15</v>
      </c>
      <c r="B1870">
        <v>4883128</v>
      </c>
      <c r="C1870" t="s">
        <v>217</v>
      </c>
      <c r="D1870">
        <v>1160621</v>
      </c>
      <c r="E1870" t="s">
        <v>571</v>
      </c>
      <c r="F1870" t="s">
        <v>18</v>
      </c>
      <c r="G1870" t="s">
        <v>1672</v>
      </c>
      <c r="H1870" t="s">
        <v>1673</v>
      </c>
      <c r="I1870" t="s">
        <v>3444</v>
      </c>
      <c r="J1870">
        <v>51156348701</v>
      </c>
      <c r="K1870" t="s">
        <v>3532</v>
      </c>
      <c r="L1870" t="s">
        <v>3534</v>
      </c>
      <c r="M1870">
        <v>9000</v>
      </c>
      <c r="N1870" s="10">
        <v>0.21210000000000001</v>
      </c>
      <c r="O1870" s="10">
        <f t="shared" si="180"/>
        <v>1908.9</v>
      </c>
      <c r="P1870" s="10" t="s">
        <v>5006</v>
      </c>
      <c r="Q1870" s="10" t="s">
        <v>5006</v>
      </c>
      <c r="R1870" s="10" t="str">
        <f>IF(COUNTIF($J$2:J1870,J1870)=1,SUMIFS($O:$O,$J:$J,J1870)+SUMIFS($P:$P,$J:$J,J1870)+SUMIFS($Q:$Q,$J:$J,J1870),"")</f>
        <v/>
      </c>
      <c r="S1870" s="10" t="s">
        <v>5006</v>
      </c>
      <c r="T1870" s="11" t="str">
        <f t="shared" si="183"/>
        <v>Check</v>
      </c>
      <c r="U1870" s="12">
        <v>46080</v>
      </c>
      <c r="V1870" s="10">
        <v>2341.5</v>
      </c>
      <c r="W1870" s="10" t="str">
        <f t="shared" si="181"/>
        <v>N/A</v>
      </c>
      <c r="X1870" t="s">
        <v>468</v>
      </c>
      <c r="Y1870" t="s">
        <v>28</v>
      </c>
      <c r="Z1870">
        <v>100276</v>
      </c>
      <c r="AA1870" t="s">
        <v>469</v>
      </c>
      <c r="AB1870" t="s">
        <v>523</v>
      </c>
      <c r="AC1870" s="9">
        <v>2</v>
      </c>
      <c r="AD1870" s="9" t="str">
        <f t="shared" si="182"/>
        <v>N/A</v>
      </c>
      <c r="AE1870" s="11" t="e">
        <f t="shared" si="184"/>
        <v>#VALUE!</v>
      </c>
    </row>
    <row r="1871" spans="1:31" x14ac:dyDescent="0.3">
      <c r="A1871">
        <v>15</v>
      </c>
      <c r="B1871">
        <v>4884797</v>
      </c>
      <c r="C1871" t="s">
        <v>239</v>
      </c>
      <c r="D1871">
        <v>1067606</v>
      </c>
      <c r="E1871" t="s">
        <v>374</v>
      </c>
      <c r="F1871" t="s">
        <v>20</v>
      </c>
      <c r="G1871" t="s">
        <v>1680</v>
      </c>
      <c r="H1871" t="s">
        <v>1681</v>
      </c>
      <c r="I1871" t="s">
        <v>3192</v>
      </c>
      <c r="J1871">
        <v>51156353145</v>
      </c>
      <c r="K1871" t="s">
        <v>3479</v>
      </c>
      <c r="L1871" t="s">
        <v>3478</v>
      </c>
      <c r="M1871">
        <v>40000</v>
      </c>
      <c r="N1871" s="10">
        <v>1.932E-2</v>
      </c>
      <c r="O1871" s="10">
        <f t="shared" si="180"/>
        <v>772.80000000000007</v>
      </c>
      <c r="P1871" s="10">
        <v>0</v>
      </c>
      <c r="Q1871" s="10">
        <v>0</v>
      </c>
      <c r="R1871" s="10">
        <f>IF(COUNTIF($J$2:J1871,J1871)=1,SUMIFS($O:$O,$J:$J,J1871)+SUMIFS($P:$P,$J:$J,J1871)+SUMIFS($Q:$Q,$J:$J,J1871),"")</f>
        <v>2068.8000000000002</v>
      </c>
      <c r="S1871" s="10">
        <v>2068.8000000000002</v>
      </c>
      <c r="T1871" s="11" t="str">
        <f t="shared" si="183"/>
        <v>Ok</v>
      </c>
      <c r="U1871" s="12">
        <v>46128</v>
      </c>
      <c r="V1871" s="10">
        <v>1296</v>
      </c>
      <c r="W1871" s="10" t="str">
        <f t="shared" si="181"/>
        <v>Short Paid</v>
      </c>
      <c r="X1871" t="s">
        <v>476</v>
      </c>
      <c r="Y1871" t="s">
        <v>28</v>
      </c>
      <c r="Z1871">
        <v>100195</v>
      </c>
      <c r="AA1871" t="s">
        <v>3070</v>
      </c>
      <c r="AB1871" t="s">
        <v>521</v>
      </c>
      <c r="AC1871" s="9">
        <v>2</v>
      </c>
      <c r="AD1871" s="9" t="str">
        <f t="shared" si="182"/>
        <v>Ok</v>
      </c>
      <c r="AE1871" s="11">
        <f t="shared" si="184"/>
        <v>0</v>
      </c>
    </row>
    <row r="1872" spans="1:31" x14ac:dyDescent="0.3">
      <c r="A1872">
        <v>15</v>
      </c>
      <c r="B1872">
        <v>4884797</v>
      </c>
      <c r="C1872" t="s">
        <v>239</v>
      </c>
      <c r="D1872">
        <v>1067606</v>
      </c>
      <c r="E1872" t="s">
        <v>374</v>
      </c>
      <c r="F1872" t="s">
        <v>20</v>
      </c>
      <c r="G1872" t="s">
        <v>1680</v>
      </c>
      <c r="H1872" t="s">
        <v>1681</v>
      </c>
      <c r="I1872" t="s">
        <v>3210</v>
      </c>
      <c r="J1872">
        <v>51156353145</v>
      </c>
      <c r="K1872" t="s">
        <v>3201</v>
      </c>
      <c r="L1872" t="s">
        <v>4550</v>
      </c>
      <c r="M1872">
        <v>24000</v>
      </c>
      <c r="N1872" s="10">
        <v>5.3999999999999999E-2</v>
      </c>
      <c r="O1872" s="10">
        <f t="shared" si="180"/>
        <v>1296</v>
      </c>
      <c r="P1872" s="10" t="s">
        <v>5006</v>
      </c>
      <c r="Q1872" s="10" t="s">
        <v>5006</v>
      </c>
      <c r="R1872" s="10" t="str">
        <f>IF(COUNTIF($J$2:J1872,J1872)=1,SUMIFS($O:$O,$J:$J,J1872)+SUMIFS($P:$P,$J:$J,J1872)+SUMIFS($Q:$Q,$J:$J,J1872),"")</f>
        <v/>
      </c>
      <c r="S1872" s="10" t="s">
        <v>5006</v>
      </c>
      <c r="T1872" s="11" t="str">
        <f t="shared" si="183"/>
        <v>Ok</v>
      </c>
      <c r="U1872" s="12">
        <v>46128</v>
      </c>
      <c r="V1872" s="10">
        <v>1296</v>
      </c>
      <c r="W1872" s="10" t="str">
        <f t="shared" si="181"/>
        <v>N/A</v>
      </c>
      <c r="X1872" t="s">
        <v>476</v>
      </c>
      <c r="Y1872" t="s">
        <v>28</v>
      </c>
      <c r="Z1872">
        <v>100195</v>
      </c>
      <c r="AA1872" t="s">
        <v>3070</v>
      </c>
      <c r="AB1872" t="s">
        <v>521</v>
      </c>
      <c r="AC1872" s="9">
        <v>2</v>
      </c>
      <c r="AD1872" s="9" t="str">
        <f t="shared" si="182"/>
        <v>N/A</v>
      </c>
      <c r="AE1872" s="11" t="e">
        <f t="shared" si="184"/>
        <v>#VALUE!</v>
      </c>
    </row>
    <row r="1873" spans="1:31" x14ac:dyDescent="0.3">
      <c r="A1873">
        <v>25</v>
      </c>
      <c r="B1873">
        <v>4829419</v>
      </c>
      <c r="C1873" t="s">
        <v>239</v>
      </c>
      <c r="D1873">
        <v>1079286</v>
      </c>
      <c r="E1873" t="s">
        <v>629</v>
      </c>
      <c r="F1873" t="s">
        <v>20</v>
      </c>
      <c r="G1873" t="s">
        <v>1456</v>
      </c>
      <c r="H1873" t="s">
        <v>1457</v>
      </c>
      <c r="I1873" t="s">
        <v>3221</v>
      </c>
      <c r="J1873">
        <v>51156356394</v>
      </c>
      <c r="K1873" t="s">
        <v>3370</v>
      </c>
      <c r="L1873" t="s">
        <v>4551</v>
      </c>
      <c r="M1873">
        <v>3000</v>
      </c>
      <c r="N1873" s="10">
        <v>2.7E-2</v>
      </c>
      <c r="O1873" s="10">
        <f t="shared" si="180"/>
        <v>81</v>
      </c>
      <c r="P1873" s="10">
        <v>0</v>
      </c>
      <c r="Q1873" s="10">
        <v>0</v>
      </c>
      <c r="R1873" s="10">
        <f>IF(COUNTIF($J$2:J1873,J1873)=1,SUMIFS($O:$O,$J:$J,J1873)+SUMIFS($P:$P,$J:$J,J1873)+SUMIFS($Q:$Q,$J:$J,J1873),"")</f>
        <v>276</v>
      </c>
      <c r="S1873" s="10">
        <v>276</v>
      </c>
      <c r="T1873" s="11" t="str">
        <f t="shared" si="183"/>
        <v>Ok</v>
      </c>
      <c r="U1873" s="12">
        <v>46000</v>
      </c>
      <c r="V1873" s="10">
        <v>81</v>
      </c>
      <c r="W1873" s="10" t="str">
        <f t="shared" si="181"/>
        <v>Short Paid</v>
      </c>
      <c r="X1873" t="s">
        <v>476</v>
      </c>
      <c r="Y1873" t="s">
        <v>28</v>
      </c>
      <c r="Z1873">
        <v>100205</v>
      </c>
      <c r="AA1873" t="s">
        <v>3075</v>
      </c>
      <c r="AB1873" t="s">
        <v>521</v>
      </c>
      <c r="AC1873" s="9">
        <v>2</v>
      </c>
      <c r="AD1873" s="9" t="str">
        <f t="shared" si="182"/>
        <v>Ok</v>
      </c>
      <c r="AE1873" s="11">
        <f t="shared" si="184"/>
        <v>0</v>
      </c>
    </row>
    <row r="1874" spans="1:31" x14ac:dyDescent="0.3">
      <c r="A1874">
        <v>25</v>
      </c>
      <c r="B1874">
        <v>4829419</v>
      </c>
      <c r="C1874" t="s">
        <v>239</v>
      </c>
      <c r="D1874">
        <v>1079286</v>
      </c>
      <c r="E1874" t="s">
        <v>629</v>
      </c>
      <c r="F1874" t="s">
        <v>20</v>
      </c>
      <c r="G1874" t="s">
        <v>1456</v>
      </c>
      <c r="H1874" t="s">
        <v>1457</v>
      </c>
      <c r="I1874" t="s">
        <v>3210</v>
      </c>
      <c r="J1874">
        <v>51156356394</v>
      </c>
      <c r="K1874" t="s">
        <v>3229</v>
      </c>
      <c r="L1874" t="s">
        <v>3427</v>
      </c>
      <c r="M1874">
        <v>10000</v>
      </c>
      <c r="N1874" s="10">
        <v>1.95E-2</v>
      </c>
      <c r="O1874" s="10">
        <f t="shared" si="180"/>
        <v>195</v>
      </c>
      <c r="P1874" s="10" t="s">
        <v>5006</v>
      </c>
      <c r="Q1874" s="10" t="s">
        <v>5006</v>
      </c>
      <c r="R1874" s="10" t="str">
        <f>IF(COUNTIF($J$2:J1874,J1874)=1,SUMIFS($O:$O,$J:$J,J1874)+SUMIFS($P:$P,$J:$J,J1874)+SUMIFS($Q:$Q,$J:$J,J1874),"")</f>
        <v/>
      </c>
      <c r="S1874" s="10" t="s">
        <v>5006</v>
      </c>
      <c r="T1874" s="11" t="str">
        <f t="shared" si="183"/>
        <v>Ok</v>
      </c>
      <c r="U1874" s="12">
        <v>46000</v>
      </c>
      <c r="V1874" s="10">
        <v>81</v>
      </c>
      <c r="W1874" s="10" t="str">
        <f t="shared" si="181"/>
        <v>N/A</v>
      </c>
      <c r="X1874" t="s">
        <v>476</v>
      </c>
      <c r="Y1874" t="s">
        <v>28</v>
      </c>
      <c r="Z1874">
        <v>100205</v>
      </c>
      <c r="AA1874" t="s">
        <v>3075</v>
      </c>
      <c r="AB1874" t="s">
        <v>521</v>
      </c>
      <c r="AC1874" s="9">
        <v>2</v>
      </c>
      <c r="AD1874" s="9" t="str">
        <f t="shared" si="182"/>
        <v>N/A</v>
      </c>
      <c r="AE1874" s="11" t="e">
        <f t="shared" si="184"/>
        <v>#VALUE!</v>
      </c>
    </row>
    <row r="1875" spans="1:31" x14ac:dyDescent="0.3">
      <c r="A1875">
        <v>6</v>
      </c>
      <c r="B1875">
        <v>4933219</v>
      </c>
      <c r="C1875" t="s">
        <v>220</v>
      </c>
      <c r="D1875">
        <v>1469829</v>
      </c>
      <c r="E1875" t="s">
        <v>224</v>
      </c>
      <c r="F1875" t="s">
        <v>20</v>
      </c>
      <c r="G1875" t="s">
        <v>1797</v>
      </c>
      <c r="H1875" t="s">
        <v>1798</v>
      </c>
      <c r="I1875" t="s">
        <v>3218</v>
      </c>
      <c r="J1875">
        <v>51156356471</v>
      </c>
      <c r="K1875" t="s">
        <v>3209</v>
      </c>
      <c r="L1875" t="s">
        <v>4552</v>
      </c>
      <c r="M1875">
        <v>5000</v>
      </c>
      <c r="N1875" s="10">
        <v>8.1299999999999997E-2</v>
      </c>
      <c r="O1875" s="10">
        <f t="shared" si="180"/>
        <v>406.5</v>
      </c>
      <c r="P1875" s="10">
        <v>0</v>
      </c>
      <c r="Q1875" s="10">
        <v>38.619999999999997</v>
      </c>
      <c r="R1875" s="10">
        <f>IF(COUNTIF($J$2:J1875,J1875)=1,SUMIFS($O:$O,$J:$J,J1875)+SUMIFS($P:$P,$J:$J,J1875)+SUMIFS($Q:$Q,$J:$J,J1875),"")</f>
        <v>1718.2</v>
      </c>
      <c r="S1875" s="10">
        <v>1718.1999999999998</v>
      </c>
      <c r="T1875" s="11" t="str">
        <f t="shared" si="183"/>
        <v>Ok</v>
      </c>
      <c r="U1875" s="12">
        <v>46146</v>
      </c>
      <c r="V1875" s="10">
        <v>406.5</v>
      </c>
      <c r="W1875" s="10" t="str">
        <f t="shared" si="181"/>
        <v>Short Paid</v>
      </c>
      <c r="X1875" t="s">
        <v>470</v>
      </c>
      <c r="Y1875" t="s">
        <v>28</v>
      </c>
      <c r="Z1875">
        <v>100278</v>
      </c>
      <c r="AA1875" t="s">
        <v>3114</v>
      </c>
      <c r="AB1875" t="s">
        <v>521</v>
      </c>
      <c r="AC1875" s="9">
        <v>2</v>
      </c>
      <c r="AD1875" s="9" t="str">
        <f t="shared" si="182"/>
        <v>Ok</v>
      </c>
      <c r="AE1875" s="11">
        <f t="shared" si="184"/>
        <v>0</v>
      </c>
    </row>
    <row r="1876" spans="1:31" x14ac:dyDescent="0.3">
      <c r="A1876">
        <v>6</v>
      </c>
      <c r="B1876">
        <v>4933219</v>
      </c>
      <c r="C1876" t="s">
        <v>220</v>
      </c>
      <c r="D1876">
        <v>1469829</v>
      </c>
      <c r="E1876" t="s">
        <v>224</v>
      </c>
      <c r="F1876" t="s">
        <v>20</v>
      </c>
      <c r="G1876" t="s">
        <v>1797</v>
      </c>
      <c r="H1876" t="s">
        <v>1798</v>
      </c>
      <c r="I1876" t="s">
        <v>3451</v>
      </c>
      <c r="J1876">
        <v>51156356471</v>
      </c>
      <c r="K1876" t="s">
        <v>3180</v>
      </c>
      <c r="L1876" t="s">
        <v>4553</v>
      </c>
      <c r="M1876">
        <v>3000</v>
      </c>
      <c r="N1876" s="10">
        <v>0.42436000000000001</v>
      </c>
      <c r="O1876" s="10">
        <f t="shared" si="180"/>
        <v>1273.0800000000002</v>
      </c>
      <c r="P1876" s="10" t="s">
        <v>5006</v>
      </c>
      <c r="Q1876" s="10" t="s">
        <v>5006</v>
      </c>
      <c r="R1876" s="10" t="str">
        <f>IF(COUNTIF($J$2:J1876,J1876)=1,SUMIFS($O:$O,$J:$J,J1876)+SUMIFS($P:$P,$J:$J,J1876)+SUMIFS($Q:$Q,$J:$J,J1876),"")</f>
        <v/>
      </c>
      <c r="S1876" s="10" t="s">
        <v>5006</v>
      </c>
      <c r="T1876" s="11" t="str">
        <f t="shared" si="183"/>
        <v>Ok</v>
      </c>
      <c r="U1876" s="12">
        <v>46146</v>
      </c>
      <c r="V1876" s="10">
        <v>406.5</v>
      </c>
      <c r="W1876" s="10" t="str">
        <f t="shared" si="181"/>
        <v>N/A</v>
      </c>
      <c r="X1876" t="s">
        <v>470</v>
      </c>
      <c r="Y1876" t="s">
        <v>28</v>
      </c>
      <c r="Z1876">
        <v>100278</v>
      </c>
      <c r="AA1876" t="s">
        <v>3114</v>
      </c>
      <c r="AB1876" t="s">
        <v>521</v>
      </c>
      <c r="AC1876" s="9">
        <v>2</v>
      </c>
      <c r="AD1876" s="9" t="str">
        <f t="shared" si="182"/>
        <v>N/A</v>
      </c>
      <c r="AE1876" s="11" t="e">
        <f t="shared" si="184"/>
        <v>#VALUE!</v>
      </c>
    </row>
    <row r="1877" spans="1:31" x14ac:dyDescent="0.3">
      <c r="A1877">
        <v>25</v>
      </c>
      <c r="B1877">
        <v>4829697</v>
      </c>
      <c r="C1877" t="s">
        <v>239</v>
      </c>
      <c r="D1877">
        <v>1079286</v>
      </c>
      <c r="E1877" t="s">
        <v>629</v>
      </c>
      <c r="F1877" t="s">
        <v>20</v>
      </c>
      <c r="G1877" t="s">
        <v>2850</v>
      </c>
      <c r="H1877" t="s">
        <v>2851</v>
      </c>
      <c r="I1877" t="s">
        <v>3393</v>
      </c>
      <c r="J1877">
        <v>51156356493</v>
      </c>
      <c r="K1877" t="s">
        <v>3370</v>
      </c>
      <c r="L1877" t="s">
        <v>4539</v>
      </c>
      <c r="M1877">
        <v>60000</v>
      </c>
      <c r="N1877" s="10">
        <v>2.7E-2</v>
      </c>
      <c r="O1877" s="10">
        <f t="shared" si="180"/>
        <v>1620</v>
      </c>
      <c r="P1877" s="10">
        <v>0</v>
      </c>
      <c r="Q1877" s="10">
        <v>0</v>
      </c>
      <c r="R1877" s="10">
        <f>IF(COUNTIF($J$2:J1877,J1877)=1,SUMIFS($O:$O,$J:$J,J1877)+SUMIFS($P:$P,$J:$J,J1877)+SUMIFS($Q:$Q,$J:$J,J1877),"")</f>
        <v>1917.9</v>
      </c>
      <c r="S1877" s="10">
        <v>2215.8000000000002</v>
      </c>
      <c r="T1877" s="11" t="str">
        <f t="shared" si="183"/>
        <v>Check</v>
      </c>
      <c r="U1877" s="12">
        <v>46014</v>
      </c>
      <c r="V1877" s="10">
        <v>1620</v>
      </c>
      <c r="W1877" s="10" t="str">
        <f t="shared" si="181"/>
        <v>Short Paid</v>
      </c>
      <c r="X1877" t="s">
        <v>476</v>
      </c>
      <c r="Y1877" t="s">
        <v>28</v>
      </c>
      <c r="Z1877">
        <v>100235</v>
      </c>
      <c r="AA1877" t="s">
        <v>509</v>
      </c>
      <c r="AB1877" t="s">
        <v>521</v>
      </c>
      <c r="AC1877" s="9">
        <v>2</v>
      </c>
      <c r="AD1877" s="9" t="str">
        <f t="shared" si="182"/>
        <v>Check</v>
      </c>
      <c r="AE1877" s="11">
        <f t="shared" si="184"/>
        <v>-297.90000000000009</v>
      </c>
    </row>
    <row r="1878" spans="1:31" x14ac:dyDescent="0.3">
      <c r="A1878">
        <v>25</v>
      </c>
      <c r="B1878">
        <v>4829697</v>
      </c>
      <c r="C1878" t="s">
        <v>239</v>
      </c>
      <c r="D1878">
        <v>1079286</v>
      </c>
      <c r="E1878" t="s">
        <v>629</v>
      </c>
      <c r="F1878" t="s">
        <v>20</v>
      </c>
      <c r="G1878" t="s">
        <v>2850</v>
      </c>
      <c r="H1878" t="s">
        <v>2851</v>
      </c>
      <c r="I1878" t="s">
        <v>3287</v>
      </c>
      <c r="J1878">
        <v>51156356493</v>
      </c>
      <c r="K1878" t="s">
        <v>3177</v>
      </c>
      <c r="L1878" t="s">
        <v>4412</v>
      </c>
      <c r="M1878">
        <v>3000</v>
      </c>
      <c r="N1878" s="10">
        <v>9.9299999999999999E-2</v>
      </c>
      <c r="O1878" s="10">
        <f t="shared" si="180"/>
        <v>297.89999999999998</v>
      </c>
      <c r="P1878" s="10" t="s">
        <v>5006</v>
      </c>
      <c r="Q1878" s="10" t="s">
        <v>5006</v>
      </c>
      <c r="R1878" s="10" t="str">
        <f>IF(COUNTIF($J$2:J1878,J1878)=1,SUMIFS($O:$O,$J:$J,J1878)+SUMIFS($P:$P,$J:$J,J1878)+SUMIFS($Q:$Q,$J:$J,J1878),"")</f>
        <v/>
      </c>
      <c r="S1878" s="10" t="s">
        <v>5006</v>
      </c>
      <c r="T1878" s="11" t="str">
        <f t="shared" si="183"/>
        <v>Check</v>
      </c>
      <c r="U1878" s="12">
        <v>46014</v>
      </c>
      <c r="V1878" s="10">
        <v>1620</v>
      </c>
      <c r="W1878" s="10" t="str">
        <f t="shared" si="181"/>
        <v>N/A</v>
      </c>
      <c r="X1878" t="s">
        <v>476</v>
      </c>
      <c r="Y1878" t="s">
        <v>28</v>
      </c>
      <c r="Z1878">
        <v>100235</v>
      </c>
      <c r="AA1878" t="s">
        <v>509</v>
      </c>
      <c r="AB1878" t="s">
        <v>521</v>
      </c>
      <c r="AC1878" s="9">
        <v>2</v>
      </c>
      <c r="AD1878" s="9" t="str">
        <f t="shared" si="182"/>
        <v>N/A</v>
      </c>
      <c r="AE1878" s="11" t="e">
        <f t="shared" si="184"/>
        <v>#VALUE!</v>
      </c>
    </row>
    <row r="1879" spans="1:31" x14ac:dyDescent="0.3">
      <c r="A1879">
        <v>14</v>
      </c>
      <c r="B1879">
        <v>4890363</v>
      </c>
      <c r="C1879" t="s">
        <v>38</v>
      </c>
      <c r="D1879">
        <v>1461333</v>
      </c>
      <c r="E1879" t="s">
        <v>232</v>
      </c>
      <c r="F1879" t="s">
        <v>20</v>
      </c>
      <c r="G1879" t="s">
        <v>1706</v>
      </c>
      <c r="H1879" t="s">
        <v>1707</v>
      </c>
      <c r="I1879" t="s">
        <v>3198</v>
      </c>
      <c r="J1879">
        <v>51156371485</v>
      </c>
      <c r="K1879" t="s">
        <v>3320</v>
      </c>
      <c r="L1879" t="s">
        <v>3762</v>
      </c>
      <c r="M1879">
        <v>1</v>
      </c>
      <c r="N1879" s="10">
        <v>566</v>
      </c>
      <c r="O1879" s="10">
        <f t="shared" si="180"/>
        <v>566</v>
      </c>
      <c r="P1879" s="10">
        <v>0</v>
      </c>
      <c r="Q1879" s="10">
        <v>53.77</v>
      </c>
      <c r="R1879" s="10">
        <f>IF(COUNTIF($J$2:J1879,J1879)=1,SUMIFS($O:$O,$J:$J,J1879)+SUMIFS($P:$P,$J:$J,J1879)+SUMIFS($Q:$Q,$J:$J,J1879),"")</f>
        <v>330619.82000000007</v>
      </c>
      <c r="S1879" s="10">
        <v>330619.82</v>
      </c>
      <c r="T1879" s="11" t="str">
        <f t="shared" si="183"/>
        <v>Ok</v>
      </c>
      <c r="U1879" s="12">
        <v>46126</v>
      </c>
      <c r="V1879" s="10">
        <v>566</v>
      </c>
      <c r="W1879" s="10" t="str">
        <f t="shared" si="181"/>
        <v>Short Paid</v>
      </c>
      <c r="X1879" t="s">
        <v>474</v>
      </c>
      <c r="Y1879" t="s">
        <v>28</v>
      </c>
      <c r="Z1879">
        <v>100199</v>
      </c>
      <c r="AA1879" t="s">
        <v>481</v>
      </c>
      <c r="AB1879" t="s">
        <v>521</v>
      </c>
      <c r="AC1879" s="9">
        <v>3</v>
      </c>
      <c r="AD1879" s="9" t="str">
        <f t="shared" si="182"/>
        <v>Ok</v>
      </c>
      <c r="AE1879" s="11">
        <f t="shared" si="184"/>
        <v>0</v>
      </c>
    </row>
    <row r="1880" spans="1:31" x14ac:dyDescent="0.3">
      <c r="A1880">
        <v>14</v>
      </c>
      <c r="B1880">
        <v>4890363</v>
      </c>
      <c r="C1880" t="s">
        <v>38</v>
      </c>
      <c r="D1880">
        <v>1461333</v>
      </c>
      <c r="E1880" t="s">
        <v>232</v>
      </c>
      <c r="F1880" t="s">
        <v>20</v>
      </c>
      <c r="G1880" t="s">
        <v>1706</v>
      </c>
      <c r="H1880" t="s">
        <v>1707</v>
      </c>
      <c r="I1880" t="s">
        <v>3198</v>
      </c>
      <c r="J1880">
        <v>51156371485</v>
      </c>
      <c r="K1880" t="s">
        <v>3320</v>
      </c>
      <c r="L1880" t="s">
        <v>4554</v>
      </c>
      <c r="M1880">
        <v>3992</v>
      </c>
      <c r="N1880" s="10">
        <v>82.15</v>
      </c>
      <c r="O1880" s="10">
        <f t="shared" si="180"/>
        <v>327942.80000000005</v>
      </c>
      <c r="P1880" s="10" t="s">
        <v>5006</v>
      </c>
      <c r="Q1880" s="10" t="s">
        <v>5006</v>
      </c>
      <c r="R1880" s="10" t="str">
        <f>IF(COUNTIF($J$2:J1880,J1880)=1,SUMIFS($O:$O,$J:$J,J1880)+SUMIFS($P:$P,$J:$J,J1880)+SUMIFS($Q:$Q,$J:$J,J1880),"")</f>
        <v/>
      </c>
      <c r="S1880" s="10" t="s">
        <v>5006</v>
      </c>
      <c r="T1880" s="11" t="str">
        <f t="shared" si="183"/>
        <v>Ok</v>
      </c>
      <c r="U1880" s="12">
        <v>46126</v>
      </c>
      <c r="V1880" s="10">
        <v>566</v>
      </c>
      <c r="W1880" s="10" t="str">
        <f t="shared" si="181"/>
        <v>N/A</v>
      </c>
      <c r="X1880" t="s">
        <v>474</v>
      </c>
      <c r="Y1880" t="s">
        <v>28</v>
      </c>
      <c r="Z1880">
        <v>100199</v>
      </c>
      <c r="AA1880" t="s">
        <v>481</v>
      </c>
      <c r="AB1880" t="s">
        <v>521</v>
      </c>
      <c r="AC1880" s="9">
        <v>3</v>
      </c>
      <c r="AD1880" s="9" t="str">
        <f t="shared" si="182"/>
        <v>N/A</v>
      </c>
      <c r="AE1880" s="11" t="e">
        <f t="shared" si="184"/>
        <v>#VALUE!</v>
      </c>
    </row>
    <row r="1881" spans="1:31" x14ac:dyDescent="0.3">
      <c r="A1881">
        <v>14</v>
      </c>
      <c r="B1881">
        <v>4890363</v>
      </c>
      <c r="C1881" t="s">
        <v>38</v>
      </c>
      <c r="D1881">
        <v>1461333</v>
      </c>
      <c r="E1881" t="s">
        <v>232</v>
      </c>
      <c r="F1881" t="s">
        <v>20</v>
      </c>
      <c r="G1881" t="s">
        <v>1706</v>
      </c>
      <c r="H1881" t="s">
        <v>1707</v>
      </c>
      <c r="I1881" t="s">
        <v>3424</v>
      </c>
      <c r="J1881">
        <v>51156371485</v>
      </c>
      <c r="K1881" t="s">
        <v>3375</v>
      </c>
      <c r="L1881" t="s">
        <v>3380</v>
      </c>
      <c r="M1881">
        <v>7500</v>
      </c>
      <c r="N1881" s="10">
        <v>0.27429999999999999</v>
      </c>
      <c r="O1881" s="10">
        <f t="shared" si="180"/>
        <v>2057.25</v>
      </c>
      <c r="P1881" s="10" t="s">
        <v>5006</v>
      </c>
      <c r="Q1881" s="10" t="s">
        <v>5006</v>
      </c>
      <c r="R1881" s="10" t="str">
        <f>IF(COUNTIF($J$2:J1881,J1881)=1,SUMIFS($O:$O,$J:$J,J1881)+SUMIFS($P:$P,$J:$J,J1881)+SUMIFS($Q:$Q,$J:$J,J1881),"")</f>
        <v/>
      </c>
      <c r="S1881" s="10" t="s">
        <v>5006</v>
      </c>
      <c r="T1881" s="11" t="str">
        <f t="shared" si="183"/>
        <v>Ok</v>
      </c>
      <c r="U1881" s="12">
        <v>46126</v>
      </c>
      <c r="V1881" s="10">
        <v>566</v>
      </c>
      <c r="W1881" s="10" t="str">
        <f t="shared" si="181"/>
        <v>N/A</v>
      </c>
      <c r="X1881" t="s">
        <v>474</v>
      </c>
      <c r="Y1881" t="s">
        <v>28</v>
      </c>
      <c r="Z1881">
        <v>100199</v>
      </c>
      <c r="AA1881" t="s">
        <v>481</v>
      </c>
      <c r="AB1881" t="s">
        <v>521</v>
      </c>
      <c r="AC1881" s="9">
        <v>3</v>
      </c>
      <c r="AD1881" s="9" t="str">
        <f t="shared" si="182"/>
        <v>N/A</v>
      </c>
      <c r="AE1881" s="11" t="e">
        <f t="shared" si="184"/>
        <v>#VALUE!</v>
      </c>
    </row>
    <row r="1882" spans="1:31" x14ac:dyDescent="0.3">
      <c r="A1882">
        <v>9</v>
      </c>
      <c r="B1882">
        <v>4905390</v>
      </c>
      <c r="C1882" t="s">
        <v>239</v>
      </c>
      <c r="D1882">
        <v>1055845</v>
      </c>
      <c r="E1882" t="s">
        <v>537</v>
      </c>
      <c r="F1882" t="s">
        <v>49</v>
      </c>
      <c r="G1882" t="s">
        <v>1738</v>
      </c>
      <c r="H1882" t="s">
        <v>1739</v>
      </c>
      <c r="I1882" t="s">
        <v>3476</v>
      </c>
      <c r="J1882">
        <v>51156410751</v>
      </c>
      <c r="K1882" t="s">
        <v>3401</v>
      </c>
      <c r="L1882" t="s">
        <v>4555</v>
      </c>
      <c r="M1882">
        <v>400</v>
      </c>
      <c r="N1882" s="10">
        <v>2.25</v>
      </c>
      <c r="O1882" s="10">
        <f t="shared" si="180"/>
        <v>900</v>
      </c>
      <c r="P1882" s="10">
        <v>134.78</v>
      </c>
      <c r="Q1882" s="10">
        <v>0</v>
      </c>
      <c r="R1882" s="10">
        <f>IF(COUNTIF($J$2:J1882,J1882)=1,SUMIFS($O:$O,$J:$J,J1882)+SUMIFS($P:$P,$J:$J,J1882)+SUMIFS($Q:$Q,$J:$J,J1882),"")</f>
        <v>3449.93</v>
      </c>
      <c r="S1882" s="10">
        <v>3449.9300000000003</v>
      </c>
      <c r="T1882" s="11" t="str">
        <f t="shared" si="183"/>
        <v>Ok</v>
      </c>
      <c r="U1882" s="12">
        <v>45946</v>
      </c>
      <c r="V1882" s="10">
        <v>89.78</v>
      </c>
      <c r="W1882" s="10" t="str">
        <f t="shared" si="181"/>
        <v>Short Paid</v>
      </c>
      <c r="X1882" t="s">
        <v>476</v>
      </c>
      <c r="Y1882" t="s">
        <v>29</v>
      </c>
      <c r="Z1882">
        <v>100295</v>
      </c>
      <c r="AA1882" t="s">
        <v>3127</v>
      </c>
      <c r="AB1882" t="s">
        <v>3041</v>
      </c>
      <c r="AC1882" s="9">
        <v>2</v>
      </c>
      <c r="AD1882" s="9" t="str">
        <f t="shared" si="182"/>
        <v>Ok</v>
      </c>
      <c r="AE1882" s="11">
        <f t="shared" si="184"/>
        <v>0</v>
      </c>
    </row>
    <row r="1883" spans="1:31" x14ac:dyDescent="0.3">
      <c r="A1883">
        <v>9</v>
      </c>
      <c r="B1883">
        <v>4905390</v>
      </c>
      <c r="C1883" t="s">
        <v>239</v>
      </c>
      <c r="D1883">
        <v>1055845</v>
      </c>
      <c r="E1883" t="s">
        <v>537</v>
      </c>
      <c r="F1883" t="s">
        <v>49</v>
      </c>
      <c r="G1883" t="s">
        <v>1738</v>
      </c>
      <c r="H1883" t="s">
        <v>1739</v>
      </c>
      <c r="I1883" t="s">
        <v>3439</v>
      </c>
      <c r="J1883">
        <v>51156410751</v>
      </c>
      <c r="K1883" t="s">
        <v>3194</v>
      </c>
      <c r="L1883" t="s">
        <v>4556</v>
      </c>
      <c r="M1883">
        <v>45</v>
      </c>
      <c r="N1883" s="10">
        <v>53.669999999999995</v>
      </c>
      <c r="O1883" s="10">
        <f t="shared" si="180"/>
        <v>2415.1499999999996</v>
      </c>
      <c r="P1883" s="10" t="s">
        <v>5006</v>
      </c>
      <c r="Q1883" s="10" t="s">
        <v>5006</v>
      </c>
      <c r="R1883" s="10" t="str">
        <f>IF(COUNTIF($J$2:J1883,J1883)=1,SUMIFS($O:$O,$J:$J,J1883)+SUMIFS($P:$P,$J:$J,J1883)+SUMIFS($Q:$Q,$J:$J,J1883),"")</f>
        <v/>
      </c>
      <c r="S1883" s="10" t="s">
        <v>5006</v>
      </c>
      <c r="T1883" s="11" t="str">
        <f t="shared" si="183"/>
        <v>Ok</v>
      </c>
      <c r="U1883" s="12">
        <v>45946</v>
      </c>
      <c r="V1883" s="10">
        <v>89.78</v>
      </c>
      <c r="W1883" s="10" t="str">
        <f t="shared" si="181"/>
        <v>N/A</v>
      </c>
      <c r="X1883" t="s">
        <v>476</v>
      </c>
      <c r="Y1883" t="s">
        <v>29</v>
      </c>
      <c r="Z1883">
        <v>100295</v>
      </c>
      <c r="AA1883" t="s">
        <v>3127</v>
      </c>
      <c r="AB1883" t="s">
        <v>3041</v>
      </c>
      <c r="AC1883" s="9">
        <v>2</v>
      </c>
      <c r="AD1883" s="9" t="str">
        <f t="shared" si="182"/>
        <v>N/A</v>
      </c>
      <c r="AE1883" s="11" t="e">
        <f t="shared" si="184"/>
        <v>#VALUE!</v>
      </c>
    </row>
    <row r="1884" spans="1:31" x14ac:dyDescent="0.3">
      <c r="A1884">
        <v>15</v>
      </c>
      <c r="B1884">
        <v>4883962</v>
      </c>
      <c r="C1884" t="s">
        <v>239</v>
      </c>
      <c r="D1884">
        <v>1067606</v>
      </c>
      <c r="E1884" t="s">
        <v>374</v>
      </c>
      <c r="F1884" t="s">
        <v>20</v>
      </c>
      <c r="G1884" t="s">
        <v>1678</v>
      </c>
      <c r="H1884" t="s">
        <v>1679</v>
      </c>
      <c r="I1884" t="s">
        <v>3425</v>
      </c>
      <c r="J1884">
        <v>51156425588</v>
      </c>
      <c r="K1884" t="s">
        <v>3379</v>
      </c>
      <c r="L1884" t="s">
        <v>3461</v>
      </c>
      <c r="M1884">
        <v>100000</v>
      </c>
      <c r="N1884" s="10">
        <v>2.7E-2</v>
      </c>
      <c r="O1884" s="10">
        <f t="shared" si="180"/>
        <v>2700</v>
      </c>
      <c r="P1884" s="10">
        <v>0</v>
      </c>
      <c r="Q1884" s="10">
        <v>0</v>
      </c>
      <c r="R1884" s="10">
        <f>IF(COUNTIF($J$2:J1884,J1884)=1,SUMIFS($O:$O,$J:$J,J1884)+SUMIFS($P:$P,$J:$J,J1884)+SUMIFS($Q:$Q,$J:$J,J1884),"")</f>
        <v>10400</v>
      </c>
      <c r="S1884" s="10">
        <v>10400</v>
      </c>
      <c r="T1884" s="11" t="str">
        <f t="shared" si="183"/>
        <v>Ok</v>
      </c>
      <c r="U1884" s="12">
        <v>46106</v>
      </c>
      <c r="V1884" s="10">
        <v>7700</v>
      </c>
      <c r="W1884" s="10" t="str">
        <f t="shared" si="181"/>
        <v>Short Paid</v>
      </c>
      <c r="X1884" t="s">
        <v>476</v>
      </c>
      <c r="Y1884" t="s">
        <v>28</v>
      </c>
      <c r="Z1884">
        <v>100125</v>
      </c>
      <c r="AA1884" t="s">
        <v>477</v>
      </c>
      <c r="AB1884" t="s">
        <v>521</v>
      </c>
      <c r="AC1884" s="9">
        <v>2</v>
      </c>
      <c r="AD1884" s="9" t="str">
        <f t="shared" si="182"/>
        <v>Ok</v>
      </c>
      <c r="AE1884" s="11">
        <f t="shared" si="184"/>
        <v>0</v>
      </c>
    </row>
    <row r="1885" spans="1:31" x14ac:dyDescent="0.3">
      <c r="A1885">
        <v>15</v>
      </c>
      <c r="B1885">
        <v>4883962</v>
      </c>
      <c r="C1885" t="s">
        <v>239</v>
      </c>
      <c r="D1885">
        <v>1067606</v>
      </c>
      <c r="E1885" t="s">
        <v>374</v>
      </c>
      <c r="F1885" t="s">
        <v>20</v>
      </c>
      <c r="G1885" t="s">
        <v>1678</v>
      </c>
      <c r="H1885" t="s">
        <v>1679</v>
      </c>
      <c r="I1885" t="s">
        <v>3388</v>
      </c>
      <c r="J1885">
        <v>51156425588</v>
      </c>
      <c r="K1885" t="s">
        <v>4558</v>
      </c>
      <c r="L1885" t="s">
        <v>4557</v>
      </c>
      <c r="M1885">
        <v>10000</v>
      </c>
      <c r="N1885" s="10">
        <v>0.77</v>
      </c>
      <c r="O1885" s="10">
        <f t="shared" si="180"/>
        <v>7700</v>
      </c>
      <c r="P1885" s="10" t="s">
        <v>5006</v>
      </c>
      <c r="Q1885" s="10" t="s">
        <v>5006</v>
      </c>
      <c r="R1885" s="10" t="str">
        <f>IF(COUNTIF($J$2:J1885,J1885)=1,SUMIFS($O:$O,$J:$J,J1885)+SUMIFS($P:$P,$J:$J,J1885)+SUMIFS($Q:$Q,$J:$J,J1885),"")</f>
        <v/>
      </c>
      <c r="S1885" s="10" t="s">
        <v>5006</v>
      </c>
      <c r="T1885" s="11" t="str">
        <f t="shared" si="183"/>
        <v>Ok</v>
      </c>
      <c r="U1885" s="12">
        <v>46106</v>
      </c>
      <c r="V1885" s="10">
        <v>7700</v>
      </c>
      <c r="W1885" s="10" t="str">
        <f t="shared" si="181"/>
        <v>N/A</v>
      </c>
      <c r="X1885" t="s">
        <v>476</v>
      </c>
      <c r="Y1885" t="s">
        <v>28</v>
      </c>
      <c r="Z1885">
        <v>100125</v>
      </c>
      <c r="AA1885" t="s">
        <v>477</v>
      </c>
      <c r="AB1885" t="s">
        <v>521</v>
      </c>
      <c r="AC1885" s="9">
        <v>2</v>
      </c>
      <c r="AD1885" s="9" t="str">
        <f t="shared" si="182"/>
        <v>N/A</v>
      </c>
      <c r="AE1885" s="11" t="e">
        <f t="shared" si="184"/>
        <v>#VALUE!</v>
      </c>
    </row>
    <row r="1886" spans="1:31" x14ac:dyDescent="0.3">
      <c r="A1886">
        <v>15</v>
      </c>
      <c r="B1886">
        <v>4883684</v>
      </c>
      <c r="C1886" t="s">
        <v>217</v>
      </c>
      <c r="D1886">
        <v>1160621</v>
      </c>
      <c r="E1886" t="s">
        <v>571</v>
      </c>
      <c r="F1886" t="s">
        <v>18</v>
      </c>
      <c r="G1886" t="s">
        <v>1676</v>
      </c>
      <c r="H1886" t="s">
        <v>1677</v>
      </c>
      <c r="I1886" t="s">
        <v>3444</v>
      </c>
      <c r="J1886">
        <v>51156427369</v>
      </c>
      <c r="K1886" t="s">
        <v>3324</v>
      </c>
      <c r="L1886" t="s">
        <v>4559</v>
      </c>
      <c r="M1886">
        <v>6</v>
      </c>
      <c r="N1886" s="10">
        <v>226.64</v>
      </c>
      <c r="O1886" s="10">
        <f t="shared" si="180"/>
        <v>1359.84</v>
      </c>
      <c r="P1886" s="10">
        <v>0</v>
      </c>
      <c r="Q1886" s="10">
        <v>129.18</v>
      </c>
      <c r="R1886" s="10">
        <f>IF(COUNTIF($J$2:J1886,J1886)=1,SUMIFS($O:$O,$J:$J,J1886)+SUMIFS($P:$P,$J:$J,J1886)+SUMIFS($Q:$Q,$J:$J,J1886),"")</f>
        <v>4189.0200000000004</v>
      </c>
      <c r="S1886" s="10">
        <v>4189.0200000000004</v>
      </c>
      <c r="T1886" s="11" t="str">
        <f t="shared" si="183"/>
        <v>Ok</v>
      </c>
      <c r="U1886" s="12">
        <v>46081</v>
      </c>
      <c r="V1886" s="10">
        <v>1489.02</v>
      </c>
      <c r="W1886" s="10" t="str">
        <f t="shared" si="181"/>
        <v>Short Paid</v>
      </c>
      <c r="X1886" t="s">
        <v>468</v>
      </c>
      <c r="Y1886" t="s">
        <v>28</v>
      </c>
      <c r="Z1886">
        <v>100116</v>
      </c>
      <c r="AA1886" t="s">
        <v>3082</v>
      </c>
      <c r="AB1886" t="s">
        <v>523</v>
      </c>
      <c r="AC1886" s="9">
        <v>2</v>
      </c>
      <c r="AD1886" s="9" t="str">
        <f t="shared" si="182"/>
        <v>Ok</v>
      </c>
      <c r="AE1886" s="11">
        <f t="shared" si="184"/>
        <v>0</v>
      </c>
    </row>
    <row r="1887" spans="1:31" x14ac:dyDescent="0.3">
      <c r="A1887">
        <v>15</v>
      </c>
      <c r="B1887">
        <v>4883684</v>
      </c>
      <c r="C1887" t="s">
        <v>217</v>
      </c>
      <c r="D1887">
        <v>1160621</v>
      </c>
      <c r="E1887" t="s">
        <v>571</v>
      </c>
      <c r="F1887" t="s">
        <v>18</v>
      </c>
      <c r="G1887" t="s">
        <v>1676</v>
      </c>
      <c r="H1887" t="s">
        <v>1677</v>
      </c>
      <c r="I1887" t="s">
        <v>3444</v>
      </c>
      <c r="J1887">
        <v>51156427369</v>
      </c>
      <c r="K1887" t="s">
        <v>3379</v>
      </c>
      <c r="L1887" t="s">
        <v>3461</v>
      </c>
      <c r="M1887">
        <v>100000</v>
      </c>
      <c r="N1887" s="10">
        <v>2.7E-2</v>
      </c>
      <c r="O1887" s="10">
        <f t="shared" si="180"/>
        <v>2700</v>
      </c>
      <c r="P1887" s="10" t="s">
        <v>5006</v>
      </c>
      <c r="Q1887" s="10" t="s">
        <v>5006</v>
      </c>
      <c r="R1887" s="10" t="str">
        <f>IF(COUNTIF($J$2:J1887,J1887)=1,SUMIFS($O:$O,$J:$J,J1887)+SUMIFS($P:$P,$J:$J,J1887)+SUMIFS($Q:$Q,$J:$J,J1887),"")</f>
        <v/>
      </c>
      <c r="S1887" s="10" t="s">
        <v>5006</v>
      </c>
      <c r="T1887" s="11" t="str">
        <f t="shared" si="183"/>
        <v>Ok</v>
      </c>
      <c r="U1887" s="12">
        <v>46081</v>
      </c>
      <c r="V1887" s="10">
        <v>1489.02</v>
      </c>
      <c r="W1887" s="10" t="str">
        <f t="shared" si="181"/>
        <v>N/A</v>
      </c>
      <c r="X1887" t="s">
        <v>468</v>
      </c>
      <c r="Y1887" t="s">
        <v>28</v>
      </c>
      <c r="Z1887">
        <v>100116</v>
      </c>
      <c r="AA1887" t="s">
        <v>3082</v>
      </c>
      <c r="AB1887" t="s">
        <v>523</v>
      </c>
      <c r="AC1887" s="9">
        <v>2</v>
      </c>
      <c r="AD1887" s="9" t="str">
        <f t="shared" si="182"/>
        <v>N/A</v>
      </c>
      <c r="AE1887" s="11" t="e">
        <f t="shared" si="184"/>
        <v>#VALUE!</v>
      </c>
    </row>
    <row r="1888" spans="1:31" x14ac:dyDescent="0.3">
      <c r="A1888">
        <v>15</v>
      </c>
      <c r="B1888">
        <v>4876171</v>
      </c>
      <c r="C1888" t="s">
        <v>217</v>
      </c>
      <c r="D1888">
        <v>1160621</v>
      </c>
      <c r="E1888" t="s">
        <v>571</v>
      </c>
      <c r="F1888" t="s">
        <v>18</v>
      </c>
      <c r="G1888" t="s">
        <v>1644</v>
      </c>
      <c r="H1888" t="s">
        <v>1645</v>
      </c>
      <c r="I1888" t="s">
        <v>3178</v>
      </c>
      <c r="J1888">
        <v>51156445156</v>
      </c>
      <c r="K1888" t="s">
        <v>3212</v>
      </c>
      <c r="L1888" t="s">
        <v>4560</v>
      </c>
      <c r="M1888">
        <v>780000</v>
      </c>
      <c r="N1888" s="10">
        <v>1.83E-3</v>
      </c>
      <c r="O1888" s="10">
        <f t="shared" si="180"/>
        <v>1427.4</v>
      </c>
      <c r="P1888" s="10">
        <v>0</v>
      </c>
      <c r="Q1888" s="10">
        <v>9.2799999999999994</v>
      </c>
      <c r="R1888" s="10">
        <f>IF(COUNTIF($J$2:J1888,J1888)=1,SUMIFS($O:$O,$J:$J,J1888)+SUMIFS($P:$P,$J:$J,J1888)+SUMIFS($Q:$Q,$J:$J,J1888),"")</f>
        <v>1534.3500000000001</v>
      </c>
      <c r="S1888" s="10">
        <v>1534.3500000000001</v>
      </c>
      <c r="T1888" s="11" t="str">
        <f t="shared" si="183"/>
        <v>Ok</v>
      </c>
      <c r="U1888" s="12">
        <v>46066</v>
      </c>
      <c r="V1888" s="10">
        <v>106.95</v>
      </c>
      <c r="W1888" s="10" t="str">
        <f t="shared" si="181"/>
        <v>Short Paid</v>
      </c>
      <c r="X1888" t="s">
        <v>468</v>
      </c>
      <c r="Y1888" t="s">
        <v>28</v>
      </c>
      <c r="Z1888">
        <v>100166</v>
      </c>
      <c r="AA1888" t="s">
        <v>3069</v>
      </c>
      <c r="AB1888" t="s">
        <v>523</v>
      </c>
      <c r="AC1888" s="9">
        <v>2</v>
      </c>
      <c r="AD1888" s="9" t="str">
        <f t="shared" si="182"/>
        <v>Ok</v>
      </c>
      <c r="AE1888" s="11">
        <f t="shared" si="184"/>
        <v>0</v>
      </c>
    </row>
    <row r="1889" spans="1:31" x14ac:dyDescent="0.3">
      <c r="A1889">
        <v>15</v>
      </c>
      <c r="B1889">
        <v>4876171</v>
      </c>
      <c r="C1889" t="s">
        <v>217</v>
      </c>
      <c r="D1889">
        <v>1160621</v>
      </c>
      <c r="E1889" t="s">
        <v>571</v>
      </c>
      <c r="F1889" t="s">
        <v>18</v>
      </c>
      <c r="G1889" t="s">
        <v>1644</v>
      </c>
      <c r="H1889" t="s">
        <v>1645</v>
      </c>
      <c r="I1889" t="s">
        <v>3425</v>
      </c>
      <c r="J1889">
        <v>51156445156</v>
      </c>
      <c r="K1889" t="s">
        <v>3177</v>
      </c>
      <c r="L1889" t="s">
        <v>4478</v>
      </c>
      <c r="M1889">
        <v>1000</v>
      </c>
      <c r="N1889" s="10">
        <v>9.7670000000000007E-2</v>
      </c>
      <c r="O1889" s="10">
        <f t="shared" si="180"/>
        <v>97.67</v>
      </c>
      <c r="P1889" s="10" t="s">
        <v>5006</v>
      </c>
      <c r="Q1889" s="10" t="s">
        <v>5006</v>
      </c>
      <c r="R1889" s="10" t="str">
        <f>IF(COUNTIF($J$2:J1889,J1889)=1,SUMIFS($O:$O,$J:$J,J1889)+SUMIFS($P:$P,$J:$J,J1889)+SUMIFS($Q:$Q,$J:$J,J1889),"")</f>
        <v/>
      </c>
      <c r="S1889" s="10" t="s">
        <v>5006</v>
      </c>
      <c r="T1889" s="11" t="str">
        <f t="shared" si="183"/>
        <v>Ok</v>
      </c>
      <c r="U1889" s="12">
        <v>46066</v>
      </c>
      <c r="V1889" s="10">
        <v>106.95</v>
      </c>
      <c r="W1889" s="10" t="str">
        <f t="shared" si="181"/>
        <v>N/A</v>
      </c>
      <c r="X1889" t="s">
        <v>468</v>
      </c>
      <c r="Y1889" t="s">
        <v>28</v>
      </c>
      <c r="Z1889">
        <v>100166</v>
      </c>
      <c r="AA1889" t="s">
        <v>3069</v>
      </c>
      <c r="AB1889" t="s">
        <v>523</v>
      </c>
      <c r="AC1889" s="9">
        <v>2</v>
      </c>
      <c r="AD1889" s="9" t="str">
        <f t="shared" si="182"/>
        <v>N/A</v>
      </c>
      <c r="AE1889" s="11" t="e">
        <f t="shared" si="184"/>
        <v>#VALUE!</v>
      </c>
    </row>
    <row r="1890" spans="1:31" x14ac:dyDescent="0.3">
      <c r="A1890">
        <v>15</v>
      </c>
      <c r="B1890">
        <v>4878953</v>
      </c>
      <c r="C1890" t="s">
        <v>217</v>
      </c>
      <c r="D1890">
        <v>1160621</v>
      </c>
      <c r="E1890" t="s">
        <v>571</v>
      </c>
      <c r="F1890" t="s">
        <v>18</v>
      </c>
      <c r="G1890" t="s">
        <v>2871</v>
      </c>
      <c r="H1890" t="s">
        <v>2872</v>
      </c>
      <c r="I1890" t="s">
        <v>3217</v>
      </c>
      <c r="J1890">
        <v>51156445186</v>
      </c>
      <c r="K1890" t="s">
        <v>3401</v>
      </c>
      <c r="L1890" t="s">
        <v>3563</v>
      </c>
      <c r="M1890">
        <v>1290</v>
      </c>
      <c r="N1890" s="10">
        <v>0.11864999999999999</v>
      </c>
      <c r="O1890" s="10">
        <f t="shared" si="180"/>
        <v>153.05849999999998</v>
      </c>
      <c r="P1890" s="10">
        <v>0</v>
      </c>
      <c r="Q1890" s="10">
        <v>29.08</v>
      </c>
      <c r="R1890" s="10">
        <f>IF(COUNTIF($J$2:J1890,J1890)=1,SUMIFS($O:$O,$J:$J,J1890)+SUMIFS($P:$P,$J:$J,J1890)+SUMIFS($Q:$Q,$J:$J,J1890),"")</f>
        <v>1038.5784999999998</v>
      </c>
      <c r="S1890" s="10">
        <v>1976.08</v>
      </c>
      <c r="T1890" s="11" t="str">
        <f t="shared" si="183"/>
        <v>Check</v>
      </c>
      <c r="U1890" s="12">
        <v>46070</v>
      </c>
      <c r="V1890" s="10">
        <v>182.14</v>
      </c>
      <c r="W1890" s="10" t="str">
        <f t="shared" si="181"/>
        <v>Short Paid</v>
      </c>
      <c r="X1890" t="s">
        <v>468</v>
      </c>
      <c r="Y1890" t="s">
        <v>28</v>
      </c>
      <c r="Z1890">
        <v>100166</v>
      </c>
      <c r="AA1890" t="s">
        <v>3069</v>
      </c>
      <c r="AB1890" t="s">
        <v>523</v>
      </c>
      <c r="AC1890" s="9">
        <v>4</v>
      </c>
      <c r="AD1890" s="9" t="str">
        <f t="shared" si="182"/>
        <v>Check</v>
      </c>
      <c r="AE1890" s="11">
        <f t="shared" si="184"/>
        <v>-937.50150000000008</v>
      </c>
    </row>
    <row r="1891" spans="1:31" x14ac:dyDescent="0.3">
      <c r="A1891">
        <v>15</v>
      </c>
      <c r="B1891">
        <v>4878953</v>
      </c>
      <c r="C1891" t="s">
        <v>217</v>
      </c>
      <c r="D1891">
        <v>1160621</v>
      </c>
      <c r="E1891" t="s">
        <v>571</v>
      </c>
      <c r="F1891" t="s">
        <v>18</v>
      </c>
      <c r="G1891" t="s">
        <v>2871</v>
      </c>
      <c r="H1891" t="s">
        <v>2872</v>
      </c>
      <c r="I1891" t="s">
        <v>3178</v>
      </c>
      <c r="J1891">
        <v>51156445186</v>
      </c>
      <c r="K1891" t="s">
        <v>3177</v>
      </c>
      <c r="L1891" t="s">
        <v>3892</v>
      </c>
      <c r="M1891">
        <v>60000</v>
      </c>
      <c r="N1891" s="10">
        <v>3.7000000000000002E-3</v>
      </c>
      <c r="O1891" s="10">
        <f t="shared" si="180"/>
        <v>222</v>
      </c>
      <c r="P1891" s="10" t="s">
        <v>5006</v>
      </c>
      <c r="Q1891" s="10" t="s">
        <v>5006</v>
      </c>
      <c r="R1891" s="10" t="str">
        <f>IF(COUNTIF($J$2:J1891,J1891)=1,SUMIFS($O:$O,$J:$J,J1891)+SUMIFS($P:$P,$J:$J,J1891)+SUMIFS($Q:$Q,$J:$J,J1891),"")</f>
        <v/>
      </c>
      <c r="S1891" s="10" t="s">
        <v>5006</v>
      </c>
      <c r="T1891" s="11" t="str">
        <f t="shared" si="183"/>
        <v>Check</v>
      </c>
      <c r="U1891" s="12">
        <v>46070</v>
      </c>
      <c r="V1891" s="10">
        <v>182.14</v>
      </c>
      <c r="W1891" s="10" t="str">
        <f t="shared" si="181"/>
        <v>N/A</v>
      </c>
      <c r="X1891" t="s">
        <v>468</v>
      </c>
      <c r="Y1891" t="s">
        <v>28</v>
      </c>
      <c r="Z1891">
        <v>100166</v>
      </c>
      <c r="AA1891" t="s">
        <v>3069</v>
      </c>
      <c r="AB1891" t="s">
        <v>523</v>
      </c>
      <c r="AC1891" s="9">
        <v>4</v>
      </c>
      <c r="AD1891" s="9" t="str">
        <f t="shared" si="182"/>
        <v>N/A</v>
      </c>
      <c r="AE1891" s="11" t="e">
        <f t="shared" si="184"/>
        <v>#VALUE!</v>
      </c>
    </row>
    <row r="1892" spans="1:31" x14ac:dyDescent="0.3">
      <c r="A1892">
        <v>15</v>
      </c>
      <c r="B1892">
        <v>4878953</v>
      </c>
      <c r="C1892" t="s">
        <v>217</v>
      </c>
      <c r="D1892">
        <v>1160621</v>
      </c>
      <c r="E1892" t="s">
        <v>571</v>
      </c>
      <c r="F1892" t="s">
        <v>18</v>
      </c>
      <c r="G1892" t="s">
        <v>2871</v>
      </c>
      <c r="H1892" t="s">
        <v>2872</v>
      </c>
      <c r="I1892" t="s">
        <v>3178</v>
      </c>
      <c r="J1892">
        <v>51156445186</v>
      </c>
      <c r="K1892" t="s">
        <v>3177</v>
      </c>
      <c r="L1892" t="s">
        <v>4424</v>
      </c>
      <c r="M1892">
        <v>96000</v>
      </c>
      <c r="N1892" s="10">
        <v>6.1399999999999996E-3</v>
      </c>
      <c r="O1892" s="10">
        <f t="shared" si="180"/>
        <v>589.43999999999994</v>
      </c>
      <c r="P1892" s="10" t="s">
        <v>5006</v>
      </c>
      <c r="Q1892" s="10" t="s">
        <v>5006</v>
      </c>
      <c r="R1892" s="10" t="str">
        <f>IF(COUNTIF($J$2:J1892,J1892)=1,SUMIFS($O:$O,$J:$J,J1892)+SUMIFS($P:$P,$J:$J,J1892)+SUMIFS($Q:$Q,$J:$J,J1892),"")</f>
        <v/>
      </c>
      <c r="S1892" s="10" t="s">
        <v>5006</v>
      </c>
      <c r="T1892" s="11" t="str">
        <f t="shared" si="183"/>
        <v>Check</v>
      </c>
      <c r="U1892" s="12">
        <v>46070</v>
      </c>
      <c r="V1892" s="10">
        <v>182.14</v>
      </c>
      <c r="W1892" s="10" t="str">
        <f t="shared" si="181"/>
        <v>N/A</v>
      </c>
      <c r="X1892" t="s">
        <v>468</v>
      </c>
      <c r="Y1892" t="s">
        <v>28</v>
      </c>
      <c r="Z1892">
        <v>100166</v>
      </c>
      <c r="AA1892" t="s">
        <v>3069</v>
      </c>
      <c r="AB1892" t="s">
        <v>523</v>
      </c>
      <c r="AC1892" s="9">
        <v>4</v>
      </c>
      <c r="AD1892" s="9" t="str">
        <f t="shared" si="182"/>
        <v>N/A</v>
      </c>
      <c r="AE1892" s="11" t="e">
        <f t="shared" si="184"/>
        <v>#VALUE!</v>
      </c>
    </row>
    <row r="1893" spans="1:31" x14ac:dyDescent="0.3">
      <c r="A1893">
        <v>15</v>
      </c>
      <c r="B1893">
        <v>4878953</v>
      </c>
      <c r="C1893" t="s">
        <v>217</v>
      </c>
      <c r="D1893">
        <v>1160621</v>
      </c>
      <c r="E1893" t="s">
        <v>571</v>
      </c>
      <c r="F1893" t="s">
        <v>18</v>
      </c>
      <c r="G1893" t="s">
        <v>2871</v>
      </c>
      <c r="H1893" t="s">
        <v>2872</v>
      </c>
      <c r="I1893" t="s">
        <v>3178</v>
      </c>
      <c r="J1893">
        <v>51156445186</v>
      </c>
      <c r="K1893" t="s">
        <v>3168</v>
      </c>
      <c r="L1893" t="s">
        <v>4561</v>
      </c>
      <c r="M1893">
        <v>3000</v>
      </c>
      <c r="N1893" s="10">
        <v>1.4999999999999999E-2</v>
      </c>
      <c r="O1893" s="10">
        <f t="shared" si="180"/>
        <v>45</v>
      </c>
      <c r="P1893" s="10" t="s">
        <v>5006</v>
      </c>
      <c r="Q1893" s="10" t="s">
        <v>5006</v>
      </c>
      <c r="R1893" s="10" t="str">
        <f>IF(COUNTIF($J$2:J1893,J1893)=1,SUMIFS($O:$O,$J:$J,J1893)+SUMIFS($P:$P,$J:$J,J1893)+SUMIFS($Q:$Q,$J:$J,J1893),"")</f>
        <v/>
      </c>
      <c r="S1893" s="10" t="s">
        <v>5006</v>
      </c>
      <c r="T1893" s="11" t="str">
        <f t="shared" si="183"/>
        <v>Check</v>
      </c>
      <c r="U1893" s="12">
        <v>46070</v>
      </c>
      <c r="V1893" s="10">
        <v>182.14</v>
      </c>
      <c r="W1893" s="10" t="str">
        <f t="shared" si="181"/>
        <v>N/A</v>
      </c>
      <c r="X1893" t="s">
        <v>468</v>
      </c>
      <c r="Y1893" t="s">
        <v>28</v>
      </c>
      <c r="Z1893">
        <v>100166</v>
      </c>
      <c r="AA1893" t="s">
        <v>3069</v>
      </c>
      <c r="AB1893" t="s">
        <v>523</v>
      </c>
      <c r="AC1893" s="9">
        <v>4</v>
      </c>
      <c r="AD1893" s="9" t="str">
        <f t="shared" si="182"/>
        <v>N/A</v>
      </c>
      <c r="AE1893" s="11" t="e">
        <f t="shared" si="184"/>
        <v>#VALUE!</v>
      </c>
    </row>
    <row r="1894" spans="1:31" x14ac:dyDescent="0.3">
      <c r="A1894">
        <v>25</v>
      </c>
      <c r="B1894">
        <v>4829975</v>
      </c>
      <c r="C1894" t="s">
        <v>239</v>
      </c>
      <c r="D1894">
        <v>1079286</v>
      </c>
      <c r="E1894" t="s">
        <v>629</v>
      </c>
      <c r="F1894" t="s">
        <v>20</v>
      </c>
      <c r="G1894" t="s">
        <v>1431</v>
      </c>
      <c r="H1894" t="s">
        <v>1432</v>
      </c>
      <c r="I1894" t="s">
        <v>3361</v>
      </c>
      <c r="J1894">
        <v>51156461712</v>
      </c>
      <c r="K1894" t="s">
        <v>3177</v>
      </c>
      <c r="L1894" t="s">
        <v>3874</v>
      </c>
      <c r="M1894">
        <v>60000</v>
      </c>
      <c r="N1894" s="10">
        <v>2.5400000000000002E-3</v>
      </c>
      <c r="O1894" s="10">
        <f t="shared" si="180"/>
        <v>152.4</v>
      </c>
      <c r="P1894" s="10">
        <v>0</v>
      </c>
      <c r="Q1894" s="10">
        <v>0</v>
      </c>
      <c r="R1894" s="10">
        <f>IF(COUNTIF($J$2:J1894,J1894)=1,SUMIFS($O:$O,$J:$J,J1894)+SUMIFS($P:$P,$J:$J,J1894)+SUMIFS($Q:$Q,$J:$J,J1894),"")</f>
        <v>10918.82</v>
      </c>
      <c r="S1894" s="10">
        <v>10918.82</v>
      </c>
      <c r="T1894" s="11" t="str">
        <f t="shared" si="183"/>
        <v>Ok</v>
      </c>
      <c r="U1894" s="12">
        <v>46014</v>
      </c>
      <c r="V1894" s="10">
        <v>648</v>
      </c>
      <c r="W1894" s="10" t="str">
        <f t="shared" si="181"/>
        <v>Short Paid</v>
      </c>
      <c r="X1894" t="s">
        <v>476</v>
      </c>
      <c r="Y1894" t="s">
        <v>28</v>
      </c>
      <c r="Z1894">
        <v>100245</v>
      </c>
      <c r="AA1894" t="s">
        <v>507</v>
      </c>
      <c r="AB1894" t="s">
        <v>521</v>
      </c>
      <c r="AC1894" s="9">
        <v>8</v>
      </c>
      <c r="AD1894" s="9" t="str">
        <f t="shared" si="182"/>
        <v>Ok</v>
      </c>
      <c r="AE1894" s="11">
        <f t="shared" si="184"/>
        <v>0</v>
      </c>
    </row>
    <row r="1895" spans="1:31" x14ac:dyDescent="0.3">
      <c r="A1895">
        <v>25</v>
      </c>
      <c r="B1895">
        <v>4829975</v>
      </c>
      <c r="C1895" t="s">
        <v>239</v>
      </c>
      <c r="D1895">
        <v>1079286</v>
      </c>
      <c r="E1895" t="s">
        <v>629</v>
      </c>
      <c r="F1895" t="s">
        <v>20</v>
      </c>
      <c r="G1895" t="s">
        <v>1431</v>
      </c>
      <c r="H1895" t="s">
        <v>1432</v>
      </c>
      <c r="I1895" t="s">
        <v>3361</v>
      </c>
      <c r="J1895">
        <v>51156461712</v>
      </c>
      <c r="K1895" t="s">
        <v>3216</v>
      </c>
      <c r="L1895" t="s">
        <v>3215</v>
      </c>
      <c r="M1895">
        <v>180000</v>
      </c>
      <c r="N1895" s="10">
        <v>1.8700000000000001E-2</v>
      </c>
      <c r="O1895" s="10">
        <f t="shared" si="180"/>
        <v>3366.0000000000005</v>
      </c>
      <c r="P1895" s="10" t="s">
        <v>5006</v>
      </c>
      <c r="Q1895" s="10" t="s">
        <v>5006</v>
      </c>
      <c r="R1895" s="10" t="str">
        <f>IF(COUNTIF($J$2:J1895,J1895)=1,SUMIFS($O:$O,$J:$J,J1895)+SUMIFS($P:$P,$J:$J,J1895)+SUMIFS($Q:$Q,$J:$J,J1895),"")</f>
        <v/>
      </c>
      <c r="S1895" s="10" t="s">
        <v>5006</v>
      </c>
      <c r="T1895" s="11" t="str">
        <f t="shared" si="183"/>
        <v>Ok</v>
      </c>
      <c r="U1895" s="12">
        <v>46014</v>
      </c>
      <c r="V1895" s="10">
        <v>648</v>
      </c>
      <c r="W1895" s="10" t="str">
        <f t="shared" si="181"/>
        <v>N/A</v>
      </c>
      <c r="X1895" t="s">
        <v>476</v>
      </c>
      <c r="Y1895" t="s">
        <v>28</v>
      </c>
      <c r="Z1895">
        <v>100245</v>
      </c>
      <c r="AA1895" t="s">
        <v>507</v>
      </c>
      <c r="AB1895" t="s">
        <v>521</v>
      </c>
      <c r="AC1895" s="9">
        <v>8</v>
      </c>
      <c r="AD1895" s="9" t="str">
        <f t="shared" si="182"/>
        <v>N/A</v>
      </c>
      <c r="AE1895" s="11" t="e">
        <f t="shared" si="184"/>
        <v>#VALUE!</v>
      </c>
    </row>
    <row r="1896" spans="1:31" x14ac:dyDescent="0.3">
      <c r="A1896">
        <v>25</v>
      </c>
      <c r="B1896">
        <v>4829975</v>
      </c>
      <c r="C1896" t="s">
        <v>239</v>
      </c>
      <c r="D1896">
        <v>1079286</v>
      </c>
      <c r="E1896" t="s">
        <v>629</v>
      </c>
      <c r="F1896" t="s">
        <v>20</v>
      </c>
      <c r="G1896" t="s">
        <v>1431</v>
      </c>
      <c r="H1896" t="s">
        <v>1432</v>
      </c>
      <c r="I1896" t="s">
        <v>3361</v>
      </c>
      <c r="J1896">
        <v>51156461712</v>
      </c>
      <c r="K1896" t="s">
        <v>3229</v>
      </c>
      <c r="L1896" t="s">
        <v>3877</v>
      </c>
      <c r="M1896">
        <v>17500</v>
      </c>
      <c r="N1896" s="10">
        <v>1.9879999999999998E-2</v>
      </c>
      <c r="O1896" s="10">
        <f t="shared" si="180"/>
        <v>347.9</v>
      </c>
      <c r="P1896" s="10" t="s">
        <v>5006</v>
      </c>
      <c r="Q1896" s="10" t="s">
        <v>5006</v>
      </c>
      <c r="R1896" s="10" t="str">
        <f>IF(COUNTIF($J$2:J1896,J1896)=1,SUMIFS($O:$O,$J:$J,J1896)+SUMIFS($P:$P,$J:$J,J1896)+SUMIFS($Q:$Q,$J:$J,J1896),"")</f>
        <v/>
      </c>
      <c r="S1896" s="10" t="s">
        <v>5006</v>
      </c>
      <c r="T1896" s="11" t="str">
        <f t="shared" si="183"/>
        <v>Ok</v>
      </c>
      <c r="U1896" s="12">
        <v>46014</v>
      </c>
      <c r="V1896" s="10">
        <v>648</v>
      </c>
      <c r="W1896" s="10" t="str">
        <f t="shared" si="181"/>
        <v>N/A</v>
      </c>
      <c r="X1896" t="s">
        <v>476</v>
      </c>
      <c r="Y1896" t="s">
        <v>28</v>
      </c>
      <c r="Z1896">
        <v>100245</v>
      </c>
      <c r="AA1896" t="s">
        <v>507</v>
      </c>
      <c r="AB1896" t="s">
        <v>521</v>
      </c>
      <c r="AC1896" s="9">
        <v>8</v>
      </c>
      <c r="AD1896" s="9" t="str">
        <f t="shared" si="182"/>
        <v>N/A</v>
      </c>
      <c r="AE1896" s="11" t="e">
        <f t="shared" si="184"/>
        <v>#VALUE!</v>
      </c>
    </row>
    <row r="1897" spans="1:31" x14ac:dyDescent="0.3">
      <c r="A1897">
        <v>25</v>
      </c>
      <c r="B1897">
        <v>4829975</v>
      </c>
      <c r="C1897" t="s">
        <v>239</v>
      </c>
      <c r="D1897">
        <v>1079286</v>
      </c>
      <c r="E1897" t="s">
        <v>629</v>
      </c>
      <c r="F1897" t="s">
        <v>20</v>
      </c>
      <c r="G1897" t="s">
        <v>1431</v>
      </c>
      <c r="H1897" t="s">
        <v>1432</v>
      </c>
      <c r="I1897" t="s">
        <v>3361</v>
      </c>
      <c r="J1897">
        <v>51156461712</v>
      </c>
      <c r="K1897" t="s">
        <v>3266</v>
      </c>
      <c r="L1897" t="s">
        <v>3893</v>
      </c>
      <c r="M1897">
        <v>4536</v>
      </c>
      <c r="N1897" s="10">
        <v>1.27</v>
      </c>
      <c r="O1897" s="10">
        <f t="shared" si="180"/>
        <v>5760.72</v>
      </c>
      <c r="P1897" s="10" t="s">
        <v>5006</v>
      </c>
      <c r="Q1897" s="10" t="s">
        <v>5006</v>
      </c>
      <c r="R1897" s="10" t="str">
        <f>IF(COUNTIF($J$2:J1897,J1897)=1,SUMIFS($O:$O,$J:$J,J1897)+SUMIFS($P:$P,$J:$J,J1897)+SUMIFS($Q:$Q,$J:$J,J1897),"")</f>
        <v/>
      </c>
      <c r="S1897" s="10" t="s">
        <v>5006</v>
      </c>
      <c r="T1897" s="11" t="str">
        <f t="shared" si="183"/>
        <v>Ok</v>
      </c>
      <c r="U1897" s="12">
        <v>46014</v>
      </c>
      <c r="V1897" s="10">
        <v>648</v>
      </c>
      <c r="W1897" s="10" t="str">
        <f t="shared" si="181"/>
        <v>N/A</v>
      </c>
      <c r="X1897" t="s">
        <v>476</v>
      </c>
      <c r="Y1897" t="s">
        <v>28</v>
      </c>
      <c r="Z1897">
        <v>100245</v>
      </c>
      <c r="AA1897" t="s">
        <v>507</v>
      </c>
      <c r="AB1897" t="s">
        <v>521</v>
      </c>
      <c r="AC1897" s="9">
        <v>8</v>
      </c>
      <c r="AD1897" s="9" t="str">
        <f t="shared" si="182"/>
        <v>N/A</v>
      </c>
      <c r="AE1897" s="11" t="e">
        <f t="shared" si="184"/>
        <v>#VALUE!</v>
      </c>
    </row>
    <row r="1898" spans="1:31" x14ac:dyDescent="0.3">
      <c r="A1898">
        <v>25</v>
      </c>
      <c r="B1898">
        <v>4829975</v>
      </c>
      <c r="C1898" t="s">
        <v>239</v>
      </c>
      <c r="D1898">
        <v>1079286</v>
      </c>
      <c r="E1898" t="s">
        <v>629</v>
      </c>
      <c r="F1898" t="s">
        <v>20</v>
      </c>
      <c r="G1898" t="s">
        <v>1431</v>
      </c>
      <c r="H1898" t="s">
        <v>1432</v>
      </c>
      <c r="I1898" t="s">
        <v>3361</v>
      </c>
      <c r="J1898">
        <v>51156461712</v>
      </c>
      <c r="K1898" t="s">
        <v>3379</v>
      </c>
      <c r="L1898" t="s">
        <v>4562</v>
      </c>
      <c r="M1898">
        <v>20000</v>
      </c>
      <c r="N1898" s="10">
        <v>6.3E-3</v>
      </c>
      <c r="O1898" s="10">
        <f t="shared" si="180"/>
        <v>126</v>
      </c>
      <c r="P1898" s="10" t="s">
        <v>5006</v>
      </c>
      <c r="Q1898" s="10" t="s">
        <v>5006</v>
      </c>
      <c r="R1898" s="10" t="str">
        <f>IF(COUNTIF($J$2:J1898,J1898)=1,SUMIFS($O:$O,$J:$J,J1898)+SUMIFS($P:$P,$J:$J,J1898)+SUMIFS($Q:$Q,$J:$J,J1898),"")</f>
        <v/>
      </c>
      <c r="S1898" s="10" t="s">
        <v>5006</v>
      </c>
      <c r="T1898" s="11" t="str">
        <f t="shared" si="183"/>
        <v>Ok</v>
      </c>
      <c r="U1898" s="12">
        <v>46014</v>
      </c>
      <c r="V1898" s="10">
        <v>648</v>
      </c>
      <c r="W1898" s="10" t="str">
        <f t="shared" si="181"/>
        <v>N/A</v>
      </c>
      <c r="X1898" t="s">
        <v>476</v>
      </c>
      <c r="Y1898" t="s">
        <v>28</v>
      </c>
      <c r="Z1898">
        <v>100245</v>
      </c>
      <c r="AA1898" t="s">
        <v>507</v>
      </c>
      <c r="AB1898" t="s">
        <v>521</v>
      </c>
      <c r="AC1898" s="9">
        <v>8</v>
      </c>
      <c r="AD1898" s="9" t="str">
        <f t="shared" si="182"/>
        <v>N/A</v>
      </c>
      <c r="AE1898" s="11" t="e">
        <f t="shared" si="184"/>
        <v>#VALUE!</v>
      </c>
    </row>
    <row r="1899" spans="1:31" x14ac:dyDescent="0.3">
      <c r="A1899">
        <v>25</v>
      </c>
      <c r="B1899">
        <v>4829975</v>
      </c>
      <c r="C1899" t="s">
        <v>239</v>
      </c>
      <c r="D1899">
        <v>1079286</v>
      </c>
      <c r="E1899" t="s">
        <v>629</v>
      </c>
      <c r="F1899" t="s">
        <v>20</v>
      </c>
      <c r="G1899" t="s">
        <v>1431</v>
      </c>
      <c r="H1899" t="s">
        <v>1432</v>
      </c>
      <c r="I1899" t="s">
        <v>3361</v>
      </c>
      <c r="J1899">
        <v>51156461712</v>
      </c>
      <c r="K1899" t="s">
        <v>3168</v>
      </c>
      <c r="L1899" t="s">
        <v>3334</v>
      </c>
      <c r="M1899">
        <v>9000</v>
      </c>
      <c r="N1899" s="10">
        <v>1.9199999999999998E-2</v>
      </c>
      <c r="O1899" s="10">
        <f t="shared" si="180"/>
        <v>172.79999999999998</v>
      </c>
      <c r="P1899" s="10" t="s">
        <v>5006</v>
      </c>
      <c r="Q1899" s="10" t="s">
        <v>5006</v>
      </c>
      <c r="R1899" s="10" t="str">
        <f>IF(COUNTIF($J$2:J1899,J1899)=1,SUMIFS($O:$O,$J:$J,J1899)+SUMIFS($P:$P,$J:$J,J1899)+SUMIFS($Q:$Q,$J:$J,J1899),"")</f>
        <v/>
      </c>
      <c r="S1899" s="10" t="s">
        <v>5006</v>
      </c>
      <c r="T1899" s="11" t="str">
        <f t="shared" si="183"/>
        <v>Ok</v>
      </c>
      <c r="U1899" s="12">
        <v>46014</v>
      </c>
      <c r="V1899" s="10">
        <v>648</v>
      </c>
      <c r="W1899" s="10" t="str">
        <f t="shared" si="181"/>
        <v>N/A</v>
      </c>
      <c r="X1899" t="s">
        <v>476</v>
      </c>
      <c r="Y1899" t="s">
        <v>28</v>
      </c>
      <c r="Z1899">
        <v>100245</v>
      </c>
      <c r="AA1899" t="s">
        <v>507</v>
      </c>
      <c r="AB1899" t="s">
        <v>521</v>
      </c>
      <c r="AC1899" s="9">
        <v>8</v>
      </c>
      <c r="AD1899" s="9" t="str">
        <f t="shared" si="182"/>
        <v>N/A</v>
      </c>
      <c r="AE1899" s="11" t="e">
        <f t="shared" si="184"/>
        <v>#VALUE!</v>
      </c>
    </row>
    <row r="1900" spans="1:31" x14ac:dyDescent="0.3">
      <c r="A1900">
        <v>25</v>
      </c>
      <c r="B1900">
        <v>4829975</v>
      </c>
      <c r="C1900" t="s">
        <v>239</v>
      </c>
      <c r="D1900">
        <v>1079286</v>
      </c>
      <c r="E1900" t="s">
        <v>629</v>
      </c>
      <c r="F1900" t="s">
        <v>20</v>
      </c>
      <c r="G1900" t="s">
        <v>1431</v>
      </c>
      <c r="H1900" t="s">
        <v>1432</v>
      </c>
      <c r="I1900" t="s">
        <v>3361</v>
      </c>
      <c r="J1900">
        <v>51156461712</v>
      </c>
      <c r="K1900" t="s">
        <v>3207</v>
      </c>
      <c r="L1900" t="s">
        <v>3724</v>
      </c>
      <c r="M1900">
        <v>15000</v>
      </c>
      <c r="N1900" s="10">
        <v>2.3E-2</v>
      </c>
      <c r="O1900" s="10">
        <f t="shared" si="180"/>
        <v>345</v>
      </c>
      <c r="P1900" s="10" t="s">
        <v>5006</v>
      </c>
      <c r="Q1900" s="10" t="s">
        <v>5006</v>
      </c>
      <c r="R1900" s="10" t="str">
        <f>IF(COUNTIF($J$2:J1900,J1900)=1,SUMIFS($O:$O,$J:$J,J1900)+SUMIFS($P:$P,$J:$J,J1900)+SUMIFS($Q:$Q,$J:$J,J1900),"")</f>
        <v/>
      </c>
      <c r="S1900" s="10" t="s">
        <v>5006</v>
      </c>
      <c r="T1900" s="11" t="str">
        <f t="shared" si="183"/>
        <v>Ok</v>
      </c>
      <c r="U1900" s="12">
        <v>46014</v>
      </c>
      <c r="V1900" s="10">
        <v>648</v>
      </c>
      <c r="W1900" s="10" t="str">
        <f t="shared" si="181"/>
        <v>N/A</v>
      </c>
      <c r="X1900" t="s">
        <v>476</v>
      </c>
      <c r="Y1900" t="s">
        <v>28</v>
      </c>
      <c r="Z1900">
        <v>100245</v>
      </c>
      <c r="AA1900" t="s">
        <v>507</v>
      </c>
      <c r="AB1900" t="s">
        <v>521</v>
      </c>
      <c r="AC1900" s="9">
        <v>8</v>
      </c>
      <c r="AD1900" s="9" t="str">
        <f t="shared" si="182"/>
        <v>N/A</v>
      </c>
      <c r="AE1900" s="11" t="e">
        <f t="shared" si="184"/>
        <v>#VALUE!</v>
      </c>
    </row>
    <row r="1901" spans="1:31" x14ac:dyDescent="0.3">
      <c r="A1901">
        <v>25</v>
      </c>
      <c r="B1901">
        <v>4829975</v>
      </c>
      <c r="C1901" t="s">
        <v>239</v>
      </c>
      <c r="D1901">
        <v>1079286</v>
      </c>
      <c r="E1901" t="s">
        <v>629</v>
      </c>
      <c r="F1901" t="s">
        <v>20</v>
      </c>
      <c r="G1901" t="s">
        <v>1431</v>
      </c>
      <c r="H1901" t="s">
        <v>1432</v>
      </c>
      <c r="I1901" t="s">
        <v>3298</v>
      </c>
      <c r="J1901">
        <v>51156461712</v>
      </c>
      <c r="K1901" t="s">
        <v>3370</v>
      </c>
      <c r="L1901" t="s">
        <v>4551</v>
      </c>
      <c r="M1901">
        <v>24000</v>
      </c>
      <c r="N1901" s="10">
        <v>2.7E-2</v>
      </c>
      <c r="O1901" s="10">
        <f t="shared" si="180"/>
        <v>648</v>
      </c>
      <c r="P1901" s="10" t="s">
        <v>5006</v>
      </c>
      <c r="Q1901" s="10" t="s">
        <v>5006</v>
      </c>
      <c r="R1901" s="10" t="str">
        <f>IF(COUNTIF($J$2:J1901,J1901)=1,SUMIFS($O:$O,$J:$J,J1901)+SUMIFS($P:$P,$J:$J,J1901)+SUMIFS($Q:$Q,$J:$J,J1901),"")</f>
        <v/>
      </c>
      <c r="S1901" s="10" t="s">
        <v>5006</v>
      </c>
      <c r="T1901" s="11" t="str">
        <f t="shared" si="183"/>
        <v>Ok</v>
      </c>
      <c r="U1901" s="12">
        <v>46014</v>
      </c>
      <c r="V1901" s="10">
        <v>648</v>
      </c>
      <c r="W1901" s="10" t="str">
        <f t="shared" si="181"/>
        <v>N/A</v>
      </c>
      <c r="X1901" t="s">
        <v>476</v>
      </c>
      <c r="Y1901" t="s">
        <v>28</v>
      </c>
      <c r="Z1901">
        <v>100245</v>
      </c>
      <c r="AA1901" t="s">
        <v>507</v>
      </c>
      <c r="AB1901" t="s">
        <v>521</v>
      </c>
      <c r="AC1901" s="9">
        <v>8</v>
      </c>
      <c r="AD1901" s="9" t="str">
        <f t="shared" si="182"/>
        <v>N/A</v>
      </c>
      <c r="AE1901" s="11" t="e">
        <f t="shared" si="184"/>
        <v>#VALUE!</v>
      </c>
    </row>
    <row r="1902" spans="1:31" x14ac:dyDescent="0.3">
      <c r="A1902">
        <v>25</v>
      </c>
      <c r="B1902">
        <v>4830254</v>
      </c>
      <c r="C1902" t="s">
        <v>239</v>
      </c>
      <c r="D1902">
        <v>1079286</v>
      </c>
      <c r="E1902" t="s">
        <v>629</v>
      </c>
      <c r="F1902" t="s">
        <v>20</v>
      </c>
      <c r="G1902" t="s">
        <v>1458</v>
      </c>
      <c r="H1902" t="s">
        <v>1459</v>
      </c>
      <c r="I1902" t="s">
        <v>3423</v>
      </c>
      <c r="J1902">
        <v>51156461741</v>
      </c>
      <c r="K1902" t="s">
        <v>3370</v>
      </c>
      <c r="L1902" t="s">
        <v>4551</v>
      </c>
      <c r="M1902">
        <v>45000</v>
      </c>
      <c r="N1902" s="10">
        <v>2.7E-2</v>
      </c>
      <c r="O1902" s="10">
        <f t="shared" si="180"/>
        <v>1215</v>
      </c>
      <c r="P1902" s="10">
        <v>33.409999999999997</v>
      </c>
      <c r="Q1902" s="10">
        <v>75.72</v>
      </c>
      <c r="R1902" s="10">
        <f>IF(COUNTIF($J$2:J1902,J1902)=1,SUMIFS($O:$O,$J:$J,J1902)+SUMIFS($P:$P,$J:$J,J1902)+SUMIFS($Q:$Q,$J:$J,J1902),"")</f>
        <v>1653.3300000000002</v>
      </c>
      <c r="S1902" s="10">
        <v>1653.33</v>
      </c>
      <c r="T1902" s="11" t="str">
        <f t="shared" si="183"/>
        <v>Ok</v>
      </c>
      <c r="U1902" s="12">
        <v>46014</v>
      </c>
      <c r="V1902" s="10">
        <v>1215</v>
      </c>
      <c r="W1902" s="10" t="str">
        <f t="shared" si="181"/>
        <v>Short Paid</v>
      </c>
      <c r="X1902" t="s">
        <v>476</v>
      </c>
      <c r="Y1902" t="s">
        <v>28</v>
      </c>
      <c r="Z1902">
        <v>100275</v>
      </c>
      <c r="AA1902" t="s">
        <v>492</v>
      </c>
      <c r="AB1902" t="s">
        <v>521</v>
      </c>
      <c r="AC1902" s="9">
        <v>2</v>
      </c>
      <c r="AD1902" s="9" t="str">
        <f t="shared" si="182"/>
        <v>Ok</v>
      </c>
      <c r="AE1902" s="11">
        <f t="shared" si="184"/>
        <v>0</v>
      </c>
    </row>
    <row r="1903" spans="1:31" x14ac:dyDescent="0.3">
      <c r="A1903">
        <v>25</v>
      </c>
      <c r="B1903">
        <v>4830254</v>
      </c>
      <c r="C1903" t="s">
        <v>239</v>
      </c>
      <c r="D1903">
        <v>1079286</v>
      </c>
      <c r="E1903" t="s">
        <v>629</v>
      </c>
      <c r="F1903" t="s">
        <v>20</v>
      </c>
      <c r="G1903" t="s">
        <v>1458</v>
      </c>
      <c r="H1903" t="s">
        <v>1459</v>
      </c>
      <c r="I1903" t="s">
        <v>3543</v>
      </c>
      <c r="J1903">
        <v>51156461741</v>
      </c>
      <c r="K1903" t="s">
        <v>3246</v>
      </c>
      <c r="L1903" t="s">
        <v>3687</v>
      </c>
      <c r="M1903">
        <v>1000</v>
      </c>
      <c r="N1903" s="10">
        <v>0.32919999999999999</v>
      </c>
      <c r="O1903" s="10">
        <f t="shared" si="180"/>
        <v>329.2</v>
      </c>
      <c r="P1903" s="10" t="s">
        <v>5006</v>
      </c>
      <c r="Q1903" s="10" t="s">
        <v>5006</v>
      </c>
      <c r="R1903" s="10" t="str">
        <f>IF(COUNTIF($J$2:J1903,J1903)=1,SUMIFS($O:$O,$J:$J,J1903)+SUMIFS($P:$P,$J:$J,J1903)+SUMIFS($Q:$Q,$J:$J,J1903),"")</f>
        <v/>
      </c>
      <c r="S1903" s="10" t="s">
        <v>5006</v>
      </c>
      <c r="T1903" s="11" t="str">
        <f t="shared" si="183"/>
        <v>Ok</v>
      </c>
      <c r="U1903" s="12">
        <v>46014</v>
      </c>
      <c r="V1903" s="10">
        <v>1215</v>
      </c>
      <c r="W1903" s="10" t="str">
        <f t="shared" si="181"/>
        <v>N/A</v>
      </c>
      <c r="X1903" t="s">
        <v>476</v>
      </c>
      <c r="Y1903" t="s">
        <v>28</v>
      </c>
      <c r="Z1903">
        <v>100275</v>
      </c>
      <c r="AA1903" t="s">
        <v>492</v>
      </c>
      <c r="AB1903" t="s">
        <v>521</v>
      </c>
      <c r="AC1903" s="9">
        <v>2</v>
      </c>
      <c r="AD1903" s="9" t="str">
        <f t="shared" si="182"/>
        <v>N/A</v>
      </c>
      <c r="AE1903" s="11" t="e">
        <f t="shared" si="184"/>
        <v>#VALUE!</v>
      </c>
    </row>
    <row r="1904" spans="1:31" x14ac:dyDescent="0.3">
      <c r="A1904">
        <v>15</v>
      </c>
      <c r="B1904">
        <v>4885632</v>
      </c>
      <c r="C1904" t="s">
        <v>220</v>
      </c>
      <c r="D1904">
        <v>1124420</v>
      </c>
      <c r="E1904" t="s">
        <v>221</v>
      </c>
      <c r="F1904" t="s">
        <v>20</v>
      </c>
      <c r="G1904" t="s">
        <v>2916</v>
      </c>
      <c r="H1904" t="s">
        <v>2917</v>
      </c>
      <c r="I1904" t="s">
        <v>3253</v>
      </c>
      <c r="J1904">
        <v>51156500062</v>
      </c>
      <c r="K1904" t="s">
        <v>3479</v>
      </c>
      <c r="L1904" t="s">
        <v>3478</v>
      </c>
      <c r="M1904">
        <v>20000</v>
      </c>
      <c r="N1904" s="10">
        <v>1.932E-2</v>
      </c>
      <c r="O1904" s="10">
        <f t="shared" si="180"/>
        <v>386.40000000000003</v>
      </c>
      <c r="P1904" s="10">
        <v>0</v>
      </c>
      <c r="Q1904" s="10">
        <v>0</v>
      </c>
      <c r="R1904" s="10">
        <f>IF(COUNTIF($J$2:J1904,J1904)=1,SUMIFS($O:$O,$J:$J,J1904)+SUMIFS($P:$P,$J:$J,J1904)+SUMIFS($Q:$Q,$J:$J,J1904),"")</f>
        <v>11758.4</v>
      </c>
      <c r="S1904" s="10">
        <v>12144.8</v>
      </c>
      <c r="T1904" s="11" t="str">
        <f t="shared" si="183"/>
        <v>Check</v>
      </c>
      <c r="U1904" s="12">
        <v>46043</v>
      </c>
      <c r="V1904" s="10">
        <v>11372</v>
      </c>
      <c r="W1904" s="10" t="str">
        <f t="shared" si="181"/>
        <v>Short Paid</v>
      </c>
      <c r="X1904" t="s">
        <v>470</v>
      </c>
      <c r="Y1904" t="s">
        <v>28</v>
      </c>
      <c r="Z1904">
        <v>100248</v>
      </c>
      <c r="AA1904" t="s">
        <v>3117</v>
      </c>
      <c r="AB1904" t="s">
        <v>521</v>
      </c>
      <c r="AC1904" s="9">
        <v>2</v>
      </c>
      <c r="AD1904" s="9" t="str">
        <f t="shared" si="182"/>
        <v>Check</v>
      </c>
      <c r="AE1904" s="11">
        <f t="shared" si="184"/>
        <v>-386.39999999999964</v>
      </c>
    </row>
    <row r="1905" spans="1:31" x14ac:dyDescent="0.3">
      <c r="A1905">
        <v>15</v>
      </c>
      <c r="B1905">
        <v>4885632</v>
      </c>
      <c r="C1905" t="s">
        <v>220</v>
      </c>
      <c r="D1905">
        <v>1124420</v>
      </c>
      <c r="E1905" t="s">
        <v>221</v>
      </c>
      <c r="F1905" t="s">
        <v>20</v>
      </c>
      <c r="G1905" t="s">
        <v>2916</v>
      </c>
      <c r="H1905" t="s">
        <v>2917</v>
      </c>
      <c r="I1905" t="s">
        <v>3242</v>
      </c>
      <c r="J1905">
        <v>51156500062</v>
      </c>
      <c r="K1905" t="s">
        <v>3244</v>
      </c>
      <c r="L1905" t="s">
        <v>3518</v>
      </c>
      <c r="M1905">
        <v>80</v>
      </c>
      <c r="N1905" s="10">
        <v>142.15</v>
      </c>
      <c r="O1905" s="10">
        <f t="shared" si="180"/>
        <v>11372</v>
      </c>
      <c r="P1905" s="10" t="s">
        <v>5006</v>
      </c>
      <c r="Q1905" s="10" t="s">
        <v>5006</v>
      </c>
      <c r="R1905" s="10" t="str">
        <f>IF(COUNTIF($J$2:J1905,J1905)=1,SUMIFS($O:$O,$J:$J,J1905)+SUMIFS($P:$P,$J:$J,J1905)+SUMIFS($Q:$Q,$J:$J,J1905),"")</f>
        <v/>
      </c>
      <c r="S1905" s="10" t="s">
        <v>5006</v>
      </c>
      <c r="T1905" s="11" t="str">
        <f t="shared" si="183"/>
        <v>Check</v>
      </c>
      <c r="U1905" s="12">
        <v>46043</v>
      </c>
      <c r="V1905" s="10">
        <v>11372</v>
      </c>
      <c r="W1905" s="10" t="str">
        <f t="shared" si="181"/>
        <v>N/A</v>
      </c>
      <c r="X1905" t="s">
        <v>470</v>
      </c>
      <c r="Y1905" t="s">
        <v>28</v>
      </c>
      <c r="Z1905">
        <v>100248</v>
      </c>
      <c r="AA1905" t="s">
        <v>3117</v>
      </c>
      <c r="AB1905" t="s">
        <v>521</v>
      </c>
      <c r="AC1905" s="9">
        <v>2</v>
      </c>
      <c r="AD1905" s="9" t="str">
        <f t="shared" si="182"/>
        <v>N/A</v>
      </c>
      <c r="AE1905" s="11" t="e">
        <f t="shared" si="184"/>
        <v>#VALUE!</v>
      </c>
    </row>
    <row r="1906" spans="1:31" x14ac:dyDescent="0.3">
      <c r="A1906">
        <v>25</v>
      </c>
      <c r="B1906">
        <v>4830532</v>
      </c>
      <c r="C1906" t="s">
        <v>239</v>
      </c>
      <c r="D1906">
        <v>1079286</v>
      </c>
      <c r="E1906" t="s">
        <v>629</v>
      </c>
      <c r="F1906" t="s">
        <v>20</v>
      </c>
      <c r="G1906" t="s">
        <v>1460</v>
      </c>
      <c r="H1906" t="s">
        <v>1461</v>
      </c>
      <c r="I1906" t="s">
        <v>3273</v>
      </c>
      <c r="J1906">
        <v>51156502940</v>
      </c>
      <c r="K1906" t="s">
        <v>3209</v>
      </c>
      <c r="L1906" t="s">
        <v>3871</v>
      </c>
      <c r="M1906">
        <v>56000</v>
      </c>
      <c r="N1906" s="10">
        <v>0.11716</v>
      </c>
      <c r="O1906" s="10">
        <f t="shared" si="180"/>
        <v>6560.96</v>
      </c>
      <c r="P1906" s="10">
        <v>541.28</v>
      </c>
      <c r="Q1906" s="10">
        <v>0</v>
      </c>
      <c r="R1906" s="10">
        <f>IF(COUNTIF($J$2:J1906,J1906)=1,SUMIFS($O:$O,$J:$J,J1906)+SUMIFS($P:$P,$J:$J,J1906)+SUMIFS($Q:$Q,$J:$J,J1906),"")</f>
        <v>7426.24</v>
      </c>
      <c r="S1906" s="10">
        <v>7426.24</v>
      </c>
      <c r="T1906" s="11" t="str">
        <f t="shared" si="183"/>
        <v>Ok</v>
      </c>
      <c r="U1906" s="12">
        <v>46014</v>
      </c>
      <c r="V1906" s="10">
        <v>324</v>
      </c>
      <c r="W1906" s="10" t="str">
        <f t="shared" si="181"/>
        <v>Short Paid</v>
      </c>
      <c r="X1906" t="s">
        <v>476</v>
      </c>
      <c r="Y1906" t="s">
        <v>28</v>
      </c>
      <c r="Z1906">
        <v>100285</v>
      </c>
      <c r="AA1906" t="s">
        <v>501</v>
      </c>
      <c r="AB1906" t="s">
        <v>521</v>
      </c>
      <c r="AC1906" s="9">
        <v>2</v>
      </c>
      <c r="AD1906" s="9" t="str">
        <f t="shared" si="182"/>
        <v>Ok</v>
      </c>
      <c r="AE1906" s="11">
        <f t="shared" si="184"/>
        <v>0</v>
      </c>
    </row>
    <row r="1907" spans="1:31" x14ac:dyDescent="0.3">
      <c r="A1907">
        <v>25</v>
      </c>
      <c r="B1907">
        <v>4830532</v>
      </c>
      <c r="C1907" t="s">
        <v>239</v>
      </c>
      <c r="D1907">
        <v>1079286</v>
      </c>
      <c r="E1907" t="s">
        <v>629</v>
      </c>
      <c r="F1907" t="s">
        <v>20</v>
      </c>
      <c r="G1907" t="s">
        <v>1460</v>
      </c>
      <c r="H1907" t="s">
        <v>1461</v>
      </c>
      <c r="I1907" t="s">
        <v>3172</v>
      </c>
      <c r="J1907">
        <v>51156502940</v>
      </c>
      <c r="K1907" t="s">
        <v>3370</v>
      </c>
      <c r="L1907" t="s">
        <v>4551</v>
      </c>
      <c r="M1907">
        <v>12000</v>
      </c>
      <c r="N1907" s="10">
        <v>2.7E-2</v>
      </c>
      <c r="O1907" s="10">
        <f t="shared" si="180"/>
        <v>324</v>
      </c>
      <c r="P1907" s="10" t="s">
        <v>5006</v>
      </c>
      <c r="Q1907" s="10" t="s">
        <v>5006</v>
      </c>
      <c r="R1907" s="10" t="str">
        <f>IF(COUNTIF($J$2:J1907,J1907)=1,SUMIFS($O:$O,$J:$J,J1907)+SUMIFS($P:$P,$J:$J,J1907)+SUMIFS($Q:$Q,$J:$J,J1907),"")</f>
        <v/>
      </c>
      <c r="S1907" s="10" t="s">
        <v>5006</v>
      </c>
      <c r="T1907" s="11" t="str">
        <f t="shared" si="183"/>
        <v>Ok</v>
      </c>
      <c r="U1907" s="12">
        <v>46014</v>
      </c>
      <c r="V1907" s="10">
        <v>324</v>
      </c>
      <c r="W1907" s="10" t="str">
        <f t="shared" si="181"/>
        <v>N/A</v>
      </c>
      <c r="X1907" t="s">
        <v>476</v>
      </c>
      <c r="Y1907" t="s">
        <v>28</v>
      </c>
      <c r="Z1907">
        <v>100285</v>
      </c>
      <c r="AA1907" t="s">
        <v>501</v>
      </c>
      <c r="AB1907" t="s">
        <v>521</v>
      </c>
      <c r="AC1907" s="9">
        <v>2</v>
      </c>
      <c r="AD1907" s="9" t="str">
        <f t="shared" si="182"/>
        <v>N/A</v>
      </c>
      <c r="AE1907" s="11" t="e">
        <f t="shared" si="184"/>
        <v>#VALUE!</v>
      </c>
    </row>
    <row r="1908" spans="1:31" x14ac:dyDescent="0.3">
      <c r="A1908">
        <v>24</v>
      </c>
      <c r="B1908">
        <v>4832480</v>
      </c>
      <c r="C1908" t="s">
        <v>38</v>
      </c>
      <c r="D1908">
        <v>1373071</v>
      </c>
      <c r="E1908" t="s">
        <v>559</v>
      </c>
      <c r="F1908" t="s">
        <v>20</v>
      </c>
      <c r="G1908" t="s">
        <v>1439</v>
      </c>
      <c r="H1908" t="s">
        <v>1440</v>
      </c>
      <c r="I1908" t="s">
        <v>3307</v>
      </c>
      <c r="J1908">
        <v>51156503103</v>
      </c>
      <c r="K1908" t="s">
        <v>3289</v>
      </c>
      <c r="L1908" t="s">
        <v>4563</v>
      </c>
      <c r="M1908">
        <v>3000</v>
      </c>
      <c r="N1908" s="10">
        <v>0.32</v>
      </c>
      <c r="O1908" s="10">
        <f t="shared" si="180"/>
        <v>960</v>
      </c>
      <c r="P1908" s="10">
        <v>0</v>
      </c>
      <c r="Q1908" s="10">
        <v>0</v>
      </c>
      <c r="R1908" s="10">
        <f>IF(COUNTIF($J$2:J1908,J1908)=1,SUMIFS($O:$O,$J:$J,J1908)+SUMIFS($P:$P,$J:$J,J1908)+SUMIFS($Q:$Q,$J:$J,J1908),"")</f>
        <v>1178.3168000000001</v>
      </c>
      <c r="S1908" s="10">
        <v>1396.6399999999999</v>
      </c>
      <c r="T1908" s="11" t="str">
        <f t="shared" si="183"/>
        <v>Check</v>
      </c>
      <c r="U1908" s="12">
        <v>45954</v>
      </c>
      <c r="V1908" s="10">
        <v>960</v>
      </c>
      <c r="W1908" s="10" t="str">
        <f t="shared" si="181"/>
        <v>Short Paid</v>
      </c>
      <c r="X1908" t="s">
        <v>474</v>
      </c>
      <c r="Y1908" t="s">
        <v>28</v>
      </c>
      <c r="Z1908">
        <v>100239</v>
      </c>
      <c r="AA1908" t="s">
        <v>482</v>
      </c>
      <c r="AB1908" t="s">
        <v>521</v>
      </c>
      <c r="AC1908" s="9">
        <v>2</v>
      </c>
      <c r="AD1908" s="9" t="str">
        <f t="shared" si="182"/>
        <v>Check</v>
      </c>
      <c r="AE1908" s="11">
        <f t="shared" si="184"/>
        <v>-218.32319999999982</v>
      </c>
    </row>
    <row r="1909" spans="1:31" x14ac:dyDescent="0.3">
      <c r="A1909">
        <v>24</v>
      </c>
      <c r="B1909">
        <v>4832480</v>
      </c>
      <c r="C1909" t="s">
        <v>38</v>
      </c>
      <c r="D1909">
        <v>1373071</v>
      </c>
      <c r="E1909" t="s">
        <v>559</v>
      </c>
      <c r="F1909" t="s">
        <v>20</v>
      </c>
      <c r="G1909" t="s">
        <v>1439</v>
      </c>
      <c r="H1909" t="s">
        <v>1440</v>
      </c>
      <c r="I1909" t="s">
        <v>3208</v>
      </c>
      <c r="J1909">
        <v>51156503103</v>
      </c>
      <c r="K1909" t="s">
        <v>3266</v>
      </c>
      <c r="L1909" t="s">
        <v>4564</v>
      </c>
      <c r="M1909">
        <v>208</v>
      </c>
      <c r="N1909" s="10">
        <v>1.0496000000000001</v>
      </c>
      <c r="O1909" s="10">
        <f t="shared" si="180"/>
        <v>218.31680000000003</v>
      </c>
      <c r="P1909" s="10" t="s">
        <v>5006</v>
      </c>
      <c r="Q1909" s="10" t="s">
        <v>5006</v>
      </c>
      <c r="R1909" s="10" t="str">
        <f>IF(COUNTIF($J$2:J1909,J1909)=1,SUMIFS($O:$O,$J:$J,J1909)+SUMIFS($P:$P,$J:$J,J1909)+SUMIFS($Q:$Q,$J:$J,J1909),"")</f>
        <v/>
      </c>
      <c r="S1909" s="10" t="s">
        <v>5006</v>
      </c>
      <c r="T1909" s="11" t="str">
        <f t="shared" si="183"/>
        <v>Check</v>
      </c>
      <c r="U1909" s="12">
        <v>45954</v>
      </c>
      <c r="V1909" s="10">
        <v>960</v>
      </c>
      <c r="W1909" s="10" t="str">
        <f t="shared" si="181"/>
        <v>N/A</v>
      </c>
      <c r="X1909" t="s">
        <v>474</v>
      </c>
      <c r="Y1909" t="s">
        <v>28</v>
      </c>
      <c r="Z1909">
        <v>100239</v>
      </c>
      <c r="AA1909" t="s">
        <v>482</v>
      </c>
      <c r="AB1909" t="s">
        <v>521</v>
      </c>
      <c r="AC1909" s="9">
        <v>2</v>
      </c>
      <c r="AD1909" s="9" t="str">
        <f t="shared" si="182"/>
        <v>N/A</v>
      </c>
      <c r="AE1909" s="11" t="e">
        <f t="shared" si="184"/>
        <v>#VALUE!</v>
      </c>
    </row>
    <row r="1910" spans="1:31" x14ac:dyDescent="0.3">
      <c r="A1910">
        <v>15</v>
      </c>
      <c r="B1910">
        <v>4883406</v>
      </c>
      <c r="C1910" t="s">
        <v>217</v>
      </c>
      <c r="D1910">
        <v>1160621</v>
      </c>
      <c r="E1910" t="s">
        <v>571</v>
      </c>
      <c r="F1910" t="s">
        <v>18</v>
      </c>
      <c r="G1910" t="s">
        <v>1674</v>
      </c>
      <c r="H1910" t="s">
        <v>1675</v>
      </c>
      <c r="I1910" t="s">
        <v>3181</v>
      </c>
      <c r="J1910">
        <v>51156537710</v>
      </c>
      <c r="K1910" t="s">
        <v>3209</v>
      </c>
      <c r="L1910" t="s">
        <v>4565</v>
      </c>
      <c r="M1910">
        <v>500</v>
      </c>
      <c r="N1910" s="10">
        <v>8.7385000000000002</v>
      </c>
      <c r="O1910" s="10">
        <f t="shared" si="180"/>
        <v>4369.25</v>
      </c>
      <c r="P1910" s="10">
        <v>812.12</v>
      </c>
      <c r="Q1910" s="10">
        <v>415.08</v>
      </c>
      <c r="R1910" s="10">
        <f>IF(COUNTIF($J$2:J1910,J1910)=1,SUMIFS($O:$O,$J:$J,J1910)+SUMIFS($P:$P,$J:$J,J1910)+SUMIFS($Q:$Q,$J:$J,J1910),"")</f>
        <v>15440.35</v>
      </c>
      <c r="S1910" s="10">
        <v>15440.35</v>
      </c>
      <c r="T1910" s="11" t="str">
        <f t="shared" si="183"/>
        <v>Ok</v>
      </c>
      <c r="U1910" s="12">
        <v>46080</v>
      </c>
      <c r="V1910" s="10">
        <v>4784.33</v>
      </c>
      <c r="W1910" s="10" t="str">
        <f t="shared" si="181"/>
        <v>Short Paid</v>
      </c>
      <c r="X1910" t="s">
        <v>468</v>
      </c>
      <c r="Y1910" t="s">
        <v>28</v>
      </c>
      <c r="Z1910">
        <v>100286</v>
      </c>
      <c r="AA1910" t="s">
        <v>3061</v>
      </c>
      <c r="AB1910" t="s">
        <v>523</v>
      </c>
      <c r="AC1910" s="9">
        <v>2</v>
      </c>
      <c r="AD1910" s="9" t="str">
        <f t="shared" si="182"/>
        <v>Ok</v>
      </c>
      <c r="AE1910" s="11">
        <f t="shared" si="184"/>
        <v>0</v>
      </c>
    </row>
    <row r="1911" spans="1:31" x14ac:dyDescent="0.3">
      <c r="A1911">
        <v>15</v>
      </c>
      <c r="B1911">
        <v>4883406</v>
      </c>
      <c r="C1911" t="s">
        <v>217</v>
      </c>
      <c r="D1911">
        <v>1160621</v>
      </c>
      <c r="E1911" t="s">
        <v>571</v>
      </c>
      <c r="F1911" t="s">
        <v>18</v>
      </c>
      <c r="G1911" t="s">
        <v>1674</v>
      </c>
      <c r="H1911" t="s">
        <v>1675</v>
      </c>
      <c r="I1911" t="s">
        <v>3250</v>
      </c>
      <c r="J1911">
        <v>51156537710</v>
      </c>
      <c r="K1911" t="s">
        <v>3168</v>
      </c>
      <c r="L1911" t="s">
        <v>3456</v>
      </c>
      <c r="M1911">
        <v>57000</v>
      </c>
      <c r="N1911" s="10">
        <v>0.17269999999999999</v>
      </c>
      <c r="O1911" s="10">
        <f t="shared" si="180"/>
        <v>9843.9</v>
      </c>
      <c r="P1911" s="10" t="s">
        <v>5006</v>
      </c>
      <c r="Q1911" s="10" t="s">
        <v>5006</v>
      </c>
      <c r="R1911" s="10" t="str">
        <f>IF(COUNTIF($J$2:J1911,J1911)=1,SUMIFS($O:$O,$J:$J,J1911)+SUMIFS($P:$P,$J:$J,J1911)+SUMIFS($Q:$Q,$J:$J,J1911),"")</f>
        <v/>
      </c>
      <c r="S1911" s="10" t="s">
        <v>5006</v>
      </c>
      <c r="T1911" s="11" t="str">
        <f t="shared" si="183"/>
        <v>Ok</v>
      </c>
      <c r="U1911" s="12">
        <v>46080</v>
      </c>
      <c r="V1911" s="10">
        <v>4784.33</v>
      </c>
      <c r="W1911" s="10" t="str">
        <f t="shared" si="181"/>
        <v>N/A</v>
      </c>
      <c r="X1911" t="s">
        <v>468</v>
      </c>
      <c r="Y1911" t="s">
        <v>28</v>
      </c>
      <c r="Z1911">
        <v>100286</v>
      </c>
      <c r="AA1911" t="s">
        <v>3061</v>
      </c>
      <c r="AB1911" t="s">
        <v>523</v>
      </c>
      <c r="AC1911" s="9">
        <v>2</v>
      </c>
      <c r="AD1911" s="9" t="str">
        <f t="shared" si="182"/>
        <v>N/A</v>
      </c>
      <c r="AE1911" s="11" t="e">
        <f t="shared" si="184"/>
        <v>#VALUE!</v>
      </c>
    </row>
    <row r="1912" spans="1:31" x14ac:dyDescent="0.3">
      <c r="A1912">
        <v>24</v>
      </c>
      <c r="B1912">
        <v>4831645</v>
      </c>
      <c r="C1912" t="s">
        <v>239</v>
      </c>
      <c r="D1912">
        <v>1038870</v>
      </c>
      <c r="E1912" t="s">
        <v>551</v>
      </c>
      <c r="F1912" t="s">
        <v>22</v>
      </c>
      <c r="G1912" t="s">
        <v>1427</v>
      </c>
      <c r="H1912" t="s">
        <v>1428</v>
      </c>
      <c r="I1912" t="s">
        <v>3204</v>
      </c>
      <c r="J1912">
        <v>51156568296</v>
      </c>
      <c r="K1912" t="s">
        <v>3203</v>
      </c>
      <c r="L1912" t="s">
        <v>4566</v>
      </c>
      <c r="M1912">
        <v>1500</v>
      </c>
      <c r="N1912" s="10">
        <v>0.121</v>
      </c>
      <c r="O1912" s="10">
        <f t="shared" si="180"/>
        <v>181.5</v>
      </c>
      <c r="P1912" s="10">
        <v>124.43</v>
      </c>
      <c r="Q1912" s="10">
        <v>0</v>
      </c>
      <c r="R1912" s="10">
        <f>IF(COUNTIF($J$2:J1912,J1912)=1,SUMIFS($O:$O,$J:$J,J1912)+SUMIFS($P:$P,$J:$J,J1912)+SUMIFS($Q:$Q,$J:$J,J1912),"")</f>
        <v>1814.2280000000001</v>
      </c>
      <c r="S1912" s="10">
        <v>1814.23</v>
      </c>
      <c r="T1912" s="11" t="str">
        <f t="shared" si="183"/>
        <v>Check</v>
      </c>
      <c r="U1912" s="12">
        <v>45975</v>
      </c>
      <c r="V1912" s="10">
        <v>181.5</v>
      </c>
      <c r="W1912" s="10" t="str">
        <f t="shared" si="181"/>
        <v>Short Paid</v>
      </c>
      <c r="X1912" t="s">
        <v>476</v>
      </c>
      <c r="Y1912" t="s">
        <v>28</v>
      </c>
      <c r="Z1912">
        <v>100165</v>
      </c>
      <c r="AA1912" t="s">
        <v>3100</v>
      </c>
      <c r="AB1912" t="s">
        <v>3035</v>
      </c>
      <c r="AC1912" s="9">
        <v>2</v>
      </c>
      <c r="AD1912" s="9" t="str">
        <f t="shared" si="182"/>
        <v>Check</v>
      </c>
      <c r="AE1912" s="11">
        <f t="shared" si="184"/>
        <v>-1.9999999999527063E-3</v>
      </c>
    </row>
    <row r="1913" spans="1:31" x14ac:dyDescent="0.3">
      <c r="A1913">
        <v>24</v>
      </c>
      <c r="B1913">
        <v>4831645</v>
      </c>
      <c r="C1913" t="s">
        <v>239</v>
      </c>
      <c r="D1913">
        <v>1038870</v>
      </c>
      <c r="E1913" t="s">
        <v>551</v>
      </c>
      <c r="F1913" t="s">
        <v>22</v>
      </c>
      <c r="G1913" t="s">
        <v>1427</v>
      </c>
      <c r="H1913" t="s">
        <v>1428</v>
      </c>
      <c r="I1913" t="s">
        <v>3367</v>
      </c>
      <c r="J1913">
        <v>51156568296</v>
      </c>
      <c r="K1913" t="s">
        <v>3226</v>
      </c>
      <c r="L1913" t="s">
        <v>4567</v>
      </c>
      <c r="M1913">
        <v>3300</v>
      </c>
      <c r="N1913" s="10">
        <v>0.45706000000000002</v>
      </c>
      <c r="O1913" s="10">
        <f t="shared" si="180"/>
        <v>1508.298</v>
      </c>
      <c r="P1913" s="10" t="s">
        <v>5006</v>
      </c>
      <c r="Q1913" s="10" t="s">
        <v>5006</v>
      </c>
      <c r="R1913" s="10" t="str">
        <f>IF(COUNTIF($J$2:J1913,J1913)=1,SUMIFS($O:$O,$J:$J,J1913)+SUMIFS($P:$P,$J:$J,J1913)+SUMIFS($Q:$Q,$J:$J,J1913),"")</f>
        <v/>
      </c>
      <c r="S1913" s="10" t="s">
        <v>5006</v>
      </c>
      <c r="T1913" s="11" t="str">
        <f t="shared" si="183"/>
        <v>Check</v>
      </c>
      <c r="U1913" s="12">
        <v>45975</v>
      </c>
      <c r="V1913" s="10">
        <v>181.5</v>
      </c>
      <c r="W1913" s="10" t="str">
        <f t="shared" si="181"/>
        <v>N/A</v>
      </c>
      <c r="X1913" t="s">
        <v>476</v>
      </c>
      <c r="Y1913" t="s">
        <v>28</v>
      </c>
      <c r="Z1913">
        <v>100165</v>
      </c>
      <c r="AA1913" t="s">
        <v>3100</v>
      </c>
      <c r="AB1913" t="s">
        <v>3035</v>
      </c>
      <c r="AC1913" s="9">
        <v>2</v>
      </c>
      <c r="AD1913" s="9" t="str">
        <f t="shared" si="182"/>
        <v>N/A</v>
      </c>
      <c r="AE1913" s="11" t="e">
        <f t="shared" si="184"/>
        <v>#VALUE!</v>
      </c>
    </row>
    <row r="1914" spans="1:31" x14ac:dyDescent="0.3">
      <c r="A1914">
        <v>6</v>
      </c>
      <c r="B1914">
        <v>4934054</v>
      </c>
      <c r="C1914" t="s">
        <v>160</v>
      </c>
      <c r="D1914">
        <v>1422097</v>
      </c>
      <c r="E1914" t="s">
        <v>388</v>
      </c>
      <c r="F1914" t="s">
        <v>19</v>
      </c>
      <c r="G1914" t="s">
        <v>1799</v>
      </c>
      <c r="H1914" t="s">
        <v>1800</v>
      </c>
      <c r="I1914" t="s">
        <v>3435</v>
      </c>
      <c r="J1914">
        <v>51156568398</v>
      </c>
      <c r="K1914" t="s">
        <v>3177</v>
      </c>
      <c r="L1914" t="s">
        <v>4568</v>
      </c>
      <c r="M1914">
        <v>1</v>
      </c>
      <c r="N1914" s="10">
        <v>760</v>
      </c>
      <c r="O1914" s="10">
        <f t="shared" si="180"/>
        <v>760</v>
      </c>
      <c r="P1914" s="10">
        <v>0</v>
      </c>
      <c r="Q1914" s="10">
        <v>3732.3599999999997</v>
      </c>
      <c r="R1914" s="10">
        <f>IF(COUNTIF($J$2:J1914,J1914)=1,SUMIFS($O:$O,$J:$J,J1914)+SUMIFS($P:$P,$J:$J,J1914)+SUMIFS($Q:$Q,$J:$J,J1914),"")</f>
        <v>32941.799999999996</v>
      </c>
      <c r="S1914" s="10">
        <v>35466.949999999997</v>
      </c>
      <c r="T1914" s="11" t="str">
        <f t="shared" si="183"/>
        <v>Check</v>
      </c>
      <c r="U1914" s="12">
        <v>46122</v>
      </c>
      <c r="V1914" s="10">
        <v>6096.45</v>
      </c>
      <c r="W1914" s="10" t="str">
        <f t="shared" si="181"/>
        <v>Short Paid</v>
      </c>
      <c r="X1914" t="s">
        <v>453</v>
      </c>
      <c r="Y1914" t="s">
        <v>28</v>
      </c>
      <c r="Z1914">
        <v>100124</v>
      </c>
      <c r="AA1914" t="s">
        <v>486</v>
      </c>
      <c r="AB1914" t="s">
        <v>524</v>
      </c>
      <c r="AC1914" s="9">
        <v>3</v>
      </c>
      <c r="AD1914" s="9" t="str">
        <f t="shared" si="182"/>
        <v>Check</v>
      </c>
      <c r="AE1914" s="11">
        <f t="shared" si="184"/>
        <v>-2525.1500000000015</v>
      </c>
    </row>
    <row r="1915" spans="1:31" x14ac:dyDescent="0.3">
      <c r="A1915">
        <v>6</v>
      </c>
      <c r="B1915">
        <v>4934054</v>
      </c>
      <c r="C1915" t="s">
        <v>160</v>
      </c>
      <c r="D1915">
        <v>1422097</v>
      </c>
      <c r="E1915" t="s">
        <v>388</v>
      </c>
      <c r="F1915" t="s">
        <v>19</v>
      </c>
      <c r="G1915" t="s">
        <v>1799</v>
      </c>
      <c r="H1915" t="s">
        <v>1800</v>
      </c>
      <c r="I1915" t="s">
        <v>3435</v>
      </c>
      <c r="J1915">
        <v>51156568398</v>
      </c>
      <c r="K1915" t="s">
        <v>3177</v>
      </c>
      <c r="L1915" t="s">
        <v>4569</v>
      </c>
      <c r="M1915">
        <v>298</v>
      </c>
      <c r="N1915" s="10">
        <v>88.28</v>
      </c>
      <c r="O1915" s="10">
        <f t="shared" si="180"/>
        <v>26307.439999999999</v>
      </c>
      <c r="P1915" s="10" t="s">
        <v>5006</v>
      </c>
      <c r="Q1915" s="10" t="s">
        <v>5006</v>
      </c>
      <c r="R1915" s="10" t="str">
        <f>IF(COUNTIF($J$2:J1915,J1915)=1,SUMIFS($O:$O,$J:$J,J1915)+SUMIFS($P:$P,$J:$J,J1915)+SUMIFS($Q:$Q,$J:$J,J1915),"")</f>
        <v/>
      </c>
      <c r="S1915" s="10" t="s">
        <v>5006</v>
      </c>
      <c r="T1915" s="11" t="str">
        <f t="shared" si="183"/>
        <v>Check</v>
      </c>
      <c r="U1915" s="12">
        <v>46122</v>
      </c>
      <c r="V1915" s="10">
        <v>6096.45</v>
      </c>
      <c r="W1915" s="10" t="str">
        <f t="shared" si="181"/>
        <v>N/A</v>
      </c>
      <c r="X1915" t="s">
        <v>453</v>
      </c>
      <c r="Y1915" t="s">
        <v>28</v>
      </c>
      <c r="Z1915">
        <v>100124</v>
      </c>
      <c r="AA1915" t="s">
        <v>486</v>
      </c>
      <c r="AB1915" t="s">
        <v>524</v>
      </c>
      <c r="AC1915" s="9">
        <v>3</v>
      </c>
      <c r="AD1915" s="9" t="str">
        <f t="shared" si="182"/>
        <v>N/A</v>
      </c>
      <c r="AE1915" s="11" t="e">
        <f t="shared" si="184"/>
        <v>#VALUE!</v>
      </c>
    </row>
    <row r="1916" spans="1:31" x14ac:dyDescent="0.3">
      <c r="A1916">
        <v>6</v>
      </c>
      <c r="B1916">
        <v>4934054</v>
      </c>
      <c r="C1916" t="s">
        <v>160</v>
      </c>
      <c r="D1916">
        <v>1422097</v>
      </c>
      <c r="E1916" t="s">
        <v>388</v>
      </c>
      <c r="F1916" t="s">
        <v>19</v>
      </c>
      <c r="G1916" t="s">
        <v>1799</v>
      </c>
      <c r="H1916" t="s">
        <v>1800</v>
      </c>
      <c r="I1916" t="s">
        <v>3350</v>
      </c>
      <c r="J1916">
        <v>51156568398</v>
      </c>
      <c r="K1916" t="s">
        <v>4571</v>
      </c>
      <c r="L1916" t="s">
        <v>4570</v>
      </c>
      <c r="M1916">
        <v>1000</v>
      </c>
      <c r="N1916" s="10">
        <v>2.1419999999999999</v>
      </c>
      <c r="O1916" s="10">
        <f t="shared" si="180"/>
        <v>2142</v>
      </c>
      <c r="P1916" s="10" t="s">
        <v>5006</v>
      </c>
      <c r="Q1916" s="10" t="s">
        <v>5006</v>
      </c>
      <c r="R1916" s="10" t="str">
        <f>IF(COUNTIF($J$2:J1916,J1916)=1,SUMIFS($O:$O,$J:$J,J1916)+SUMIFS($P:$P,$J:$J,J1916)+SUMIFS($Q:$Q,$J:$J,J1916),"")</f>
        <v/>
      </c>
      <c r="S1916" s="10" t="s">
        <v>5006</v>
      </c>
      <c r="T1916" s="11" t="str">
        <f t="shared" si="183"/>
        <v>Check</v>
      </c>
      <c r="U1916" s="12">
        <v>46122</v>
      </c>
      <c r="V1916" s="10">
        <v>6096.45</v>
      </c>
      <c r="W1916" s="10" t="str">
        <f t="shared" si="181"/>
        <v>N/A</v>
      </c>
      <c r="X1916" t="s">
        <v>453</v>
      </c>
      <c r="Y1916" t="s">
        <v>28</v>
      </c>
      <c r="Z1916">
        <v>100124</v>
      </c>
      <c r="AA1916" t="s">
        <v>486</v>
      </c>
      <c r="AB1916" t="s">
        <v>524</v>
      </c>
      <c r="AC1916" s="9">
        <v>3</v>
      </c>
      <c r="AD1916" s="9" t="str">
        <f t="shared" si="182"/>
        <v>N/A</v>
      </c>
      <c r="AE1916" s="11" t="e">
        <f t="shared" si="184"/>
        <v>#VALUE!</v>
      </c>
    </row>
    <row r="1917" spans="1:31" x14ac:dyDescent="0.3">
      <c r="A1917">
        <v>24</v>
      </c>
      <c r="B1917">
        <v>4831367</v>
      </c>
      <c r="C1917" t="s">
        <v>220</v>
      </c>
      <c r="D1917">
        <v>1855679</v>
      </c>
      <c r="E1917" t="s">
        <v>699</v>
      </c>
      <c r="F1917" t="s">
        <v>47</v>
      </c>
      <c r="G1917" t="s">
        <v>1466</v>
      </c>
      <c r="H1917" t="s">
        <v>1467</v>
      </c>
      <c r="I1917" t="s">
        <v>3219</v>
      </c>
      <c r="J1917">
        <v>51156568467</v>
      </c>
      <c r="K1917" t="s">
        <v>3209</v>
      </c>
      <c r="L1917" t="s">
        <v>4572</v>
      </c>
      <c r="M1917">
        <v>10000</v>
      </c>
      <c r="N1917" s="10">
        <v>1.4E-2</v>
      </c>
      <c r="O1917" s="10">
        <f t="shared" si="180"/>
        <v>140</v>
      </c>
      <c r="P1917" s="10">
        <v>100.57</v>
      </c>
      <c r="Q1917" s="10">
        <v>13.3</v>
      </c>
      <c r="R1917" s="10">
        <f>IF(COUNTIF($J$2:J1917,J1917)=1,SUMIFS($O:$O,$J:$J,J1917)+SUMIFS($P:$P,$J:$J,J1917)+SUMIFS($Q:$Q,$J:$J,J1917),"")</f>
        <v>1472.9199999999998</v>
      </c>
      <c r="S1917" s="10">
        <v>1491.3799999999999</v>
      </c>
      <c r="T1917" s="11" t="str">
        <f t="shared" si="183"/>
        <v>Check</v>
      </c>
      <c r="U1917" s="12">
        <v>46155</v>
      </c>
      <c r="V1917" s="10">
        <v>171.76</v>
      </c>
      <c r="W1917" s="10" t="str">
        <f t="shared" si="181"/>
        <v>Short Paid</v>
      </c>
      <c r="X1917" t="s">
        <v>470</v>
      </c>
      <c r="Y1917" t="s">
        <v>28</v>
      </c>
      <c r="Z1917">
        <v>100158</v>
      </c>
      <c r="AA1917" t="s">
        <v>510</v>
      </c>
      <c r="AB1917" t="s">
        <v>3039</v>
      </c>
      <c r="AC1917" s="9">
        <v>2</v>
      </c>
      <c r="AD1917" s="9" t="str">
        <f t="shared" si="182"/>
        <v>Check</v>
      </c>
      <c r="AE1917" s="11">
        <f t="shared" si="184"/>
        <v>-18.460000000000036</v>
      </c>
    </row>
    <row r="1918" spans="1:31" x14ac:dyDescent="0.3">
      <c r="A1918">
        <v>24</v>
      </c>
      <c r="B1918">
        <v>4831367</v>
      </c>
      <c r="C1918" t="s">
        <v>220</v>
      </c>
      <c r="D1918">
        <v>1855679</v>
      </c>
      <c r="E1918" t="s">
        <v>699</v>
      </c>
      <c r="F1918" t="s">
        <v>47</v>
      </c>
      <c r="G1918" t="s">
        <v>1466</v>
      </c>
      <c r="H1918" t="s">
        <v>1467</v>
      </c>
      <c r="I1918" t="s">
        <v>3476</v>
      </c>
      <c r="J1918">
        <v>51156568467</v>
      </c>
      <c r="K1918" t="s">
        <v>3661</v>
      </c>
      <c r="L1918" t="s">
        <v>4573</v>
      </c>
      <c r="M1918">
        <v>3000</v>
      </c>
      <c r="N1918" s="10">
        <v>0.40634999999999999</v>
      </c>
      <c r="O1918" s="10">
        <f t="shared" si="180"/>
        <v>1219.05</v>
      </c>
      <c r="P1918" s="10" t="s">
        <v>5006</v>
      </c>
      <c r="Q1918" s="10" t="s">
        <v>5006</v>
      </c>
      <c r="R1918" s="10" t="str">
        <f>IF(COUNTIF($J$2:J1918,J1918)=1,SUMIFS($O:$O,$J:$J,J1918)+SUMIFS($P:$P,$J:$J,J1918)+SUMIFS($Q:$Q,$J:$J,J1918),"")</f>
        <v/>
      </c>
      <c r="S1918" s="10" t="s">
        <v>5006</v>
      </c>
      <c r="T1918" s="11" t="str">
        <f t="shared" si="183"/>
        <v>Check</v>
      </c>
      <c r="U1918" s="12">
        <v>46155</v>
      </c>
      <c r="V1918" s="10">
        <v>171.76</v>
      </c>
      <c r="W1918" s="10" t="str">
        <f t="shared" si="181"/>
        <v>N/A</v>
      </c>
      <c r="X1918" t="s">
        <v>470</v>
      </c>
      <c r="Y1918" t="s">
        <v>28</v>
      </c>
      <c r="Z1918">
        <v>100158</v>
      </c>
      <c r="AA1918" t="s">
        <v>510</v>
      </c>
      <c r="AB1918" t="s">
        <v>3039</v>
      </c>
      <c r="AC1918" s="9">
        <v>2</v>
      </c>
      <c r="AD1918" s="9" t="str">
        <f t="shared" si="182"/>
        <v>N/A</v>
      </c>
      <c r="AE1918" s="11" t="e">
        <f t="shared" si="184"/>
        <v>#VALUE!</v>
      </c>
    </row>
    <row r="1919" spans="1:31" x14ac:dyDescent="0.3">
      <c r="A1919">
        <v>24</v>
      </c>
      <c r="B1919">
        <v>4831088</v>
      </c>
      <c r="C1919" t="s">
        <v>38</v>
      </c>
      <c r="D1919">
        <v>1478191</v>
      </c>
      <c r="E1919" t="s">
        <v>717</v>
      </c>
      <c r="F1919" t="s">
        <v>23</v>
      </c>
      <c r="G1919" t="s">
        <v>1464</v>
      </c>
      <c r="H1919" t="s">
        <v>1465</v>
      </c>
      <c r="I1919" t="s">
        <v>3333</v>
      </c>
      <c r="J1919">
        <v>51156568598</v>
      </c>
      <c r="K1919" t="s">
        <v>3271</v>
      </c>
      <c r="L1919" t="s">
        <v>4574</v>
      </c>
      <c r="M1919">
        <v>2000</v>
      </c>
      <c r="N1919" s="10">
        <v>3.5</v>
      </c>
      <c r="O1919" s="10">
        <f t="shared" si="180"/>
        <v>7000</v>
      </c>
      <c r="P1919" s="10">
        <v>1093.72</v>
      </c>
      <c r="Q1919" s="10">
        <v>0</v>
      </c>
      <c r="R1919" s="10">
        <f>IF(COUNTIF($J$2:J1919,J1919)=1,SUMIFS($O:$O,$J:$J,J1919)+SUMIFS($P:$P,$J:$J,J1919)+SUMIFS($Q:$Q,$J:$J,J1919),"")</f>
        <v>10320.619999999999</v>
      </c>
      <c r="S1919" s="10">
        <v>10320.619999999999</v>
      </c>
      <c r="T1919" s="11" t="str">
        <f t="shared" si="183"/>
        <v>Ok</v>
      </c>
      <c r="U1919" s="12">
        <v>46128</v>
      </c>
      <c r="V1919" s="10">
        <v>7910</v>
      </c>
      <c r="W1919" s="10" t="str">
        <f t="shared" si="181"/>
        <v>Short Paid</v>
      </c>
      <c r="X1919" t="s">
        <v>474</v>
      </c>
      <c r="Y1919" t="s">
        <v>436</v>
      </c>
      <c r="Z1919">
        <v>100179</v>
      </c>
      <c r="AA1919" t="s">
        <v>3130</v>
      </c>
      <c r="AB1919" t="s">
        <v>520</v>
      </c>
      <c r="AC1919" s="9">
        <v>2</v>
      </c>
      <c r="AD1919" s="9" t="str">
        <f t="shared" si="182"/>
        <v>Ok</v>
      </c>
      <c r="AE1919" s="11">
        <f t="shared" si="184"/>
        <v>0</v>
      </c>
    </row>
    <row r="1920" spans="1:31" x14ac:dyDescent="0.3">
      <c r="A1920">
        <v>24</v>
      </c>
      <c r="B1920">
        <v>4831088</v>
      </c>
      <c r="C1920" t="s">
        <v>38</v>
      </c>
      <c r="D1920">
        <v>1478191</v>
      </c>
      <c r="E1920" t="s">
        <v>717</v>
      </c>
      <c r="F1920" t="s">
        <v>23</v>
      </c>
      <c r="G1920" t="s">
        <v>1464</v>
      </c>
      <c r="H1920" t="s">
        <v>1465</v>
      </c>
      <c r="I1920" t="s">
        <v>3451</v>
      </c>
      <c r="J1920">
        <v>51156568598</v>
      </c>
      <c r="K1920" t="s">
        <v>3351</v>
      </c>
      <c r="L1920" t="s">
        <v>4575</v>
      </c>
      <c r="M1920">
        <v>2500</v>
      </c>
      <c r="N1920" s="10">
        <v>0.89076</v>
      </c>
      <c r="O1920" s="10">
        <f t="shared" si="180"/>
        <v>2226.9</v>
      </c>
      <c r="P1920" s="10" t="s">
        <v>5006</v>
      </c>
      <c r="Q1920" s="10" t="s">
        <v>5006</v>
      </c>
      <c r="R1920" s="10" t="str">
        <f>IF(COUNTIF($J$2:J1920,J1920)=1,SUMIFS($O:$O,$J:$J,J1920)+SUMIFS($P:$P,$J:$J,J1920)+SUMIFS($Q:$Q,$J:$J,J1920),"")</f>
        <v/>
      </c>
      <c r="S1920" s="10" t="s">
        <v>5006</v>
      </c>
      <c r="T1920" s="11" t="str">
        <f t="shared" si="183"/>
        <v>Ok</v>
      </c>
      <c r="U1920" s="12">
        <v>46128</v>
      </c>
      <c r="V1920" s="10">
        <v>7910</v>
      </c>
      <c r="W1920" s="10" t="str">
        <f t="shared" si="181"/>
        <v>N/A</v>
      </c>
      <c r="X1920" t="s">
        <v>474</v>
      </c>
      <c r="Y1920" t="s">
        <v>436</v>
      </c>
      <c r="Z1920">
        <v>100179</v>
      </c>
      <c r="AA1920" t="s">
        <v>3130</v>
      </c>
      <c r="AB1920" t="s">
        <v>520</v>
      </c>
      <c r="AC1920" s="9">
        <v>2</v>
      </c>
      <c r="AD1920" s="9" t="str">
        <f t="shared" si="182"/>
        <v>N/A</v>
      </c>
      <c r="AE1920" s="11" t="e">
        <f t="shared" si="184"/>
        <v>#VALUE!</v>
      </c>
    </row>
    <row r="1921" spans="1:31" x14ac:dyDescent="0.3">
      <c r="A1921">
        <v>24</v>
      </c>
      <c r="B1921">
        <v>4830810</v>
      </c>
      <c r="C1921" t="s">
        <v>220</v>
      </c>
      <c r="D1921">
        <v>1482942</v>
      </c>
      <c r="E1921" t="s">
        <v>716</v>
      </c>
      <c r="F1921" t="s">
        <v>20</v>
      </c>
      <c r="G1921" t="s">
        <v>1462</v>
      </c>
      <c r="H1921" t="s">
        <v>1463</v>
      </c>
      <c r="I1921" t="s">
        <v>3200</v>
      </c>
      <c r="J1921">
        <v>51156568689</v>
      </c>
      <c r="K1921" t="s">
        <v>3168</v>
      </c>
      <c r="L1921" t="s">
        <v>3499</v>
      </c>
      <c r="M1921">
        <v>120000</v>
      </c>
      <c r="N1921" s="10">
        <v>4.65E-2</v>
      </c>
      <c r="O1921" s="10">
        <f t="shared" si="180"/>
        <v>5580</v>
      </c>
      <c r="P1921" s="10">
        <v>1358.85</v>
      </c>
      <c r="Q1921" s="10">
        <v>0</v>
      </c>
      <c r="R1921" s="10">
        <f>IF(COUNTIF($J$2:J1921,J1921)=1,SUMIFS($O:$O,$J:$J,J1921)+SUMIFS($P:$P,$J:$J,J1921)+SUMIFS($Q:$Q,$J:$J,J1921),"")</f>
        <v>12938.85</v>
      </c>
      <c r="S1921" s="10">
        <v>12938.85</v>
      </c>
      <c r="T1921" s="11" t="str">
        <f t="shared" si="183"/>
        <v>Ok</v>
      </c>
      <c r="U1921" s="12">
        <v>46143</v>
      </c>
      <c r="V1921" s="10">
        <v>6898.5</v>
      </c>
      <c r="W1921" s="10" t="str">
        <f t="shared" si="181"/>
        <v>Short Paid</v>
      </c>
      <c r="X1921" t="s">
        <v>470</v>
      </c>
      <c r="Y1921" t="s">
        <v>28</v>
      </c>
      <c r="Z1921">
        <v>100118</v>
      </c>
      <c r="AA1921" t="s">
        <v>494</v>
      </c>
      <c r="AB1921" t="s">
        <v>521</v>
      </c>
      <c r="AC1921" s="9">
        <v>2</v>
      </c>
      <c r="AD1921" s="9" t="str">
        <f t="shared" si="182"/>
        <v>Ok</v>
      </c>
      <c r="AE1921" s="11">
        <f t="shared" si="184"/>
        <v>0</v>
      </c>
    </row>
    <row r="1922" spans="1:31" x14ac:dyDescent="0.3">
      <c r="A1922">
        <v>24</v>
      </c>
      <c r="B1922">
        <v>4830810</v>
      </c>
      <c r="C1922" t="s">
        <v>220</v>
      </c>
      <c r="D1922">
        <v>1482942</v>
      </c>
      <c r="E1922" t="s">
        <v>716</v>
      </c>
      <c r="F1922" t="s">
        <v>20</v>
      </c>
      <c r="G1922" t="s">
        <v>1462</v>
      </c>
      <c r="H1922" t="s">
        <v>1463</v>
      </c>
      <c r="I1922" t="s">
        <v>3498</v>
      </c>
      <c r="J1922">
        <v>51156568689</v>
      </c>
      <c r="K1922" t="s">
        <v>4577</v>
      </c>
      <c r="L1922" t="s">
        <v>4576</v>
      </c>
      <c r="M1922">
        <v>20</v>
      </c>
      <c r="N1922" s="10">
        <v>300</v>
      </c>
      <c r="O1922" s="10">
        <f t="shared" ref="O1922:O1985" si="185">M1922*N1922</f>
        <v>6000</v>
      </c>
      <c r="P1922" s="10" t="s">
        <v>5006</v>
      </c>
      <c r="Q1922" s="10" t="s">
        <v>5006</v>
      </c>
      <c r="R1922" s="10" t="str">
        <f>IF(COUNTIF($J$2:J1922,J1922)=1,SUMIFS($O:$O,$J:$J,J1922)+SUMIFS($P:$P,$J:$J,J1922)+SUMIFS($Q:$Q,$J:$J,J1922),"")</f>
        <v/>
      </c>
      <c r="S1922" s="10" t="s">
        <v>5006</v>
      </c>
      <c r="T1922" s="11" t="str">
        <f t="shared" si="183"/>
        <v>Ok</v>
      </c>
      <c r="U1922" s="12">
        <v>46143</v>
      </c>
      <c r="V1922" s="10">
        <v>6898.5</v>
      </c>
      <c r="W1922" s="10" t="str">
        <f t="shared" ref="W1922:W1985" si="186">IF(OR(S1922="",V1922=""),"N/A",IF(S1922&lt;&gt;V1922,"Short Paid","Not Paid"))</f>
        <v>N/A</v>
      </c>
      <c r="X1922" t="s">
        <v>470</v>
      </c>
      <c r="Y1922" t="s">
        <v>28</v>
      </c>
      <c r="Z1922">
        <v>100118</v>
      </c>
      <c r="AA1922" t="s">
        <v>494</v>
      </c>
      <c r="AB1922" t="s">
        <v>521</v>
      </c>
      <c r="AC1922" s="9">
        <v>2</v>
      </c>
      <c r="AD1922" s="9" t="str">
        <f t="shared" ref="AD1922:AD1985" si="187">IF(AND(R1922="",S1922=""),"N/A",IF(R1922=S1922,"Ok","Check"))</f>
        <v>N/A</v>
      </c>
      <c r="AE1922" s="11" t="e">
        <f t="shared" si="184"/>
        <v>#VALUE!</v>
      </c>
    </row>
    <row r="1923" spans="1:31" x14ac:dyDescent="0.3">
      <c r="A1923">
        <v>15</v>
      </c>
      <c r="B1923">
        <v>4885354</v>
      </c>
      <c r="C1923" t="s">
        <v>220</v>
      </c>
      <c r="D1923">
        <v>1124420</v>
      </c>
      <c r="E1923" t="s">
        <v>221</v>
      </c>
      <c r="F1923" t="s">
        <v>20</v>
      </c>
      <c r="G1923" t="s">
        <v>1682</v>
      </c>
      <c r="H1923" t="s">
        <v>1683</v>
      </c>
      <c r="I1923" t="s">
        <v>3254</v>
      </c>
      <c r="J1923">
        <v>51156633673</v>
      </c>
      <c r="K1923" t="s">
        <v>3209</v>
      </c>
      <c r="L1923" t="s">
        <v>3547</v>
      </c>
      <c r="M1923">
        <v>30000</v>
      </c>
      <c r="N1923" s="10">
        <v>2.07E-2</v>
      </c>
      <c r="O1923" s="10">
        <f t="shared" si="185"/>
        <v>621</v>
      </c>
      <c r="P1923" s="10">
        <v>51.23</v>
      </c>
      <c r="Q1923" s="10">
        <v>0</v>
      </c>
      <c r="R1923" s="10">
        <f>IF(COUNTIF($J$2:J1923,J1923)=1,SUMIFS($O:$O,$J:$J,J1923)+SUMIFS($P:$P,$J:$J,J1923)+SUMIFS($Q:$Q,$J:$J,J1923),"")</f>
        <v>16877.329999999998</v>
      </c>
      <c r="S1923" s="10">
        <v>16877.330000000002</v>
      </c>
      <c r="T1923" s="11" t="str">
        <f t="shared" ref="T1923:T1986" si="188">IFERROR(INDEX(AD:AD,MATCH(J1923,J:J,0)),"")</f>
        <v>Ok</v>
      </c>
      <c r="U1923" s="12">
        <v>46043</v>
      </c>
      <c r="V1923" s="10">
        <v>16205.1</v>
      </c>
      <c r="W1923" s="10" t="str">
        <f t="shared" si="186"/>
        <v>Short Paid</v>
      </c>
      <c r="X1923" t="s">
        <v>470</v>
      </c>
      <c r="Y1923" t="s">
        <v>28</v>
      </c>
      <c r="Z1923">
        <v>100238</v>
      </c>
      <c r="AA1923" t="s">
        <v>3078</v>
      </c>
      <c r="AB1923" t="s">
        <v>521</v>
      </c>
      <c r="AC1923" s="9">
        <v>2</v>
      </c>
      <c r="AD1923" s="9" t="str">
        <f t="shared" si="187"/>
        <v>Ok</v>
      </c>
      <c r="AE1923" s="11">
        <f t="shared" si="184"/>
        <v>0</v>
      </c>
    </row>
    <row r="1924" spans="1:31" x14ac:dyDescent="0.3">
      <c r="A1924">
        <v>15</v>
      </c>
      <c r="B1924">
        <v>4885354</v>
      </c>
      <c r="C1924" t="s">
        <v>220</v>
      </c>
      <c r="D1924">
        <v>1124420</v>
      </c>
      <c r="E1924" t="s">
        <v>221</v>
      </c>
      <c r="F1924" t="s">
        <v>20</v>
      </c>
      <c r="G1924" t="s">
        <v>1682</v>
      </c>
      <c r="H1924" t="s">
        <v>1683</v>
      </c>
      <c r="I1924" t="s">
        <v>3357</v>
      </c>
      <c r="J1924">
        <v>51156633673</v>
      </c>
      <c r="K1924" t="s">
        <v>3244</v>
      </c>
      <c r="L1924" t="s">
        <v>3518</v>
      </c>
      <c r="M1924">
        <v>114</v>
      </c>
      <c r="N1924" s="10">
        <v>142.15</v>
      </c>
      <c r="O1924" s="10">
        <f t="shared" si="185"/>
        <v>16205.1</v>
      </c>
      <c r="P1924" s="10" t="s">
        <v>5006</v>
      </c>
      <c r="Q1924" s="10" t="s">
        <v>5006</v>
      </c>
      <c r="R1924" s="10" t="str">
        <f>IF(COUNTIF($J$2:J1924,J1924)=1,SUMIFS($O:$O,$J:$J,J1924)+SUMIFS($P:$P,$J:$J,J1924)+SUMIFS($Q:$Q,$J:$J,J1924),"")</f>
        <v/>
      </c>
      <c r="S1924" s="10" t="s">
        <v>5006</v>
      </c>
      <c r="T1924" s="11" t="str">
        <f t="shared" si="188"/>
        <v>Ok</v>
      </c>
      <c r="U1924" s="12">
        <v>46043</v>
      </c>
      <c r="V1924" s="10">
        <v>16205.1</v>
      </c>
      <c r="W1924" s="10" t="str">
        <f t="shared" si="186"/>
        <v>N/A</v>
      </c>
      <c r="X1924" t="s">
        <v>470</v>
      </c>
      <c r="Y1924" t="s">
        <v>28</v>
      </c>
      <c r="Z1924">
        <v>100238</v>
      </c>
      <c r="AA1924" t="s">
        <v>3078</v>
      </c>
      <c r="AB1924" t="s">
        <v>521</v>
      </c>
      <c r="AC1924" s="9">
        <v>2</v>
      </c>
      <c r="AD1924" s="9" t="str">
        <f t="shared" si="187"/>
        <v>N/A</v>
      </c>
      <c r="AE1924" s="11" t="e">
        <f t="shared" si="184"/>
        <v>#VALUE!</v>
      </c>
    </row>
    <row r="1925" spans="1:31" x14ac:dyDescent="0.3">
      <c r="A1925">
        <v>14</v>
      </c>
      <c r="B1925">
        <v>4889528</v>
      </c>
      <c r="C1925" t="s">
        <v>220</v>
      </c>
      <c r="D1925">
        <v>1469829</v>
      </c>
      <c r="E1925" t="s">
        <v>224</v>
      </c>
      <c r="F1925" t="s">
        <v>19</v>
      </c>
      <c r="G1925" t="s">
        <v>1702</v>
      </c>
      <c r="H1925" t="s">
        <v>1703</v>
      </c>
      <c r="I1925" t="s">
        <v>3453</v>
      </c>
      <c r="J1925">
        <v>51156644808</v>
      </c>
      <c r="K1925" t="s">
        <v>3375</v>
      </c>
      <c r="L1925" t="s">
        <v>4578</v>
      </c>
      <c r="M1925">
        <v>32000</v>
      </c>
      <c r="N1925" s="10">
        <v>1.0197000000000001</v>
      </c>
      <c r="O1925" s="10">
        <f t="shared" si="185"/>
        <v>32630.400000000001</v>
      </c>
      <c r="P1925" s="10">
        <v>0</v>
      </c>
      <c r="Q1925" s="10">
        <v>0</v>
      </c>
      <c r="R1925" s="10">
        <f>IF(COUNTIF($J$2:J1925,J1925)=1,SUMIFS($O:$O,$J:$J,J1925)+SUMIFS($P:$P,$J:$J,J1925)+SUMIFS($Q:$Q,$J:$J,J1925),"")</f>
        <v>33669.340000000004</v>
      </c>
      <c r="S1925" s="10">
        <v>33669.340000000004</v>
      </c>
      <c r="T1925" s="11" t="str">
        <f t="shared" si="188"/>
        <v>Ok</v>
      </c>
      <c r="U1925" s="12">
        <v>46080</v>
      </c>
      <c r="V1925" s="10">
        <v>175</v>
      </c>
      <c r="W1925" s="10" t="str">
        <f t="shared" si="186"/>
        <v>Short Paid</v>
      </c>
      <c r="X1925" t="s">
        <v>470</v>
      </c>
      <c r="Y1925" t="s">
        <v>28</v>
      </c>
      <c r="Z1925">
        <v>100128</v>
      </c>
      <c r="AA1925" t="s">
        <v>508</v>
      </c>
      <c r="AB1925" t="s">
        <v>524</v>
      </c>
      <c r="AC1925" s="9">
        <v>3</v>
      </c>
      <c r="AD1925" s="9" t="str">
        <f t="shared" si="187"/>
        <v>Ok</v>
      </c>
      <c r="AE1925" s="11">
        <f t="shared" si="184"/>
        <v>0</v>
      </c>
    </row>
    <row r="1926" spans="1:31" x14ac:dyDescent="0.3">
      <c r="A1926">
        <v>14</v>
      </c>
      <c r="B1926">
        <v>4889528</v>
      </c>
      <c r="C1926" t="s">
        <v>220</v>
      </c>
      <c r="D1926">
        <v>1469829</v>
      </c>
      <c r="E1926" t="s">
        <v>224</v>
      </c>
      <c r="F1926" t="s">
        <v>19</v>
      </c>
      <c r="G1926" t="s">
        <v>1702</v>
      </c>
      <c r="H1926" t="s">
        <v>1703</v>
      </c>
      <c r="I1926" t="s">
        <v>3424</v>
      </c>
      <c r="J1926">
        <v>51156644808</v>
      </c>
      <c r="K1926" t="s">
        <v>3229</v>
      </c>
      <c r="L1926" t="s">
        <v>4579</v>
      </c>
      <c r="M1926">
        <v>1</v>
      </c>
      <c r="N1926" s="10">
        <v>175</v>
      </c>
      <c r="O1926" s="10">
        <f t="shared" si="185"/>
        <v>175</v>
      </c>
      <c r="P1926" s="10" t="s">
        <v>5006</v>
      </c>
      <c r="Q1926" s="10" t="s">
        <v>5006</v>
      </c>
      <c r="R1926" s="10" t="str">
        <f>IF(COUNTIF($J$2:J1926,J1926)=1,SUMIFS($O:$O,$J:$J,J1926)+SUMIFS($P:$P,$J:$J,J1926)+SUMIFS($Q:$Q,$J:$J,J1926),"")</f>
        <v/>
      </c>
      <c r="S1926" s="10" t="s">
        <v>5006</v>
      </c>
      <c r="T1926" s="11" t="str">
        <f t="shared" si="188"/>
        <v>Ok</v>
      </c>
      <c r="U1926" s="12">
        <v>46080</v>
      </c>
      <c r="V1926" s="10">
        <v>175</v>
      </c>
      <c r="W1926" s="10" t="str">
        <f t="shared" si="186"/>
        <v>N/A</v>
      </c>
      <c r="X1926" t="s">
        <v>470</v>
      </c>
      <c r="Y1926" t="s">
        <v>28</v>
      </c>
      <c r="Z1926">
        <v>100128</v>
      </c>
      <c r="AA1926" t="s">
        <v>508</v>
      </c>
      <c r="AB1926" t="s">
        <v>524</v>
      </c>
      <c r="AC1926" s="9">
        <v>3</v>
      </c>
      <c r="AD1926" s="9" t="str">
        <f t="shared" si="187"/>
        <v>N/A</v>
      </c>
      <c r="AE1926" s="11" t="e">
        <f t="shared" si="184"/>
        <v>#VALUE!</v>
      </c>
    </row>
    <row r="1927" spans="1:31" x14ac:dyDescent="0.3">
      <c r="A1927">
        <v>14</v>
      </c>
      <c r="B1927">
        <v>4889528</v>
      </c>
      <c r="C1927" t="s">
        <v>220</v>
      </c>
      <c r="D1927">
        <v>1469829</v>
      </c>
      <c r="E1927" t="s">
        <v>224</v>
      </c>
      <c r="F1927" t="s">
        <v>19</v>
      </c>
      <c r="G1927" t="s">
        <v>1702</v>
      </c>
      <c r="H1927" t="s">
        <v>1703</v>
      </c>
      <c r="I1927" t="s">
        <v>3424</v>
      </c>
      <c r="J1927">
        <v>51156644808</v>
      </c>
      <c r="K1927" t="s">
        <v>3229</v>
      </c>
      <c r="L1927" t="s">
        <v>4580</v>
      </c>
      <c r="M1927">
        <v>238</v>
      </c>
      <c r="N1927" s="10">
        <v>3.63</v>
      </c>
      <c r="O1927" s="10">
        <f t="shared" si="185"/>
        <v>863.93999999999994</v>
      </c>
      <c r="P1927" s="10" t="s">
        <v>5006</v>
      </c>
      <c r="Q1927" s="10" t="s">
        <v>5006</v>
      </c>
      <c r="R1927" s="10" t="str">
        <f>IF(COUNTIF($J$2:J1927,J1927)=1,SUMIFS($O:$O,$J:$J,J1927)+SUMIFS($P:$P,$J:$J,J1927)+SUMIFS($Q:$Q,$J:$J,J1927),"")</f>
        <v/>
      </c>
      <c r="S1927" s="10" t="s">
        <v>5006</v>
      </c>
      <c r="T1927" s="11" t="str">
        <f t="shared" si="188"/>
        <v>Ok</v>
      </c>
      <c r="U1927" s="12">
        <v>46080</v>
      </c>
      <c r="V1927" s="10">
        <v>175</v>
      </c>
      <c r="W1927" s="10" t="str">
        <f t="shared" si="186"/>
        <v>N/A</v>
      </c>
      <c r="X1927" t="s">
        <v>470</v>
      </c>
      <c r="Y1927" t="s">
        <v>28</v>
      </c>
      <c r="Z1927">
        <v>100128</v>
      </c>
      <c r="AA1927" t="s">
        <v>508</v>
      </c>
      <c r="AB1927" t="s">
        <v>524</v>
      </c>
      <c r="AC1927" s="9">
        <v>3</v>
      </c>
      <c r="AD1927" s="9" t="str">
        <f t="shared" si="187"/>
        <v>N/A</v>
      </c>
      <c r="AE1927" s="11" t="e">
        <f t="shared" ref="AE1927:AE1990" si="189">R1927-S1927</f>
        <v>#VALUE!</v>
      </c>
    </row>
    <row r="1928" spans="1:31" x14ac:dyDescent="0.3">
      <c r="A1928">
        <v>14</v>
      </c>
      <c r="B1928">
        <v>4889250</v>
      </c>
      <c r="C1928" t="s">
        <v>220</v>
      </c>
      <c r="D1928">
        <v>1469829</v>
      </c>
      <c r="E1928" t="s">
        <v>224</v>
      </c>
      <c r="F1928" t="s">
        <v>19</v>
      </c>
      <c r="G1928" t="s">
        <v>1700</v>
      </c>
      <c r="H1928" t="s">
        <v>1701</v>
      </c>
      <c r="I1928" t="s">
        <v>3239</v>
      </c>
      <c r="J1928">
        <v>51156660249</v>
      </c>
      <c r="K1928" t="s">
        <v>3229</v>
      </c>
      <c r="L1928" t="s">
        <v>4581</v>
      </c>
      <c r="M1928">
        <v>1</v>
      </c>
      <c r="N1928" s="10">
        <v>175</v>
      </c>
      <c r="O1928" s="10">
        <f t="shared" si="185"/>
        <v>175</v>
      </c>
      <c r="P1928" s="10">
        <v>0</v>
      </c>
      <c r="Q1928" s="10">
        <v>0</v>
      </c>
      <c r="R1928" s="10">
        <f>IF(COUNTIF($J$2:J1928,J1928)=1,SUMIFS($O:$O,$J:$J,J1928)+SUMIFS($P:$P,$J:$J,J1928)+SUMIFS($Q:$Q,$J:$J,J1928),"")</f>
        <v>3757.75</v>
      </c>
      <c r="S1928" s="10">
        <v>3757.75</v>
      </c>
      <c r="T1928" s="11" t="str">
        <f t="shared" si="188"/>
        <v>Ok</v>
      </c>
      <c r="U1928" s="12">
        <v>46080</v>
      </c>
      <c r="V1928" s="10">
        <v>175</v>
      </c>
      <c r="W1928" s="10" t="str">
        <f t="shared" si="186"/>
        <v>Short Paid</v>
      </c>
      <c r="X1928" t="s">
        <v>470</v>
      </c>
      <c r="Y1928" t="s">
        <v>28</v>
      </c>
      <c r="Z1928">
        <v>100118</v>
      </c>
      <c r="AA1928" t="s">
        <v>494</v>
      </c>
      <c r="AB1928" t="s">
        <v>524</v>
      </c>
      <c r="AC1928" s="9">
        <v>3</v>
      </c>
      <c r="AD1928" s="9" t="str">
        <f t="shared" si="187"/>
        <v>Ok</v>
      </c>
      <c r="AE1928" s="11">
        <f t="shared" si="189"/>
        <v>0</v>
      </c>
    </row>
    <row r="1929" spans="1:31" x14ac:dyDescent="0.3">
      <c r="A1929">
        <v>14</v>
      </c>
      <c r="B1929">
        <v>4889250</v>
      </c>
      <c r="C1929" t="s">
        <v>220</v>
      </c>
      <c r="D1929">
        <v>1469829</v>
      </c>
      <c r="E1929" t="s">
        <v>224</v>
      </c>
      <c r="F1929" t="s">
        <v>19</v>
      </c>
      <c r="G1929" t="s">
        <v>1700</v>
      </c>
      <c r="H1929" t="s">
        <v>1701</v>
      </c>
      <c r="I1929" t="s">
        <v>3239</v>
      </c>
      <c r="J1929">
        <v>51156660249</v>
      </c>
      <c r="K1929" t="s">
        <v>3229</v>
      </c>
      <c r="L1929" t="s">
        <v>4582</v>
      </c>
      <c r="M1929">
        <v>70</v>
      </c>
      <c r="N1929" s="10">
        <v>8.9499999999999993</v>
      </c>
      <c r="O1929" s="10">
        <f t="shared" si="185"/>
        <v>626.5</v>
      </c>
      <c r="P1929" s="10" t="s">
        <v>5006</v>
      </c>
      <c r="Q1929" s="10" t="s">
        <v>5006</v>
      </c>
      <c r="R1929" s="10" t="str">
        <f>IF(COUNTIF($J$2:J1929,J1929)=1,SUMIFS($O:$O,$J:$J,J1929)+SUMIFS($P:$P,$J:$J,J1929)+SUMIFS($Q:$Q,$J:$J,J1929),"")</f>
        <v/>
      </c>
      <c r="S1929" s="10" t="s">
        <v>5006</v>
      </c>
      <c r="T1929" s="11" t="str">
        <f t="shared" si="188"/>
        <v>Ok</v>
      </c>
      <c r="U1929" s="12">
        <v>46080</v>
      </c>
      <c r="V1929" s="10">
        <v>175</v>
      </c>
      <c r="W1929" s="10" t="str">
        <f t="shared" si="186"/>
        <v>N/A</v>
      </c>
      <c r="X1929" t="s">
        <v>470</v>
      </c>
      <c r="Y1929" t="s">
        <v>28</v>
      </c>
      <c r="Z1929">
        <v>100118</v>
      </c>
      <c r="AA1929" t="s">
        <v>494</v>
      </c>
      <c r="AB1929" t="s">
        <v>524</v>
      </c>
      <c r="AC1929" s="9">
        <v>3</v>
      </c>
      <c r="AD1929" s="9" t="str">
        <f t="shared" si="187"/>
        <v>N/A</v>
      </c>
      <c r="AE1929" s="11" t="e">
        <f t="shared" si="189"/>
        <v>#VALUE!</v>
      </c>
    </row>
    <row r="1930" spans="1:31" x14ac:dyDescent="0.3">
      <c r="A1930">
        <v>14</v>
      </c>
      <c r="B1930">
        <v>4889250</v>
      </c>
      <c r="C1930" t="s">
        <v>220</v>
      </c>
      <c r="D1930">
        <v>1469829</v>
      </c>
      <c r="E1930" t="s">
        <v>224</v>
      </c>
      <c r="F1930" t="s">
        <v>19</v>
      </c>
      <c r="G1930" t="s">
        <v>1700</v>
      </c>
      <c r="H1930" t="s">
        <v>1701</v>
      </c>
      <c r="I1930" t="s">
        <v>3414</v>
      </c>
      <c r="J1930">
        <v>51156660249</v>
      </c>
      <c r="K1930" t="s">
        <v>3168</v>
      </c>
      <c r="L1930" t="s">
        <v>3646</v>
      </c>
      <c r="M1930">
        <v>25000</v>
      </c>
      <c r="N1930" s="10">
        <v>0.11824999999999999</v>
      </c>
      <c r="O1930" s="10">
        <f t="shared" si="185"/>
        <v>2956.25</v>
      </c>
      <c r="P1930" s="10" t="s">
        <v>5006</v>
      </c>
      <c r="Q1930" s="10" t="s">
        <v>5006</v>
      </c>
      <c r="R1930" s="10" t="str">
        <f>IF(COUNTIF($J$2:J1930,J1930)=1,SUMIFS($O:$O,$J:$J,J1930)+SUMIFS($P:$P,$J:$J,J1930)+SUMIFS($Q:$Q,$J:$J,J1930),"")</f>
        <v/>
      </c>
      <c r="S1930" s="10" t="s">
        <v>5006</v>
      </c>
      <c r="T1930" s="11" t="str">
        <f t="shared" si="188"/>
        <v>Ok</v>
      </c>
      <c r="U1930" s="12">
        <v>46080</v>
      </c>
      <c r="V1930" s="10">
        <v>175</v>
      </c>
      <c r="W1930" s="10" t="str">
        <f t="shared" si="186"/>
        <v>N/A</v>
      </c>
      <c r="X1930" t="s">
        <v>470</v>
      </c>
      <c r="Y1930" t="s">
        <v>28</v>
      </c>
      <c r="Z1930">
        <v>100118</v>
      </c>
      <c r="AA1930" t="s">
        <v>494</v>
      </c>
      <c r="AB1930" t="s">
        <v>524</v>
      </c>
      <c r="AC1930" s="9">
        <v>3</v>
      </c>
      <c r="AD1930" s="9" t="str">
        <f t="shared" si="187"/>
        <v>N/A</v>
      </c>
      <c r="AE1930" s="11" t="e">
        <f t="shared" si="189"/>
        <v>#VALUE!</v>
      </c>
    </row>
    <row r="1931" spans="1:31" x14ac:dyDescent="0.3">
      <c r="A1931">
        <v>15</v>
      </c>
      <c r="B1931">
        <v>4885076</v>
      </c>
      <c r="C1931" t="s">
        <v>220</v>
      </c>
      <c r="D1931">
        <v>1118223</v>
      </c>
      <c r="E1931" t="s">
        <v>640</v>
      </c>
      <c r="F1931" t="s">
        <v>18</v>
      </c>
      <c r="G1931" t="s">
        <v>2914</v>
      </c>
      <c r="H1931" t="s">
        <v>2915</v>
      </c>
      <c r="I1931" t="s">
        <v>3419</v>
      </c>
      <c r="J1931">
        <v>51156701874</v>
      </c>
      <c r="K1931" t="s">
        <v>3379</v>
      </c>
      <c r="L1931" t="s">
        <v>3461</v>
      </c>
      <c r="M1931">
        <v>20000</v>
      </c>
      <c r="N1931" s="10">
        <v>2.7E-2</v>
      </c>
      <c r="O1931" s="10">
        <f t="shared" si="185"/>
        <v>540</v>
      </c>
      <c r="P1931" s="10">
        <v>0</v>
      </c>
      <c r="Q1931" s="10">
        <v>2026.31</v>
      </c>
      <c r="R1931" s="10">
        <f>IF(COUNTIF($J$2:J1931,J1931)=1,SUMIFS($O:$O,$J:$J,J1931)+SUMIFS($P:$P,$J:$J,J1931)+SUMIFS($Q:$Q,$J:$J,J1931),"")</f>
        <v>13761.41</v>
      </c>
      <c r="S1931" s="10">
        <v>14301.41</v>
      </c>
      <c r="T1931" s="11" t="str">
        <f t="shared" si="188"/>
        <v>Check</v>
      </c>
      <c r="U1931" s="12">
        <v>46064</v>
      </c>
      <c r="V1931" s="10">
        <v>13221.41</v>
      </c>
      <c r="W1931" s="10" t="str">
        <f t="shared" si="186"/>
        <v>Short Paid</v>
      </c>
      <c r="X1931" t="s">
        <v>470</v>
      </c>
      <c r="Y1931" t="s">
        <v>28</v>
      </c>
      <c r="Z1931">
        <v>100208</v>
      </c>
      <c r="AA1931" t="s">
        <v>3098</v>
      </c>
      <c r="AB1931" t="s">
        <v>523</v>
      </c>
      <c r="AC1931" s="9">
        <v>2</v>
      </c>
      <c r="AD1931" s="9" t="str">
        <f t="shared" si="187"/>
        <v>Check</v>
      </c>
      <c r="AE1931" s="11">
        <f t="shared" si="189"/>
        <v>-540</v>
      </c>
    </row>
    <row r="1932" spans="1:31" x14ac:dyDescent="0.3">
      <c r="A1932">
        <v>15</v>
      </c>
      <c r="B1932">
        <v>4885076</v>
      </c>
      <c r="C1932" t="s">
        <v>220</v>
      </c>
      <c r="D1932">
        <v>1118223</v>
      </c>
      <c r="E1932" t="s">
        <v>640</v>
      </c>
      <c r="F1932" t="s">
        <v>18</v>
      </c>
      <c r="G1932" t="s">
        <v>2914</v>
      </c>
      <c r="H1932" t="s">
        <v>2915</v>
      </c>
      <c r="I1932" t="s">
        <v>3542</v>
      </c>
      <c r="J1932">
        <v>51156701874</v>
      </c>
      <c r="K1932" t="s">
        <v>3252</v>
      </c>
      <c r="L1932" t="s">
        <v>3251</v>
      </c>
      <c r="M1932">
        <v>31500</v>
      </c>
      <c r="N1932" s="10">
        <v>0.35539999999999999</v>
      </c>
      <c r="O1932" s="10">
        <f t="shared" si="185"/>
        <v>11195.1</v>
      </c>
      <c r="P1932" s="10" t="s">
        <v>5006</v>
      </c>
      <c r="Q1932" s="10" t="s">
        <v>5006</v>
      </c>
      <c r="R1932" s="10" t="str">
        <f>IF(COUNTIF($J$2:J1932,J1932)=1,SUMIFS($O:$O,$J:$J,J1932)+SUMIFS($P:$P,$J:$J,J1932)+SUMIFS($Q:$Q,$J:$J,J1932),"")</f>
        <v/>
      </c>
      <c r="S1932" s="10" t="s">
        <v>5006</v>
      </c>
      <c r="T1932" s="11" t="str">
        <f t="shared" si="188"/>
        <v>Check</v>
      </c>
      <c r="U1932" s="12">
        <v>46064</v>
      </c>
      <c r="V1932" s="10">
        <v>13221.41</v>
      </c>
      <c r="W1932" s="10" t="str">
        <f t="shared" si="186"/>
        <v>N/A</v>
      </c>
      <c r="X1932" t="s">
        <v>470</v>
      </c>
      <c r="Y1932" t="s">
        <v>28</v>
      </c>
      <c r="Z1932">
        <v>100208</v>
      </c>
      <c r="AA1932" t="s">
        <v>3098</v>
      </c>
      <c r="AB1932" t="s">
        <v>523</v>
      </c>
      <c r="AC1932" s="9">
        <v>2</v>
      </c>
      <c r="AD1932" s="9" t="str">
        <f t="shared" si="187"/>
        <v>N/A</v>
      </c>
      <c r="AE1932" s="11" t="e">
        <f t="shared" si="189"/>
        <v>#VALUE!</v>
      </c>
    </row>
    <row r="1933" spans="1:31" x14ac:dyDescent="0.3">
      <c r="A1933">
        <v>13</v>
      </c>
      <c r="B1933">
        <v>4895094</v>
      </c>
      <c r="C1933" t="s">
        <v>239</v>
      </c>
      <c r="D1933">
        <v>1024882</v>
      </c>
      <c r="E1933" t="s">
        <v>586</v>
      </c>
      <c r="F1933" t="s">
        <v>24</v>
      </c>
      <c r="G1933" t="s">
        <v>1722</v>
      </c>
      <c r="H1933" t="s">
        <v>1723</v>
      </c>
      <c r="I1933" t="s">
        <v>3210</v>
      </c>
      <c r="J1933">
        <v>51156763148</v>
      </c>
      <c r="K1933" t="s">
        <v>3483</v>
      </c>
      <c r="L1933" t="s">
        <v>4583</v>
      </c>
      <c r="M1933">
        <v>39</v>
      </c>
      <c r="N1933" s="10">
        <v>1308.44</v>
      </c>
      <c r="O1933" s="10">
        <f t="shared" si="185"/>
        <v>51029.16</v>
      </c>
      <c r="P1933" s="10">
        <v>0</v>
      </c>
      <c r="Q1933" s="10">
        <v>377.71000000000004</v>
      </c>
      <c r="R1933" s="10">
        <f>IF(COUNTIF($J$2:J1933,J1933)=1,SUMIFS($O:$O,$J:$J,J1933)+SUMIFS($P:$P,$J:$J,J1933)+SUMIFS($Q:$Q,$J:$J,J1933),"")</f>
        <v>52274.47</v>
      </c>
      <c r="S1933" s="10">
        <v>52356.87</v>
      </c>
      <c r="T1933" s="11" t="str">
        <f t="shared" si="188"/>
        <v>Check</v>
      </c>
      <c r="U1933" s="12">
        <v>46057</v>
      </c>
      <c r="V1933" s="10">
        <v>320.49</v>
      </c>
      <c r="W1933" s="10" t="str">
        <f t="shared" si="186"/>
        <v>Short Paid</v>
      </c>
      <c r="X1933" t="s">
        <v>476</v>
      </c>
      <c r="Y1933" t="s">
        <v>40</v>
      </c>
      <c r="Z1933">
        <v>100105</v>
      </c>
      <c r="AA1933" t="s">
        <v>3092</v>
      </c>
      <c r="AB1933" t="s">
        <v>522</v>
      </c>
      <c r="AC1933" s="9">
        <v>6</v>
      </c>
      <c r="AD1933" s="9" t="str">
        <f t="shared" si="187"/>
        <v>Check</v>
      </c>
      <c r="AE1933" s="11">
        <f t="shared" si="189"/>
        <v>-82.400000000001455</v>
      </c>
    </row>
    <row r="1934" spans="1:31" x14ac:dyDescent="0.3">
      <c r="A1934">
        <v>13</v>
      </c>
      <c r="B1934">
        <v>4895094</v>
      </c>
      <c r="C1934" t="s">
        <v>239</v>
      </c>
      <c r="D1934">
        <v>1024882</v>
      </c>
      <c r="E1934" t="s">
        <v>586</v>
      </c>
      <c r="F1934" t="s">
        <v>24</v>
      </c>
      <c r="G1934" t="s">
        <v>1722</v>
      </c>
      <c r="H1934" t="s">
        <v>1723</v>
      </c>
      <c r="I1934" t="s">
        <v>3439</v>
      </c>
      <c r="J1934">
        <v>51156763148</v>
      </c>
      <c r="K1934" t="s">
        <v>3314</v>
      </c>
      <c r="L1934" t="s">
        <v>4584</v>
      </c>
      <c r="M1934">
        <v>4000</v>
      </c>
      <c r="N1934" s="10">
        <v>1.03E-2</v>
      </c>
      <c r="O1934" s="10">
        <f t="shared" si="185"/>
        <v>41.2</v>
      </c>
      <c r="P1934" s="10" t="s">
        <v>5006</v>
      </c>
      <c r="Q1934" s="10" t="s">
        <v>5006</v>
      </c>
      <c r="R1934" s="10" t="str">
        <f>IF(COUNTIF($J$2:J1934,J1934)=1,SUMIFS($O:$O,$J:$J,J1934)+SUMIFS($P:$P,$J:$J,J1934)+SUMIFS($Q:$Q,$J:$J,J1934),"")</f>
        <v/>
      </c>
      <c r="S1934" s="10" t="s">
        <v>5006</v>
      </c>
      <c r="T1934" s="11" t="str">
        <f t="shared" si="188"/>
        <v>Check</v>
      </c>
      <c r="U1934" s="12">
        <v>46057</v>
      </c>
      <c r="V1934" s="10">
        <v>320.49</v>
      </c>
      <c r="W1934" s="10" t="str">
        <f t="shared" si="186"/>
        <v>N/A</v>
      </c>
      <c r="X1934" t="s">
        <v>476</v>
      </c>
      <c r="Y1934" t="s">
        <v>40</v>
      </c>
      <c r="Z1934">
        <v>100105</v>
      </c>
      <c r="AA1934" t="s">
        <v>3092</v>
      </c>
      <c r="AB1934" t="s">
        <v>522</v>
      </c>
      <c r="AC1934" s="9">
        <v>6</v>
      </c>
      <c r="AD1934" s="9" t="str">
        <f t="shared" si="187"/>
        <v>N/A</v>
      </c>
      <c r="AE1934" s="11" t="e">
        <f t="shared" si="189"/>
        <v>#VALUE!</v>
      </c>
    </row>
    <row r="1935" spans="1:31" x14ac:dyDescent="0.3">
      <c r="A1935">
        <v>13</v>
      </c>
      <c r="B1935">
        <v>4895094</v>
      </c>
      <c r="C1935" t="s">
        <v>239</v>
      </c>
      <c r="D1935">
        <v>1024882</v>
      </c>
      <c r="E1935" t="s">
        <v>586</v>
      </c>
      <c r="F1935" t="s">
        <v>24</v>
      </c>
      <c r="G1935" t="s">
        <v>1722</v>
      </c>
      <c r="H1935" t="s">
        <v>1723</v>
      </c>
      <c r="I1935" t="s">
        <v>3439</v>
      </c>
      <c r="J1935">
        <v>51156763148</v>
      </c>
      <c r="K1935" t="s">
        <v>3314</v>
      </c>
      <c r="L1935" t="s">
        <v>4585</v>
      </c>
      <c r="M1935">
        <v>8000</v>
      </c>
      <c r="N1935" s="10">
        <v>5.3499999999999999E-2</v>
      </c>
      <c r="O1935" s="10">
        <f t="shared" si="185"/>
        <v>428</v>
      </c>
      <c r="P1935" s="10" t="s">
        <v>5006</v>
      </c>
      <c r="Q1935" s="10" t="s">
        <v>5006</v>
      </c>
      <c r="R1935" s="10" t="str">
        <f>IF(COUNTIF($J$2:J1935,J1935)=1,SUMIFS($O:$O,$J:$J,J1935)+SUMIFS($P:$P,$J:$J,J1935)+SUMIFS($Q:$Q,$J:$J,J1935),"")</f>
        <v/>
      </c>
      <c r="S1935" s="10" t="s">
        <v>5006</v>
      </c>
      <c r="T1935" s="11" t="str">
        <f t="shared" si="188"/>
        <v>Check</v>
      </c>
      <c r="U1935" s="12">
        <v>46057</v>
      </c>
      <c r="V1935" s="10">
        <v>320.49</v>
      </c>
      <c r="W1935" s="10" t="str">
        <f t="shared" si="186"/>
        <v>N/A</v>
      </c>
      <c r="X1935" t="s">
        <v>476</v>
      </c>
      <c r="Y1935" t="s">
        <v>40</v>
      </c>
      <c r="Z1935">
        <v>100105</v>
      </c>
      <c r="AA1935" t="s">
        <v>3092</v>
      </c>
      <c r="AB1935" t="s">
        <v>522</v>
      </c>
      <c r="AC1935" s="9">
        <v>6</v>
      </c>
      <c r="AD1935" s="9" t="str">
        <f t="shared" si="187"/>
        <v>N/A</v>
      </c>
      <c r="AE1935" s="11" t="e">
        <f t="shared" si="189"/>
        <v>#VALUE!</v>
      </c>
    </row>
    <row r="1936" spans="1:31" x14ac:dyDescent="0.3">
      <c r="A1936">
        <v>13</v>
      </c>
      <c r="B1936">
        <v>4895094</v>
      </c>
      <c r="C1936" t="s">
        <v>239</v>
      </c>
      <c r="D1936">
        <v>1024882</v>
      </c>
      <c r="E1936" t="s">
        <v>586</v>
      </c>
      <c r="F1936" t="s">
        <v>24</v>
      </c>
      <c r="G1936" t="s">
        <v>1722</v>
      </c>
      <c r="H1936" t="s">
        <v>1723</v>
      </c>
      <c r="I1936" t="s">
        <v>3439</v>
      </c>
      <c r="J1936">
        <v>51156763148</v>
      </c>
      <c r="K1936" t="s">
        <v>3314</v>
      </c>
      <c r="L1936" t="s">
        <v>4586</v>
      </c>
      <c r="M1936">
        <v>21000</v>
      </c>
      <c r="N1936" s="10">
        <v>8.8000000000000005E-3</v>
      </c>
      <c r="O1936" s="10">
        <f t="shared" si="185"/>
        <v>184.8</v>
      </c>
      <c r="P1936" s="10" t="s">
        <v>5006</v>
      </c>
      <c r="Q1936" s="10" t="s">
        <v>5006</v>
      </c>
      <c r="R1936" s="10" t="str">
        <f>IF(COUNTIF($J$2:J1936,J1936)=1,SUMIFS($O:$O,$J:$J,J1936)+SUMIFS($P:$P,$J:$J,J1936)+SUMIFS($Q:$Q,$J:$J,J1936),"")</f>
        <v/>
      </c>
      <c r="S1936" s="10" t="s">
        <v>5006</v>
      </c>
      <c r="T1936" s="11" t="str">
        <f t="shared" si="188"/>
        <v>Check</v>
      </c>
      <c r="U1936" s="12">
        <v>46057</v>
      </c>
      <c r="V1936" s="10">
        <v>320.49</v>
      </c>
      <c r="W1936" s="10" t="str">
        <f t="shared" si="186"/>
        <v>N/A</v>
      </c>
      <c r="X1936" t="s">
        <v>476</v>
      </c>
      <c r="Y1936" t="s">
        <v>40</v>
      </c>
      <c r="Z1936">
        <v>100105</v>
      </c>
      <c r="AA1936" t="s">
        <v>3092</v>
      </c>
      <c r="AB1936" t="s">
        <v>522</v>
      </c>
      <c r="AC1936" s="9">
        <v>6</v>
      </c>
      <c r="AD1936" s="9" t="str">
        <f t="shared" si="187"/>
        <v>N/A</v>
      </c>
      <c r="AE1936" s="11" t="e">
        <f t="shared" si="189"/>
        <v>#VALUE!</v>
      </c>
    </row>
    <row r="1937" spans="1:31" x14ac:dyDescent="0.3">
      <c r="A1937">
        <v>13</v>
      </c>
      <c r="B1937">
        <v>4895094</v>
      </c>
      <c r="C1937" t="s">
        <v>239</v>
      </c>
      <c r="D1937">
        <v>1024882</v>
      </c>
      <c r="E1937" t="s">
        <v>586</v>
      </c>
      <c r="F1937" t="s">
        <v>24</v>
      </c>
      <c r="G1937" t="s">
        <v>1722</v>
      </c>
      <c r="H1937" t="s">
        <v>1723</v>
      </c>
      <c r="I1937" t="s">
        <v>3439</v>
      </c>
      <c r="J1937">
        <v>51156763148</v>
      </c>
      <c r="K1937" t="s">
        <v>3379</v>
      </c>
      <c r="L1937" t="s">
        <v>4587</v>
      </c>
      <c r="M1937">
        <v>135000</v>
      </c>
      <c r="N1937" s="10">
        <v>9.6000000000000002E-4</v>
      </c>
      <c r="O1937" s="10">
        <f t="shared" si="185"/>
        <v>129.6</v>
      </c>
      <c r="P1937" s="10" t="s">
        <v>5006</v>
      </c>
      <c r="Q1937" s="10" t="s">
        <v>5006</v>
      </c>
      <c r="R1937" s="10" t="str">
        <f>IF(COUNTIF($J$2:J1937,J1937)=1,SUMIFS($O:$O,$J:$J,J1937)+SUMIFS($P:$P,$J:$J,J1937)+SUMIFS($Q:$Q,$J:$J,J1937),"")</f>
        <v/>
      </c>
      <c r="S1937" s="10" t="s">
        <v>5006</v>
      </c>
      <c r="T1937" s="11" t="str">
        <f t="shared" si="188"/>
        <v>Check</v>
      </c>
      <c r="U1937" s="12">
        <v>46057</v>
      </c>
      <c r="V1937" s="10">
        <v>320.49</v>
      </c>
      <c r="W1937" s="10" t="str">
        <f t="shared" si="186"/>
        <v>N/A</v>
      </c>
      <c r="X1937" t="s">
        <v>476</v>
      </c>
      <c r="Y1937" t="s">
        <v>40</v>
      </c>
      <c r="Z1937">
        <v>100105</v>
      </c>
      <c r="AA1937" t="s">
        <v>3092</v>
      </c>
      <c r="AB1937" t="s">
        <v>522</v>
      </c>
      <c r="AC1937" s="9">
        <v>6</v>
      </c>
      <c r="AD1937" s="9" t="str">
        <f t="shared" si="187"/>
        <v>N/A</v>
      </c>
      <c r="AE1937" s="11" t="e">
        <f t="shared" si="189"/>
        <v>#VALUE!</v>
      </c>
    </row>
    <row r="1938" spans="1:31" x14ac:dyDescent="0.3">
      <c r="A1938">
        <v>13</v>
      </c>
      <c r="B1938">
        <v>4895094</v>
      </c>
      <c r="C1938" t="s">
        <v>239</v>
      </c>
      <c r="D1938">
        <v>1024882</v>
      </c>
      <c r="E1938" t="s">
        <v>586</v>
      </c>
      <c r="F1938" t="s">
        <v>24</v>
      </c>
      <c r="G1938" t="s">
        <v>1722</v>
      </c>
      <c r="H1938" t="s">
        <v>1723</v>
      </c>
      <c r="I1938" t="s">
        <v>3439</v>
      </c>
      <c r="J1938">
        <v>51156763148</v>
      </c>
      <c r="K1938" t="s">
        <v>3379</v>
      </c>
      <c r="L1938" t="s">
        <v>4588</v>
      </c>
      <c r="M1938">
        <v>60000</v>
      </c>
      <c r="N1938" s="10">
        <v>1.4E-3</v>
      </c>
      <c r="O1938" s="10">
        <f t="shared" si="185"/>
        <v>84</v>
      </c>
      <c r="P1938" s="10" t="s">
        <v>5006</v>
      </c>
      <c r="Q1938" s="10" t="s">
        <v>5006</v>
      </c>
      <c r="R1938" s="10" t="str">
        <f>IF(COUNTIF($J$2:J1938,J1938)=1,SUMIFS($O:$O,$J:$J,J1938)+SUMIFS($P:$P,$J:$J,J1938)+SUMIFS($Q:$Q,$J:$J,J1938),"")</f>
        <v/>
      </c>
      <c r="S1938" s="10" t="s">
        <v>5006</v>
      </c>
      <c r="T1938" s="11" t="str">
        <f t="shared" si="188"/>
        <v>Check</v>
      </c>
      <c r="U1938" s="12">
        <v>46057</v>
      </c>
      <c r="V1938" s="10">
        <v>320.49</v>
      </c>
      <c r="W1938" s="10" t="str">
        <f t="shared" si="186"/>
        <v>N/A</v>
      </c>
      <c r="X1938" t="s">
        <v>476</v>
      </c>
      <c r="Y1938" t="s">
        <v>40</v>
      </c>
      <c r="Z1938">
        <v>100105</v>
      </c>
      <c r="AA1938" t="s">
        <v>3092</v>
      </c>
      <c r="AB1938" t="s">
        <v>522</v>
      </c>
      <c r="AC1938" s="9">
        <v>6</v>
      </c>
      <c r="AD1938" s="9" t="str">
        <f t="shared" si="187"/>
        <v>N/A</v>
      </c>
      <c r="AE1938" s="11" t="e">
        <f t="shared" si="189"/>
        <v>#VALUE!</v>
      </c>
    </row>
    <row r="1939" spans="1:31" x14ac:dyDescent="0.3">
      <c r="A1939">
        <v>6</v>
      </c>
      <c r="B1939">
        <v>4935167</v>
      </c>
      <c r="C1939" t="s">
        <v>217</v>
      </c>
      <c r="D1939">
        <v>1588883</v>
      </c>
      <c r="E1939" t="s">
        <v>4903</v>
      </c>
      <c r="F1939" t="s">
        <v>24</v>
      </c>
      <c r="G1939" t="s">
        <v>1803</v>
      </c>
      <c r="H1939" t="s">
        <v>1804</v>
      </c>
      <c r="I1939" t="s">
        <v>3494</v>
      </c>
      <c r="J1939">
        <v>51156774294</v>
      </c>
      <c r="K1939" t="s">
        <v>3289</v>
      </c>
      <c r="L1939" t="s">
        <v>4589</v>
      </c>
      <c r="M1939">
        <v>6000</v>
      </c>
      <c r="N1939" s="10">
        <v>0.12089999999999999</v>
      </c>
      <c r="O1939" s="10">
        <f t="shared" si="185"/>
        <v>725.4</v>
      </c>
      <c r="P1939" s="10">
        <v>0</v>
      </c>
      <c r="Q1939" s="10">
        <v>535.17000000000007</v>
      </c>
      <c r="R1939" s="10">
        <f>IF(COUNTIF($J$2:J1939,J1939)=1,SUMIFS($O:$O,$J:$J,J1939)+SUMIFS($P:$P,$J:$J,J1939)+SUMIFS($Q:$Q,$J:$J,J1939),"")</f>
        <v>5316.17</v>
      </c>
      <c r="S1939" s="10">
        <v>5707.77</v>
      </c>
      <c r="T1939" s="11" t="str">
        <f t="shared" si="188"/>
        <v>Check</v>
      </c>
      <c r="U1939" s="12">
        <v>46095</v>
      </c>
      <c r="V1939" s="10">
        <v>462.48</v>
      </c>
      <c r="W1939" s="10" t="str">
        <f t="shared" si="186"/>
        <v>Short Paid</v>
      </c>
      <c r="X1939" t="s">
        <v>468</v>
      </c>
      <c r="Y1939" t="s">
        <v>40</v>
      </c>
      <c r="Z1939">
        <v>100266</v>
      </c>
      <c r="AA1939" t="s">
        <v>4904</v>
      </c>
      <c r="AB1939" t="s">
        <v>522</v>
      </c>
      <c r="AC1939" s="9">
        <v>5</v>
      </c>
      <c r="AD1939" s="9" t="str">
        <f t="shared" si="187"/>
        <v>Check</v>
      </c>
      <c r="AE1939" s="11">
        <f t="shared" si="189"/>
        <v>-391.60000000000036</v>
      </c>
    </row>
    <row r="1940" spans="1:31" x14ac:dyDescent="0.3">
      <c r="A1940">
        <v>6</v>
      </c>
      <c r="B1940">
        <v>4935167</v>
      </c>
      <c r="C1940" t="s">
        <v>217</v>
      </c>
      <c r="D1940">
        <v>1588883</v>
      </c>
      <c r="E1940" t="s">
        <v>4903</v>
      </c>
      <c r="F1940" t="s">
        <v>24</v>
      </c>
      <c r="G1940" t="s">
        <v>1803</v>
      </c>
      <c r="H1940" t="s">
        <v>1804</v>
      </c>
      <c r="I1940" t="s">
        <v>3494</v>
      </c>
      <c r="J1940">
        <v>51156774294</v>
      </c>
      <c r="K1940" t="s">
        <v>3379</v>
      </c>
      <c r="L1940" t="s">
        <v>4590</v>
      </c>
      <c r="M1940">
        <v>2000</v>
      </c>
      <c r="N1940" s="10">
        <v>0.1958</v>
      </c>
      <c r="O1940" s="10">
        <f t="shared" si="185"/>
        <v>391.6</v>
      </c>
      <c r="P1940" s="10" t="s">
        <v>5006</v>
      </c>
      <c r="Q1940" s="10" t="s">
        <v>5006</v>
      </c>
      <c r="R1940" s="10" t="str">
        <f>IF(COUNTIF($J$2:J1940,J1940)=1,SUMIFS($O:$O,$J:$J,J1940)+SUMIFS($P:$P,$J:$J,J1940)+SUMIFS($Q:$Q,$J:$J,J1940),"")</f>
        <v/>
      </c>
      <c r="S1940" s="10" t="s">
        <v>5006</v>
      </c>
      <c r="T1940" s="11" t="str">
        <f t="shared" si="188"/>
        <v>Check</v>
      </c>
      <c r="U1940" s="12">
        <v>46095</v>
      </c>
      <c r="V1940" s="10">
        <v>462.48</v>
      </c>
      <c r="W1940" s="10" t="str">
        <f t="shared" si="186"/>
        <v>N/A</v>
      </c>
      <c r="X1940" t="s">
        <v>468</v>
      </c>
      <c r="Y1940" t="s">
        <v>40</v>
      </c>
      <c r="Z1940">
        <v>100266</v>
      </c>
      <c r="AA1940" t="s">
        <v>4904</v>
      </c>
      <c r="AB1940" t="s">
        <v>522</v>
      </c>
      <c r="AC1940" s="9">
        <v>5</v>
      </c>
      <c r="AD1940" s="9" t="str">
        <f t="shared" si="187"/>
        <v>N/A</v>
      </c>
      <c r="AE1940" s="11" t="e">
        <f t="shared" si="189"/>
        <v>#VALUE!</v>
      </c>
    </row>
    <row r="1941" spans="1:31" x14ac:dyDescent="0.3">
      <c r="A1941">
        <v>6</v>
      </c>
      <c r="B1941">
        <v>4935167</v>
      </c>
      <c r="C1941" t="s">
        <v>217</v>
      </c>
      <c r="D1941">
        <v>1588883</v>
      </c>
      <c r="E1941" t="s">
        <v>4903</v>
      </c>
      <c r="F1941" t="s">
        <v>24</v>
      </c>
      <c r="G1941" t="s">
        <v>1803</v>
      </c>
      <c r="H1941" t="s">
        <v>1804</v>
      </c>
      <c r="I1941" t="s">
        <v>3494</v>
      </c>
      <c r="J1941">
        <v>51156774294</v>
      </c>
      <c r="K1941" t="s">
        <v>3375</v>
      </c>
      <c r="L1941" t="s">
        <v>4591</v>
      </c>
      <c r="M1941">
        <v>1000</v>
      </c>
      <c r="N1941" s="10">
        <v>0.56079999999999997</v>
      </c>
      <c r="O1941" s="10">
        <f t="shared" si="185"/>
        <v>560.79999999999995</v>
      </c>
      <c r="P1941" s="10" t="s">
        <v>5006</v>
      </c>
      <c r="Q1941" s="10" t="s">
        <v>5006</v>
      </c>
      <c r="R1941" s="10" t="str">
        <f>IF(COUNTIF($J$2:J1941,J1941)=1,SUMIFS($O:$O,$J:$J,J1941)+SUMIFS($P:$P,$J:$J,J1941)+SUMIFS($Q:$Q,$J:$J,J1941),"")</f>
        <v/>
      </c>
      <c r="S1941" s="10" t="s">
        <v>5006</v>
      </c>
      <c r="T1941" s="11" t="str">
        <f t="shared" si="188"/>
        <v>Check</v>
      </c>
      <c r="U1941" s="12">
        <v>46095</v>
      </c>
      <c r="V1941" s="10">
        <v>462.48</v>
      </c>
      <c r="W1941" s="10" t="str">
        <f t="shared" si="186"/>
        <v>N/A</v>
      </c>
      <c r="X1941" t="s">
        <v>468</v>
      </c>
      <c r="Y1941" t="s">
        <v>40</v>
      </c>
      <c r="Z1941">
        <v>100266</v>
      </c>
      <c r="AA1941" t="s">
        <v>4904</v>
      </c>
      <c r="AB1941" t="s">
        <v>522</v>
      </c>
      <c r="AC1941" s="9">
        <v>5</v>
      </c>
      <c r="AD1941" s="9" t="str">
        <f t="shared" si="187"/>
        <v>N/A</v>
      </c>
      <c r="AE1941" s="11" t="e">
        <f t="shared" si="189"/>
        <v>#VALUE!</v>
      </c>
    </row>
    <row r="1942" spans="1:31" x14ac:dyDescent="0.3">
      <c r="A1942">
        <v>6</v>
      </c>
      <c r="B1942">
        <v>4935167</v>
      </c>
      <c r="C1942" t="s">
        <v>217</v>
      </c>
      <c r="D1942">
        <v>1588883</v>
      </c>
      <c r="E1942" t="s">
        <v>4903</v>
      </c>
      <c r="F1942" t="s">
        <v>24</v>
      </c>
      <c r="G1942" t="s">
        <v>1803</v>
      </c>
      <c r="H1942" t="s">
        <v>1804</v>
      </c>
      <c r="I1942" t="s">
        <v>3494</v>
      </c>
      <c r="J1942">
        <v>51156774294</v>
      </c>
      <c r="K1942" t="s">
        <v>3228</v>
      </c>
      <c r="L1942" t="s">
        <v>4592</v>
      </c>
      <c r="M1942">
        <v>500</v>
      </c>
      <c r="N1942" s="10">
        <v>1.8384</v>
      </c>
      <c r="O1942" s="10">
        <f t="shared" si="185"/>
        <v>919.2</v>
      </c>
      <c r="P1942" s="10" t="s">
        <v>5006</v>
      </c>
      <c r="Q1942" s="10" t="s">
        <v>5006</v>
      </c>
      <c r="R1942" s="10" t="str">
        <f>IF(COUNTIF($J$2:J1942,J1942)=1,SUMIFS($O:$O,$J:$J,J1942)+SUMIFS($P:$P,$J:$J,J1942)+SUMIFS($Q:$Q,$J:$J,J1942),"")</f>
        <v/>
      </c>
      <c r="S1942" s="10" t="s">
        <v>5006</v>
      </c>
      <c r="T1942" s="11" t="str">
        <f t="shared" si="188"/>
        <v>Check</v>
      </c>
      <c r="U1942" s="12">
        <v>46095</v>
      </c>
      <c r="V1942" s="10">
        <v>462.48</v>
      </c>
      <c r="W1942" s="10" t="str">
        <f t="shared" si="186"/>
        <v>N/A</v>
      </c>
      <c r="X1942" t="s">
        <v>468</v>
      </c>
      <c r="Y1942" t="s">
        <v>40</v>
      </c>
      <c r="Z1942">
        <v>100266</v>
      </c>
      <c r="AA1942" t="s">
        <v>4904</v>
      </c>
      <c r="AB1942" t="s">
        <v>522</v>
      </c>
      <c r="AC1942" s="9">
        <v>5</v>
      </c>
      <c r="AD1942" s="9" t="str">
        <f t="shared" si="187"/>
        <v>N/A</v>
      </c>
      <c r="AE1942" s="11" t="e">
        <f t="shared" si="189"/>
        <v>#VALUE!</v>
      </c>
    </row>
    <row r="1943" spans="1:31" x14ac:dyDescent="0.3">
      <c r="A1943">
        <v>6</v>
      </c>
      <c r="B1943">
        <v>4935167</v>
      </c>
      <c r="C1943" t="s">
        <v>217</v>
      </c>
      <c r="D1943">
        <v>1588883</v>
      </c>
      <c r="E1943" t="s">
        <v>4903</v>
      </c>
      <c r="F1943" t="s">
        <v>24</v>
      </c>
      <c r="G1943" t="s">
        <v>1803</v>
      </c>
      <c r="H1943" t="s">
        <v>1804</v>
      </c>
      <c r="I1943" t="s">
        <v>3283</v>
      </c>
      <c r="J1943">
        <v>51156774294</v>
      </c>
      <c r="K1943" t="s">
        <v>3532</v>
      </c>
      <c r="L1943" t="s">
        <v>3531</v>
      </c>
      <c r="M1943">
        <v>3000</v>
      </c>
      <c r="N1943" s="10">
        <v>0.72799999999999998</v>
      </c>
      <c r="O1943" s="10">
        <f t="shared" si="185"/>
        <v>2184</v>
      </c>
      <c r="P1943" s="10" t="s">
        <v>5006</v>
      </c>
      <c r="Q1943" s="10" t="s">
        <v>5006</v>
      </c>
      <c r="R1943" s="10" t="str">
        <f>IF(COUNTIF($J$2:J1943,J1943)=1,SUMIFS($O:$O,$J:$J,J1943)+SUMIFS($P:$P,$J:$J,J1943)+SUMIFS($Q:$Q,$J:$J,J1943),"")</f>
        <v/>
      </c>
      <c r="S1943" s="10" t="s">
        <v>5006</v>
      </c>
      <c r="T1943" s="11" t="str">
        <f t="shared" si="188"/>
        <v>Check</v>
      </c>
      <c r="U1943" s="12">
        <v>46095</v>
      </c>
      <c r="V1943" s="10">
        <v>462.48</v>
      </c>
      <c r="W1943" s="10" t="str">
        <f t="shared" si="186"/>
        <v>N/A</v>
      </c>
      <c r="X1943" t="s">
        <v>468</v>
      </c>
      <c r="Y1943" t="s">
        <v>40</v>
      </c>
      <c r="Z1943">
        <v>100266</v>
      </c>
      <c r="AA1943" t="s">
        <v>4904</v>
      </c>
      <c r="AB1943" t="s">
        <v>522</v>
      </c>
      <c r="AC1943" s="9">
        <v>5</v>
      </c>
      <c r="AD1943" s="9" t="str">
        <f t="shared" si="187"/>
        <v>N/A</v>
      </c>
      <c r="AE1943" s="11" t="e">
        <f t="shared" si="189"/>
        <v>#VALUE!</v>
      </c>
    </row>
    <row r="1944" spans="1:31" x14ac:dyDescent="0.3">
      <c r="A1944">
        <v>8</v>
      </c>
      <c r="B1944">
        <v>4914017</v>
      </c>
      <c r="C1944" t="s">
        <v>167</v>
      </c>
      <c r="D1944">
        <v>1250644</v>
      </c>
      <c r="E1944" t="s">
        <v>4905</v>
      </c>
      <c r="F1944" t="s">
        <v>24</v>
      </c>
      <c r="G1944" t="s">
        <v>1756</v>
      </c>
      <c r="H1944" t="s">
        <v>1757</v>
      </c>
      <c r="I1944" t="s">
        <v>3178</v>
      </c>
      <c r="J1944">
        <v>51156822140</v>
      </c>
      <c r="K1944" t="s">
        <v>3177</v>
      </c>
      <c r="L1944" t="s">
        <v>4593</v>
      </c>
      <c r="M1944">
        <v>30000</v>
      </c>
      <c r="N1944" s="10">
        <v>8.5800000000000008E-3</v>
      </c>
      <c r="O1944" s="10">
        <f t="shared" si="185"/>
        <v>257.40000000000003</v>
      </c>
      <c r="P1944" s="10">
        <v>69.819999999999993</v>
      </c>
      <c r="Q1944" s="10">
        <v>353.59</v>
      </c>
      <c r="R1944" s="10">
        <f>IF(COUNTIF($J$2:J1944,J1944)=1,SUMIFS($O:$O,$J:$J,J1944)+SUMIFS($P:$P,$J:$J,J1944)+SUMIFS($Q:$Q,$J:$J,J1944),"")</f>
        <v>1393.11</v>
      </c>
      <c r="S1944" s="10">
        <v>1904.9099999999999</v>
      </c>
      <c r="T1944" s="11" t="str">
        <f t="shared" si="188"/>
        <v>Check</v>
      </c>
      <c r="U1944" s="12">
        <v>46120</v>
      </c>
      <c r="V1944" s="10">
        <v>105.44</v>
      </c>
      <c r="W1944" s="10" t="str">
        <f t="shared" si="186"/>
        <v>Short Paid</v>
      </c>
      <c r="X1944" t="s">
        <v>455</v>
      </c>
      <c r="Y1944" t="s">
        <v>40</v>
      </c>
      <c r="Z1944">
        <v>100260</v>
      </c>
      <c r="AA1944" t="s">
        <v>3054</v>
      </c>
      <c r="AB1944" t="s">
        <v>522</v>
      </c>
      <c r="AC1944" s="9">
        <v>5</v>
      </c>
      <c r="AD1944" s="9" t="str">
        <f t="shared" si="187"/>
        <v>Check</v>
      </c>
      <c r="AE1944" s="11">
        <f t="shared" si="189"/>
        <v>-511.79999999999995</v>
      </c>
    </row>
    <row r="1945" spans="1:31" x14ac:dyDescent="0.3">
      <c r="A1945">
        <v>8</v>
      </c>
      <c r="B1945">
        <v>4914017</v>
      </c>
      <c r="C1945" t="s">
        <v>167</v>
      </c>
      <c r="D1945">
        <v>1250644</v>
      </c>
      <c r="E1945" t="s">
        <v>4905</v>
      </c>
      <c r="F1945" t="s">
        <v>24</v>
      </c>
      <c r="G1945" t="s">
        <v>1756</v>
      </c>
      <c r="H1945" t="s">
        <v>1757</v>
      </c>
      <c r="I1945" t="s">
        <v>3178</v>
      </c>
      <c r="J1945">
        <v>51156822140</v>
      </c>
      <c r="K1945" t="s">
        <v>3252</v>
      </c>
      <c r="L1945" t="s">
        <v>4594</v>
      </c>
      <c r="M1945">
        <v>5000</v>
      </c>
      <c r="N1945" s="10">
        <v>5.4599999999999996E-3</v>
      </c>
      <c r="O1945" s="10">
        <f t="shared" si="185"/>
        <v>27.299999999999997</v>
      </c>
      <c r="P1945" s="10" t="s">
        <v>5006</v>
      </c>
      <c r="Q1945" s="10" t="s">
        <v>5006</v>
      </c>
      <c r="R1945" s="10" t="str">
        <f>IF(COUNTIF($J$2:J1945,J1945)=1,SUMIFS($O:$O,$J:$J,J1945)+SUMIFS($P:$P,$J:$J,J1945)+SUMIFS($Q:$Q,$J:$J,J1945),"")</f>
        <v/>
      </c>
      <c r="S1945" s="10" t="s">
        <v>5006</v>
      </c>
      <c r="T1945" s="11" t="str">
        <f t="shared" si="188"/>
        <v>Check</v>
      </c>
      <c r="U1945" s="12">
        <v>46120</v>
      </c>
      <c r="V1945" s="10">
        <v>105.44</v>
      </c>
      <c r="W1945" s="10" t="str">
        <f t="shared" si="186"/>
        <v>N/A</v>
      </c>
      <c r="X1945" t="s">
        <v>455</v>
      </c>
      <c r="Y1945" t="s">
        <v>40</v>
      </c>
      <c r="Z1945">
        <v>100260</v>
      </c>
      <c r="AA1945" t="s">
        <v>3054</v>
      </c>
      <c r="AB1945" t="s">
        <v>522</v>
      </c>
      <c r="AC1945" s="9">
        <v>5</v>
      </c>
      <c r="AD1945" s="9" t="str">
        <f t="shared" si="187"/>
        <v>N/A</v>
      </c>
      <c r="AE1945" s="11" t="e">
        <f t="shared" si="189"/>
        <v>#VALUE!</v>
      </c>
    </row>
    <row r="1946" spans="1:31" x14ac:dyDescent="0.3">
      <c r="A1946">
        <v>8</v>
      </c>
      <c r="B1946">
        <v>4914017</v>
      </c>
      <c r="C1946" t="s">
        <v>167</v>
      </c>
      <c r="D1946">
        <v>1250644</v>
      </c>
      <c r="E1946" t="s">
        <v>4905</v>
      </c>
      <c r="F1946" t="s">
        <v>24</v>
      </c>
      <c r="G1946" t="s">
        <v>1756</v>
      </c>
      <c r="H1946" t="s">
        <v>1757</v>
      </c>
      <c r="I1946" t="s">
        <v>3178</v>
      </c>
      <c r="J1946">
        <v>51156822140</v>
      </c>
      <c r="K1946" t="s">
        <v>3209</v>
      </c>
      <c r="L1946" t="s">
        <v>4595</v>
      </c>
      <c r="M1946">
        <v>10000</v>
      </c>
      <c r="N1946" s="10">
        <v>2.2899999999999999E-3</v>
      </c>
      <c r="O1946" s="10">
        <f t="shared" si="185"/>
        <v>22.9</v>
      </c>
      <c r="P1946" s="10" t="s">
        <v>5006</v>
      </c>
      <c r="Q1946" s="10" t="s">
        <v>5006</v>
      </c>
      <c r="R1946" s="10" t="str">
        <f>IF(COUNTIF($J$2:J1946,J1946)=1,SUMIFS($O:$O,$J:$J,J1946)+SUMIFS($P:$P,$J:$J,J1946)+SUMIFS($Q:$Q,$J:$J,J1946),"")</f>
        <v/>
      </c>
      <c r="S1946" s="10" t="s">
        <v>5006</v>
      </c>
      <c r="T1946" s="11" t="str">
        <f t="shared" si="188"/>
        <v>Check</v>
      </c>
      <c r="U1946" s="12">
        <v>46120</v>
      </c>
      <c r="V1946" s="10">
        <v>105.44</v>
      </c>
      <c r="W1946" s="10" t="str">
        <f t="shared" si="186"/>
        <v>N/A</v>
      </c>
      <c r="X1946" t="s">
        <v>455</v>
      </c>
      <c r="Y1946" t="s">
        <v>40</v>
      </c>
      <c r="Z1946">
        <v>100260</v>
      </c>
      <c r="AA1946" t="s">
        <v>3054</v>
      </c>
      <c r="AB1946" t="s">
        <v>522</v>
      </c>
      <c r="AC1946" s="9">
        <v>5</v>
      </c>
      <c r="AD1946" s="9" t="str">
        <f t="shared" si="187"/>
        <v>N/A</v>
      </c>
      <c r="AE1946" s="11" t="e">
        <f t="shared" si="189"/>
        <v>#VALUE!</v>
      </c>
    </row>
    <row r="1947" spans="1:31" x14ac:dyDescent="0.3">
      <c r="A1947">
        <v>8</v>
      </c>
      <c r="B1947">
        <v>4914017</v>
      </c>
      <c r="C1947" t="s">
        <v>167</v>
      </c>
      <c r="D1947">
        <v>1250644</v>
      </c>
      <c r="E1947" t="s">
        <v>4905</v>
      </c>
      <c r="F1947" t="s">
        <v>24</v>
      </c>
      <c r="G1947" t="s">
        <v>1756</v>
      </c>
      <c r="H1947" t="s">
        <v>1757</v>
      </c>
      <c r="I1947" t="s">
        <v>3178</v>
      </c>
      <c r="J1947">
        <v>51156822140</v>
      </c>
      <c r="K1947" t="s">
        <v>3241</v>
      </c>
      <c r="L1947" t="s">
        <v>4596</v>
      </c>
      <c r="M1947">
        <v>15000</v>
      </c>
      <c r="N1947" s="10">
        <v>1.72E-3</v>
      </c>
      <c r="O1947" s="10">
        <f t="shared" si="185"/>
        <v>25.8</v>
      </c>
      <c r="P1947" s="10" t="s">
        <v>5006</v>
      </c>
      <c r="Q1947" s="10" t="s">
        <v>5006</v>
      </c>
      <c r="R1947" s="10" t="str">
        <f>IF(COUNTIF($J$2:J1947,J1947)=1,SUMIFS($O:$O,$J:$J,J1947)+SUMIFS($P:$P,$J:$J,J1947)+SUMIFS($Q:$Q,$J:$J,J1947),"")</f>
        <v/>
      </c>
      <c r="S1947" s="10" t="s">
        <v>5006</v>
      </c>
      <c r="T1947" s="11" t="str">
        <f t="shared" si="188"/>
        <v>Check</v>
      </c>
      <c r="U1947" s="12">
        <v>46120</v>
      </c>
      <c r="V1947" s="10">
        <v>105.44</v>
      </c>
      <c r="W1947" s="10" t="str">
        <f t="shared" si="186"/>
        <v>N/A</v>
      </c>
      <c r="X1947" t="s">
        <v>455</v>
      </c>
      <c r="Y1947" t="s">
        <v>40</v>
      </c>
      <c r="Z1947">
        <v>100260</v>
      </c>
      <c r="AA1947" t="s">
        <v>3054</v>
      </c>
      <c r="AB1947" t="s">
        <v>522</v>
      </c>
      <c r="AC1947" s="9">
        <v>5</v>
      </c>
      <c r="AD1947" s="9" t="str">
        <f t="shared" si="187"/>
        <v>N/A</v>
      </c>
      <c r="AE1947" s="11" t="e">
        <f t="shared" si="189"/>
        <v>#VALUE!</v>
      </c>
    </row>
    <row r="1948" spans="1:31" x14ac:dyDescent="0.3">
      <c r="A1948">
        <v>8</v>
      </c>
      <c r="B1948">
        <v>4914017</v>
      </c>
      <c r="C1948" t="s">
        <v>167</v>
      </c>
      <c r="D1948">
        <v>1250644</v>
      </c>
      <c r="E1948" t="s">
        <v>4905</v>
      </c>
      <c r="F1948" t="s">
        <v>24</v>
      </c>
      <c r="G1948" t="s">
        <v>1756</v>
      </c>
      <c r="H1948" t="s">
        <v>1757</v>
      </c>
      <c r="I1948" t="s">
        <v>3425</v>
      </c>
      <c r="J1948">
        <v>51156822140</v>
      </c>
      <c r="K1948" t="s">
        <v>3532</v>
      </c>
      <c r="L1948" t="s">
        <v>3534</v>
      </c>
      <c r="M1948">
        <v>3000</v>
      </c>
      <c r="N1948" s="10">
        <v>0.21210000000000001</v>
      </c>
      <c r="O1948" s="10">
        <f t="shared" si="185"/>
        <v>636.30000000000007</v>
      </c>
      <c r="P1948" s="10" t="s">
        <v>5006</v>
      </c>
      <c r="Q1948" s="10" t="s">
        <v>5006</v>
      </c>
      <c r="R1948" s="10" t="str">
        <f>IF(COUNTIF($J$2:J1948,J1948)=1,SUMIFS($O:$O,$J:$J,J1948)+SUMIFS($P:$P,$J:$J,J1948)+SUMIFS($Q:$Q,$J:$J,J1948),"")</f>
        <v/>
      </c>
      <c r="S1948" s="10" t="s">
        <v>5006</v>
      </c>
      <c r="T1948" s="11" t="str">
        <f t="shared" si="188"/>
        <v>Check</v>
      </c>
      <c r="U1948" s="12">
        <v>46120</v>
      </c>
      <c r="V1948" s="10">
        <v>105.44</v>
      </c>
      <c r="W1948" s="10" t="str">
        <f t="shared" si="186"/>
        <v>N/A</v>
      </c>
      <c r="X1948" t="s">
        <v>455</v>
      </c>
      <c r="Y1948" t="s">
        <v>40</v>
      </c>
      <c r="Z1948">
        <v>100260</v>
      </c>
      <c r="AA1948" t="s">
        <v>3054</v>
      </c>
      <c r="AB1948" t="s">
        <v>522</v>
      </c>
      <c r="AC1948" s="9">
        <v>5</v>
      </c>
      <c r="AD1948" s="9" t="str">
        <f t="shared" si="187"/>
        <v>N/A</v>
      </c>
      <c r="AE1948" s="11" t="e">
        <f t="shared" si="189"/>
        <v>#VALUE!</v>
      </c>
    </row>
    <row r="1949" spans="1:31" x14ac:dyDescent="0.3">
      <c r="A1949">
        <v>13</v>
      </c>
      <c r="B1949">
        <v>4895372</v>
      </c>
      <c r="C1949" t="s">
        <v>220</v>
      </c>
      <c r="D1949">
        <v>1890689</v>
      </c>
      <c r="E1949" t="s">
        <v>736</v>
      </c>
      <c r="F1949" t="s">
        <v>49</v>
      </c>
      <c r="G1949" t="s">
        <v>1724</v>
      </c>
      <c r="H1949" t="s">
        <v>1725</v>
      </c>
      <c r="I1949" t="s">
        <v>3342</v>
      </c>
      <c r="J1949">
        <v>51156824607</v>
      </c>
      <c r="K1949" t="s">
        <v>3226</v>
      </c>
      <c r="L1949" t="s">
        <v>3454</v>
      </c>
      <c r="M1949">
        <v>3300</v>
      </c>
      <c r="N1949" s="10">
        <v>0.26129999999999998</v>
      </c>
      <c r="O1949" s="10">
        <f t="shared" si="185"/>
        <v>862.29</v>
      </c>
      <c r="P1949" s="10">
        <v>1427.29</v>
      </c>
      <c r="Q1949" s="10">
        <v>0</v>
      </c>
      <c r="R1949" s="10">
        <f>IF(COUNTIF($J$2:J1949,J1949)=1,SUMIFS($O:$O,$J:$J,J1949)+SUMIFS($P:$P,$J:$J,J1949)+SUMIFS($Q:$Q,$J:$J,J1949),"")</f>
        <v>22679.43</v>
      </c>
      <c r="S1949" s="10">
        <v>22679.43</v>
      </c>
      <c r="T1949" s="11" t="str">
        <f t="shared" si="188"/>
        <v>Ok</v>
      </c>
      <c r="U1949" s="12">
        <v>46073</v>
      </c>
      <c r="V1949" s="10">
        <v>1427.29</v>
      </c>
      <c r="W1949" s="10" t="str">
        <f t="shared" si="186"/>
        <v>Short Paid</v>
      </c>
      <c r="X1949" t="s">
        <v>470</v>
      </c>
      <c r="Y1949" t="s">
        <v>29</v>
      </c>
      <c r="Z1949">
        <v>100298</v>
      </c>
      <c r="AA1949" t="s">
        <v>3105</v>
      </c>
      <c r="AB1949" t="s">
        <v>3041</v>
      </c>
      <c r="AC1949" s="9">
        <v>2</v>
      </c>
      <c r="AD1949" s="9" t="str">
        <f t="shared" si="187"/>
        <v>Ok</v>
      </c>
      <c r="AE1949" s="11">
        <f t="shared" si="189"/>
        <v>0</v>
      </c>
    </row>
    <row r="1950" spans="1:31" x14ac:dyDescent="0.3">
      <c r="A1950">
        <v>13</v>
      </c>
      <c r="B1950">
        <v>4895372</v>
      </c>
      <c r="C1950" t="s">
        <v>220</v>
      </c>
      <c r="D1950">
        <v>1890689</v>
      </c>
      <c r="E1950" t="s">
        <v>736</v>
      </c>
      <c r="F1950" t="s">
        <v>49</v>
      </c>
      <c r="G1950" t="s">
        <v>1724</v>
      </c>
      <c r="H1950" t="s">
        <v>1725</v>
      </c>
      <c r="I1950" t="s">
        <v>3449</v>
      </c>
      <c r="J1950">
        <v>51156824607</v>
      </c>
      <c r="K1950" t="s">
        <v>3351</v>
      </c>
      <c r="L1950" t="s">
        <v>4597</v>
      </c>
      <c r="M1950">
        <v>4826</v>
      </c>
      <c r="N1950" s="10">
        <v>4.2249999999999996</v>
      </c>
      <c r="O1950" s="10">
        <f t="shared" si="185"/>
        <v>20389.849999999999</v>
      </c>
      <c r="P1950" s="10" t="s">
        <v>5006</v>
      </c>
      <c r="Q1950" s="10" t="s">
        <v>5006</v>
      </c>
      <c r="R1950" s="10" t="str">
        <f>IF(COUNTIF($J$2:J1950,J1950)=1,SUMIFS($O:$O,$J:$J,J1950)+SUMIFS($P:$P,$J:$J,J1950)+SUMIFS($Q:$Q,$J:$J,J1950),"")</f>
        <v/>
      </c>
      <c r="S1950" s="10" t="s">
        <v>5006</v>
      </c>
      <c r="T1950" s="11" t="str">
        <f t="shared" si="188"/>
        <v>Ok</v>
      </c>
      <c r="U1950" s="12">
        <v>46073</v>
      </c>
      <c r="V1950" s="10">
        <v>1427.29</v>
      </c>
      <c r="W1950" s="10" t="str">
        <f t="shared" si="186"/>
        <v>N/A</v>
      </c>
      <c r="X1950" t="s">
        <v>470</v>
      </c>
      <c r="Y1950" t="s">
        <v>29</v>
      </c>
      <c r="Z1950">
        <v>100298</v>
      </c>
      <c r="AA1950" t="s">
        <v>3105</v>
      </c>
      <c r="AB1950" t="s">
        <v>3041</v>
      </c>
      <c r="AC1950" s="9">
        <v>2</v>
      </c>
      <c r="AD1950" s="9" t="str">
        <f t="shared" si="187"/>
        <v>N/A</v>
      </c>
      <c r="AE1950" s="11" t="e">
        <f t="shared" si="189"/>
        <v>#VALUE!</v>
      </c>
    </row>
    <row r="1951" spans="1:31" x14ac:dyDescent="0.3">
      <c r="A1951">
        <v>14</v>
      </c>
      <c r="B1951">
        <v>4891198</v>
      </c>
      <c r="C1951" t="s">
        <v>94</v>
      </c>
      <c r="D1951">
        <v>1895680</v>
      </c>
      <c r="E1951" t="s">
        <v>734</v>
      </c>
      <c r="F1951" t="s">
        <v>20</v>
      </c>
      <c r="G1951" t="s">
        <v>1709</v>
      </c>
      <c r="H1951" t="s">
        <v>1710</v>
      </c>
      <c r="I1951" t="s">
        <v>3411</v>
      </c>
      <c r="J1951">
        <v>51156848092</v>
      </c>
      <c r="K1951" t="s">
        <v>3226</v>
      </c>
      <c r="L1951" t="s">
        <v>4598</v>
      </c>
      <c r="M1951">
        <v>5000</v>
      </c>
      <c r="N1951" s="10">
        <v>3.1663999999999999</v>
      </c>
      <c r="O1951" s="10">
        <f t="shared" si="185"/>
        <v>15832</v>
      </c>
      <c r="P1951" s="10">
        <v>207.34</v>
      </c>
      <c r="Q1951" s="10">
        <v>0</v>
      </c>
      <c r="R1951" s="10">
        <f>IF(COUNTIF($J$2:J1951,J1951)=1,SUMIFS($O:$O,$J:$J,J1951)+SUMIFS($P:$P,$J:$J,J1951)+SUMIFS($Q:$Q,$J:$J,J1951),"")</f>
        <v>19459.34</v>
      </c>
      <c r="S1951" s="10">
        <v>19459.34</v>
      </c>
      <c r="T1951" s="11" t="str">
        <f t="shared" si="188"/>
        <v>Ok</v>
      </c>
      <c r="U1951" s="12">
        <v>46121</v>
      </c>
      <c r="V1951" s="10">
        <v>3627.34</v>
      </c>
      <c r="W1951" s="10" t="str">
        <f t="shared" si="186"/>
        <v>Short Paid</v>
      </c>
      <c r="X1951" t="s">
        <v>450</v>
      </c>
      <c r="Y1951" t="s">
        <v>28</v>
      </c>
      <c r="Z1951">
        <v>100247</v>
      </c>
      <c r="AA1951" t="s">
        <v>452</v>
      </c>
      <c r="AB1951" t="s">
        <v>521</v>
      </c>
      <c r="AC1951" s="9">
        <v>2</v>
      </c>
      <c r="AD1951" s="9" t="str">
        <f t="shared" si="187"/>
        <v>Ok</v>
      </c>
      <c r="AE1951" s="11">
        <f t="shared" si="189"/>
        <v>0</v>
      </c>
    </row>
    <row r="1952" spans="1:31" x14ac:dyDescent="0.3">
      <c r="A1952">
        <v>14</v>
      </c>
      <c r="B1952">
        <v>4891198</v>
      </c>
      <c r="C1952" t="s">
        <v>94</v>
      </c>
      <c r="D1952">
        <v>1895680</v>
      </c>
      <c r="E1952" t="s">
        <v>734</v>
      </c>
      <c r="F1952" t="s">
        <v>20</v>
      </c>
      <c r="G1952" t="s">
        <v>1709</v>
      </c>
      <c r="H1952" t="s">
        <v>1710</v>
      </c>
      <c r="I1952" t="s">
        <v>3219</v>
      </c>
      <c r="J1952">
        <v>51156848092</v>
      </c>
      <c r="K1952" t="s">
        <v>3190</v>
      </c>
      <c r="L1952" t="s">
        <v>4599</v>
      </c>
      <c r="M1952">
        <v>1000</v>
      </c>
      <c r="N1952" s="10">
        <v>3.42</v>
      </c>
      <c r="O1952" s="10">
        <f t="shared" si="185"/>
        <v>3420</v>
      </c>
      <c r="P1952" s="10" t="s">
        <v>5006</v>
      </c>
      <c r="Q1952" s="10" t="s">
        <v>5006</v>
      </c>
      <c r="R1952" s="10" t="str">
        <f>IF(COUNTIF($J$2:J1952,J1952)=1,SUMIFS($O:$O,$J:$J,J1952)+SUMIFS($P:$P,$J:$J,J1952)+SUMIFS($Q:$Q,$J:$J,J1952),"")</f>
        <v/>
      </c>
      <c r="S1952" s="10" t="s">
        <v>5006</v>
      </c>
      <c r="T1952" s="11" t="str">
        <f t="shared" si="188"/>
        <v>Ok</v>
      </c>
      <c r="U1952" s="12">
        <v>46121</v>
      </c>
      <c r="V1952" s="10">
        <v>3627.34</v>
      </c>
      <c r="W1952" s="10" t="str">
        <f t="shared" si="186"/>
        <v>N/A</v>
      </c>
      <c r="X1952" t="s">
        <v>450</v>
      </c>
      <c r="Y1952" t="s">
        <v>28</v>
      </c>
      <c r="Z1952">
        <v>100247</v>
      </c>
      <c r="AA1952" t="s">
        <v>452</v>
      </c>
      <c r="AB1952" t="s">
        <v>521</v>
      </c>
      <c r="AC1952" s="9">
        <v>2</v>
      </c>
      <c r="AD1952" s="9" t="str">
        <f t="shared" si="187"/>
        <v>N/A</v>
      </c>
      <c r="AE1952" s="11" t="e">
        <f t="shared" si="189"/>
        <v>#VALUE!</v>
      </c>
    </row>
    <row r="1953" spans="1:31" x14ac:dyDescent="0.3">
      <c r="A1953">
        <v>14</v>
      </c>
      <c r="B1953">
        <v>4888972</v>
      </c>
      <c r="C1953" t="s">
        <v>220</v>
      </c>
      <c r="D1953">
        <v>1469829</v>
      </c>
      <c r="E1953" t="s">
        <v>224</v>
      </c>
      <c r="F1953" t="s">
        <v>24</v>
      </c>
      <c r="G1953" t="s">
        <v>1698</v>
      </c>
      <c r="H1953" t="s">
        <v>1699</v>
      </c>
      <c r="I1953" t="s">
        <v>3192</v>
      </c>
      <c r="J1953">
        <v>51156869360</v>
      </c>
      <c r="K1953" t="s">
        <v>3209</v>
      </c>
      <c r="L1953" t="s">
        <v>4600</v>
      </c>
      <c r="M1953">
        <v>65000</v>
      </c>
      <c r="N1953" s="10">
        <v>2.1999999999999999E-2</v>
      </c>
      <c r="O1953" s="10">
        <f t="shared" si="185"/>
        <v>1430</v>
      </c>
      <c r="P1953" s="10">
        <v>0</v>
      </c>
      <c r="Q1953" s="10">
        <v>135.85</v>
      </c>
      <c r="R1953" s="10">
        <f>IF(COUNTIF($J$2:J1953,J1953)=1,SUMIFS($O:$O,$J:$J,J1953)+SUMIFS($P:$P,$J:$J,J1953)+SUMIFS($Q:$Q,$J:$J,J1953),"")</f>
        <v>11425.85</v>
      </c>
      <c r="S1953" s="10">
        <v>11425.85</v>
      </c>
      <c r="T1953" s="11" t="str">
        <f t="shared" si="188"/>
        <v>Ok</v>
      </c>
      <c r="U1953" s="12">
        <v>46137</v>
      </c>
      <c r="V1953" s="10">
        <v>1287</v>
      </c>
      <c r="W1953" s="10" t="str">
        <f t="shared" si="186"/>
        <v>Short Paid</v>
      </c>
      <c r="X1953" t="s">
        <v>470</v>
      </c>
      <c r="Y1953" t="s">
        <v>40</v>
      </c>
      <c r="Z1953">
        <v>100108</v>
      </c>
      <c r="AA1953" t="s">
        <v>472</v>
      </c>
      <c r="AB1953" t="s">
        <v>522</v>
      </c>
      <c r="AC1953" s="9">
        <v>2</v>
      </c>
      <c r="AD1953" s="9" t="str">
        <f t="shared" si="187"/>
        <v>Ok</v>
      </c>
      <c r="AE1953" s="11">
        <f t="shared" si="189"/>
        <v>0</v>
      </c>
    </row>
    <row r="1954" spans="1:31" x14ac:dyDescent="0.3">
      <c r="A1954">
        <v>14</v>
      </c>
      <c r="B1954">
        <v>4888972</v>
      </c>
      <c r="C1954" t="s">
        <v>220</v>
      </c>
      <c r="D1954">
        <v>1469829</v>
      </c>
      <c r="E1954" t="s">
        <v>224</v>
      </c>
      <c r="F1954" t="s">
        <v>24</v>
      </c>
      <c r="G1954" t="s">
        <v>1698</v>
      </c>
      <c r="H1954" t="s">
        <v>1699</v>
      </c>
      <c r="I1954" t="s">
        <v>3181</v>
      </c>
      <c r="J1954">
        <v>51156869360</v>
      </c>
      <c r="K1954" t="s">
        <v>3168</v>
      </c>
      <c r="L1954" t="s">
        <v>4601</v>
      </c>
      <c r="M1954">
        <v>30000</v>
      </c>
      <c r="N1954" s="10">
        <v>0.32866666666666666</v>
      </c>
      <c r="O1954" s="10">
        <f t="shared" si="185"/>
        <v>9860</v>
      </c>
      <c r="P1954" s="10" t="s">
        <v>5006</v>
      </c>
      <c r="Q1954" s="10" t="s">
        <v>5006</v>
      </c>
      <c r="R1954" s="10" t="str">
        <f>IF(COUNTIF($J$2:J1954,J1954)=1,SUMIFS($O:$O,$J:$J,J1954)+SUMIFS($P:$P,$J:$J,J1954)+SUMIFS($Q:$Q,$J:$J,J1954),"")</f>
        <v/>
      </c>
      <c r="S1954" s="10" t="s">
        <v>5006</v>
      </c>
      <c r="T1954" s="11" t="str">
        <f t="shared" si="188"/>
        <v>Ok</v>
      </c>
      <c r="U1954" s="12">
        <v>46137</v>
      </c>
      <c r="V1954" s="10">
        <v>1287</v>
      </c>
      <c r="W1954" s="10" t="str">
        <f t="shared" si="186"/>
        <v>N/A</v>
      </c>
      <c r="X1954" t="s">
        <v>470</v>
      </c>
      <c r="Y1954" t="s">
        <v>40</v>
      </c>
      <c r="Z1954">
        <v>100108</v>
      </c>
      <c r="AA1954" t="s">
        <v>472</v>
      </c>
      <c r="AB1954" t="s">
        <v>522</v>
      </c>
      <c r="AC1954" s="9">
        <v>2</v>
      </c>
      <c r="AD1954" s="9" t="str">
        <f t="shared" si="187"/>
        <v>N/A</v>
      </c>
      <c r="AE1954" s="11" t="e">
        <f t="shared" si="189"/>
        <v>#VALUE!</v>
      </c>
    </row>
    <row r="1955" spans="1:31" x14ac:dyDescent="0.3">
      <c r="A1955">
        <v>6</v>
      </c>
      <c r="B1955">
        <v>4935445</v>
      </c>
      <c r="C1955" t="s">
        <v>94</v>
      </c>
      <c r="D1955">
        <v>1830445</v>
      </c>
      <c r="E1955" t="s">
        <v>95</v>
      </c>
      <c r="F1955" t="s">
        <v>19</v>
      </c>
      <c r="G1955" t="s">
        <v>1805</v>
      </c>
      <c r="H1955" t="s">
        <v>1806</v>
      </c>
      <c r="I1955" t="s">
        <v>3195</v>
      </c>
      <c r="J1955">
        <v>51156905253</v>
      </c>
      <c r="K1955" t="s">
        <v>3320</v>
      </c>
      <c r="L1955" t="s">
        <v>4602</v>
      </c>
      <c r="M1955">
        <v>1</v>
      </c>
      <c r="N1955" s="10">
        <v>200</v>
      </c>
      <c r="O1955" s="10">
        <f t="shared" si="185"/>
        <v>200</v>
      </c>
      <c r="P1955" s="10">
        <v>0</v>
      </c>
      <c r="Q1955" s="10">
        <v>0</v>
      </c>
      <c r="R1955" s="10">
        <f>IF(COUNTIF($J$2:J1955,J1955)=1,SUMIFS($O:$O,$J:$J,J1955)+SUMIFS($P:$P,$J:$J,J1955)+SUMIFS($Q:$Q,$J:$J,J1955),"")</f>
        <v>3028.8500000000004</v>
      </c>
      <c r="S1955" s="10">
        <v>6751.55</v>
      </c>
      <c r="T1955" s="11" t="str">
        <f t="shared" si="188"/>
        <v>Check</v>
      </c>
      <c r="U1955" s="12">
        <v>46146</v>
      </c>
      <c r="V1955" s="10">
        <v>200</v>
      </c>
      <c r="W1955" s="10" t="str">
        <f t="shared" si="186"/>
        <v>Short Paid</v>
      </c>
      <c r="X1955" t="s">
        <v>450</v>
      </c>
      <c r="Y1955" t="s">
        <v>28</v>
      </c>
      <c r="Z1955">
        <v>100237</v>
      </c>
      <c r="AA1955" t="s">
        <v>3094</v>
      </c>
      <c r="AB1955" t="s">
        <v>524</v>
      </c>
      <c r="AC1955" s="9">
        <v>3</v>
      </c>
      <c r="AD1955" s="9" t="str">
        <f t="shared" si="187"/>
        <v>Check</v>
      </c>
      <c r="AE1955" s="11">
        <f t="shared" si="189"/>
        <v>-3722.7</v>
      </c>
    </row>
    <row r="1956" spans="1:31" x14ac:dyDescent="0.3">
      <c r="A1956">
        <v>6</v>
      </c>
      <c r="B1956">
        <v>4935445</v>
      </c>
      <c r="C1956" t="s">
        <v>94</v>
      </c>
      <c r="D1956">
        <v>1830445</v>
      </c>
      <c r="E1956" t="s">
        <v>95</v>
      </c>
      <c r="F1956" t="s">
        <v>19</v>
      </c>
      <c r="G1956" t="s">
        <v>1805</v>
      </c>
      <c r="H1956" t="s">
        <v>1806</v>
      </c>
      <c r="I1956" t="s">
        <v>3195</v>
      </c>
      <c r="J1956">
        <v>51156905253</v>
      </c>
      <c r="K1956" t="s">
        <v>3320</v>
      </c>
      <c r="L1956" t="s">
        <v>4603</v>
      </c>
      <c r="M1956">
        <v>3</v>
      </c>
      <c r="N1956" s="10">
        <v>620.45000000000005</v>
      </c>
      <c r="O1956" s="10">
        <f t="shared" si="185"/>
        <v>1861.3500000000001</v>
      </c>
      <c r="P1956" s="10" t="s">
        <v>5006</v>
      </c>
      <c r="Q1956" s="10" t="s">
        <v>5006</v>
      </c>
      <c r="R1956" s="10" t="str">
        <f>IF(COUNTIF($J$2:J1956,J1956)=1,SUMIFS($O:$O,$J:$J,J1956)+SUMIFS($P:$P,$J:$J,J1956)+SUMIFS($Q:$Q,$J:$J,J1956),"")</f>
        <v/>
      </c>
      <c r="S1956" s="10" t="s">
        <v>5006</v>
      </c>
      <c r="T1956" s="11" t="str">
        <f t="shared" si="188"/>
        <v>Check</v>
      </c>
      <c r="U1956" s="12">
        <v>46146</v>
      </c>
      <c r="V1956" s="10">
        <v>200</v>
      </c>
      <c r="W1956" s="10" t="str">
        <f t="shared" si="186"/>
        <v>N/A</v>
      </c>
      <c r="X1956" t="s">
        <v>450</v>
      </c>
      <c r="Y1956" t="s">
        <v>28</v>
      </c>
      <c r="Z1956">
        <v>100237</v>
      </c>
      <c r="AA1956" t="s">
        <v>3094</v>
      </c>
      <c r="AB1956" t="s">
        <v>524</v>
      </c>
      <c r="AC1956" s="9">
        <v>3</v>
      </c>
      <c r="AD1956" s="9" t="str">
        <f t="shared" si="187"/>
        <v>N/A</v>
      </c>
      <c r="AE1956" s="11" t="e">
        <f t="shared" si="189"/>
        <v>#VALUE!</v>
      </c>
    </row>
    <row r="1957" spans="1:31" x14ac:dyDescent="0.3">
      <c r="A1957">
        <v>6</v>
      </c>
      <c r="B1957">
        <v>4935445</v>
      </c>
      <c r="C1957" t="s">
        <v>94</v>
      </c>
      <c r="D1957">
        <v>1830445</v>
      </c>
      <c r="E1957" t="s">
        <v>95</v>
      </c>
      <c r="F1957" t="s">
        <v>19</v>
      </c>
      <c r="G1957" t="s">
        <v>1805</v>
      </c>
      <c r="H1957" t="s">
        <v>1806</v>
      </c>
      <c r="I1957" t="s">
        <v>3195</v>
      </c>
      <c r="J1957">
        <v>51156905253</v>
      </c>
      <c r="K1957" t="s">
        <v>3168</v>
      </c>
      <c r="L1957" t="s">
        <v>3497</v>
      </c>
      <c r="M1957">
        <v>45000</v>
      </c>
      <c r="N1957" s="10">
        <v>2.1500000000000002E-2</v>
      </c>
      <c r="O1957" s="10">
        <f t="shared" si="185"/>
        <v>967.50000000000011</v>
      </c>
      <c r="P1957" s="10" t="s">
        <v>5006</v>
      </c>
      <c r="Q1957" s="10" t="s">
        <v>5006</v>
      </c>
      <c r="R1957" s="10" t="str">
        <f>IF(COUNTIF($J$2:J1957,J1957)=1,SUMIFS($O:$O,$J:$J,J1957)+SUMIFS($P:$P,$J:$J,J1957)+SUMIFS($Q:$Q,$J:$J,J1957),"")</f>
        <v/>
      </c>
      <c r="S1957" s="10" t="s">
        <v>5006</v>
      </c>
      <c r="T1957" s="11" t="str">
        <f t="shared" si="188"/>
        <v>Check</v>
      </c>
      <c r="U1957" s="12">
        <v>46146</v>
      </c>
      <c r="V1957" s="10">
        <v>200</v>
      </c>
      <c r="W1957" s="10" t="str">
        <f t="shared" si="186"/>
        <v>N/A</v>
      </c>
      <c r="X1957" t="s">
        <v>450</v>
      </c>
      <c r="Y1957" t="s">
        <v>28</v>
      </c>
      <c r="Z1957">
        <v>100237</v>
      </c>
      <c r="AA1957" t="s">
        <v>3094</v>
      </c>
      <c r="AB1957" t="s">
        <v>524</v>
      </c>
      <c r="AC1957" s="9">
        <v>3</v>
      </c>
      <c r="AD1957" s="9" t="str">
        <f t="shared" si="187"/>
        <v>N/A</v>
      </c>
      <c r="AE1957" s="11" t="e">
        <f t="shared" si="189"/>
        <v>#VALUE!</v>
      </c>
    </row>
    <row r="1958" spans="1:31" x14ac:dyDescent="0.3">
      <c r="A1958">
        <v>25</v>
      </c>
      <c r="B1958">
        <v>4828584</v>
      </c>
      <c r="C1958" t="s">
        <v>239</v>
      </c>
      <c r="D1958">
        <v>1079286</v>
      </c>
      <c r="E1958" t="s">
        <v>629</v>
      </c>
      <c r="F1958" t="s">
        <v>20</v>
      </c>
      <c r="G1958" t="s">
        <v>1454</v>
      </c>
      <c r="H1958" t="s">
        <v>1455</v>
      </c>
      <c r="I1958" t="s">
        <v>3423</v>
      </c>
      <c r="J1958">
        <v>51156905377</v>
      </c>
      <c r="K1958" t="s">
        <v>3168</v>
      </c>
      <c r="L1958" t="s">
        <v>3499</v>
      </c>
      <c r="M1958">
        <v>85000</v>
      </c>
      <c r="N1958" s="10">
        <v>4.6500000000000007E-2</v>
      </c>
      <c r="O1958" s="10">
        <f t="shared" si="185"/>
        <v>3952.5000000000005</v>
      </c>
      <c r="P1958" s="10">
        <v>0</v>
      </c>
      <c r="Q1958" s="10">
        <v>0</v>
      </c>
      <c r="R1958" s="10">
        <f>IF(COUNTIF($J$2:J1958,J1958)=1,SUMIFS($O:$O,$J:$J,J1958)+SUMIFS($P:$P,$J:$J,J1958)+SUMIFS($Q:$Q,$J:$J,J1958),"")</f>
        <v>4114.5</v>
      </c>
      <c r="S1958" s="10">
        <v>4114.5</v>
      </c>
      <c r="T1958" s="11" t="str">
        <f t="shared" si="188"/>
        <v>Ok</v>
      </c>
      <c r="U1958" s="12">
        <v>45986</v>
      </c>
      <c r="V1958" s="10">
        <v>162</v>
      </c>
      <c r="W1958" s="10" t="str">
        <f t="shared" si="186"/>
        <v>Short Paid</v>
      </c>
      <c r="X1958" t="s">
        <v>476</v>
      </c>
      <c r="Y1958" t="s">
        <v>28</v>
      </c>
      <c r="Z1958">
        <v>100155</v>
      </c>
      <c r="AA1958" t="s">
        <v>3072</v>
      </c>
      <c r="AB1958" t="s">
        <v>521</v>
      </c>
      <c r="AC1958" s="9">
        <v>2</v>
      </c>
      <c r="AD1958" s="9" t="str">
        <f t="shared" si="187"/>
        <v>Ok</v>
      </c>
      <c r="AE1958" s="11">
        <f t="shared" si="189"/>
        <v>0</v>
      </c>
    </row>
    <row r="1959" spans="1:31" x14ac:dyDescent="0.3">
      <c r="A1959">
        <v>25</v>
      </c>
      <c r="B1959">
        <v>4828584</v>
      </c>
      <c r="C1959" t="s">
        <v>239</v>
      </c>
      <c r="D1959">
        <v>1079286</v>
      </c>
      <c r="E1959" t="s">
        <v>629</v>
      </c>
      <c r="F1959" t="s">
        <v>20</v>
      </c>
      <c r="G1959" t="s">
        <v>1454</v>
      </c>
      <c r="H1959" t="s">
        <v>1455</v>
      </c>
      <c r="I1959" t="s">
        <v>3414</v>
      </c>
      <c r="J1959">
        <v>51156905377</v>
      </c>
      <c r="K1959" t="s">
        <v>3370</v>
      </c>
      <c r="L1959" t="s">
        <v>4551</v>
      </c>
      <c r="M1959">
        <v>6000</v>
      </c>
      <c r="N1959" s="10">
        <v>2.7E-2</v>
      </c>
      <c r="O1959" s="10">
        <f t="shared" si="185"/>
        <v>162</v>
      </c>
      <c r="P1959" s="10" t="s">
        <v>5006</v>
      </c>
      <c r="Q1959" s="10" t="s">
        <v>5006</v>
      </c>
      <c r="R1959" s="10" t="str">
        <f>IF(COUNTIF($J$2:J1959,J1959)=1,SUMIFS($O:$O,$J:$J,J1959)+SUMIFS($P:$P,$J:$J,J1959)+SUMIFS($Q:$Q,$J:$J,J1959),"")</f>
        <v/>
      </c>
      <c r="S1959" s="10" t="s">
        <v>5006</v>
      </c>
      <c r="T1959" s="11" t="str">
        <f t="shared" si="188"/>
        <v>Ok</v>
      </c>
      <c r="U1959" s="12">
        <v>45986</v>
      </c>
      <c r="V1959" s="10">
        <v>162</v>
      </c>
      <c r="W1959" s="10" t="str">
        <f t="shared" si="186"/>
        <v>N/A</v>
      </c>
      <c r="X1959" t="s">
        <v>476</v>
      </c>
      <c r="Y1959" t="s">
        <v>28</v>
      </c>
      <c r="Z1959">
        <v>100155</v>
      </c>
      <c r="AA1959" t="s">
        <v>3072</v>
      </c>
      <c r="AB1959" t="s">
        <v>521</v>
      </c>
      <c r="AC1959" s="9">
        <v>2</v>
      </c>
      <c r="AD1959" s="9" t="str">
        <f t="shared" si="187"/>
        <v>N/A</v>
      </c>
      <c r="AE1959" s="11" t="e">
        <f t="shared" si="189"/>
        <v>#VALUE!</v>
      </c>
    </row>
    <row r="1960" spans="1:31" x14ac:dyDescent="0.3">
      <c r="A1960">
        <v>15</v>
      </c>
      <c r="B1960">
        <v>4875057</v>
      </c>
      <c r="C1960" t="s">
        <v>217</v>
      </c>
      <c r="D1960">
        <v>1160621</v>
      </c>
      <c r="E1960" t="s">
        <v>571</v>
      </c>
      <c r="F1960" t="s">
        <v>18</v>
      </c>
      <c r="G1960" t="s">
        <v>1640</v>
      </c>
      <c r="H1960" t="s">
        <v>1641</v>
      </c>
      <c r="I1960" t="s">
        <v>3468</v>
      </c>
      <c r="J1960">
        <v>51156947450</v>
      </c>
      <c r="K1960" t="s">
        <v>3168</v>
      </c>
      <c r="L1960" t="s">
        <v>3456</v>
      </c>
      <c r="M1960">
        <v>75000</v>
      </c>
      <c r="N1960" s="10">
        <v>0.17269999999999999</v>
      </c>
      <c r="O1960" s="10">
        <f t="shared" si="185"/>
        <v>12952.5</v>
      </c>
      <c r="P1960" s="10">
        <v>1068.58</v>
      </c>
      <c r="Q1960" s="10">
        <v>0</v>
      </c>
      <c r="R1960" s="10">
        <f>IF(COUNTIF($J$2:J1960,J1960)=1,SUMIFS($O:$O,$J:$J,J1960)+SUMIFS($P:$P,$J:$J,J1960)+SUMIFS($Q:$Q,$J:$J,J1960),"")</f>
        <v>15790.855</v>
      </c>
      <c r="S1960" s="10">
        <v>15790.86</v>
      </c>
      <c r="T1960" s="11" t="str">
        <f t="shared" si="188"/>
        <v>Check</v>
      </c>
      <c r="U1960" s="12">
        <v>46065</v>
      </c>
      <c r="V1960" s="10">
        <v>1769.78</v>
      </c>
      <c r="W1960" s="10" t="str">
        <f t="shared" si="186"/>
        <v>Short Paid</v>
      </c>
      <c r="X1960" t="s">
        <v>468</v>
      </c>
      <c r="Y1960" t="s">
        <v>28</v>
      </c>
      <c r="Z1960">
        <v>100286</v>
      </c>
      <c r="AA1960" t="s">
        <v>3061</v>
      </c>
      <c r="AB1960" t="s">
        <v>523</v>
      </c>
      <c r="AC1960" s="9">
        <v>3</v>
      </c>
      <c r="AD1960" s="9" t="str">
        <f t="shared" si="187"/>
        <v>Check</v>
      </c>
      <c r="AE1960" s="11">
        <f t="shared" si="189"/>
        <v>-5.0000000010186341E-3</v>
      </c>
    </row>
    <row r="1961" spans="1:31" x14ac:dyDescent="0.3">
      <c r="A1961">
        <v>15</v>
      </c>
      <c r="B1961">
        <v>4875057</v>
      </c>
      <c r="C1961" t="s">
        <v>217</v>
      </c>
      <c r="D1961">
        <v>1160621</v>
      </c>
      <c r="E1961" t="s">
        <v>571</v>
      </c>
      <c r="F1961" t="s">
        <v>18</v>
      </c>
      <c r="G1961" t="s">
        <v>1640</v>
      </c>
      <c r="H1961" t="s">
        <v>1641</v>
      </c>
      <c r="I1961" t="s">
        <v>3287</v>
      </c>
      <c r="J1961">
        <v>51156947450</v>
      </c>
      <c r="K1961" t="s">
        <v>3201</v>
      </c>
      <c r="L1961" t="s">
        <v>4604</v>
      </c>
      <c r="M1961">
        <v>12000</v>
      </c>
      <c r="N1961" s="10">
        <v>0.11899999999999999</v>
      </c>
      <c r="O1961" s="10">
        <f t="shared" si="185"/>
        <v>1428</v>
      </c>
      <c r="P1961" s="10" t="s">
        <v>5006</v>
      </c>
      <c r="Q1961" s="10" t="s">
        <v>5006</v>
      </c>
      <c r="R1961" s="10" t="str">
        <f>IF(COUNTIF($J$2:J1961,J1961)=1,SUMIFS($O:$O,$J:$J,J1961)+SUMIFS($P:$P,$J:$J,J1961)+SUMIFS($Q:$Q,$J:$J,J1961),"")</f>
        <v/>
      </c>
      <c r="S1961" s="10" t="s">
        <v>5006</v>
      </c>
      <c r="T1961" s="11" t="str">
        <f t="shared" si="188"/>
        <v>Check</v>
      </c>
      <c r="U1961" s="12">
        <v>46065</v>
      </c>
      <c r="V1961" s="10">
        <v>1769.78</v>
      </c>
      <c r="W1961" s="10" t="str">
        <f t="shared" si="186"/>
        <v>N/A</v>
      </c>
      <c r="X1961" t="s">
        <v>468</v>
      </c>
      <c r="Y1961" t="s">
        <v>28</v>
      </c>
      <c r="Z1961">
        <v>100286</v>
      </c>
      <c r="AA1961" t="s">
        <v>3061</v>
      </c>
      <c r="AB1961" t="s">
        <v>523</v>
      </c>
      <c r="AC1961" s="9">
        <v>3</v>
      </c>
      <c r="AD1961" s="9" t="str">
        <f t="shared" si="187"/>
        <v>N/A</v>
      </c>
      <c r="AE1961" s="11" t="e">
        <f t="shared" si="189"/>
        <v>#VALUE!</v>
      </c>
    </row>
    <row r="1962" spans="1:31" x14ac:dyDescent="0.3">
      <c r="A1962">
        <v>15</v>
      </c>
      <c r="B1962">
        <v>4875057</v>
      </c>
      <c r="C1962" t="s">
        <v>217</v>
      </c>
      <c r="D1962">
        <v>1160621</v>
      </c>
      <c r="E1962" t="s">
        <v>571</v>
      </c>
      <c r="F1962" t="s">
        <v>18</v>
      </c>
      <c r="G1962" t="s">
        <v>1640</v>
      </c>
      <c r="H1962" t="s">
        <v>1641</v>
      </c>
      <c r="I1962" t="s">
        <v>3287</v>
      </c>
      <c r="J1962">
        <v>51156947450</v>
      </c>
      <c r="K1962" t="s">
        <v>3401</v>
      </c>
      <c r="L1962" t="s">
        <v>4605</v>
      </c>
      <c r="M1962">
        <v>9300</v>
      </c>
      <c r="N1962" s="10">
        <v>3.6749999999999998E-2</v>
      </c>
      <c r="O1962" s="10">
        <f t="shared" si="185"/>
        <v>341.77499999999998</v>
      </c>
      <c r="P1962" s="10" t="s">
        <v>5006</v>
      </c>
      <c r="Q1962" s="10" t="s">
        <v>5006</v>
      </c>
      <c r="R1962" s="10" t="str">
        <f>IF(COUNTIF($J$2:J1962,J1962)=1,SUMIFS($O:$O,$J:$J,J1962)+SUMIFS($P:$P,$J:$J,J1962)+SUMIFS($Q:$Q,$J:$J,J1962),"")</f>
        <v/>
      </c>
      <c r="S1962" s="10" t="s">
        <v>5006</v>
      </c>
      <c r="T1962" s="11" t="str">
        <f t="shared" si="188"/>
        <v>Check</v>
      </c>
      <c r="U1962" s="12">
        <v>46065</v>
      </c>
      <c r="V1962" s="10">
        <v>1769.78</v>
      </c>
      <c r="W1962" s="10" t="str">
        <f t="shared" si="186"/>
        <v>N/A</v>
      </c>
      <c r="X1962" t="s">
        <v>468</v>
      </c>
      <c r="Y1962" t="s">
        <v>28</v>
      </c>
      <c r="Z1962">
        <v>100286</v>
      </c>
      <c r="AA1962" t="s">
        <v>3061</v>
      </c>
      <c r="AB1962" t="s">
        <v>523</v>
      </c>
      <c r="AC1962" s="9">
        <v>3</v>
      </c>
      <c r="AD1962" s="9" t="str">
        <f t="shared" si="187"/>
        <v>N/A</v>
      </c>
      <c r="AE1962" s="11" t="e">
        <f t="shared" si="189"/>
        <v>#VALUE!</v>
      </c>
    </row>
    <row r="1963" spans="1:31" x14ac:dyDescent="0.3">
      <c r="A1963">
        <v>15</v>
      </c>
      <c r="B1963">
        <v>4871440</v>
      </c>
      <c r="C1963" t="s">
        <v>239</v>
      </c>
      <c r="D1963">
        <v>1112351</v>
      </c>
      <c r="E1963" t="s">
        <v>701</v>
      </c>
      <c r="F1963" t="s">
        <v>47</v>
      </c>
      <c r="G1963" t="s">
        <v>1618</v>
      </c>
      <c r="H1963" t="s">
        <v>1619</v>
      </c>
      <c r="I1963" t="s">
        <v>3393</v>
      </c>
      <c r="J1963">
        <v>51157045963</v>
      </c>
      <c r="K1963" t="s">
        <v>3431</v>
      </c>
      <c r="L1963" t="s">
        <v>3440</v>
      </c>
      <c r="M1963">
        <v>1000</v>
      </c>
      <c r="N1963" s="10">
        <v>6.2</v>
      </c>
      <c r="O1963" s="10">
        <f t="shared" si="185"/>
        <v>6200</v>
      </c>
      <c r="P1963" s="10">
        <v>1234.6600000000001</v>
      </c>
      <c r="Q1963" s="10">
        <v>2064.6</v>
      </c>
      <c r="R1963" s="10">
        <f>IF(COUNTIF($J$2:J1963,J1963)=1,SUMIFS($O:$O,$J:$J,J1963)+SUMIFS($P:$P,$J:$J,J1963)+SUMIFS($Q:$Q,$J:$J,J1963),"")</f>
        <v>15198.359999999999</v>
      </c>
      <c r="S1963" s="10">
        <v>15198.36</v>
      </c>
      <c r="T1963" s="11" t="str">
        <f t="shared" si="188"/>
        <v>Ok</v>
      </c>
      <c r="U1963" s="12">
        <v>46134</v>
      </c>
      <c r="V1963" s="10">
        <v>9029.08</v>
      </c>
      <c r="W1963" s="10" t="str">
        <f t="shared" si="186"/>
        <v>Short Paid</v>
      </c>
      <c r="X1963" t="s">
        <v>476</v>
      </c>
      <c r="Y1963" t="s">
        <v>28</v>
      </c>
      <c r="Z1963">
        <v>100235</v>
      </c>
      <c r="AA1963" t="s">
        <v>509</v>
      </c>
      <c r="AB1963" t="s">
        <v>3039</v>
      </c>
      <c r="AC1963" s="9">
        <v>2</v>
      </c>
      <c r="AD1963" s="9" t="str">
        <f t="shared" si="187"/>
        <v>Ok</v>
      </c>
      <c r="AE1963" s="11">
        <f t="shared" si="189"/>
        <v>0</v>
      </c>
    </row>
    <row r="1964" spans="1:31" x14ac:dyDescent="0.3">
      <c r="A1964">
        <v>15</v>
      </c>
      <c r="B1964">
        <v>4871440</v>
      </c>
      <c r="C1964" t="s">
        <v>239</v>
      </c>
      <c r="D1964">
        <v>1112351</v>
      </c>
      <c r="E1964" t="s">
        <v>701</v>
      </c>
      <c r="F1964" t="s">
        <v>47</v>
      </c>
      <c r="G1964" t="s">
        <v>1618</v>
      </c>
      <c r="H1964" t="s">
        <v>1619</v>
      </c>
      <c r="I1964" t="s">
        <v>3432</v>
      </c>
      <c r="J1964">
        <v>51157045963</v>
      </c>
      <c r="K1964" t="s">
        <v>3168</v>
      </c>
      <c r="L1964" t="s">
        <v>3456</v>
      </c>
      <c r="M1964">
        <v>33000</v>
      </c>
      <c r="N1964" s="10">
        <v>0.17269999999999999</v>
      </c>
      <c r="O1964" s="10">
        <f t="shared" si="185"/>
        <v>5699.0999999999995</v>
      </c>
      <c r="P1964" s="10" t="s">
        <v>5006</v>
      </c>
      <c r="Q1964" s="10" t="s">
        <v>5006</v>
      </c>
      <c r="R1964" s="10" t="str">
        <f>IF(COUNTIF($J$2:J1964,J1964)=1,SUMIFS($O:$O,$J:$J,J1964)+SUMIFS($P:$P,$J:$J,J1964)+SUMIFS($Q:$Q,$J:$J,J1964),"")</f>
        <v/>
      </c>
      <c r="S1964" s="10" t="s">
        <v>5006</v>
      </c>
      <c r="T1964" s="11" t="str">
        <f t="shared" si="188"/>
        <v>Ok</v>
      </c>
      <c r="U1964" s="12">
        <v>46134</v>
      </c>
      <c r="V1964" s="10">
        <v>9029.08</v>
      </c>
      <c r="W1964" s="10" t="str">
        <f t="shared" si="186"/>
        <v>N/A</v>
      </c>
      <c r="X1964" t="s">
        <v>476</v>
      </c>
      <c r="Y1964" t="s">
        <v>28</v>
      </c>
      <c r="Z1964">
        <v>100235</v>
      </c>
      <c r="AA1964" t="s">
        <v>509</v>
      </c>
      <c r="AB1964" t="s">
        <v>3039</v>
      </c>
      <c r="AC1964" s="9">
        <v>2</v>
      </c>
      <c r="AD1964" s="9" t="str">
        <f t="shared" si="187"/>
        <v>N/A</v>
      </c>
      <c r="AE1964" s="11" t="e">
        <f t="shared" si="189"/>
        <v>#VALUE!</v>
      </c>
    </row>
    <row r="1965" spans="1:31" x14ac:dyDescent="0.3">
      <c r="A1965">
        <v>13</v>
      </c>
      <c r="B1965">
        <v>4894537</v>
      </c>
      <c r="C1965" t="s">
        <v>239</v>
      </c>
      <c r="D1965">
        <v>1098309</v>
      </c>
      <c r="E1965" t="s">
        <v>544</v>
      </c>
      <c r="F1965" t="s">
        <v>49</v>
      </c>
      <c r="G1965" t="s">
        <v>1719</v>
      </c>
      <c r="H1965" t="s">
        <v>1720</v>
      </c>
      <c r="I1965" t="s">
        <v>3230</v>
      </c>
      <c r="J1965">
        <v>51157081730</v>
      </c>
      <c r="K1965" t="s">
        <v>3252</v>
      </c>
      <c r="L1965" t="s">
        <v>4606</v>
      </c>
      <c r="M1965">
        <v>3750</v>
      </c>
      <c r="N1965" s="10">
        <v>1.47</v>
      </c>
      <c r="O1965" s="10">
        <f t="shared" si="185"/>
        <v>5512.5</v>
      </c>
      <c r="P1965" s="10">
        <v>344.53</v>
      </c>
      <c r="Q1965" s="10">
        <v>523.69000000000005</v>
      </c>
      <c r="R1965" s="10">
        <f>IF(COUNTIF($J$2:J1965,J1965)=1,SUMIFS($O:$O,$J:$J,J1965)+SUMIFS($P:$P,$J:$J,J1965)+SUMIFS($Q:$Q,$J:$J,J1965),"")</f>
        <v>6393.2199999999993</v>
      </c>
      <c r="S1965" s="10">
        <v>6393.22</v>
      </c>
      <c r="T1965" s="11" t="str">
        <f t="shared" si="188"/>
        <v>Ok</v>
      </c>
      <c r="U1965" s="12">
        <v>46118</v>
      </c>
      <c r="V1965" s="10">
        <v>344.53</v>
      </c>
      <c r="W1965" s="10" t="str">
        <f t="shared" si="186"/>
        <v>Short Paid</v>
      </c>
      <c r="X1965" t="s">
        <v>476</v>
      </c>
      <c r="Y1965" t="s">
        <v>29</v>
      </c>
      <c r="Z1965">
        <v>100295</v>
      </c>
      <c r="AA1965" t="s">
        <v>3127</v>
      </c>
      <c r="AB1965" t="s">
        <v>3041</v>
      </c>
      <c r="AC1965" s="9">
        <v>2</v>
      </c>
      <c r="AD1965" s="9" t="str">
        <f t="shared" si="187"/>
        <v>Ok</v>
      </c>
      <c r="AE1965" s="11">
        <f t="shared" si="189"/>
        <v>0</v>
      </c>
    </row>
    <row r="1966" spans="1:31" x14ac:dyDescent="0.3">
      <c r="A1966">
        <v>13</v>
      </c>
      <c r="B1966">
        <v>4894537</v>
      </c>
      <c r="C1966" t="s">
        <v>239</v>
      </c>
      <c r="D1966">
        <v>1098309</v>
      </c>
      <c r="E1966" t="s">
        <v>544</v>
      </c>
      <c r="F1966" t="s">
        <v>49</v>
      </c>
      <c r="G1966" t="s">
        <v>1719</v>
      </c>
      <c r="H1966" t="s">
        <v>1720</v>
      </c>
      <c r="I1966" t="s">
        <v>3291</v>
      </c>
      <c r="J1966">
        <v>51157081730</v>
      </c>
      <c r="K1966" t="s">
        <v>3479</v>
      </c>
      <c r="L1966" t="s">
        <v>4607</v>
      </c>
      <c r="M1966">
        <v>2000</v>
      </c>
      <c r="N1966" s="10">
        <v>6.2500000000000003E-3</v>
      </c>
      <c r="O1966" s="10">
        <f t="shared" si="185"/>
        <v>12.5</v>
      </c>
      <c r="P1966" s="10" t="s">
        <v>5006</v>
      </c>
      <c r="Q1966" s="10" t="s">
        <v>5006</v>
      </c>
      <c r="R1966" s="10" t="str">
        <f>IF(COUNTIF($J$2:J1966,J1966)=1,SUMIFS($O:$O,$J:$J,J1966)+SUMIFS($P:$P,$J:$J,J1966)+SUMIFS($Q:$Q,$J:$J,J1966),"")</f>
        <v/>
      </c>
      <c r="S1966" s="10" t="s">
        <v>5006</v>
      </c>
      <c r="T1966" s="11" t="str">
        <f t="shared" si="188"/>
        <v>Ok</v>
      </c>
      <c r="U1966" s="12">
        <v>46118</v>
      </c>
      <c r="V1966" s="10">
        <v>344.53</v>
      </c>
      <c r="W1966" s="10" t="str">
        <f t="shared" si="186"/>
        <v>N/A</v>
      </c>
      <c r="X1966" t="s">
        <v>476</v>
      </c>
      <c r="Y1966" t="s">
        <v>29</v>
      </c>
      <c r="Z1966">
        <v>100295</v>
      </c>
      <c r="AA1966" t="s">
        <v>3127</v>
      </c>
      <c r="AB1966" t="s">
        <v>3041</v>
      </c>
      <c r="AC1966" s="9">
        <v>2</v>
      </c>
      <c r="AD1966" s="9" t="str">
        <f t="shared" si="187"/>
        <v>N/A</v>
      </c>
      <c r="AE1966" s="11" t="e">
        <f t="shared" si="189"/>
        <v>#VALUE!</v>
      </c>
    </row>
    <row r="1967" spans="1:31" x14ac:dyDescent="0.3">
      <c r="A1967">
        <v>11</v>
      </c>
      <c r="B1967">
        <v>4897042</v>
      </c>
      <c r="C1967" t="s">
        <v>239</v>
      </c>
      <c r="D1967">
        <v>1017836</v>
      </c>
      <c r="E1967" t="s">
        <v>282</v>
      </c>
      <c r="F1967" t="s">
        <v>20</v>
      </c>
      <c r="G1967" t="s">
        <v>1728</v>
      </c>
      <c r="H1967" t="s">
        <v>1729</v>
      </c>
      <c r="I1967" t="s">
        <v>3357</v>
      </c>
      <c r="J1967">
        <v>51157094471</v>
      </c>
      <c r="K1967" t="s">
        <v>3900</v>
      </c>
      <c r="L1967" t="s">
        <v>4608</v>
      </c>
      <c r="M1967">
        <v>5</v>
      </c>
      <c r="N1967" s="10">
        <v>47.2</v>
      </c>
      <c r="O1967" s="10">
        <f t="shared" si="185"/>
        <v>236</v>
      </c>
      <c r="P1967" s="10">
        <v>0</v>
      </c>
      <c r="Q1967" s="10">
        <v>0</v>
      </c>
      <c r="R1967" s="10">
        <f>IF(COUNTIF($J$2:J1967,J1967)=1,SUMIFS($O:$O,$J:$J,J1967)+SUMIFS($P:$P,$J:$J,J1967)+SUMIFS($Q:$Q,$J:$J,J1967),"")</f>
        <v>2126</v>
      </c>
      <c r="S1967" s="10">
        <v>2126</v>
      </c>
      <c r="T1967" s="11" t="str">
        <f t="shared" si="188"/>
        <v>Ok</v>
      </c>
      <c r="U1967" s="12">
        <v>46106</v>
      </c>
      <c r="V1967" s="10">
        <v>236</v>
      </c>
      <c r="W1967" s="10" t="str">
        <f t="shared" si="186"/>
        <v>Short Paid</v>
      </c>
      <c r="X1967" t="s">
        <v>476</v>
      </c>
      <c r="Y1967" t="s">
        <v>28</v>
      </c>
      <c r="Z1967">
        <v>100275</v>
      </c>
      <c r="AA1967" t="s">
        <v>492</v>
      </c>
      <c r="AB1967" t="s">
        <v>521</v>
      </c>
      <c r="AC1967" s="9">
        <v>2</v>
      </c>
      <c r="AD1967" s="9" t="str">
        <f t="shared" si="187"/>
        <v>Ok</v>
      </c>
      <c r="AE1967" s="11">
        <f t="shared" si="189"/>
        <v>0</v>
      </c>
    </row>
    <row r="1968" spans="1:31" x14ac:dyDescent="0.3">
      <c r="A1968">
        <v>11</v>
      </c>
      <c r="B1968">
        <v>4897042</v>
      </c>
      <c r="C1968" t="s">
        <v>239</v>
      </c>
      <c r="D1968">
        <v>1017836</v>
      </c>
      <c r="E1968" t="s">
        <v>282</v>
      </c>
      <c r="F1968" t="s">
        <v>20</v>
      </c>
      <c r="G1968" t="s">
        <v>1728</v>
      </c>
      <c r="H1968" t="s">
        <v>1729</v>
      </c>
      <c r="I1968" t="s">
        <v>3234</v>
      </c>
      <c r="J1968">
        <v>51157094471</v>
      </c>
      <c r="K1968" t="s">
        <v>3379</v>
      </c>
      <c r="L1968" t="s">
        <v>3461</v>
      </c>
      <c r="M1968">
        <v>70000</v>
      </c>
      <c r="N1968" s="10">
        <v>2.7E-2</v>
      </c>
      <c r="O1968" s="10">
        <f t="shared" si="185"/>
        <v>1890</v>
      </c>
      <c r="P1968" s="10" t="s">
        <v>5006</v>
      </c>
      <c r="Q1968" s="10" t="s">
        <v>5006</v>
      </c>
      <c r="R1968" s="10" t="str">
        <f>IF(COUNTIF($J$2:J1968,J1968)=1,SUMIFS($O:$O,$J:$J,J1968)+SUMIFS($P:$P,$J:$J,J1968)+SUMIFS($Q:$Q,$J:$J,J1968),"")</f>
        <v/>
      </c>
      <c r="S1968" s="10" t="s">
        <v>5006</v>
      </c>
      <c r="T1968" s="11" t="str">
        <f t="shared" si="188"/>
        <v>Ok</v>
      </c>
      <c r="U1968" s="12">
        <v>46106</v>
      </c>
      <c r="V1968" s="10">
        <v>236</v>
      </c>
      <c r="W1968" s="10" t="str">
        <f t="shared" si="186"/>
        <v>N/A</v>
      </c>
      <c r="X1968" t="s">
        <v>476</v>
      </c>
      <c r="Y1968" t="s">
        <v>28</v>
      </c>
      <c r="Z1968">
        <v>100275</v>
      </c>
      <c r="AA1968" t="s">
        <v>492</v>
      </c>
      <c r="AB1968" t="s">
        <v>521</v>
      </c>
      <c r="AC1968" s="9">
        <v>2</v>
      </c>
      <c r="AD1968" s="9" t="str">
        <f t="shared" si="187"/>
        <v>N/A</v>
      </c>
      <c r="AE1968" s="11" t="e">
        <f t="shared" si="189"/>
        <v>#VALUE!</v>
      </c>
    </row>
    <row r="1969" spans="1:31" x14ac:dyDescent="0.3">
      <c r="A1969">
        <v>25</v>
      </c>
      <c r="B1969">
        <v>4828306</v>
      </c>
      <c r="C1969" t="s">
        <v>239</v>
      </c>
      <c r="D1969">
        <v>1079286</v>
      </c>
      <c r="E1969" t="s">
        <v>629</v>
      </c>
      <c r="F1969" t="s">
        <v>20</v>
      </c>
      <c r="G1969" t="s">
        <v>1452</v>
      </c>
      <c r="H1969" t="s">
        <v>1453</v>
      </c>
      <c r="I1969" t="s">
        <v>3408</v>
      </c>
      <c r="J1969">
        <v>51157098708</v>
      </c>
      <c r="K1969" t="s">
        <v>3370</v>
      </c>
      <c r="L1969" t="s">
        <v>4551</v>
      </c>
      <c r="M1969">
        <v>9000</v>
      </c>
      <c r="N1969" s="10">
        <v>2.7E-2</v>
      </c>
      <c r="O1969" s="10">
        <f t="shared" si="185"/>
        <v>243</v>
      </c>
      <c r="P1969" s="10">
        <v>0</v>
      </c>
      <c r="Q1969" s="10">
        <v>0</v>
      </c>
      <c r="R1969" s="10">
        <f>IF(COUNTIF($J$2:J1969,J1969)=1,SUMIFS($O:$O,$J:$J,J1969)+SUMIFS($P:$P,$J:$J,J1969)+SUMIFS($Q:$Q,$J:$J,J1969),"")</f>
        <v>3343.5</v>
      </c>
      <c r="S1969" s="10">
        <v>3343.5</v>
      </c>
      <c r="T1969" s="11" t="str">
        <f t="shared" si="188"/>
        <v>Ok</v>
      </c>
      <c r="U1969" s="12">
        <v>45986</v>
      </c>
      <c r="V1969" s="10">
        <v>243</v>
      </c>
      <c r="W1969" s="10" t="str">
        <f t="shared" si="186"/>
        <v>Short Paid</v>
      </c>
      <c r="X1969" t="s">
        <v>476</v>
      </c>
      <c r="Y1969" t="s">
        <v>28</v>
      </c>
      <c r="Z1969">
        <v>100125</v>
      </c>
      <c r="AA1969" t="s">
        <v>477</v>
      </c>
      <c r="AB1969" t="s">
        <v>521</v>
      </c>
      <c r="AC1969" s="9">
        <v>2</v>
      </c>
      <c r="AD1969" s="9" t="str">
        <f t="shared" si="187"/>
        <v>Ok</v>
      </c>
      <c r="AE1969" s="11">
        <f t="shared" si="189"/>
        <v>0</v>
      </c>
    </row>
    <row r="1970" spans="1:31" x14ac:dyDescent="0.3">
      <c r="A1970">
        <v>25</v>
      </c>
      <c r="B1970">
        <v>4828306</v>
      </c>
      <c r="C1970" t="s">
        <v>239</v>
      </c>
      <c r="D1970">
        <v>1079286</v>
      </c>
      <c r="E1970" t="s">
        <v>629</v>
      </c>
      <c r="F1970" t="s">
        <v>20</v>
      </c>
      <c r="G1970" t="s">
        <v>1452</v>
      </c>
      <c r="H1970" t="s">
        <v>1453</v>
      </c>
      <c r="I1970" t="s">
        <v>3387</v>
      </c>
      <c r="J1970">
        <v>51157098708</v>
      </c>
      <c r="K1970" t="s">
        <v>3532</v>
      </c>
      <c r="L1970" t="s">
        <v>3534</v>
      </c>
      <c r="M1970">
        <v>15000</v>
      </c>
      <c r="N1970" s="10">
        <v>0.20669999999999999</v>
      </c>
      <c r="O1970" s="10">
        <f t="shared" si="185"/>
        <v>3100.5</v>
      </c>
      <c r="P1970" s="10" t="s">
        <v>5006</v>
      </c>
      <c r="Q1970" s="10" t="s">
        <v>5006</v>
      </c>
      <c r="R1970" s="10" t="str">
        <f>IF(COUNTIF($J$2:J1970,J1970)=1,SUMIFS($O:$O,$J:$J,J1970)+SUMIFS($P:$P,$J:$J,J1970)+SUMIFS($Q:$Q,$J:$J,J1970),"")</f>
        <v/>
      </c>
      <c r="S1970" s="10" t="s">
        <v>5006</v>
      </c>
      <c r="T1970" s="11" t="str">
        <f t="shared" si="188"/>
        <v>Ok</v>
      </c>
      <c r="U1970" s="12">
        <v>45986</v>
      </c>
      <c r="V1970" s="10">
        <v>243</v>
      </c>
      <c r="W1970" s="10" t="str">
        <f t="shared" si="186"/>
        <v>N/A</v>
      </c>
      <c r="X1970" t="s">
        <v>476</v>
      </c>
      <c r="Y1970" t="s">
        <v>28</v>
      </c>
      <c r="Z1970">
        <v>100125</v>
      </c>
      <c r="AA1970" t="s">
        <v>477</v>
      </c>
      <c r="AB1970" t="s">
        <v>521</v>
      </c>
      <c r="AC1970" s="9">
        <v>2</v>
      </c>
      <c r="AD1970" s="9" t="str">
        <f t="shared" si="187"/>
        <v>N/A</v>
      </c>
      <c r="AE1970" s="11" t="e">
        <f t="shared" si="189"/>
        <v>#VALUE!</v>
      </c>
    </row>
    <row r="1971" spans="1:31" x14ac:dyDescent="0.3">
      <c r="A1971">
        <v>25</v>
      </c>
      <c r="B1971">
        <v>4824966</v>
      </c>
      <c r="C1971" t="s">
        <v>239</v>
      </c>
      <c r="D1971">
        <v>1079286</v>
      </c>
      <c r="E1971" t="s">
        <v>629</v>
      </c>
      <c r="F1971" t="s">
        <v>20</v>
      </c>
      <c r="G1971" t="s">
        <v>1443</v>
      </c>
      <c r="H1971" t="s">
        <v>1444</v>
      </c>
      <c r="I1971" t="s">
        <v>3296</v>
      </c>
      <c r="J1971">
        <v>51157155740</v>
      </c>
      <c r="K1971" t="s">
        <v>3379</v>
      </c>
      <c r="L1971" t="s">
        <v>4532</v>
      </c>
      <c r="M1971">
        <v>30000</v>
      </c>
      <c r="N1971" s="10">
        <v>1.2E-2</v>
      </c>
      <c r="O1971" s="10">
        <f t="shared" si="185"/>
        <v>360</v>
      </c>
      <c r="P1971" s="10">
        <v>71.78</v>
      </c>
      <c r="Q1971" s="10">
        <v>0</v>
      </c>
      <c r="R1971" s="10">
        <f>IF(COUNTIF($J$2:J1971,J1971)=1,SUMIFS($O:$O,$J:$J,J1971)+SUMIFS($P:$P,$J:$J,J1971)+SUMIFS($Q:$Q,$J:$J,J1971),"")</f>
        <v>1301.78</v>
      </c>
      <c r="S1971" s="10">
        <v>1301.78</v>
      </c>
      <c r="T1971" s="11" t="str">
        <f t="shared" si="188"/>
        <v>Ok</v>
      </c>
      <c r="U1971" s="12">
        <v>46014</v>
      </c>
      <c r="V1971" s="10">
        <v>360</v>
      </c>
      <c r="W1971" s="10" t="str">
        <f t="shared" si="186"/>
        <v>Short Paid</v>
      </c>
      <c r="X1971" t="s">
        <v>476</v>
      </c>
      <c r="Y1971" t="s">
        <v>28</v>
      </c>
      <c r="Z1971">
        <v>100285</v>
      </c>
      <c r="AA1971" t="s">
        <v>501</v>
      </c>
      <c r="AB1971" t="s">
        <v>521</v>
      </c>
      <c r="AC1971" s="9">
        <v>2</v>
      </c>
      <c r="AD1971" s="9" t="str">
        <f t="shared" si="187"/>
        <v>Ok</v>
      </c>
      <c r="AE1971" s="11">
        <f t="shared" si="189"/>
        <v>0</v>
      </c>
    </row>
    <row r="1972" spans="1:31" x14ac:dyDescent="0.3">
      <c r="A1972">
        <v>25</v>
      </c>
      <c r="B1972">
        <v>4824966</v>
      </c>
      <c r="C1972" t="s">
        <v>239</v>
      </c>
      <c r="D1972">
        <v>1079286</v>
      </c>
      <c r="E1972" t="s">
        <v>629</v>
      </c>
      <c r="F1972" t="s">
        <v>20</v>
      </c>
      <c r="G1972" t="s">
        <v>1443</v>
      </c>
      <c r="H1972" t="s">
        <v>1444</v>
      </c>
      <c r="I1972" t="s">
        <v>3350</v>
      </c>
      <c r="J1972">
        <v>51157155740</v>
      </c>
      <c r="K1972" t="s">
        <v>3226</v>
      </c>
      <c r="L1972" t="s">
        <v>4461</v>
      </c>
      <c r="M1972">
        <v>3000</v>
      </c>
      <c r="N1972" s="10">
        <v>0.28999999999999998</v>
      </c>
      <c r="O1972" s="10">
        <f t="shared" si="185"/>
        <v>869.99999999999989</v>
      </c>
      <c r="P1972" s="10" t="s">
        <v>5006</v>
      </c>
      <c r="Q1972" s="10" t="s">
        <v>5006</v>
      </c>
      <c r="R1972" s="10" t="str">
        <f>IF(COUNTIF($J$2:J1972,J1972)=1,SUMIFS($O:$O,$J:$J,J1972)+SUMIFS($P:$P,$J:$J,J1972)+SUMIFS($Q:$Q,$J:$J,J1972),"")</f>
        <v/>
      </c>
      <c r="S1972" s="10" t="s">
        <v>5006</v>
      </c>
      <c r="T1972" s="11" t="str">
        <f t="shared" si="188"/>
        <v>Ok</v>
      </c>
      <c r="U1972" s="12">
        <v>46014</v>
      </c>
      <c r="V1972" s="10">
        <v>360</v>
      </c>
      <c r="W1972" s="10" t="str">
        <f t="shared" si="186"/>
        <v>N/A</v>
      </c>
      <c r="X1972" t="s">
        <v>476</v>
      </c>
      <c r="Y1972" t="s">
        <v>28</v>
      </c>
      <c r="Z1972">
        <v>100285</v>
      </c>
      <c r="AA1972" t="s">
        <v>501</v>
      </c>
      <c r="AB1972" t="s">
        <v>521</v>
      </c>
      <c r="AC1972" s="9">
        <v>2</v>
      </c>
      <c r="AD1972" s="9" t="str">
        <f t="shared" si="187"/>
        <v>N/A</v>
      </c>
      <c r="AE1972" s="11" t="e">
        <f t="shared" si="189"/>
        <v>#VALUE!</v>
      </c>
    </row>
    <row r="1973" spans="1:31" x14ac:dyDescent="0.3">
      <c r="A1973">
        <v>9</v>
      </c>
      <c r="B1973">
        <v>4909843</v>
      </c>
      <c r="C1973" t="s">
        <v>217</v>
      </c>
      <c r="D1973">
        <v>1983620</v>
      </c>
      <c r="E1973" t="s">
        <v>749</v>
      </c>
      <c r="F1973" t="s">
        <v>18</v>
      </c>
      <c r="G1973" t="s">
        <v>1751</v>
      </c>
      <c r="H1973" t="s">
        <v>1752</v>
      </c>
      <c r="I1973" t="s">
        <v>3312</v>
      </c>
      <c r="J1973">
        <v>51157195045</v>
      </c>
      <c r="K1973" t="s">
        <v>3483</v>
      </c>
      <c r="L1973" t="s">
        <v>4609</v>
      </c>
      <c r="M1973">
        <v>50</v>
      </c>
      <c r="N1973" s="10">
        <v>2073</v>
      </c>
      <c r="O1973" s="10">
        <f t="shared" si="185"/>
        <v>103650</v>
      </c>
      <c r="P1973" s="10">
        <v>0</v>
      </c>
      <c r="Q1973" s="10">
        <v>0</v>
      </c>
      <c r="R1973" s="10">
        <f>IF(COUNTIF($J$2:J1973,J1973)=1,SUMIFS($O:$O,$J:$J,J1973)+SUMIFS($P:$P,$J:$J,J1973)+SUMIFS($Q:$Q,$J:$J,J1973),"")</f>
        <v>104422.8</v>
      </c>
      <c r="S1973" s="10">
        <v>104433.22</v>
      </c>
      <c r="T1973" s="11" t="str">
        <f t="shared" si="188"/>
        <v>Check</v>
      </c>
      <c r="U1973" s="12">
        <v>46147</v>
      </c>
      <c r="V1973" s="10">
        <v>103660.42</v>
      </c>
      <c r="W1973" s="10" t="str">
        <f t="shared" si="186"/>
        <v>Short Paid</v>
      </c>
      <c r="X1973" t="s">
        <v>468</v>
      </c>
      <c r="Y1973" t="s">
        <v>28</v>
      </c>
      <c r="Z1973">
        <v>100196</v>
      </c>
      <c r="AA1973" t="s">
        <v>3095</v>
      </c>
      <c r="AB1973" t="s">
        <v>523</v>
      </c>
      <c r="AC1973" s="9">
        <v>2</v>
      </c>
      <c r="AD1973" s="9" t="str">
        <f t="shared" si="187"/>
        <v>Check</v>
      </c>
      <c r="AE1973" s="11">
        <f t="shared" si="189"/>
        <v>-10.419999999998254</v>
      </c>
    </row>
    <row r="1974" spans="1:31" x14ac:dyDescent="0.3">
      <c r="A1974">
        <v>9</v>
      </c>
      <c r="B1974">
        <v>4909843</v>
      </c>
      <c r="C1974" t="s">
        <v>217</v>
      </c>
      <c r="D1974">
        <v>1983620</v>
      </c>
      <c r="E1974" t="s">
        <v>749</v>
      </c>
      <c r="F1974" t="s">
        <v>18</v>
      </c>
      <c r="G1974" t="s">
        <v>1751</v>
      </c>
      <c r="H1974" t="s">
        <v>1752</v>
      </c>
      <c r="I1974" t="s">
        <v>3399</v>
      </c>
      <c r="J1974">
        <v>51157195045</v>
      </c>
      <c r="K1974" t="s">
        <v>3479</v>
      </c>
      <c r="L1974" t="s">
        <v>3478</v>
      </c>
      <c r="M1974">
        <v>40000</v>
      </c>
      <c r="N1974" s="10">
        <v>1.932E-2</v>
      </c>
      <c r="O1974" s="10">
        <f t="shared" si="185"/>
        <v>772.80000000000007</v>
      </c>
      <c r="P1974" s="10" t="s">
        <v>5006</v>
      </c>
      <c r="Q1974" s="10" t="s">
        <v>5006</v>
      </c>
      <c r="R1974" s="10" t="str">
        <f>IF(COUNTIF($J$2:J1974,J1974)=1,SUMIFS($O:$O,$J:$J,J1974)+SUMIFS($P:$P,$J:$J,J1974)+SUMIFS($Q:$Q,$J:$J,J1974),"")</f>
        <v/>
      </c>
      <c r="S1974" s="10" t="s">
        <v>5006</v>
      </c>
      <c r="T1974" s="11" t="str">
        <f t="shared" si="188"/>
        <v>Check</v>
      </c>
      <c r="U1974" s="12">
        <v>46147</v>
      </c>
      <c r="V1974" s="10">
        <v>103660.42</v>
      </c>
      <c r="W1974" s="10" t="str">
        <f t="shared" si="186"/>
        <v>N/A</v>
      </c>
      <c r="X1974" t="s">
        <v>468</v>
      </c>
      <c r="Y1974" t="s">
        <v>28</v>
      </c>
      <c r="Z1974">
        <v>100196</v>
      </c>
      <c r="AA1974" t="s">
        <v>3095</v>
      </c>
      <c r="AB1974" t="s">
        <v>523</v>
      </c>
      <c r="AC1974" s="9">
        <v>2</v>
      </c>
      <c r="AD1974" s="9" t="str">
        <f t="shared" si="187"/>
        <v>N/A</v>
      </c>
      <c r="AE1974" s="11" t="e">
        <f t="shared" si="189"/>
        <v>#VALUE!</v>
      </c>
    </row>
    <row r="1975" spans="1:31" x14ac:dyDescent="0.3">
      <c r="A1975">
        <v>25</v>
      </c>
      <c r="B1975">
        <v>4820514</v>
      </c>
      <c r="C1975" t="s">
        <v>239</v>
      </c>
      <c r="D1975">
        <v>1079286</v>
      </c>
      <c r="E1975" t="s">
        <v>629</v>
      </c>
      <c r="F1975" t="s">
        <v>20</v>
      </c>
      <c r="G1975" t="s">
        <v>2842</v>
      </c>
      <c r="H1975" t="s">
        <v>2843</v>
      </c>
      <c r="I1975" t="s">
        <v>3315</v>
      </c>
      <c r="J1975">
        <v>51157220016</v>
      </c>
      <c r="K1975" t="s">
        <v>3370</v>
      </c>
      <c r="L1975" t="s">
        <v>4610</v>
      </c>
      <c r="M1975">
        <v>10000</v>
      </c>
      <c r="N1975" s="10">
        <v>0.30499999999999999</v>
      </c>
      <c r="O1975" s="10">
        <f t="shared" si="185"/>
        <v>3050</v>
      </c>
      <c r="P1975" s="10">
        <v>0</v>
      </c>
      <c r="Q1975" s="10">
        <v>0</v>
      </c>
      <c r="R1975" s="10">
        <f>IF(COUNTIF($J$2:J1975,J1975)=1,SUMIFS($O:$O,$J:$J,J1975)+SUMIFS($P:$P,$J:$J,J1975)+SUMIFS($Q:$Q,$J:$J,J1975),"")</f>
        <v>5728</v>
      </c>
      <c r="S1975" s="10">
        <v>6289</v>
      </c>
      <c r="T1975" s="11" t="str">
        <f t="shared" si="188"/>
        <v>Check</v>
      </c>
      <c r="U1975" s="12">
        <v>46000</v>
      </c>
      <c r="V1975" s="10">
        <v>3050</v>
      </c>
      <c r="W1975" s="10" t="str">
        <f t="shared" si="186"/>
        <v>Short Paid</v>
      </c>
      <c r="X1975" t="s">
        <v>476</v>
      </c>
      <c r="Y1975" t="s">
        <v>28</v>
      </c>
      <c r="Z1975">
        <v>100165</v>
      </c>
      <c r="AA1975" t="s">
        <v>3100</v>
      </c>
      <c r="AB1975" t="s">
        <v>521</v>
      </c>
      <c r="AC1975" s="9">
        <v>3</v>
      </c>
      <c r="AD1975" s="9" t="str">
        <f t="shared" si="187"/>
        <v>Check</v>
      </c>
      <c r="AE1975" s="11">
        <f t="shared" si="189"/>
        <v>-561</v>
      </c>
    </row>
    <row r="1976" spans="1:31" x14ac:dyDescent="0.3">
      <c r="A1976">
        <v>25</v>
      </c>
      <c r="B1976">
        <v>4820514</v>
      </c>
      <c r="C1976" t="s">
        <v>239</v>
      </c>
      <c r="D1976">
        <v>1079286</v>
      </c>
      <c r="E1976" t="s">
        <v>629</v>
      </c>
      <c r="F1976" t="s">
        <v>20</v>
      </c>
      <c r="G1976" t="s">
        <v>2842</v>
      </c>
      <c r="H1976" t="s">
        <v>2843</v>
      </c>
      <c r="I1976" t="s">
        <v>3449</v>
      </c>
      <c r="J1976">
        <v>51157220016</v>
      </c>
      <c r="K1976" t="s">
        <v>3216</v>
      </c>
      <c r="L1976" t="s">
        <v>3215</v>
      </c>
      <c r="M1976">
        <v>130000</v>
      </c>
      <c r="N1976" s="10">
        <v>1.8700000000000001E-2</v>
      </c>
      <c r="O1976" s="10">
        <f t="shared" si="185"/>
        <v>2431</v>
      </c>
      <c r="P1976" s="10" t="s">
        <v>5006</v>
      </c>
      <c r="Q1976" s="10" t="s">
        <v>5006</v>
      </c>
      <c r="R1976" s="10" t="str">
        <f>IF(COUNTIF($J$2:J1976,J1976)=1,SUMIFS($O:$O,$J:$J,J1976)+SUMIFS($P:$P,$J:$J,J1976)+SUMIFS($Q:$Q,$J:$J,J1976),"")</f>
        <v/>
      </c>
      <c r="S1976" s="10" t="s">
        <v>5006</v>
      </c>
      <c r="T1976" s="11" t="str">
        <f t="shared" si="188"/>
        <v>Check</v>
      </c>
      <c r="U1976" s="12">
        <v>46000</v>
      </c>
      <c r="V1976" s="10">
        <v>3050</v>
      </c>
      <c r="W1976" s="10" t="str">
        <f t="shared" si="186"/>
        <v>N/A</v>
      </c>
      <c r="X1976" t="s">
        <v>476</v>
      </c>
      <c r="Y1976" t="s">
        <v>28</v>
      </c>
      <c r="Z1976">
        <v>100165</v>
      </c>
      <c r="AA1976" t="s">
        <v>3100</v>
      </c>
      <c r="AB1976" t="s">
        <v>521</v>
      </c>
      <c r="AC1976" s="9">
        <v>3</v>
      </c>
      <c r="AD1976" s="9" t="str">
        <f t="shared" si="187"/>
        <v>N/A</v>
      </c>
      <c r="AE1976" s="11" t="e">
        <f t="shared" si="189"/>
        <v>#VALUE!</v>
      </c>
    </row>
    <row r="1977" spans="1:31" x14ac:dyDescent="0.3">
      <c r="A1977">
        <v>25</v>
      </c>
      <c r="B1977">
        <v>4820514</v>
      </c>
      <c r="C1977" t="s">
        <v>239</v>
      </c>
      <c r="D1977">
        <v>1079286</v>
      </c>
      <c r="E1977" t="s">
        <v>629</v>
      </c>
      <c r="F1977" t="s">
        <v>20</v>
      </c>
      <c r="G1977" t="s">
        <v>2842</v>
      </c>
      <c r="H1977" t="s">
        <v>2843</v>
      </c>
      <c r="I1977" t="s">
        <v>3449</v>
      </c>
      <c r="J1977">
        <v>51157220016</v>
      </c>
      <c r="K1977" t="s">
        <v>3379</v>
      </c>
      <c r="L1977" t="s">
        <v>3504</v>
      </c>
      <c r="M1977">
        <v>190000</v>
      </c>
      <c r="N1977" s="10">
        <v>1.2999999999999999E-3</v>
      </c>
      <c r="O1977" s="10">
        <f t="shared" si="185"/>
        <v>247</v>
      </c>
      <c r="P1977" s="10" t="s">
        <v>5006</v>
      </c>
      <c r="Q1977" s="10" t="s">
        <v>5006</v>
      </c>
      <c r="R1977" s="10" t="str">
        <f>IF(COUNTIF($J$2:J1977,J1977)=1,SUMIFS($O:$O,$J:$J,J1977)+SUMIFS($P:$P,$J:$J,J1977)+SUMIFS($Q:$Q,$J:$J,J1977),"")</f>
        <v/>
      </c>
      <c r="S1977" s="10" t="s">
        <v>5006</v>
      </c>
      <c r="T1977" s="11" t="str">
        <f t="shared" si="188"/>
        <v>Check</v>
      </c>
      <c r="U1977" s="12">
        <v>46000</v>
      </c>
      <c r="V1977" s="10">
        <v>3050</v>
      </c>
      <c r="W1977" s="10" t="str">
        <f t="shared" si="186"/>
        <v>N/A</v>
      </c>
      <c r="X1977" t="s">
        <v>476</v>
      </c>
      <c r="Y1977" t="s">
        <v>28</v>
      </c>
      <c r="Z1977">
        <v>100165</v>
      </c>
      <c r="AA1977" t="s">
        <v>3100</v>
      </c>
      <c r="AB1977" t="s">
        <v>521</v>
      </c>
      <c r="AC1977" s="9">
        <v>3</v>
      </c>
      <c r="AD1977" s="9" t="str">
        <f t="shared" si="187"/>
        <v>N/A</v>
      </c>
      <c r="AE1977" s="11" t="e">
        <f t="shared" si="189"/>
        <v>#VALUE!</v>
      </c>
    </row>
    <row r="1978" spans="1:31" x14ac:dyDescent="0.3">
      <c r="A1978">
        <v>15</v>
      </c>
      <c r="B1978">
        <v>4875336</v>
      </c>
      <c r="C1978" t="s">
        <v>217</v>
      </c>
      <c r="D1978">
        <v>1160621</v>
      </c>
      <c r="E1978" t="s">
        <v>571</v>
      </c>
      <c r="F1978" t="s">
        <v>18</v>
      </c>
      <c r="G1978" t="s">
        <v>2906</v>
      </c>
      <c r="H1978" t="s">
        <v>2907</v>
      </c>
      <c r="I1978" t="s">
        <v>3390</v>
      </c>
      <c r="J1978">
        <v>51157241149</v>
      </c>
      <c r="K1978" t="s">
        <v>3379</v>
      </c>
      <c r="L1978" t="s">
        <v>4522</v>
      </c>
      <c r="M1978">
        <v>40000</v>
      </c>
      <c r="N1978" s="10">
        <v>7.4999999999999997E-3</v>
      </c>
      <c r="O1978" s="10">
        <f t="shared" si="185"/>
        <v>300</v>
      </c>
      <c r="P1978" s="10">
        <v>0</v>
      </c>
      <c r="Q1978" s="10">
        <v>0</v>
      </c>
      <c r="R1978" s="10">
        <f>IF(COUNTIF($J$2:J1978,J1978)=1,SUMIFS($O:$O,$J:$J,J1978)+SUMIFS($P:$P,$J:$J,J1978)+SUMIFS($Q:$Q,$J:$J,J1978),"")</f>
        <v>686.40000000000009</v>
      </c>
      <c r="S1978" s="10">
        <v>1072.8</v>
      </c>
      <c r="T1978" s="11" t="str">
        <f t="shared" si="188"/>
        <v>Check</v>
      </c>
      <c r="U1978" s="12">
        <v>46065</v>
      </c>
      <c r="V1978" s="10">
        <v>300</v>
      </c>
      <c r="W1978" s="10" t="str">
        <f t="shared" si="186"/>
        <v>Short Paid</v>
      </c>
      <c r="X1978" t="s">
        <v>468</v>
      </c>
      <c r="Y1978" t="s">
        <v>28</v>
      </c>
      <c r="Z1978">
        <v>100116</v>
      </c>
      <c r="AA1978" t="s">
        <v>3082</v>
      </c>
      <c r="AB1978" t="s">
        <v>523</v>
      </c>
      <c r="AC1978" s="9">
        <v>2</v>
      </c>
      <c r="AD1978" s="9" t="str">
        <f t="shared" si="187"/>
        <v>Check</v>
      </c>
      <c r="AE1978" s="11">
        <f t="shared" si="189"/>
        <v>-386.39999999999986</v>
      </c>
    </row>
    <row r="1979" spans="1:31" x14ac:dyDescent="0.3">
      <c r="A1979">
        <v>15</v>
      </c>
      <c r="B1979">
        <v>4875336</v>
      </c>
      <c r="C1979" t="s">
        <v>217</v>
      </c>
      <c r="D1979">
        <v>1160621</v>
      </c>
      <c r="E1979" t="s">
        <v>571</v>
      </c>
      <c r="F1979" t="s">
        <v>18</v>
      </c>
      <c r="G1979" t="s">
        <v>2906</v>
      </c>
      <c r="H1979" t="s">
        <v>2907</v>
      </c>
      <c r="I1979" t="s">
        <v>3421</v>
      </c>
      <c r="J1979">
        <v>51157241149</v>
      </c>
      <c r="K1979" t="s">
        <v>3479</v>
      </c>
      <c r="L1979" t="s">
        <v>3478</v>
      </c>
      <c r="M1979">
        <v>20000</v>
      </c>
      <c r="N1979" s="10">
        <v>1.932E-2</v>
      </c>
      <c r="O1979" s="10">
        <f t="shared" si="185"/>
        <v>386.40000000000003</v>
      </c>
      <c r="P1979" s="10" t="s">
        <v>5006</v>
      </c>
      <c r="Q1979" s="10" t="s">
        <v>5006</v>
      </c>
      <c r="R1979" s="10" t="str">
        <f>IF(COUNTIF($J$2:J1979,J1979)=1,SUMIFS($O:$O,$J:$J,J1979)+SUMIFS($P:$P,$J:$J,J1979)+SUMIFS($Q:$Q,$J:$J,J1979),"")</f>
        <v/>
      </c>
      <c r="S1979" s="10" t="s">
        <v>5006</v>
      </c>
      <c r="T1979" s="11" t="str">
        <f t="shared" si="188"/>
        <v>Check</v>
      </c>
      <c r="U1979" s="12">
        <v>46065</v>
      </c>
      <c r="V1979" s="10">
        <v>300</v>
      </c>
      <c r="W1979" s="10" t="str">
        <f t="shared" si="186"/>
        <v>N/A</v>
      </c>
      <c r="X1979" t="s">
        <v>468</v>
      </c>
      <c r="Y1979" t="s">
        <v>28</v>
      </c>
      <c r="Z1979">
        <v>100116</v>
      </c>
      <c r="AA1979" t="s">
        <v>3082</v>
      </c>
      <c r="AB1979" t="s">
        <v>523</v>
      </c>
      <c r="AC1979" s="9">
        <v>2</v>
      </c>
      <c r="AD1979" s="9" t="str">
        <f t="shared" si="187"/>
        <v>N/A</v>
      </c>
      <c r="AE1979" s="11" t="e">
        <f t="shared" si="189"/>
        <v>#VALUE!</v>
      </c>
    </row>
    <row r="1980" spans="1:31" x14ac:dyDescent="0.3">
      <c r="A1980">
        <v>7</v>
      </c>
      <c r="B1980">
        <v>4931549</v>
      </c>
      <c r="C1980" t="s">
        <v>94</v>
      </c>
      <c r="D1980">
        <v>1031335</v>
      </c>
      <c r="E1980" t="s">
        <v>4906</v>
      </c>
      <c r="F1980" t="s">
        <v>24</v>
      </c>
      <c r="G1980" t="s">
        <v>1793</v>
      </c>
      <c r="H1980" t="s">
        <v>1794</v>
      </c>
      <c r="I1980" t="s">
        <v>3267</v>
      </c>
      <c r="J1980">
        <v>51157265647</v>
      </c>
      <c r="K1980" t="s">
        <v>3370</v>
      </c>
      <c r="L1980" t="s">
        <v>4611</v>
      </c>
      <c r="M1980">
        <v>7500</v>
      </c>
      <c r="N1980" s="10">
        <v>0.1396</v>
      </c>
      <c r="O1980" s="10">
        <f t="shared" si="185"/>
        <v>1047</v>
      </c>
      <c r="P1980" s="10">
        <v>0</v>
      </c>
      <c r="Q1980" s="10">
        <v>0</v>
      </c>
      <c r="R1980" s="10">
        <f>IF(COUNTIF($J$2:J1980,J1980)=1,SUMIFS($O:$O,$J:$J,J1980)+SUMIFS($P:$P,$J:$J,J1980)+SUMIFS($Q:$Q,$J:$J,J1980),"")</f>
        <v>2698.2</v>
      </c>
      <c r="S1980" s="10">
        <v>6188.2</v>
      </c>
      <c r="T1980" s="11" t="str">
        <f t="shared" si="188"/>
        <v>Check</v>
      </c>
      <c r="U1980" s="12">
        <v>46109</v>
      </c>
      <c r="V1980" s="10">
        <v>289.25</v>
      </c>
      <c r="W1980" s="10" t="str">
        <f t="shared" si="186"/>
        <v>Short Paid</v>
      </c>
      <c r="X1980" t="s">
        <v>450</v>
      </c>
      <c r="Y1980" t="s">
        <v>40</v>
      </c>
      <c r="Z1980">
        <v>100187</v>
      </c>
      <c r="AA1980" t="s">
        <v>3113</v>
      </c>
      <c r="AB1980" t="s">
        <v>522</v>
      </c>
      <c r="AC1980" s="9">
        <v>2</v>
      </c>
      <c r="AD1980" s="9" t="str">
        <f t="shared" si="187"/>
        <v>Check</v>
      </c>
      <c r="AE1980" s="11">
        <f t="shared" si="189"/>
        <v>-3490</v>
      </c>
    </row>
    <row r="1981" spans="1:31" x14ac:dyDescent="0.3">
      <c r="A1981">
        <v>7</v>
      </c>
      <c r="B1981">
        <v>4931549</v>
      </c>
      <c r="C1981" t="s">
        <v>94</v>
      </c>
      <c r="D1981">
        <v>1031335</v>
      </c>
      <c r="E1981" t="s">
        <v>4906</v>
      </c>
      <c r="F1981" t="s">
        <v>24</v>
      </c>
      <c r="G1981" t="s">
        <v>1793</v>
      </c>
      <c r="H1981" t="s">
        <v>1794</v>
      </c>
      <c r="I1981" t="s">
        <v>3494</v>
      </c>
      <c r="J1981">
        <v>51157265647</v>
      </c>
      <c r="K1981" t="s">
        <v>3168</v>
      </c>
      <c r="L1981" t="s">
        <v>3541</v>
      </c>
      <c r="M1981">
        <v>24000</v>
      </c>
      <c r="N1981" s="10">
        <v>6.88E-2</v>
      </c>
      <c r="O1981" s="10">
        <f t="shared" si="185"/>
        <v>1651.2</v>
      </c>
      <c r="P1981" s="10" t="s">
        <v>5006</v>
      </c>
      <c r="Q1981" s="10" t="s">
        <v>5006</v>
      </c>
      <c r="R1981" s="10" t="str">
        <f>IF(COUNTIF($J$2:J1981,J1981)=1,SUMIFS($O:$O,$J:$J,J1981)+SUMIFS($P:$P,$J:$J,J1981)+SUMIFS($Q:$Q,$J:$J,J1981),"")</f>
        <v/>
      </c>
      <c r="S1981" s="10" t="s">
        <v>5006</v>
      </c>
      <c r="T1981" s="11" t="str">
        <f t="shared" si="188"/>
        <v>Check</v>
      </c>
      <c r="U1981" s="12">
        <v>46109</v>
      </c>
      <c r="V1981" s="10">
        <v>289.25</v>
      </c>
      <c r="W1981" s="10" t="str">
        <f t="shared" si="186"/>
        <v>N/A</v>
      </c>
      <c r="X1981" t="s">
        <v>450</v>
      </c>
      <c r="Y1981" t="s">
        <v>40</v>
      </c>
      <c r="Z1981">
        <v>100187</v>
      </c>
      <c r="AA1981" t="s">
        <v>3113</v>
      </c>
      <c r="AB1981" t="s">
        <v>522</v>
      </c>
      <c r="AC1981" s="9">
        <v>2</v>
      </c>
      <c r="AD1981" s="9" t="str">
        <f t="shared" si="187"/>
        <v>N/A</v>
      </c>
      <c r="AE1981" s="11" t="e">
        <f t="shared" si="189"/>
        <v>#VALUE!</v>
      </c>
    </row>
    <row r="1982" spans="1:31" x14ac:dyDescent="0.3">
      <c r="A1982">
        <v>8</v>
      </c>
      <c r="B1982">
        <v>4913739</v>
      </c>
      <c r="C1982" t="s">
        <v>38</v>
      </c>
      <c r="D1982">
        <v>1007349</v>
      </c>
      <c r="E1982" t="s">
        <v>590</v>
      </c>
      <c r="F1982" t="s">
        <v>24</v>
      </c>
      <c r="G1982" t="s">
        <v>2923</v>
      </c>
      <c r="H1982" t="s">
        <v>2924</v>
      </c>
      <c r="I1982" t="s">
        <v>3315</v>
      </c>
      <c r="J1982">
        <v>51157283561</v>
      </c>
      <c r="K1982" t="s">
        <v>3479</v>
      </c>
      <c r="L1982" t="s">
        <v>3478</v>
      </c>
      <c r="M1982">
        <v>20000</v>
      </c>
      <c r="N1982" s="10">
        <v>1.932E-2</v>
      </c>
      <c r="O1982" s="10">
        <f t="shared" si="185"/>
        <v>386.40000000000003</v>
      </c>
      <c r="P1982" s="10">
        <v>0</v>
      </c>
      <c r="Q1982" s="10">
        <v>553.3900000000001</v>
      </c>
      <c r="R1982" s="10">
        <f>IF(COUNTIF($J$2:J1982,J1982)=1,SUMIFS($O:$O,$J:$J,J1982)+SUMIFS($P:$P,$J:$J,J1982)+SUMIFS($Q:$Q,$J:$J,J1982),"")</f>
        <v>2601.6040000000003</v>
      </c>
      <c r="S1982" s="10">
        <v>2988</v>
      </c>
      <c r="T1982" s="11" t="str">
        <f t="shared" si="188"/>
        <v>Check</v>
      </c>
      <c r="U1982" s="12">
        <v>46129</v>
      </c>
      <c r="V1982" s="10">
        <v>185.32</v>
      </c>
      <c r="W1982" s="10" t="str">
        <f t="shared" si="186"/>
        <v>Short Paid</v>
      </c>
      <c r="X1982" t="s">
        <v>474</v>
      </c>
      <c r="Y1982" t="s">
        <v>40</v>
      </c>
      <c r="Z1982">
        <v>100109</v>
      </c>
      <c r="AA1982" t="s">
        <v>3151</v>
      </c>
      <c r="AB1982" t="s">
        <v>522</v>
      </c>
      <c r="AC1982" s="9">
        <v>3</v>
      </c>
      <c r="AD1982" s="9" t="str">
        <f t="shared" si="187"/>
        <v>Check</v>
      </c>
      <c r="AE1982" s="11">
        <f t="shared" si="189"/>
        <v>-386.39599999999973</v>
      </c>
    </row>
    <row r="1983" spans="1:31" x14ac:dyDescent="0.3">
      <c r="A1983">
        <v>8</v>
      </c>
      <c r="B1983">
        <v>4913739</v>
      </c>
      <c r="C1983" t="s">
        <v>38</v>
      </c>
      <c r="D1983">
        <v>1007349</v>
      </c>
      <c r="E1983" t="s">
        <v>590</v>
      </c>
      <c r="F1983" t="s">
        <v>24</v>
      </c>
      <c r="G1983" t="s">
        <v>2923</v>
      </c>
      <c r="H1983" t="s">
        <v>2924</v>
      </c>
      <c r="I1983" t="s">
        <v>3444</v>
      </c>
      <c r="J1983">
        <v>51157283561</v>
      </c>
      <c r="K1983" t="s">
        <v>3203</v>
      </c>
      <c r="L1983" t="s">
        <v>4612</v>
      </c>
      <c r="M1983">
        <v>1200</v>
      </c>
      <c r="N1983" s="10">
        <v>0.70799999999999996</v>
      </c>
      <c r="O1983" s="10">
        <f t="shared" si="185"/>
        <v>849.59999999999991</v>
      </c>
      <c r="P1983" s="10" t="s">
        <v>5006</v>
      </c>
      <c r="Q1983" s="10" t="s">
        <v>5006</v>
      </c>
      <c r="R1983" s="10" t="str">
        <f>IF(COUNTIF($J$2:J1983,J1983)=1,SUMIFS($O:$O,$J:$J,J1983)+SUMIFS($P:$P,$J:$J,J1983)+SUMIFS($Q:$Q,$J:$J,J1983),"")</f>
        <v/>
      </c>
      <c r="S1983" s="10" t="s">
        <v>5006</v>
      </c>
      <c r="T1983" s="11" t="str">
        <f t="shared" si="188"/>
        <v>Check</v>
      </c>
      <c r="U1983" s="12">
        <v>46129</v>
      </c>
      <c r="V1983" s="10">
        <v>185.32</v>
      </c>
      <c r="W1983" s="10" t="str">
        <f t="shared" si="186"/>
        <v>N/A</v>
      </c>
      <c r="X1983" t="s">
        <v>474</v>
      </c>
      <c r="Y1983" t="s">
        <v>40</v>
      </c>
      <c r="Z1983">
        <v>100109</v>
      </c>
      <c r="AA1983" t="s">
        <v>3151</v>
      </c>
      <c r="AB1983" t="s">
        <v>522</v>
      </c>
      <c r="AC1983" s="9">
        <v>3</v>
      </c>
      <c r="AD1983" s="9" t="str">
        <f t="shared" si="187"/>
        <v>N/A</v>
      </c>
      <c r="AE1983" s="11" t="e">
        <f t="shared" si="189"/>
        <v>#VALUE!</v>
      </c>
    </row>
    <row r="1984" spans="1:31" x14ac:dyDescent="0.3">
      <c r="A1984">
        <v>8</v>
      </c>
      <c r="B1984">
        <v>4913739</v>
      </c>
      <c r="C1984" t="s">
        <v>38</v>
      </c>
      <c r="D1984">
        <v>1007349</v>
      </c>
      <c r="E1984" t="s">
        <v>590</v>
      </c>
      <c r="F1984" t="s">
        <v>24</v>
      </c>
      <c r="G1984" t="s">
        <v>2923</v>
      </c>
      <c r="H1984" t="s">
        <v>2924</v>
      </c>
      <c r="I1984" t="s">
        <v>3444</v>
      </c>
      <c r="J1984">
        <v>51157283561</v>
      </c>
      <c r="K1984" t="s">
        <v>3203</v>
      </c>
      <c r="L1984" t="s">
        <v>4613</v>
      </c>
      <c r="M1984">
        <v>702</v>
      </c>
      <c r="N1984" s="10">
        <v>1.157</v>
      </c>
      <c r="O1984" s="10">
        <f t="shared" si="185"/>
        <v>812.21400000000006</v>
      </c>
      <c r="P1984" s="10" t="s">
        <v>5006</v>
      </c>
      <c r="Q1984" s="10" t="s">
        <v>5006</v>
      </c>
      <c r="R1984" s="10" t="str">
        <f>IF(COUNTIF($J$2:J1984,J1984)=1,SUMIFS($O:$O,$J:$J,J1984)+SUMIFS($P:$P,$J:$J,J1984)+SUMIFS($Q:$Q,$J:$J,J1984),"")</f>
        <v/>
      </c>
      <c r="S1984" s="10" t="s">
        <v>5006</v>
      </c>
      <c r="T1984" s="11" t="str">
        <f t="shared" si="188"/>
        <v>Check</v>
      </c>
      <c r="U1984" s="12">
        <v>46129</v>
      </c>
      <c r="V1984" s="10">
        <v>185.32</v>
      </c>
      <c r="W1984" s="10" t="str">
        <f t="shared" si="186"/>
        <v>N/A</v>
      </c>
      <c r="X1984" t="s">
        <v>474</v>
      </c>
      <c r="Y1984" t="s">
        <v>40</v>
      </c>
      <c r="Z1984">
        <v>100109</v>
      </c>
      <c r="AA1984" t="s">
        <v>3151</v>
      </c>
      <c r="AB1984" t="s">
        <v>522</v>
      </c>
      <c r="AC1984" s="9">
        <v>3</v>
      </c>
      <c r="AD1984" s="9" t="str">
        <f t="shared" si="187"/>
        <v>N/A</v>
      </c>
      <c r="AE1984" s="11" t="e">
        <f t="shared" si="189"/>
        <v>#VALUE!</v>
      </c>
    </row>
    <row r="1985" spans="1:31" x14ac:dyDescent="0.3">
      <c r="A1985">
        <v>21</v>
      </c>
      <c r="B1985">
        <v>4853908</v>
      </c>
      <c r="C1985" t="s">
        <v>220</v>
      </c>
      <c r="D1985">
        <v>1400161</v>
      </c>
      <c r="E1985" t="s">
        <v>724</v>
      </c>
      <c r="F1985" t="s">
        <v>18</v>
      </c>
      <c r="G1985" t="s">
        <v>2895</v>
      </c>
      <c r="H1985" t="s">
        <v>1556</v>
      </c>
      <c r="I1985" t="s">
        <v>3455</v>
      </c>
      <c r="J1985">
        <v>51157323656</v>
      </c>
      <c r="K1985" t="s">
        <v>3532</v>
      </c>
      <c r="L1985" t="s">
        <v>3531</v>
      </c>
      <c r="M1985">
        <v>12000</v>
      </c>
      <c r="N1985" s="10">
        <v>0.80720000000000003</v>
      </c>
      <c r="O1985" s="10">
        <f t="shared" si="185"/>
        <v>9686.4</v>
      </c>
      <c r="P1985" s="10">
        <v>982.93</v>
      </c>
      <c r="Q1985" s="10">
        <v>2227.87</v>
      </c>
      <c r="R1985" s="10">
        <f>IF(COUNTIF($J$2:J1985,J1985)=1,SUMIFS($O:$O,$J:$J,J1985)+SUMIFS($P:$P,$J:$J,J1985)+SUMIFS($Q:$Q,$J:$J,J1985),"")</f>
        <v>17272.399999999998</v>
      </c>
      <c r="S1985" s="10">
        <v>17272.400000000001</v>
      </c>
      <c r="T1985" s="11" t="str">
        <f t="shared" si="188"/>
        <v>Ok</v>
      </c>
      <c r="U1985" s="12">
        <v>46087</v>
      </c>
      <c r="V1985" s="10">
        <v>4375.2</v>
      </c>
      <c r="W1985" s="10" t="str">
        <f t="shared" si="186"/>
        <v>Short Paid</v>
      </c>
      <c r="X1985" t="s">
        <v>470</v>
      </c>
      <c r="Y1985" t="s">
        <v>28</v>
      </c>
      <c r="Z1985">
        <v>100168</v>
      </c>
      <c r="AA1985" t="s">
        <v>514</v>
      </c>
      <c r="AB1985" t="s">
        <v>523</v>
      </c>
      <c r="AC1985" s="9">
        <v>2</v>
      </c>
      <c r="AD1985" s="9" t="str">
        <f t="shared" si="187"/>
        <v>Ok</v>
      </c>
      <c r="AE1985" s="11">
        <f t="shared" si="189"/>
        <v>0</v>
      </c>
    </row>
    <row r="1986" spans="1:31" x14ac:dyDescent="0.3">
      <c r="A1986">
        <v>21</v>
      </c>
      <c r="B1986">
        <v>4853908</v>
      </c>
      <c r="C1986" t="s">
        <v>220</v>
      </c>
      <c r="D1986">
        <v>1400161</v>
      </c>
      <c r="E1986" t="s">
        <v>724</v>
      </c>
      <c r="F1986" t="s">
        <v>18</v>
      </c>
      <c r="G1986" t="s">
        <v>2895</v>
      </c>
      <c r="H1986" t="s">
        <v>1556</v>
      </c>
      <c r="I1986" t="s">
        <v>3224</v>
      </c>
      <c r="J1986">
        <v>51157323656</v>
      </c>
      <c r="K1986" t="s">
        <v>3168</v>
      </c>
      <c r="L1986" t="s">
        <v>4438</v>
      </c>
      <c r="M1986">
        <v>12000</v>
      </c>
      <c r="N1986" s="10">
        <v>0.36459999999999998</v>
      </c>
      <c r="O1986" s="10">
        <f t="shared" ref="O1986:O2049" si="190">M1986*N1986</f>
        <v>4375.2</v>
      </c>
      <c r="P1986" s="10" t="s">
        <v>5006</v>
      </c>
      <c r="Q1986" s="10" t="s">
        <v>5006</v>
      </c>
      <c r="R1986" s="10" t="str">
        <f>IF(COUNTIF($J$2:J1986,J1986)=1,SUMIFS($O:$O,$J:$J,J1986)+SUMIFS($P:$P,$J:$J,J1986)+SUMIFS($Q:$Q,$J:$J,J1986),"")</f>
        <v/>
      </c>
      <c r="S1986" s="10" t="s">
        <v>5006</v>
      </c>
      <c r="T1986" s="11" t="str">
        <f t="shared" si="188"/>
        <v>Ok</v>
      </c>
      <c r="U1986" s="12">
        <v>46087</v>
      </c>
      <c r="V1986" s="10">
        <v>4375.2</v>
      </c>
      <c r="W1986" s="10" t="str">
        <f t="shared" ref="W1986:W2049" si="191">IF(OR(S1986="",V1986=""),"N/A",IF(S1986&lt;&gt;V1986,"Short Paid","Not Paid"))</f>
        <v>N/A</v>
      </c>
      <c r="X1986" t="s">
        <v>470</v>
      </c>
      <c r="Y1986" t="s">
        <v>28</v>
      </c>
      <c r="Z1986">
        <v>100168</v>
      </c>
      <c r="AA1986" t="s">
        <v>514</v>
      </c>
      <c r="AB1986" t="s">
        <v>523</v>
      </c>
      <c r="AC1986" s="9">
        <v>2</v>
      </c>
      <c r="AD1986" s="9" t="str">
        <f t="shared" ref="AD1986:AD2049" si="192">IF(AND(R1986="",S1986=""),"N/A",IF(R1986=S1986,"Ok","Check"))</f>
        <v>N/A</v>
      </c>
      <c r="AE1986" s="11" t="e">
        <f t="shared" si="189"/>
        <v>#VALUE!</v>
      </c>
    </row>
    <row r="1987" spans="1:31" x14ac:dyDescent="0.3">
      <c r="A1987">
        <v>23</v>
      </c>
      <c r="B1987">
        <v>4835541</v>
      </c>
      <c r="C1987" t="s">
        <v>239</v>
      </c>
      <c r="D1987">
        <v>1099088</v>
      </c>
      <c r="E1987" t="s">
        <v>674</v>
      </c>
      <c r="F1987" t="s">
        <v>20</v>
      </c>
      <c r="G1987" t="s">
        <v>4907</v>
      </c>
      <c r="H1987" t="s">
        <v>1474</v>
      </c>
      <c r="I1987" t="s">
        <v>3323</v>
      </c>
      <c r="J1987">
        <v>51157377532</v>
      </c>
      <c r="K1987" t="s">
        <v>3177</v>
      </c>
      <c r="L1987" t="s">
        <v>4614</v>
      </c>
      <c r="M1987">
        <v>4000</v>
      </c>
      <c r="N1987" s="10">
        <v>6.4000000000000003E-3</v>
      </c>
      <c r="O1987" s="10">
        <f t="shared" si="190"/>
        <v>25.6</v>
      </c>
      <c r="P1987" s="10">
        <v>0</v>
      </c>
      <c r="Q1987" s="10">
        <v>0</v>
      </c>
      <c r="R1987" s="10">
        <f>IF(COUNTIF($J$2:J1987,J1987)=1,SUMIFS($O:$O,$J:$J,J1987)+SUMIFS($P:$P,$J:$J,J1987)+SUMIFS($Q:$Q,$J:$J,J1987),"")</f>
        <v>36214</v>
      </c>
      <c r="S1987" s="10">
        <v>36444.699999999997</v>
      </c>
      <c r="T1987" s="11" t="str">
        <f t="shared" ref="T1987:T2050" si="193">IFERROR(INDEX(AD:AD,MATCH(J1987,J:J,0)),"")</f>
        <v>Check</v>
      </c>
      <c r="U1987" s="12">
        <v>46164</v>
      </c>
      <c r="V1987" s="10">
        <v>169.2</v>
      </c>
      <c r="W1987" s="10" t="str">
        <f t="shared" si="191"/>
        <v>Short Paid</v>
      </c>
      <c r="X1987" t="s">
        <v>476</v>
      </c>
      <c r="Y1987" t="s">
        <v>28</v>
      </c>
      <c r="Z1987">
        <v>100245</v>
      </c>
      <c r="AA1987" t="s">
        <v>507</v>
      </c>
      <c r="AB1987" t="s">
        <v>521</v>
      </c>
      <c r="AC1987" s="9">
        <v>6</v>
      </c>
      <c r="AD1987" s="9" t="str">
        <f t="shared" si="192"/>
        <v>Check</v>
      </c>
      <c r="AE1987" s="11">
        <f t="shared" si="189"/>
        <v>-230.69999999999709</v>
      </c>
    </row>
    <row r="1988" spans="1:31" x14ac:dyDescent="0.3">
      <c r="A1988">
        <v>23</v>
      </c>
      <c r="B1988">
        <v>4835541</v>
      </c>
      <c r="C1988" t="s">
        <v>239</v>
      </c>
      <c r="D1988">
        <v>1099088</v>
      </c>
      <c r="E1988" t="s">
        <v>674</v>
      </c>
      <c r="F1988" t="s">
        <v>20</v>
      </c>
      <c r="G1988" t="s">
        <v>4907</v>
      </c>
      <c r="H1988" t="s">
        <v>1474</v>
      </c>
      <c r="I1988" t="s">
        <v>3323</v>
      </c>
      <c r="J1988">
        <v>51157377532</v>
      </c>
      <c r="K1988" t="s">
        <v>3216</v>
      </c>
      <c r="L1988" t="s">
        <v>3215</v>
      </c>
      <c r="M1988">
        <v>120000</v>
      </c>
      <c r="N1988" s="10">
        <v>1.8700000000000001E-2</v>
      </c>
      <c r="O1988" s="10">
        <f t="shared" si="190"/>
        <v>2244</v>
      </c>
      <c r="P1988" s="10" t="s">
        <v>5006</v>
      </c>
      <c r="Q1988" s="10" t="s">
        <v>5006</v>
      </c>
      <c r="R1988" s="10" t="str">
        <f>IF(COUNTIF($J$2:J1988,J1988)=1,SUMIFS($O:$O,$J:$J,J1988)+SUMIFS($P:$P,$J:$J,J1988)+SUMIFS($Q:$Q,$J:$J,J1988),"")</f>
        <v/>
      </c>
      <c r="S1988" s="10" t="s">
        <v>5006</v>
      </c>
      <c r="T1988" s="11" t="str">
        <f t="shared" si="193"/>
        <v>Check</v>
      </c>
      <c r="U1988" s="12">
        <v>46164</v>
      </c>
      <c r="V1988" s="10">
        <v>169.2</v>
      </c>
      <c r="W1988" s="10" t="str">
        <f t="shared" si="191"/>
        <v>N/A</v>
      </c>
      <c r="X1988" t="s">
        <v>476</v>
      </c>
      <c r="Y1988" t="s">
        <v>28</v>
      </c>
      <c r="Z1988">
        <v>100245</v>
      </c>
      <c r="AA1988" t="s">
        <v>507</v>
      </c>
      <c r="AB1988" t="s">
        <v>521</v>
      </c>
      <c r="AC1988" s="9">
        <v>6</v>
      </c>
      <c r="AD1988" s="9" t="str">
        <f t="shared" si="192"/>
        <v>N/A</v>
      </c>
      <c r="AE1988" s="11" t="e">
        <f t="shared" si="189"/>
        <v>#VALUE!</v>
      </c>
    </row>
    <row r="1989" spans="1:31" x14ac:dyDescent="0.3">
      <c r="A1989">
        <v>23</v>
      </c>
      <c r="B1989">
        <v>4835541</v>
      </c>
      <c r="C1989" t="s">
        <v>239</v>
      </c>
      <c r="D1989">
        <v>1099088</v>
      </c>
      <c r="E1989" t="s">
        <v>674</v>
      </c>
      <c r="F1989" t="s">
        <v>20</v>
      </c>
      <c r="G1989" t="s">
        <v>4907</v>
      </c>
      <c r="H1989" t="s">
        <v>1474</v>
      </c>
      <c r="I1989" t="s">
        <v>3323</v>
      </c>
      <c r="J1989">
        <v>51157377532</v>
      </c>
      <c r="K1989" t="s">
        <v>3168</v>
      </c>
      <c r="L1989" t="s">
        <v>4615</v>
      </c>
      <c r="M1989">
        <v>12000</v>
      </c>
      <c r="N1989" s="10">
        <v>8.8000000000000005E-3</v>
      </c>
      <c r="O1989" s="10">
        <f t="shared" si="190"/>
        <v>105.60000000000001</v>
      </c>
      <c r="P1989" s="10" t="s">
        <v>5006</v>
      </c>
      <c r="Q1989" s="10" t="s">
        <v>5006</v>
      </c>
      <c r="R1989" s="10" t="str">
        <f>IF(COUNTIF($J$2:J1989,J1989)=1,SUMIFS($O:$O,$J:$J,J1989)+SUMIFS($P:$P,$J:$J,J1989)+SUMIFS($Q:$Q,$J:$J,J1989),"")</f>
        <v/>
      </c>
      <c r="S1989" s="10" t="s">
        <v>5006</v>
      </c>
      <c r="T1989" s="11" t="str">
        <f t="shared" si="193"/>
        <v>Check</v>
      </c>
      <c r="U1989" s="12">
        <v>46164</v>
      </c>
      <c r="V1989" s="10">
        <v>169.2</v>
      </c>
      <c r="W1989" s="10" t="str">
        <f t="shared" si="191"/>
        <v>N/A</v>
      </c>
      <c r="X1989" t="s">
        <v>476</v>
      </c>
      <c r="Y1989" t="s">
        <v>28</v>
      </c>
      <c r="Z1989">
        <v>100245</v>
      </c>
      <c r="AA1989" t="s">
        <v>507</v>
      </c>
      <c r="AB1989" t="s">
        <v>521</v>
      </c>
      <c r="AC1989" s="9">
        <v>6</v>
      </c>
      <c r="AD1989" s="9" t="str">
        <f t="shared" si="192"/>
        <v>N/A</v>
      </c>
      <c r="AE1989" s="11" t="e">
        <f t="shared" si="189"/>
        <v>#VALUE!</v>
      </c>
    </row>
    <row r="1990" spans="1:31" x14ac:dyDescent="0.3">
      <c r="A1990">
        <v>23</v>
      </c>
      <c r="B1990">
        <v>4835541</v>
      </c>
      <c r="C1990" t="s">
        <v>239</v>
      </c>
      <c r="D1990">
        <v>1099088</v>
      </c>
      <c r="E1990" t="s">
        <v>674</v>
      </c>
      <c r="F1990" t="s">
        <v>20</v>
      </c>
      <c r="G1990" t="s">
        <v>4907</v>
      </c>
      <c r="H1990" t="s">
        <v>1474</v>
      </c>
      <c r="I1990" t="s">
        <v>3323</v>
      </c>
      <c r="J1990">
        <v>51157377532</v>
      </c>
      <c r="K1990" t="s">
        <v>3488</v>
      </c>
      <c r="L1990" t="s">
        <v>3721</v>
      </c>
      <c r="M1990">
        <v>50400</v>
      </c>
      <c r="N1990" s="10">
        <v>0.48799999999999999</v>
      </c>
      <c r="O1990" s="10">
        <f t="shared" si="190"/>
        <v>24595.200000000001</v>
      </c>
      <c r="P1990" s="10" t="s">
        <v>5006</v>
      </c>
      <c r="Q1990" s="10" t="s">
        <v>5006</v>
      </c>
      <c r="R1990" s="10" t="str">
        <f>IF(COUNTIF($J$2:J1990,J1990)=1,SUMIFS($O:$O,$J:$J,J1990)+SUMIFS($P:$P,$J:$J,J1990)+SUMIFS($Q:$Q,$J:$J,J1990),"")</f>
        <v/>
      </c>
      <c r="S1990" s="10" t="s">
        <v>5006</v>
      </c>
      <c r="T1990" s="11" t="str">
        <f t="shared" si="193"/>
        <v>Check</v>
      </c>
      <c r="U1990" s="12">
        <v>46164</v>
      </c>
      <c r="V1990" s="10">
        <v>169.2</v>
      </c>
      <c r="W1990" s="10" t="str">
        <f t="shared" si="191"/>
        <v>N/A</v>
      </c>
      <c r="X1990" t="s">
        <v>476</v>
      </c>
      <c r="Y1990" t="s">
        <v>28</v>
      </c>
      <c r="Z1990">
        <v>100245</v>
      </c>
      <c r="AA1990" t="s">
        <v>507</v>
      </c>
      <c r="AB1990" t="s">
        <v>521</v>
      </c>
      <c r="AC1990" s="9">
        <v>6</v>
      </c>
      <c r="AD1990" s="9" t="str">
        <f t="shared" si="192"/>
        <v>N/A</v>
      </c>
      <c r="AE1990" s="11" t="e">
        <f t="shared" si="189"/>
        <v>#VALUE!</v>
      </c>
    </row>
    <row r="1991" spans="1:31" x14ac:dyDescent="0.3">
      <c r="A1991">
        <v>23</v>
      </c>
      <c r="B1991">
        <v>4835541</v>
      </c>
      <c r="C1991" t="s">
        <v>239</v>
      </c>
      <c r="D1991">
        <v>1099088</v>
      </c>
      <c r="E1991" t="s">
        <v>674</v>
      </c>
      <c r="F1991" t="s">
        <v>20</v>
      </c>
      <c r="G1991" t="s">
        <v>4907</v>
      </c>
      <c r="H1991" t="s">
        <v>1474</v>
      </c>
      <c r="I1991" t="s">
        <v>3323</v>
      </c>
      <c r="J1991">
        <v>51157377532</v>
      </c>
      <c r="K1991" t="s">
        <v>3223</v>
      </c>
      <c r="L1991" t="s">
        <v>4616</v>
      </c>
      <c r="M1991">
        <v>9000</v>
      </c>
      <c r="N1991" s="10">
        <v>0.65200000000000002</v>
      </c>
      <c r="O1991" s="10">
        <f t="shared" si="190"/>
        <v>5868</v>
      </c>
      <c r="P1991" s="10" t="s">
        <v>5006</v>
      </c>
      <c r="Q1991" s="10" t="s">
        <v>5006</v>
      </c>
      <c r="R1991" s="10" t="str">
        <f>IF(COUNTIF($J$2:J1991,J1991)=1,SUMIFS($O:$O,$J:$J,J1991)+SUMIFS($P:$P,$J:$J,J1991)+SUMIFS($Q:$Q,$J:$J,J1991),"")</f>
        <v/>
      </c>
      <c r="S1991" s="10" t="s">
        <v>5006</v>
      </c>
      <c r="T1991" s="11" t="str">
        <f t="shared" si="193"/>
        <v>Check</v>
      </c>
      <c r="U1991" s="12">
        <v>46164</v>
      </c>
      <c r="V1991" s="10">
        <v>169.2</v>
      </c>
      <c r="W1991" s="10" t="str">
        <f t="shared" si="191"/>
        <v>N/A</v>
      </c>
      <c r="X1991" t="s">
        <v>476</v>
      </c>
      <c r="Y1991" t="s">
        <v>28</v>
      </c>
      <c r="Z1991">
        <v>100245</v>
      </c>
      <c r="AA1991" t="s">
        <v>507</v>
      </c>
      <c r="AB1991" t="s">
        <v>521</v>
      </c>
      <c r="AC1991" s="9">
        <v>6</v>
      </c>
      <c r="AD1991" s="9" t="str">
        <f t="shared" si="192"/>
        <v>N/A</v>
      </c>
      <c r="AE1991" s="11" t="e">
        <f t="shared" ref="AE1991:AE2054" si="194">R1991-S1991</f>
        <v>#VALUE!</v>
      </c>
    </row>
    <row r="1992" spans="1:31" x14ac:dyDescent="0.3">
      <c r="A1992">
        <v>23</v>
      </c>
      <c r="B1992">
        <v>4835541</v>
      </c>
      <c r="C1992" t="s">
        <v>239</v>
      </c>
      <c r="D1992">
        <v>1099088</v>
      </c>
      <c r="E1992" t="s">
        <v>674</v>
      </c>
      <c r="F1992" t="s">
        <v>20</v>
      </c>
      <c r="G1992" t="s">
        <v>4907</v>
      </c>
      <c r="H1992" t="s">
        <v>1474</v>
      </c>
      <c r="I1992" t="s">
        <v>3323</v>
      </c>
      <c r="J1992">
        <v>51157377532</v>
      </c>
      <c r="K1992" t="s">
        <v>3207</v>
      </c>
      <c r="L1992" t="s">
        <v>3870</v>
      </c>
      <c r="M1992">
        <v>116000</v>
      </c>
      <c r="N1992" s="10">
        <v>2.9100000000000001E-2</v>
      </c>
      <c r="O1992" s="10">
        <f t="shared" si="190"/>
        <v>3375.6</v>
      </c>
      <c r="P1992" s="10" t="s">
        <v>5006</v>
      </c>
      <c r="Q1992" s="10" t="s">
        <v>5006</v>
      </c>
      <c r="R1992" s="10" t="str">
        <f>IF(COUNTIF($J$2:J1992,J1992)=1,SUMIFS($O:$O,$J:$J,J1992)+SUMIFS($P:$P,$J:$J,J1992)+SUMIFS($Q:$Q,$J:$J,J1992),"")</f>
        <v/>
      </c>
      <c r="S1992" s="10" t="s">
        <v>5006</v>
      </c>
      <c r="T1992" s="11" t="str">
        <f t="shared" si="193"/>
        <v>Check</v>
      </c>
      <c r="U1992" s="12">
        <v>46164</v>
      </c>
      <c r="V1992" s="10">
        <v>169.2</v>
      </c>
      <c r="W1992" s="10" t="str">
        <f t="shared" si="191"/>
        <v>N/A</v>
      </c>
      <c r="X1992" t="s">
        <v>476</v>
      </c>
      <c r="Y1992" t="s">
        <v>28</v>
      </c>
      <c r="Z1992">
        <v>100245</v>
      </c>
      <c r="AA1992" t="s">
        <v>507</v>
      </c>
      <c r="AB1992" t="s">
        <v>521</v>
      </c>
      <c r="AC1992" s="9">
        <v>6</v>
      </c>
      <c r="AD1992" s="9" t="str">
        <f t="shared" si="192"/>
        <v>N/A</v>
      </c>
      <c r="AE1992" s="11" t="e">
        <f t="shared" si="194"/>
        <v>#VALUE!</v>
      </c>
    </row>
    <row r="1993" spans="1:31" x14ac:dyDescent="0.3">
      <c r="A1993">
        <v>25</v>
      </c>
      <c r="B1993">
        <v>4826914</v>
      </c>
      <c r="C1993" t="s">
        <v>239</v>
      </c>
      <c r="D1993">
        <v>1079286</v>
      </c>
      <c r="E1993" t="s">
        <v>629</v>
      </c>
      <c r="F1993" t="s">
        <v>20</v>
      </c>
      <c r="G1993" t="s">
        <v>2852</v>
      </c>
      <c r="H1993" t="s">
        <v>1447</v>
      </c>
      <c r="I1993" t="s">
        <v>3467</v>
      </c>
      <c r="J1993">
        <v>51157400843</v>
      </c>
      <c r="K1993" t="s">
        <v>3203</v>
      </c>
      <c r="L1993" t="s">
        <v>3565</v>
      </c>
      <c r="M1993">
        <v>220</v>
      </c>
      <c r="N1993" s="10">
        <v>3.8330000000000002</v>
      </c>
      <c r="O1993" s="10">
        <f t="shared" si="190"/>
        <v>843.26</v>
      </c>
      <c r="P1993" s="10">
        <v>0</v>
      </c>
      <c r="Q1993" s="10">
        <v>0</v>
      </c>
      <c r="R1993" s="10">
        <f>IF(COUNTIF($J$2:J1993,J1993)=1,SUMIFS($O:$O,$J:$J,J1993)+SUMIFS($P:$P,$J:$J,J1993)+SUMIFS($Q:$Q,$J:$J,J1993),"")</f>
        <v>963.26</v>
      </c>
      <c r="S1993" s="10">
        <v>963.26</v>
      </c>
      <c r="T1993" s="11" t="str">
        <f t="shared" si="193"/>
        <v>Ok</v>
      </c>
      <c r="U1993" s="12">
        <v>46020</v>
      </c>
      <c r="V1993" s="10">
        <v>120</v>
      </c>
      <c r="W1993" s="10" t="str">
        <f t="shared" si="191"/>
        <v>Short Paid</v>
      </c>
      <c r="X1993" t="s">
        <v>476</v>
      </c>
      <c r="Y1993" t="s">
        <v>28</v>
      </c>
      <c r="Z1993">
        <v>100235</v>
      </c>
      <c r="AA1993" t="s">
        <v>509</v>
      </c>
      <c r="AB1993" t="s">
        <v>521</v>
      </c>
      <c r="AC1993" s="9">
        <v>2</v>
      </c>
      <c r="AD1993" s="9" t="str">
        <f t="shared" si="192"/>
        <v>Ok</v>
      </c>
      <c r="AE1993" s="11">
        <f t="shared" si="194"/>
        <v>0</v>
      </c>
    </row>
    <row r="1994" spans="1:31" x14ac:dyDescent="0.3">
      <c r="A1994">
        <v>25</v>
      </c>
      <c r="B1994">
        <v>4826914</v>
      </c>
      <c r="C1994" t="s">
        <v>239</v>
      </c>
      <c r="D1994">
        <v>1079286</v>
      </c>
      <c r="E1994" t="s">
        <v>629</v>
      </c>
      <c r="F1994" t="s">
        <v>20</v>
      </c>
      <c r="G1994" t="s">
        <v>2852</v>
      </c>
      <c r="H1994" t="s">
        <v>1447</v>
      </c>
      <c r="I1994" t="s">
        <v>3291</v>
      </c>
      <c r="J1994">
        <v>51157400843</v>
      </c>
      <c r="K1994" t="s">
        <v>3379</v>
      </c>
      <c r="L1994" t="s">
        <v>4532</v>
      </c>
      <c r="M1994">
        <v>10000</v>
      </c>
      <c r="N1994" s="10">
        <v>1.2E-2</v>
      </c>
      <c r="O1994" s="10">
        <f t="shared" si="190"/>
        <v>120</v>
      </c>
      <c r="P1994" s="10" t="s">
        <v>5006</v>
      </c>
      <c r="Q1994" s="10" t="s">
        <v>5006</v>
      </c>
      <c r="R1994" s="10" t="str">
        <f>IF(COUNTIF($J$2:J1994,J1994)=1,SUMIFS($O:$O,$J:$J,J1994)+SUMIFS($P:$P,$J:$J,J1994)+SUMIFS($Q:$Q,$J:$J,J1994),"")</f>
        <v/>
      </c>
      <c r="S1994" s="10" t="s">
        <v>5006</v>
      </c>
      <c r="T1994" s="11" t="str">
        <f t="shared" si="193"/>
        <v>Ok</v>
      </c>
      <c r="U1994" s="12">
        <v>46020</v>
      </c>
      <c r="V1994" s="10">
        <v>120</v>
      </c>
      <c r="W1994" s="10" t="str">
        <f t="shared" si="191"/>
        <v>N/A</v>
      </c>
      <c r="X1994" t="s">
        <v>476</v>
      </c>
      <c r="Y1994" t="s">
        <v>28</v>
      </c>
      <c r="Z1994">
        <v>100235</v>
      </c>
      <c r="AA1994" t="s">
        <v>509</v>
      </c>
      <c r="AB1994" t="s">
        <v>521</v>
      </c>
      <c r="AC1994" s="9">
        <v>2</v>
      </c>
      <c r="AD1994" s="9" t="str">
        <f t="shared" si="192"/>
        <v>N/A</v>
      </c>
      <c r="AE1994" s="11" t="e">
        <f t="shared" si="194"/>
        <v>#VALUE!</v>
      </c>
    </row>
    <row r="1995" spans="1:31" x14ac:dyDescent="0.3">
      <c r="A1995">
        <v>6</v>
      </c>
      <c r="B1995">
        <v>4932941</v>
      </c>
      <c r="C1995" t="s">
        <v>220</v>
      </c>
      <c r="D1995">
        <v>1469829</v>
      </c>
      <c r="E1995" t="s">
        <v>224</v>
      </c>
      <c r="F1995" t="s">
        <v>20</v>
      </c>
      <c r="G1995" t="s">
        <v>1795</v>
      </c>
      <c r="H1995" t="s">
        <v>1796</v>
      </c>
      <c r="I1995" t="s">
        <v>3467</v>
      </c>
      <c r="J1995">
        <v>51157406082</v>
      </c>
      <c r="K1995" t="s">
        <v>3276</v>
      </c>
      <c r="L1995" t="s">
        <v>4617</v>
      </c>
      <c r="M1995">
        <v>1</v>
      </c>
      <c r="N1995" s="10">
        <v>1864.32</v>
      </c>
      <c r="O1995" s="10">
        <f t="shared" si="190"/>
        <v>1864.32</v>
      </c>
      <c r="P1995" s="10">
        <v>0</v>
      </c>
      <c r="Q1995" s="10">
        <v>177.11</v>
      </c>
      <c r="R1995" s="10">
        <f>IF(COUNTIF($J$2:J1995,J1995)=1,SUMIFS($O:$O,$J:$J,J1995)+SUMIFS($P:$P,$J:$J,J1995)+SUMIFS($Q:$Q,$J:$J,J1995),"")</f>
        <v>2903.72</v>
      </c>
      <c r="S1995" s="10">
        <v>3766.01</v>
      </c>
      <c r="T1995" s="11" t="str">
        <f t="shared" si="193"/>
        <v>Check</v>
      </c>
      <c r="U1995" s="12">
        <v>46118</v>
      </c>
      <c r="V1995" s="10">
        <v>1864.32</v>
      </c>
      <c r="W1995" s="10" t="str">
        <f t="shared" si="191"/>
        <v>Short Paid</v>
      </c>
      <c r="X1995" t="s">
        <v>470</v>
      </c>
      <c r="Y1995" t="s">
        <v>28</v>
      </c>
      <c r="Z1995">
        <v>100248</v>
      </c>
      <c r="AA1995" t="s">
        <v>3117</v>
      </c>
      <c r="AB1995" t="s">
        <v>521</v>
      </c>
      <c r="AC1995" s="9">
        <v>2</v>
      </c>
      <c r="AD1995" s="9" t="str">
        <f t="shared" si="192"/>
        <v>Check</v>
      </c>
      <c r="AE1995" s="11">
        <f t="shared" si="194"/>
        <v>-862.29000000000042</v>
      </c>
    </row>
    <row r="1996" spans="1:31" x14ac:dyDescent="0.3">
      <c r="A1996">
        <v>6</v>
      </c>
      <c r="B1996">
        <v>4932941</v>
      </c>
      <c r="C1996" t="s">
        <v>220</v>
      </c>
      <c r="D1996">
        <v>1469829</v>
      </c>
      <c r="E1996" t="s">
        <v>224</v>
      </c>
      <c r="F1996" t="s">
        <v>20</v>
      </c>
      <c r="G1996" t="s">
        <v>1795</v>
      </c>
      <c r="H1996" t="s">
        <v>1796</v>
      </c>
      <c r="I1996" t="s">
        <v>3399</v>
      </c>
      <c r="J1996">
        <v>51157406082</v>
      </c>
      <c r="K1996" t="s">
        <v>3226</v>
      </c>
      <c r="L1996" t="s">
        <v>3454</v>
      </c>
      <c r="M1996">
        <v>3300</v>
      </c>
      <c r="N1996" s="10">
        <v>0.26129999999999998</v>
      </c>
      <c r="O1996" s="10">
        <f t="shared" si="190"/>
        <v>862.29</v>
      </c>
      <c r="P1996" s="10" t="s">
        <v>5006</v>
      </c>
      <c r="Q1996" s="10" t="s">
        <v>5006</v>
      </c>
      <c r="R1996" s="10" t="str">
        <f>IF(COUNTIF($J$2:J1996,J1996)=1,SUMIFS($O:$O,$J:$J,J1996)+SUMIFS($P:$P,$J:$J,J1996)+SUMIFS($Q:$Q,$J:$J,J1996),"")</f>
        <v/>
      </c>
      <c r="S1996" s="10" t="s">
        <v>5006</v>
      </c>
      <c r="T1996" s="11" t="str">
        <f t="shared" si="193"/>
        <v>Check</v>
      </c>
      <c r="U1996" s="12">
        <v>46118</v>
      </c>
      <c r="V1996" s="10">
        <v>1864.32</v>
      </c>
      <c r="W1996" s="10" t="str">
        <f t="shared" si="191"/>
        <v>N/A</v>
      </c>
      <c r="X1996" t="s">
        <v>470</v>
      </c>
      <c r="Y1996" t="s">
        <v>28</v>
      </c>
      <c r="Z1996">
        <v>100248</v>
      </c>
      <c r="AA1996" t="s">
        <v>3117</v>
      </c>
      <c r="AB1996" t="s">
        <v>521</v>
      </c>
      <c r="AC1996" s="9">
        <v>2</v>
      </c>
      <c r="AD1996" s="9" t="str">
        <f t="shared" si="192"/>
        <v>N/A</v>
      </c>
      <c r="AE1996" s="11" t="e">
        <f t="shared" si="194"/>
        <v>#VALUE!</v>
      </c>
    </row>
    <row r="1997" spans="1:31" x14ac:dyDescent="0.3">
      <c r="A1997">
        <v>7</v>
      </c>
      <c r="B1997">
        <v>4925705</v>
      </c>
      <c r="C1997" t="s">
        <v>38</v>
      </c>
      <c r="D1997">
        <v>1461333</v>
      </c>
      <c r="E1997" t="s">
        <v>232</v>
      </c>
      <c r="F1997" t="s">
        <v>20</v>
      </c>
      <c r="G1997" t="s">
        <v>2935</v>
      </c>
      <c r="H1997" t="s">
        <v>2936</v>
      </c>
      <c r="I1997" t="s">
        <v>3326</v>
      </c>
      <c r="J1997">
        <v>51157546438</v>
      </c>
      <c r="K1997" t="s">
        <v>3295</v>
      </c>
      <c r="L1997" t="s">
        <v>4618</v>
      </c>
      <c r="M1997">
        <v>1</v>
      </c>
      <c r="N1997" s="10">
        <v>213</v>
      </c>
      <c r="O1997" s="10">
        <f t="shared" si="190"/>
        <v>213</v>
      </c>
      <c r="P1997" s="10">
        <v>0</v>
      </c>
      <c r="Q1997" s="10">
        <v>0</v>
      </c>
      <c r="R1997" s="10">
        <f>IF(COUNTIF($J$2:J1997,J1997)=1,SUMIFS($O:$O,$J:$J,J1997)+SUMIFS($P:$P,$J:$J,J1997)+SUMIFS($Q:$Q,$J:$J,J1997),"")</f>
        <v>3127.44</v>
      </c>
      <c r="S1997" s="10">
        <v>6041.88</v>
      </c>
      <c r="T1997" s="11" t="str">
        <f t="shared" si="193"/>
        <v>Check</v>
      </c>
      <c r="U1997" s="12">
        <v>46137</v>
      </c>
      <c r="V1997" s="10">
        <v>5828.88</v>
      </c>
      <c r="W1997" s="10" t="str">
        <f t="shared" si="191"/>
        <v>Short Paid</v>
      </c>
      <c r="X1997" t="s">
        <v>474</v>
      </c>
      <c r="Y1997" t="s">
        <v>28</v>
      </c>
      <c r="Z1997">
        <v>100129</v>
      </c>
      <c r="AA1997" t="s">
        <v>495</v>
      </c>
      <c r="AB1997" t="s">
        <v>521</v>
      </c>
      <c r="AC1997" s="9">
        <v>2</v>
      </c>
      <c r="AD1997" s="9" t="str">
        <f t="shared" si="192"/>
        <v>Check</v>
      </c>
      <c r="AE1997" s="11">
        <f t="shared" si="194"/>
        <v>-2914.44</v>
      </c>
    </row>
    <row r="1998" spans="1:31" x14ac:dyDescent="0.3">
      <c r="A1998">
        <v>7</v>
      </c>
      <c r="B1998">
        <v>4925705</v>
      </c>
      <c r="C1998" t="s">
        <v>38</v>
      </c>
      <c r="D1998">
        <v>1461333</v>
      </c>
      <c r="E1998" t="s">
        <v>232</v>
      </c>
      <c r="F1998" t="s">
        <v>20</v>
      </c>
      <c r="G1998" t="s">
        <v>2935</v>
      </c>
      <c r="H1998" t="s">
        <v>2936</v>
      </c>
      <c r="I1998" t="s">
        <v>3326</v>
      </c>
      <c r="J1998">
        <v>51157546438</v>
      </c>
      <c r="K1998" t="s">
        <v>3295</v>
      </c>
      <c r="L1998" t="s">
        <v>4619</v>
      </c>
      <c r="M1998">
        <v>4</v>
      </c>
      <c r="N1998" s="10">
        <v>728.61</v>
      </c>
      <c r="O1998" s="10">
        <f t="shared" si="190"/>
        <v>2914.44</v>
      </c>
      <c r="P1998" s="10" t="s">
        <v>5006</v>
      </c>
      <c r="Q1998" s="10" t="s">
        <v>5006</v>
      </c>
      <c r="R1998" s="10" t="str">
        <f>IF(COUNTIF($J$2:J1998,J1998)=1,SUMIFS($O:$O,$J:$J,J1998)+SUMIFS($P:$P,$J:$J,J1998)+SUMIFS($Q:$Q,$J:$J,J1998),"")</f>
        <v/>
      </c>
      <c r="S1998" s="10" t="s">
        <v>5006</v>
      </c>
      <c r="T1998" s="11" t="str">
        <f t="shared" si="193"/>
        <v>Check</v>
      </c>
      <c r="U1998" s="12">
        <v>46137</v>
      </c>
      <c r="V1998" s="10">
        <v>5828.88</v>
      </c>
      <c r="W1998" s="10" t="str">
        <f t="shared" si="191"/>
        <v>N/A</v>
      </c>
      <c r="X1998" t="s">
        <v>474</v>
      </c>
      <c r="Y1998" t="s">
        <v>28</v>
      </c>
      <c r="Z1998">
        <v>100129</v>
      </c>
      <c r="AA1998" t="s">
        <v>495</v>
      </c>
      <c r="AB1998" t="s">
        <v>521</v>
      </c>
      <c r="AC1998" s="9">
        <v>2</v>
      </c>
      <c r="AD1998" s="9" t="str">
        <f t="shared" si="192"/>
        <v>N/A</v>
      </c>
      <c r="AE1998" s="11" t="e">
        <f t="shared" si="194"/>
        <v>#VALUE!</v>
      </c>
    </row>
    <row r="1999" spans="1:31" x14ac:dyDescent="0.3">
      <c r="A1999">
        <v>8</v>
      </c>
      <c r="B1999">
        <v>4919305</v>
      </c>
      <c r="C1999" t="s">
        <v>220</v>
      </c>
      <c r="D1999">
        <v>1125734</v>
      </c>
      <c r="E1999" t="s">
        <v>532</v>
      </c>
      <c r="F1999" t="s">
        <v>18</v>
      </c>
      <c r="G1999" t="s">
        <v>3009</v>
      </c>
      <c r="H1999" t="s">
        <v>3010</v>
      </c>
      <c r="I1999" t="s">
        <v>3528</v>
      </c>
      <c r="J1999">
        <v>51157566361</v>
      </c>
      <c r="K1999" t="s">
        <v>3177</v>
      </c>
      <c r="L1999" t="s">
        <v>3874</v>
      </c>
      <c r="M1999">
        <v>60000</v>
      </c>
      <c r="N1999" s="10">
        <v>2.5400000000000002E-3</v>
      </c>
      <c r="O1999" s="10">
        <f t="shared" si="190"/>
        <v>152.4</v>
      </c>
      <c r="P1999" s="10">
        <v>0</v>
      </c>
      <c r="Q1999" s="10">
        <v>0</v>
      </c>
      <c r="R1999" s="10">
        <f>IF(COUNTIF($J$2:J1999,J1999)=1,SUMIFS($O:$O,$J:$J,J1999)+SUMIFS($P:$P,$J:$J,J1999)+SUMIFS($Q:$Q,$J:$J,J1999),"")</f>
        <v>23428.07</v>
      </c>
      <c r="S1999" s="10">
        <v>32440.43</v>
      </c>
      <c r="T1999" s="11" t="str">
        <f t="shared" si="193"/>
        <v>Check</v>
      </c>
      <c r="U1999" s="12">
        <v>46133</v>
      </c>
      <c r="V1999" s="10">
        <v>158.76</v>
      </c>
      <c r="W1999" s="10" t="str">
        <f t="shared" si="191"/>
        <v>Short Paid</v>
      </c>
      <c r="X1999" t="s">
        <v>470</v>
      </c>
      <c r="Y1999" t="s">
        <v>28</v>
      </c>
      <c r="Z1999">
        <v>100278</v>
      </c>
      <c r="AA1999" t="s">
        <v>3114</v>
      </c>
      <c r="AB1999" t="s">
        <v>523</v>
      </c>
      <c r="AC1999" s="9">
        <v>10</v>
      </c>
      <c r="AD1999" s="9" t="str">
        <f t="shared" si="192"/>
        <v>Check</v>
      </c>
      <c r="AE1999" s="11">
        <f t="shared" si="194"/>
        <v>-9012.36</v>
      </c>
    </row>
    <row r="2000" spans="1:31" x14ac:dyDescent="0.3">
      <c r="A2000">
        <v>8</v>
      </c>
      <c r="B2000">
        <v>4919305</v>
      </c>
      <c r="C2000" t="s">
        <v>220</v>
      </c>
      <c r="D2000">
        <v>1125734</v>
      </c>
      <c r="E2000" t="s">
        <v>532</v>
      </c>
      <c r="F2000" t="s">
        <v>18</v>
      </c>
      <c r="G2000" t="s">
        <v>3009</v>
      </c>
      <c r="H2000" t="s">
        <v>3010</v>
      </c>
      <c r="I2000" t="s">
        <v>3528</v>
      </c>
      <c r="J2000">
        <v>51157566361</v>
      </c>
      <c r="K2000" t="s">
        <v>3177</v>
      </c>
      <c r="L2000" t="s">
        <v>3875</v>
      </c>
      <c r="M2000">
        <v>40000</v>
      </c>
      <c r="N2000" s="10">
        <v>8.4000000000000003E-4</v>
      </c>
      <c r="O2000" s="10">
        <f t="shared" si="190"/>
        <v>33.6</v>
      </c>
      <c r="P2000" s="10" t="s">
        <v>5006</v>
      </c>
      <c r="Q2000" s="10" t="s">
        <v>5006</v>
      </c>
      <c r="R2000" s="10" t="str">
        <f>IF(COUNTIF($J$2:J2000,J2000)=1,SUMIFS($O:$O,$J:$J,J2000)+SUMIFS($P:$P,$J:$J,J2000)+SUMIFS($Q:$Q,$J:$J,J2000),"")</f>
        <v/>
      </c>
      <c r="S2000" s="10" t="s">
        <v>5006</v>
      </c>
      <c r="T2000" s="11" t="str">
        <f t="shared" si="193"/>
        <v>Check</v>
      </c>
      <c r="U2000" s="12">
        <v>46133</v>
      </c>
      <c r="V2000" s="10">
        <v>158.76</v>
      </c>
      <c r="W2000" s="10" t="str">
        <f t="shared" si="191"/>
        <v>N/A</v>
      </c>
      <c r="X2000" t="s">
        <v>470</v>
      </c>
      <c r="Y2000" t="s">
        <v>28</v>
      </c>
      <c r="Z2000">
        <v>100278</v>
      </c>
      <c r="AA2000" t="s">
        <v>3114</v>
      </c>
      <c r="AB2000" t="s">
        <v>523</v>
      </c>
      <c r="AC2000" s="9">
        <v>10</v>
      </c>
      <c r="AD2000" s="9" t="str">
        <f t="shared" si="192"/>
        <v>N/A</v>
      </c>
      <c r="AE2000" s="11" t="e">
        <f t="shared" si="194"/>
        <v>#VALUE!</v>
      </c>
    </row>
    <row r="2001" spans="1:31" x14ac:dyDescent="0.3">
      <c r="A2001">
        <v>8</v>
      </c>
      <c r="B2001">
        <v>4919305</v>
      </c>
      <c r="C2001" t="s">
        <v>220</v>
      </c>
      <c r="D2001">
        <v>1125734</v>
      </c>
      <c r="E2001" t="s">
        <v>532</v>
      </c>
      <c r="F2001" t="s">
        <v>18</v>
      </c>
      <c r="G2001" t="s">
        <v>3009</v>
      </c>
      <c r="H2001" t="s">
        <v>3010</v>
      </c>
      <c r="I2001" t="s">
        <v>3528</v>
      </c>
      <c r="J2001">
        <v>51157566361</v>
      </c>
      <c r="K2001" t="s">
        <v>3177</v>
      </c>
      <c r="L2001" t="s">
        <v>3892</v>
      </c>
      <c r="M2001">
        <v>60000</v>
      </c>
      <c r="N2001" s="10">
        <v>3.7000000000000002E-3</v>
      </c>
      <c r="O2001" s="10">
        <f t="shared" si="190"/>
        <v>222</v>
      </c>
      <c r="P2001" s="10" t="s">
        <v>5006</v>
      </c>
      <c r="Q2001" s="10" t="s">
        <v>5006</v>
      </c>
      <c r="R2001" s="10" t="str">
        <f>IF(COUNTIF($J$2:J2001,J2001)=1,SUMIFS($O:$O,$J:$J,J2001)+SUMIFS($P:$P,$J:$J,J2001)+SUMIFS($Q:$Q,$J:$J,J2001),"")</f>
        <v/>
      </c>
      <c r="S2001" s="10" t="s">
        <v>5006</v>
      </c>
      <c r="T2001" s="11" t="str">
        <f t="shared" si="193"/>
        <v>Check</v>
      </c>
      <c r="U2001" s="12">
        <v>46133</v>
      </c>
      <c r="V2001" s="10">
        <v>158.76</v>
      </c>
      <c r="W2001" s="10" t="str">
        <f t="shared" si="191"/>
        <v>N/A</v>
      </c>
      <c r="X2001" t="s">
        <v>470</v>
      </c>
      <c r="Y2001" t="s">
        <v>28</v>
      </c>
      <c r="Z2001">
        <v>100278</v>
      </c>
      <c r="AA2001" t="s">
        <v>3114</v>
      </c>
      <c r="AB2001" t="s">
        <v>523</v>
      </c>
      <c r="AC2001" s="9">
        <v>10</v>
      </c>
      <c r="AD2001" s="9" t="str">
        <f t="shared" si="192"/>
        <v>N/A</v>
      </c>
      <c r="AE2001" s="11" t="e">
        <f t="shared" si="194"/>
        <v>#VALUE!</v>
      </c>
    </row>
    <row r="2002" spans="1:31" x14ac:dyDescent="0.3">
      <c r="A2002">
        <v>8</v>
      </c>
      <c r="B2002">
        <v>4919305</v>
      </c>
      <c r="C2002" t="s">
        <v>220</v>
      </c>
      <c r="D2002">
        <v>1125734</v>
      </c>
      <c r="E2002" t="s">
        <v>532</v>
      </c>
      <c r="F2002" t="s">
        <v>18</v>
      </c>
      <c r="G2002" t="s">
        <v>3009</v>
      </c>
      <c r="H2002" t="s">
        <v>3010</v>
      </c>
      <c r="I2002" t="s">
        <v>3528</v>
      </c>
      <c r="J2002">
        <v>51157566361</v>
      </c>
      <c r="K2002" t="s">
        <v>3177</v>
      </c>
      <c r="L2002" t="s">
        <v>4424</v>
      </c>
      <c r="M2002">
        <v>32000</v>
      </c>
      <c r="N2002" s="10">
        <v>6.1399999999999996E-3</v>
      </c>
      <c r="O2002" s="10">
        <f t="shared" si="190"/>
        <v>196.48</v>
      </c>
      <c r="P2002" s="10" t="s">
        <v>5006</v>
      </c>
      <c r="Q2002" s="10" t="s">
        <v>5006</v>
      </c>
      <c r="R2002" s="10" t="str">
        <f>IF(COUNTIF($J$2:J2002,J2002)=1,SUMIFS($O:$O,$J:$J,J2002)+SUMIFS($P:$P,$J:$J,J2002)+SUMIFS($Q:$Q,$J:$J,J2002),"")</f>
        <v/>
      </c>
      <c r="S2002" s="10" t="s">
        <v>5006</v>
      </c>
      <c r="T2002" s="11" t="str">
        <f t="shared" si="193"/>
        <v>Check</v>
      </c>
      <c r="U2002" s="12">
        <v>46133</v>
      </c>
      <c r="V2002" s="10">
        <v>158.76</v>
      </c>
      <c r="W2002" s="10" t="str">
        <f t="shared" si="191"/>
        <v>N/A</v>
      </c>
      <c r="X2002" t="s">
        <v>470</v>
      </c>
      <c r="Y2002" t="s">
        <v>28</v>
      </c>
      <c r="Z2002">
        <v>100278</v>
      </c>
      <c r="AA2002" t="s">
        <v>3114</v>
      </c>
      <c r="AB2002" t="s">
        <v>523</v>
      </c>
      <c r="AC2002" s="9">
        <v>10</v>
      </c>
      <c r="AD2002" s="9" t="str">
        <f t="shared" si="192"/>
        <v>N/A</v>
      </c>
      <c r="AE2002" s="11" t="e">
        <f t="shared" si="194"/>
        <v>#VALUE!</v>
      </c>
    </row>
    <row r="2003" spans="1:31" x14ac:dyDescent="0.3">
      <c r="A2003">
        <v>8</v>
      </c>
      <c r="B2003">
        <v>4919305</v>
      </c>
      <c r="C2003" t="s">
        <v>220</v>
      </c>
      <c r="D2003">
        <v>1125734</v>
      </c>
      <c r="E2003" t="s">
        <v>532</v>
      </c>
      <c r="F2003" t="s">
        <v>18</v>
      </c>
      <c r="G2003" t="s">
        <v>3009</v>
      </c>
      <c r="H2003" t="s">
        <v>3010</v>
      </c>
      <c r="I2003" t="s">
        <v>3528</v>
      </c>
      <c r="J2003">
        <v>51157566361</v>
      </c>
      <c r="K2003" t="s">
        <v>3177</v>
      </c>
      <c r="L2003" t="s">
        <v>4271</v>
      </c>
      <c r="M2003">
        <v>4000</v>
      </c>
      <c r="N2003" s="10">
        <v>0.11443</v>
      </c>
      <c r="O2003" s="10">
        <f t="shared" si="190"/>
        <v>457.72</v>
      </c>
      <c r="P2003" s="10" t="s">
        <v>5006</v>
      </c>
      <c r="Q2003" s="10" t="s">
        <v>5006</v>
      </c>
      <c r="R2003" s="10" t="str">
        <f>IF(COUNTIF($J$2:J2003,J2003)=1,SUMIFS($O:$O,$J:$J,J2003)+SUMIFS($P:$P,$J:$J,J2003)+SUMIFS($Q:$Q,$J:$J,J2003),"")</f>
        <v/>
      </c>
      <c r="S2003" s="10" t="s">
        <v>5006</v>
      </c>
      <c r="T2003" s="11" t="str">
        <f t="shared" si="193"/>
        <v>Check</v>
      </c>
      <c r="U2003" s="12">
        <v>46133</v>
      </c>
      <c r="V2003" s="10">
        <v>158.76</v>
      </c>
      <c r="W2003" s="10" t="str">
        <f t="shared" si="191"/>
        <v>N/A</v>
      </c>
      <c r="X2003" t="s">
        <v>470</v>
      </c>
      <c r="Y2003" t="s">
        <v>28</v>
      </c>
      <c r="Z2003">
        <v>100278</v>
      </c>
      <c r="AA2003" t="s">
        <v>3114</v>
      </c>
      <c r="AB2003" t="s">
        <v>523</v>
      </c>
      <c r="AC2003" s="9">
        <v>10</v>
      </c>
      <c r="AD2003" s="9" t="str">
        <f t="shared" si="192"/>
        <v>N/A</v>
      </c>
      <c r="AE2003" s="11" t="e">
        <f t="shared" si="194"/>
        <v>#VALUE!</v>
      </c>
    </row>
    <row r="2004" spans="1:31" x14ac:dyDescent="0.3">
      <c r="A2004">
        <v>8</v>
      </c>
      <c r="B2004">
        <v>4919305</v>
      </c>
      <c r="C2004" t="s">
        <v>220</v>
      </c>
      <c r="D2004">
        <v>1125734</v>
      </c>
      <c r="E2004" t="s">
        <v>532</v>
      </c>
      <c r="F2004" t="s">
        <v>18</v>
      </c>
      <c r="G2004" t="s">
        <v>3009</v>
      </c>
      <c r="H2004" t="s">
        <v>3010</v>
      </c>
      <c r="I2004" t="s">
        <v>3528</v>
      </c>
      <c r="J2004">
        <v>51157566361</v>
      </c>
      <c r="K2004" t="s">
        <v>3229</v>
      </c>
      <c r="L2004" t="s">
        <v>4514</v>
      </c>
      <c r="M2004">
        <v>8000</v>
      </c>
      <c r="N2004" s="10">
        <v>4.7999999999999996E-3</v>
      </c>
      <c r="O2004" s="10">
        <f t="shared" si="190"/>
        <v>38.4</v>
      </c>
      <c r="P2004" s="10" t="s">
        <v>5006</v>
      </c>
      <c r="Q2004" s="10" t="s">
        <v>5006</v>
      </c>
      <c r="R2004" s="10" t="str">
        <f>IF(COUNTIF($J$2:J2004,J2004)=1,SUMIFS($O:$O,$J:$J,J2004)+SUMIFS($P:$P,$J:$J,J2004)+SUMIFS($Q:$Q,$J:$J,J2004),"")</f>
        <v/>
      </c>
      <c r="S2004" s="10" t="s">
        <v>5006</v>
      </c>
      <c r="T2004" s="11" t="str">
        <f t="shared" si="193"/>
        <v>Check</v>
      </c>
      <c r="U2004" s="12">
        <v>46133</v>
      </c>
      <c r="V2004" s="10">
        <v>158.76</v>
      </c>
      <c r="W2004" s="10" t="str">
        <f t="shared" si="191"/>
        <v>N/A</v>
      </c>
      <c r="X2004" t="s">
        <v>470</v>
      </c>
      <c r="Y2004" t="s">
        <v>28</v>
      </c>
      <c r="Z2004">
        <v>100278</v>
      </c>
      <c r="AA2004" t="s">
        <v>3114</v>
      </c>
      <c r="AB2004" t="s">
        <v>523</v>
      </c>
      <c r="AC2004" s="9">
        <v>10</v>
      </c>
      <c r="AD2004" s="9" t="str">
        <f t="shared" si="192"/>
        <v>N/A</v>
      </c>
      <c r="AE2004" s="11" t="e">
        <f t="shared" si="194"/>
        <v>#VALUE!</v>
      </c>
    </row>
    <row r="2005" spans="1:31" x14ac:dyDescent="0.3">
      <c r="A2005">
        <v>8</v>
      </c>
      <c r="B2005">
        <v>4919305</v>
      </c>
      <c r="C2005" t="s">
        <v>220</v>
      </c>
      <c r="D2005">
        <v>1125734</v>
      </c>
      <c r="E2005" t="s">
        <v>532</v>
      </c>
      <c r="F2005" t="s">
        <v>18</v>
      </c>
      <c r="G2005" t="s">
        <v>3009</v>
      </c>
      <c r="H2005" t="s">
        <v>3010</v>
      </c>
      <c r="I2005" t="s">
        <v>3528</v>
      </c>
      <c r="J2005">
        <v>51157566361</v>
      </c>
      <c r="K2005" t="s">
        <v>3229</v>
      </c>
      <c r="L2005" t="s">
        <v>3877</v>
      </c>
      <c r="M2005">
        <v>7500</v>
      </c>
      <c r="N2005" s="10">
        <v>1.9879999999999998E-2</v>
      </c>
      <c r="O2005" s="10">
        <f t="shared" si="190"/>
        <v>149.1</v>
      </c>
      <c r="P2005" s="10" t="s">
        <v>5006</v>
      </c>
      <c r="Q2005" s="10" t="s">
        <v>5006</v>
      </c>
      <c r="R2005" s="10" t="str">
        <f>IF(COUNTIF($J$2:J2005,J2005)=1,SUMIFS($O:$O,$J:$J,J2005)+SUMIFS($P:$P,$J:$J,J2005)+SUMIFS($Q:$Q,$J:$J,J2005),"")</f>
        <v/>
      </c>
      <c r="S2005" s="10" t="s">
        <v>5006</v>
      </c>
      <c r="T2005" s="11" t="str">
        <f t="shared" si="193"/>
        <v>Check</v>
      </c>
      <c r="U2005" s="12">
        <v>46133</v>
      </c>
      <c r="V2005" s="10">
        <v>158.76</v>
      </c>
      <c r="W2005" s="10" t="str">
        <f t="shared" si="191"/>
        <v>N/A</v>
      </c>
      <c r="X2005" t="s">
        <v>470</v>
      </c>
      <c r="Y2005" t="s">
        <v>28</v>
      </c>
      <c r="Z2005">
        <v>100278</v>
      </c>
      <c r="AA2005" t="s">
        <v>3114</v>
      </c>
      <c r="AB2005" t="s">
        <v>523</v>
      </c>
      <c r="AC2005" s="9">
        <v>10</v>
      </c>
      <c r="AD2005" s="9" t="str">
        <f t="shared" si="192"/>
        <v>N/A</v>
      </c>
      <c r="AE2005" s="11" t="e">
        <f t="shared" si="194"/>
        <v>#VALUE!</v>
      </c>
    </row>
    <row r="2006" spans="1:31" x14ac:dyDescent="0.3">
      <c r="A2006">
        <v>8</v>
      </c>
      <c r="B2006">
        <v>4919305</v>
      </c>
      <c r="C2006" t="s">
        <v>220</v>
      </c>
      <c r="D2006">
        <v>1125734</v>
      </c>
      <c r="E2006" t="s">
        <v>532</v>
      </c>
      <c r="F2006" t="s">
        <v>18</v>
      </c>
      <c r="G2006" t="s">
        <v>3009</v>
      </c>
      <c r="H2006" t="s">
        <v>3010</v>
      </c>
      <c r="I2006" t="s">
        <v>3528</v>
      </c>
      <c r="J2006">
        <v>51157566361</v>
      </c>
      <c r="K2006" t="s">
        <v>3473</v>
      </c>
      <c r="L2006" t="s">
        <v>3472</v>
      </c>
      <c r="M2006">
        <v>9000</v>
      </c>
      <c r="N2006" s="10">
        <v>9.5409999999999995E-2</v>
      </c>
      <c r="O2006" s="10">
        <f t="shared" si="190"/>
        <v>858.68999999999994</v>
      </c>
      <c r="P2006" s="10" t="s">
        <v>5006</v>
      </c>
      <c r="Q2006" s="10" t="s">
        <v>5006</v>
      </c>
      <c r="R2006" s="10" t="str">
        <f>IF(COUNTIF($J$2:J2006,J2006)=1,SUMIFS($O:$O,$J:$J,J2006)+SUMIFS($P:$P,$J:$J,J2006)+SUMIFS($Q:$Q,$J:$J,J2006),"")</f>
        <v/>
      </c>
      <c r="S2006" s="10" t="s">
        <v>5006</v>
      </c>
      <c r="T2006" s="11" t="str">
        <f t="shared" si="193"/>
        <v>Check</v>
      </c>
      <c r="U2006" s="12">
        <v>46133</v>
      </c>
      <c r="V2006" s="10">
        <v>158.76</v>
      </c>
      <c r="W2006" s="10" t="str">
        <f t="shared" si="191"/>
        <v>N/A</v>
      </c>
      <c r="X2006" t="s">
        <v>470</v>
      </c>
      <c r="Y2006" t="s">
        <v>28</v>
      </c>
      <c r="Z2006">
        <v>100278</v>
      </c>
      <c r="AA2006" t="s">
        <v>3114</v>
      </c>
      <c r="AB2006" t="s">
        <v>523</v>
      </c>
      <c r="AC2006" s="9">
        <v>10</v>
      </c>
      <c r="AD2006" s="9" t="str">
        <f t="shared" si="192"/>
        <v>N/A</v>
      </c>
      <c r="AE2006" s="11" t="e">
        <f t="shared" si="194"/>
        <v>#VALUE!</v>
      </c>
    </row>
    <row r="2007" spans="1:31" x14ac:dyDescent="0.3">
      <c r="A2007">
        <v>8</v>
      </c>
      <c r="B2007">
        <v>4919305</v>
      </c>
      <c r="C2007" t="s">
        <v>220</v>
      </c>
      <c r="D2007">
        <v>1125734</v>
      </c>
      <c r="E2007" t="s">
        <v>532</v>
      </c>
      <c r="F2007" t="s">
        <v>18</v>
      </c>
      <c r="G2007" t="s">
        <v>3009</v>
      </c>
      <c r="H2007" t="s">
        <v>3010</v>
      </c>
      <c r="I2007" t="s">
        <v>3528</v>
      </c>
      <c r="J2007">
        <v>51157566361</v>
      </c>
      <c r="K2007" t="s">
        <v>3488</v>
      </c>
      <c r="L2007" t="s">
        <v>3721</v>
      </c>
      <c r="M2007">
        <v>43560</v>
      </c>
      <c r="N2007" s="10">
        <v>0.48799999999999999</v>
      </c>
      <c r="O2007" s="10">
        <f t="shared" si="190"/>
        <v>21257.279999999999</v>
      </c>
      <c r="P2007" s="10" t="s">
        <v>5006</v>
      </c>
      <c r="Q2007" s="10" t="s">
        <v>5006</v>
      </c>
      <c r="R2007" s="10" t="str">
        <f>IF(COUNTIF($J$2:J2007,J2007)=1,SUMIFS($O:$O,$J:$J,J2007)+SUMIFS($P:$P,$J:$J,J2007)+SUMIFS($Q:$Q,$J:$J,J2007),"")</f>
        <v/>
      </c>
      <c r="S2007" s="10" t="s">
        <v>5006</v>
      </c>
      <c r="T2007" s="11" t="str">
        <f t="shared" si="193"/>
        <v>Check</v>
      </c>
      <c r="U2007" s="12">
        <v>46133</v>
      </c>
      <c r="V2007" s="10">
        <v>158.76</v>
      </c>
      <c r="W2007" s="10" t="str">
        <f t="shared" si="191"/>
        <v>N/A</v>
      </c>
      <c r="X2007" t="s">
        <v>470</v>
      </c>
      <c r="Y2007" t="s">
        <v>28</v>
      </c>
      <c r="Z2007">
        <v>100278</v>
      </c>
      <c r="AA2007" t="s">
        <v>3114</v>
      </c>
      <c r="AB2007" t="s">
        <v>523</v>
      </c>
      <c r="AC2007" s="9">
        <v>10</v>
      </c>
      <c r="AD2007" s="9" t="str">
        <f t="shared" si="192"/>
        <v>N/A</v>
      </c>
      <c r="AE2007" s="11" t="e">
        <f t="shared" si="194"/>
        <v>#VALUE!</v>
      </c>
    </row>
    <row r="2008" spans="1:31" x14ac:dyDescent="0.3">
      <c r="A2008">
        <v>8</v>
      </c>
      <c r="B2008">
        <v>4919305</v>
      </c>
      <c r="C2008" t="s">
        <v>220</v>
      </c>
      <c r="D2008">
        <v>1125734</v>
      </c>
      <c r="E2008" t="s">
        <v>532</v>
      </c>
      <c r="F2008" t="s">
        <v>18</v>
      </c>
      <c r="G2008" t="s">
        <v>3009</v>
      </c>
      <c r="H2008" t="s">
        <v>3010</v>
      </c>
      <c r="I2008" t="s">
        <v>3528</v>
      </c>
      <c r="J2008">
        <v>51157566361</v>
      </c>
      <c r="K2008" t="s">
        <v>3479</v>
      </c>
      <c r="L2008" t="s">
        <v>3880</v>
      </c>
      <c r="M2008">
        <v>30000</v>
      </c>
      <c r="N2008" s="10">
        <v>2.0799999999999998E-3</v>
      </c>
      <c r="O2008" s="10">
        <f t="shared" si="190"/>
        <v>62.399999999999991</v>
      </c>
      <c r="P2008" s="10" t="s">
        <v>5006</v>
      </c>
      <c r="Q2008" s="10" t="s">
        <v>5006</v>
      </c>
      <c r="R2008" s="10" t="str">
        <f>IF(COUNTIF($J$2:J2008,J2008)=1,SUMIFS($O:$O,$J:$J,J2008)+SUMIFS($P:$P,$J:$J,J2008)+SUMIFS($Q:$Q,$J:$J,J2008),"")</f>
        <v/>
      </c>
      <c r="S2008" s="10" t="s">
        <v>5006</v>
      </c>
      <c r="T2008" s="11" t="str">
        <f t="shared" si="193"/>
        <v>Check</v>
      </c>
      <c r="U2008" s="12">
        <v>46133</v>
      </c>
      <c r="V2008" s="10">
        <v>158.76</v>
      </c>
      <c r="W2008" s="10" t="str">
        <f t="shared" si="191"/>
        <v>N/A</v>
      </c>
      <c r="X2008" t="s">
        <v>470</v>
      </c>
      <c r="Y2008" t="s">
        <v>28</v>
      </c>
      <c r="Z2008">
        <v>100278</v>
      </c>
      <c r="AA2008" t="s">
        <v>3114</v>
      </c>
      <c r="AB2008" t="s">
        <v>523</v>
      </c>
      <c r="AC2008" s="9">
        <v>10</v>
      </c>
      <c r="AD2008" s="9" t="str">
        <f t="shared" si="192"/>
        <v>N/A</v>
      </c>
      <c r="AE2008" s="11" t="e">
        <f t="shared" si="194"/>
        <v>#VALUE!</v>
      </c>
    </row>
    <row r="2009" spans="1:31" x14ac:dyDescent="0.3">
      <c r="A2009">
        <v>7</v>
      </c>
      <c r="B2009">
        <v>4930436</v>
      </c>
      <c r="C2009" t="s">
        <v>239</v>
      </c>
      <c r="D2009">
        <v>1090464</v>
      </c>
      <c r="E2009" t="s">
        <v>745</v>
      </c>
      <c r="F2009" t="s">
        <v>24</v>
      </c>
      <c r="G2009" t="s">
        <v>1770</v>
      </c>
      <c r="H2009" t="s">
        <v>1771</v>
      </c>
      <c r="I2009" t="s">
        <v>3476</v>
      </c>
      <c r="J2009">
        <v>51157598741</v>
      </c>
      <c r="K2009" t="s">
        <v>3203</v>
      </c>
      <c r="L2009" t="s">
        <v>3583</v>
      </c>
      <c r="M2009">
        <v>13225</v>
      </c>
      <c r="N2009" s="10">
        <v>9.7530000000000006E-2</v>
      </c>
      <c r="O2009" s="10">
        <f t="shared" si="190"/>
        <v>1289.8342500000001</v>
      </c>
      <c r="P2009" s="10">
        <v>0</v>
      </c>
      <c r="Q2009" s="10">
        <v>0</v>
      </c>
      <c r="R2009" s="10">
        <f>IF(COUNTIF($J$2:J2009,J2009)=1,SUMIFS($O:$O,$J:$J,J2009)+SUMIFS($P:$P,$J:$J,J2009)+SUMIFS($Q:$Q,$J:$J,J2009),"")</f>
        <v>14690.60425</v>
      </c>
      <c r="S2009" s="10">
        <v>14690.61</v>
      </c>
      <c r="T2009" s="11" t="str">
        <f t="shared" si="193"/>
        <v>Check</v>
      </c>
      <c r="U2009" s="12">
        <v>46130</v>
      </c>
      <c r="V2009" s="10">
        <v>2386.0700000000002</v>
      </c>
      <c r="W2009" s="10" t="str">
        <f t="shared" si="191"/>
        <v>Short Paid</v>
      </c>
      <c r="X2009" t="s">
        <v>476</v>
      </c>
      <c r="Y2009" t="s">
        <v>40</v>
      </c>
      <c r="Z2009">
        <v>100185</v>
      </c>
      <c r="AA2009" t="s">
        <v>3153</v>
      </c>
      <c r="AB2009" t="s">
        <v>522</v>
      </c>
      <c r="AC2009" s="9">
        <v>2</v>
      </c>
      <c r="AD2009" s="9" t="str">
        <f t="shared" si="192"/>
        <v>Check</v>
      </c>
      <c r="AE2009" s="11">
        <f t="shared" si="194"/>
        <v>-5.7500000002619345E-3</v>
      </c>
    </row>
    <row r="2010" spans="1:31" x14ac:dyDescent="0.3">
      <c r="A2010">
        <v>7</v>
      </c>
      <c r="B2010">
        <v>4930436</v>
      </c>
      <c r="C2010" t="s">
        <v>239</v>
      </c>
      <c r="D2010">
        <v>1090464</v>
      </c>
      <c r="E2010" t="s">
        <v>745</v>
      </c>
      <c r="F2010" t="s">
        <v>24</v>
      </c>
      <c r="G2010" t="s">
        <v>1770</v>
      </c>
      <c r="H2010" t="s">
        <v>1771</v>
      </c>
      <c r="I2010" t="s">
        <v>3484</v>
      </c>
      <c r="J2010">
        <v>51157598741</v>
      </c>
      <c r="K2010" t="s">
        <v>3201</v>
      </c>
      <c r="L2010" t="s">
        <v>4620</v>
      </c>
      <c r="M2010">
        <v>790</v>
      </c>
      <c r="N2010" s="10">
        <v>16.963000000000001</v>
      </c>
      <c r="O2010" s="10">
        <f t="shared" si="190"/>
        <v>13400.77</v>
      </c>
      <c r="P2010" s="10" t="s">
        <v>5006</v>
      </c>
      <c r="Q2010" s="10" t="s">
        <v>5006</v>
      </c>
      <c r="R2010" s="10" t="str">
        <f>IF(COUNTIF($J$2:J2010,J2010)=1,SUMIFS($O:$O,$J:$J,J2010)+SUMIFS($P:$P,$J:$J,J2010)+SUMIFS($Q:$Q,$J:$J,J2010),"")</f>
        <v/>
      </c>
      <c r="S2010" s="10" t="s">
        <v>5006</v>
      </c>
      <c r="T2010" s="11" t="str">
        <f t="shared" si="193"/>
        <v>Check</v>
      </c>
      <c r="U2010" s="12">
        <v>46130</v>
      </c>
      <c r="V2010" s="10">
        <v>2386.0700000000002</v>
      </c>
      <c r="W2010" s="10" t="str">
        <f t="shared" si="191"/>
        <v>N/A</v>
      </c>
      <c r="X2010" t="s">
        <v>476</v>
      </c>
      <c r="Y2010" t="s">
        <v>40</v>
      </c>
      <c r="Z2010">
        <v>100185</v>
      </c>
      <c r="AA2010" t="s">
        <v>3153</v>
      </c>
      <c r="AB2010" t="s">
        <v>522</v>
      </c>
      <c r="AC2010" s="9">
        <v>2</v>
      </c>
      <c r="AD2010" s="9" t="str">
        <f t="shared" si="192"/>
        <v>N/A</v>
      </c>
      <c r="AE2010" s="11" t="e">
        <f t="shared" si="194"/>
        <v>#VALUE!</v>
      </c>
    </row>
    <row r="2011" spans="1:31" x14ac:dyDescent="0.3">
      <c r="A2011">
        <v>4</v>
      </c>
      <c r="B2011">
        <v>4936837</v>
      </c>
      <c r="C2011" t="s">
        <v>94</v>
      </c>
      <c r="D2011">
        <v>1830445</v>
      </c>
      <c r="E2011" t="s">
        <v>95</v>
      </c>
      <c r="F2011" t="s">
        <v>19</v>
      </c>
      <c r="G2011" t="s">
        <v>2953</v>
      </c>
      <c r="H2011" t="s">
        <v>1811</v>
      </c>
      <c r="I2011" t="s">
        <v>3357</v>
      </c>
      <c r="J2011">
        <v>51157644198</v>
      </c>
      <c r="K2011" t="s">
        <v>3259</v>
      </c>
      <c r="L2011" t="s">
        <v>4621</v>
      </c>
      <c r="M2011">
        <v>2500</v>
      </c>
      <c r="N2011" s="10">
        <v>0.90849999999999997</v>
      </c>
      <c r="O2011" s="10">
        <f t="shared" si="190"/>
        <v>2271.25</v>
      </c>
      <c r="P2011" s="10">
        <v>0</v>
      </c>
      <c r="Q2011" s="10">
        <v>215.77</v>
      </c>
      <c r="R2011" s="10">
        <f>IF(COUNTIF($J$2:J2011,J2011)=1,SUMIFS($O:$O,$J:$J,J2011)+SUMIFS($P:$P,$J:$J,J2011)+SUMIFS($Q:$Q,$J:$J,J2011),"")</f>
        <v>2637.62</v>
      </c>
      <c r="S2011" s="10">
        <v>2637.62</v>
      </c>
      <c r="T2011" s="11" t="str">
        <f t="shared" si="193"/>
        <v>Ok</v>
      </c>
      <c r="U2011" s="12">
        <v>46115</v>
      </c>
      <c r="V2011" s="10">
        <v>2487.02</v>
      </c>
      <c r="W2011" s="10" t="str">
        <f t="shared" si="191"/>
        <v>Short Paid</v>
      </c>
      <c r="X2011" t="s">
        <v>450</v>
      </c>
      <c r="Y2011" t="s">
        <v>28</v>
      </c>
      <c r="Z2011">
        <v>100127</v>
      </c>
      <c r="AA2011" t="s">
        <v>3090</v>
      </c>
      <c r="AB2011" t="s">
        <v>524</v>
      </c>
      <c r="AC2011" s="9">
        <v>2</v>
      </c>
      <c r="AD2011" s="9" t="str">
        <f t="shared" si="192"/>
        <v>Ok</v>
      </c>
      <c r="AE2011" s="11">
        <f t="shared" si="194"/>
        <v>0</v>
      </c>
    </row>
    <row r="2012" spans="1:31" x14ac:dyDescent="0.3">
      <c r="A2012">
        <v>4</v>
      </c>
      <c r="B2012">
        <v>4936837</v>
      </c>
      <c r="C2012" t="s">
        <v>94</v>
      </c>
      <c r="D2012">
        <v>1830445</v>
      </c>
      <c r="E2012" t="s">
        <v>95</v>
      </c>
      <c r="F2012" t="s">
        <v>19</v>
      </c>
      <c r="G2012" t="s">
        <v>2953</v>
      </c>
      <c r="H2012" t="s">
        <v>1811</v>
      </c>
      <c r="I2012" t="s">
        <v>3202</v>
      </c>
      <c r="J2012">
        <v>51157644198</v>
      </c>
      <c r="K2012" t="s">
        <v>3209</v>
      </c>
      <c r="L2012" t="s">
        <v>3552</v>
      </c>
      <c r="M2012">
        <v>10000</v>
      </c>
      <c r="N2012" s="10">
        <v>1.506E-2</v>
      </c>
      <c r="O2012" s="10">
        <f t="shared" si="190"/>
        <v>150.6</v>
      </c>
      <c r="P2012" s="10" t="s">
        <v>5006</v>
      </c>
      <c r="Q2012" s="10" t="s">
        <v>5006</v>
      </c>
      <c r="R2012" s="10" t="str">
        <f>IF(COUNTIF($J$2:J2012,J2012)=1,SUMIFS($O:$O,$J:$J,J2012)+SUMIFS($P:$P,$J:$J,J2012)+SUMIFS($Q:$Q,$J:$J,J2012),"")</f>
        <v/>
      </c>
      <c r="S2012" s="10" t="s">
        <v>5006</v>
      </c>
      <c r="T2012" s="11" t="str">
        <f t="shared" si="193"/>
        <v>Ok</v>
      </c>
      <c r="U2012" s="12">
        <v>46115</v>
      </c>
      <c r="V2012" s="10">
        <v>2487.02</v>
      </c>
      <c r="W2012" s="10" t="str">
        <f t="shared" si="191"/>
        <v>N/A</v>
      </c>
      <c r="X2012" t="s">
        <v>450</v>
      </c>
      <c r="Y2012" t="s">
        <v>28</v>
      </c>
      <c r="Z2012">
        <v>100127</v>
      </c>
      <c r="AA2012" t="s">
        <v>3090</v>
      </c>
      <c r="AB2012" t="s">
        <v>524</v>
      </c>
      <c r="AC2012" s="9">
        <v>2</v>
      </c>
      <c r="AD2012" s="9" t="str">
        <f t="shared" si="192"/>
        <v>N/A</v>
      </c>
      <c r="AE2012" s="11" t="e">
        <f t="shared" si="194"/>
        <v>#VALUE!</v>
      </c>
    </row>
    <row r="2013" spans="1:31" x14ac:dyDescent="0.3">
      <c r="A2013">
        <v>4</v>
      </c>
      <c r="B2013">
        <v>4944350</v>
      </c>
      <c r="C2013" t="s">
        <v>94</v>
      </c>
      <c r="D2013">
        <v>1292196</v>
      </c>
      <c r="E2013" t="s">
        <v>593</v>
      </c>
      <c r="F2013" t="s">
        <v>25</v>
      </c>
      <c r="G2013" t="s">
        <v>1828</v>
      </c>
      <c r="H2013" t="s">
        <v>1829</v>
      </c>
      <c r="I2013" t="s">
        <v>3347</v>
      </c>
      <c r="J2013">
        <v>51157809511</v>
      </c>
      <c r="K2013" t="s">
        <v>3226</v>
      </c>
      <c r="L2013" t="s">
        <v>4622</v>
      </c>
      <c r="M2013">
        <v>1</v>
      </c>
      <c r="N2013" s="10">
        <v>8448</v>
      </c>
      <c r="O2013" s="10">
        <f t="shared" si="190"/>
        <v>8448</v>
      </c>
      <c r="P2013" s="10">
        <v>72.760000000000005</v>
      </c>
      <c r="Q2013" s="10" t="s">
        <v>5006</v>
      </c>
      <c r="R2013" s="10">
        <f>IF(COUNTIF($J$2:J2013,J2013)=1,SUMIFS($O:$O,$J:$J,J2013)+SUMIFS($P:$P,$J:$J,J2013)+SUMIFS($Q:$Q,$J:$J,J2013),"")</f>
        <v>9860.77</v>
      </c>
      <c r="S2013" s="10">
        <v>9860.77</v>
      </c>
      <c r="T2013" s="11" t="str">
        <f t="shared" si="193"/>
        <v>Ok</v>
      </c>
      <c r="U2013" s="12">
        <v>45860</v>
      </c>
      <c r="V2013" s="10">
        <v>1412.77</v>
      </c>
      <c r="W2013" s="10" t="str">
        <f t="shared" si="191"/>
        <v>Short Paid</v>
      </c>
      <c r="X2013" t="s">
        <v>450</v>
      </c>
      <c r="Y2013" t="s">
        <v>28</v>
      </c>
      <c r="Z2013">
        <v>100277</v>
      </c>
      <c r="AA2013" t="s">
        <v>467</v>
      </c>
      <c r="AB2013" t="s">
        <v>525</v>
      </c>
      <c r="AC2013" s="9">
        <v>2</v>
      </c>
      <c r="AD2013" s="9" t="str">
        <f t="shared" si="192"/>
        <v>Ok</v>
      </c>
      <c r="AE2013" s="11">
        <f t="shared" si="194"/>
        <v>0</v>
      </c>
    </row>
    <row r="2014" spans="1:31" x14ac:dyDescent="0.3">
      <c r="A2014">
        <v>4</v>
      </c>
      <c r="B2014">
        <v>4944350</v>
      </c>
      <c r="C2014" t="s">
        <v>94</v>
      </c>
      <c r="D2014">
        <v>1292196</v>
      </c>
      <c r="E2014" t="s">
        <v>593</v>
      </c>
      <c r="F2014" t="s">
        <v>25</v>
      </c>
      <c r="G2014" t="s">
        <v>1828</v>
      </c>
      <c r="H2014" t="s">
        <v>1829</v>
      </c>
      <c r="I2014" t="s">
        <v>3424</v>
      </c>
      <c r="J2014">
        <v>51157809511</v>
      </c>
      <c r="K2014" t="s">
        <v>4624</v>
      </c>
      <c r="L2014" t="s">
        <v>4623</v>
      </c>
      <c r="M2014">
        <v>3</v>
      </c>
      <c r="N2014" s="10">
        <v>446.67</v>
      </c>
      <c r="O2014" s="10">
        <f t="shared" si="190"/>
        <v>1340.01</v>
      </c>
      <c r="P2014" s="10" t="s">
        <v>5006</v>
      </c>
      <c r="Q2014" s="10" t="s">
        <v>5006</v>
      </c>
      <c r="R2014" s="10" t="str">
        <f>IF(COUNTIF($J$2:J2014,J2014)=1,SUMIFS($O:$O,$J:$J,J2014)+SUMIFS($P:$P,$J:$J,J2014)+SUMIFS($Q:$Q,$J:$J,J2014),"")</f>
        <v/>
      </c>
      <c r="S2014" s="10" t="s">
        <v>5006</v>
      </c>
      <c r="T2014" s="11" t="str">
        <f t="shared" si="193"/>
        <v>Ok</v>
      </c>
      <c r="U2014" s="12">
        <v>45860</v>
      </c>
      <c r="V2014" s="10">
        <v>1412.77</v>
      </c>
      <c r="W2014" s="10" t="str">
        <f t="shared" si="191"/>
        <v>N/A</v>
      </c>
      <c r="X2014" t="s">
        <v>450</v>
      </c>
      <c r="Y2014" t="s">
        <v>28</v>
      </c>
      <c r="Z2014">
        <v>100277</v>
      </c>
      <c r="AA2014" t="s">
        <v>467</v>
      </c>
      <c r="AB2014" t="s">
        <v>525</v>
      </c>
      <c r="AC2014" s="9">
        <v>2</v>
      </c>
      <c r="AD2014" s="9" t="str">
        <f t="shared" si="192"/>
        <v>N/A</v>
      </c>
      <c r="AE2014" s="11" t="e">
        <f t="shared" si="194"/>
        <v>#VALUE!</v>
      </c>
    </row>
    <row r="2015" spans="1:31" x14ac:dyDescent="0.3">
      <c r="A2015">
        <v>7</v>
      </c>
      <c r="B2015">
        <v>4924870</v>
      </c>
      <c r="C2015" t="s">
        <v>167</v>
      </c>
      <c r="D2015">
        <v>1212379</v>
      </c>
      <c r="E2015" t="s">
        <v>535</v>
      </c>
      <c r="F2015" t="s">
        <v>3809</v>
      </c>
      <c r="G2015" t="s">
        <v>1762</v>
      </c>
      <c r="H2015" t="s">
        <v>1763</v>
      </c>
      <c r="I2015" t="s">
        <v>3408</v>
      </c>
      <c r="J2015">
        <v>51157896041</v>
      </c>
      <c r="K2015" t="s">
        <v>3209</v>
      </c>
      <c r="L2015" t="s">
        <v>4625</v>
      </c>
      <c r="M2015">
        <v>1000</v>
      </c>
      <c r="N2015" s="10">
        <v>13.29</v>
      </c>
      <c r="O2015" s="10">
        <f t="shared" si="190"/>
        <v>13290</v>
      </c>
      <c r="P2015" s="10">
        <v>0</v>
      </c>
      <c r="Q2015" s="10">
        <v>0</v>
      </c>
      <c r="R2015" s="10">
        <f>IF(COUNTIF($J$2:J2015,J2015)=1,SUMIFS($O:$O,$J:$J,J2015)+SUMIFS($P:$P,$J:$J,J2015)+SUMIFS($Q:$Q,$J:$J,J2015),"")</f>
        <v>13540</v>
      </c>
      <c r="S2015" s="10">
        <v>13830</v>
      </c>
      <c r="T2015" s="11" t="str">
        <f t="shared" si="193"/>
        <v>Check</v>
      </c>
      <c r="U2015" s="12">
        <v>46184</v>
      </c>
      <c r="V2015" s="10">
        <v>21733</v>
      </c>
      <c r="W2015" s="10" t="str">
        <f t="shared" si="191"/>
        <v>Short Paid</v>
      </c>
      <c r="X2015" t="s">
        <v>455</v>
      </c>
      <c r="Y2015" t="s">
        <v>40</v>
      </c>
      <c r="Z2015">
        <v>100100</v>
      </c>
      <c r="AA2015" t="s">
        <v>3055</v>
      </c>
      <c r="AB2015" t="s">
        <v>3810</v>
      </c>
      <c r="AC2015" s="9">
        <v>2</v>
      </c>
      <c r="AD2015" s="9" t="str">
        <f t="shared" si="192"/>
        <v>Check</v>
      </c>
      <c r="AE2015" s="11">
        <f t="shared" si="194"/>
        <v>-290</v>
      </c>
    </row>
    <row r="2016" spans="1:31" x14ac:dyDescent="0.3">
      <c r="A2016">
        <v>7</v>
      </c>
      <c r="B2016">
        <v>4924870</v>
      </c>
      <c r="C2016" t="s">
        <v>167</v>
      </c>
      <c r="D2016">
        <v>1212379</v>
      </c>
      <c r="E2016" t="s">
        <v>535</v>
      </c>
      <c r="F2016" t="s">
        <v>3809</v>
      </c>
      <c r="G2016" t="s">
        <v>1762</v>
      </c>
      <c r="H2016" t="s">
        <v>1763</v>
      </c>
      <c r="I2016" t="s">
        <v>3408</v>
      </c>
      <c r="J2016">
        <v>51157896041</v>
      </c>
      <c r="K2016" t="s">
        <v>3209</v>
      </c>
      <c r="L2016" t="s">
        <v>4626</v>
      </c>
      <c r="M2016">
        <v>1</v>
      </c>
      <c r="N2016" s="10">
        <v>250</v>
      </c>
      <c r="O2016" s="10">
        <f t="shared" si="190"/>
        <v>250</v>
      </c>
      <c r="P2016" s="10" t="s">
        <v>5006</v>
      </c>
      <c r="Q2016" s="10" t="s">
        <v>5006</v>
      </c>
      <c r="R2016" s="10" t="str">
        <f>IF(COUNTIF($J$2:J2016,J2016)=1,SUMIFS($O:$O,$J:$J,J2016)+SUMIFS($P:$P,$J:$J,J2016)+SUMIFS($Q:$Q,$J:$J,J2016),"")</f>
        <v/>
      </c>
      <c r="S2016" s="10" t="s">
        <v>5006</v>
      </c>
      <c r="T2016" s="11" t="str">
        <f t="shared" si="193"/>
        <v>Check</v>
      </c>
      <c r="U2016" s="12">
        <v>46184</v>
      </c>
      <c r="V2016" s="10">
        <v>21733</v>
      </c>
      <c r="W2016" s="10" t="str">
        <f t="shared" si="191"/>
        <v>N/A</v>
      </c>
      <c r="X2016" t="s">
        <v>455</v>
      </c>
      <c r="Y2016" t="s">
        <v>40</v>
      </c>
      <c r="Z2016">
        <v>100100</v>
      </c>
      <c r="AA2016" t="s">
        <v>3055</v>
      </c>
      <c r="AB2016" t="s">
        <v>3810</v>
      </c>
      <c r="AC2016" s="9">
        <v>2</v>
      </c>
      <c r="AD2016" s="9" t="str">
        <f t="shared" si="192"/>
        <v>N/A</v>
      </c>
      <c r="AE2016" s="11" t="e">
        <f t="shared" si="194"/>
        <v>#VALUE!</v>
      </c>
    </row>
    <row r="2017" spans="1:31" x14ac:dyDescent="0.3">
      <c r="A2017">
        <v>7</v>
      </c>
      <c r="B2017">
        <v>4929045</v>
      </c>
      <c r="C2017" t="s">
        <v>94</v>
      </c>
      <c r="D2017">
        <v>1449770</v>
      </c>
      <c r="E2017" t="s">
        <v>560</v>
      </c>
      <c r="F2017" t="s">
        <v>47</v>
      </c>
      <c r="G2017" t="s">
        <v>1784</v>
      </c>
      <c r="H2017" t="s">
        <v>1785</v>
      </c>
      <c r="I2017" t="s">
        <v>3542</v>
      </c>
      <c r="J2017">
        <v>51157900966</v>
      </c>
      <c r="K2017" t="s">
        <v>3537</v>
      </c>
      <c r="L2017" t="s">
        <v>3728</v>
      </c>
      <c r="M2017">
        <v>4000</v>
      </c>
      <c r="N2017" s="10">
        <v>0.29099999999999998</v>
      </c>
      <c r="O2017" s="10">
        <f t="shared" si="190"/>
        <v>1164</v>
      </c>
      <c r="P2017" s="10">
        <v>0</v>
      </c>
      <c r="Q2017" s="10">
        <v>110.58</v>
      </c>
      <c r="R2017" s="10">
        <f>IF(COUNTIF($J$2:J2017,J2017)=1,SUMIFS($O:$O,$J:$J,J2017)+SUMIFS($P:$P,$J:$J,J2017)+SUMIFS($Q:$Q,$J:$J,J2017),"")</f>
        <v>5870.6799999999994</v>
      </c>
      <c r="S2017" s="10">
        <v>5870.68</v>
      </c>
      <c r="T2017" s="11" t="str">
        <f t="shared" si="193"/>
        <v>Ok</v>
      </c>
      <c r="U2017" s="12">
        <v>46113</v>
      </c>
      <c r="V2017" s="10">
        <v>1274.58</v>
      </c>
      <c r="W2017" s="10" t="str">
        <f t="shared" si="191"/>
        <v>Short Paid</v>
      </c>
      <c r="X2017" t="s">
        <v>450</v>
      </c>
      <c r="Y2017" t="s">
        <v>28</v>
      </c>
      <c r="Z2017">
        <v>100167</v>
      </c>
      <c r="AA2017" t="s">
        <v>499</v>
      </c>
      <c r="AB2017" t="s">
        <v>3039</v>
      </c>
      <c r="AC2017" s="9">
        <v>2</v>
      </c>
      <c r="AD2017" s="9" t="str">
        <f t="shared" si="192"/>
        <v>Ok</v>
      </c>
      <c r="AE2017" s="11">
        <f t="shared" si="194"/>
        <v>0</v>
      </c>
    </row>
    <row r="2018" spans="1:31" x14ac:dyDescent="0.3">
      <c r="A2018">
        <v>7</v>
      </c>
      <c r="B2018">
        <v>4929045</v>
      </c>
      <c r="C2018" t="s">
        <v>94</v>
      </c>
      <c r="D2018">
        <v>1449770</v>
      </c>
      <c r="E2018" t="s">
        <v>560</v>
      </c>
      <c r="F2018" t="s">
        <v>47</v>
      </c>
      <c r="G2018" t="s">
        <v>1784</v>
      </c>
      <c r="H2018" t="s">
        <v>1785</v>
      </c>
      <c r="I2018" t="s">
        <v>3439</v>
      </c>
      <c r="J2018">
        <v>51157900966</v>
      </c>
      <c r="K2018" t="s">
        <v>3171</v>
      </c>
      <c r="L2018" t="s">
        <v>4061</v>
      </c>
      <c r="M2018">
        <v>250</v>
      </c>
      <c r="N2018" s="10">
        <v>18.384399999999999</v>
      </c>
      <c r="O2018" s="10">
        <f t="shared" si="190"/>
        <v>4596.0999999999995</v>
      </c>
      <c r="P2018" s="10" t="s">
        <v>5006</v>
      </c>
      <c r="Q2018" s="10" t="s">
        <v>5006</v>
      </c>
      <c r="R2018" s="10" t="str">
        <f>IF(COUNTIF($J$2:J2018,J2018)=1,SUMIFS($O:$O,$J:$J,J2018)+SUMIFS($P:$P,$J:$J,J2018)+SUMIFS($Q:$Q,$J:$J,J2018),"")</f>
        <v/>
      </c>
      <c r="S2018" s="10" t="s">
        <v>5006</v>
      </c>
      <c r="T2018" s="11" t="str">
        <f t="shared" si="193"/>
        <v>Ok</v>
      </c>
      <c r="U2018" s="12">
        <v>46113</v>
      </c>
      <c r="V2018" s="10">
        <v>1274.58</v>
      </c>
      <c r="W2018" s="10" t="str">
        <f t="shared" si="191"/>
        <v>N/A</v>
      </c>
      <c r="X2018" t="s">
        <v>450</v>
      </c>
      <c r="Y2018" t="s">
        <v>28</v>
      </c>
      <c r="Z2018">
        <v>100167</v>
      </c>
      <c r="AA2018" t="s">
        <v>499</v>
      </c>
      <c r="AB2018" t="s">
        <v>3039</v>
      </c>
      <c r="AC2018" s="9">
        <v>2</v>
      </c>
      <c r="AD2018" s="9" t="str">
        <f t="shared" si="192"/>
        <v>N/A</v>
      </c>
      <c r="AE2018" s="11" t="e">
        <f t="shared" si="194"/>
        <v>#VALUE!</v>
      </c>
    </row>
    <row r="2019" spans="1:31" x14ac:dyDescent="0.3">
      <c r="A2019">
        <v>7</v>
      </c>
      <c r="B2019">
        <v>4929601</v>
      </c>
      <c r="C2019" t="s">
        <v>94</v>
      </c>
      <c r="D2019">
        <v>1449770</v>
      </c>
      <c r="E2019" t="s">
        <v>560</v>
      </c>
      <c r="F2019" t="s">
        <v>47</v>
      </c>
      <c r="G2019" t="s">
        <v>1786</v>
      </c>
      <c r="H2019" t="s">
        <v>1787</v>
      </c>
      <c r="I2019" t="s">
        <v>3224</v>
      </c>
      <c r="J2019">
        <v>51157973414</v>
      </c>
      <c r="K2019" t="s">
        <v>3252</v>
      </c>
      <c r="L2019" t="s">
        <v>3791</v>
      </c>
      <c r="M2019">
        <v>2000</v>
      </c>
      <c r="N2019" s="10">
        <v>0.217</v>
      </c>
      <c r="O2019" s="10">
        <f t="shared" si="190"/>
        <v>434</v>
      </c>
      <c r="P2019" s="10">
        <v>0</v>
      </c>
      <c r="Q2019" s="10">
        <v>41.23</v>
      </c>
      <c r="R2019" s="10">
        <f>IF(COUNTIF($J$2:J2019,J2019)=1,SUMIFS($O:$O,$J:$J,J2019)+SUMIFS($P:$P,$J:$J,J2019)+SUMIFS($Q:$Q,$J:$J,J2019),"")</f>
        <v>974.73</v>
      </c>
      <c r="S2019" s="10">
        <v>974.73</v>
      </c>
      <c r="T2019" s="11" t="str">
        <f t="shared" si="193"/>
        <v>Ok</v>
      </c>
      <c r="U2019" s="12">
        <v>46128</v>
      </c>
      <c r="V2019" s="10">
        <v>475.23</v>
      </c>
      <c r="W2019" s="10" t="str">
        <f t="shared" si="191"/>
        <v>Short Paid</v>
      </c>
      <c r="X2019" t="s">
        <v>450</v>
      </c>
      <c r="Y2019" t="s">
        <v>28</v>
      </c>
      <c r="Z2019">
        <v>100207</v>
      </c>
      <c r="AA2019" t="s">
        <v>519</v>
      </c>
      <c r="AB2019" t="s">
        <v>3039</v>
      </c>
      <c r="AC2019" s="9">
        <v>2</v>
      </c>
      <c r="AD2019" s="9" t="str">
        <f t="shared" si="192"/>
        <v>Ok</v>
      </c>
      <c r="AE2019" s="11">
        <f t="shared" si="194"/>
        <v>0</v>
      </c>
    </row>
    <row r="2020" spans="1:31" x14ac:dyDescent="0.3">
      <c r="A2020">
        <v>7</v>
      </c>
      <c r="B2020">
        <v>4929601</v>
      </c>
      <c r="C2020" t="s">
        <v>94</v>
      </c>
      <c r="D2020">
        <v>1449770</v>
      </c>
      <c r="E2020" t="s">
        <v>560</v>
      </c>
      <c r="F2020" t="s">
        <v>47</v>
      </c>
      <c r="G2020" t="s">
        <v>1786</v>
      </c>
      <c r="H2020" t="s">
        <v>1787</v>
      </c>
      <c r="I2020" t="s">
        <v>3381</v>
      </c>
      <c r="J2020">
        <v>51157973414</v>
      </c>
      <c r="K2020" t="s">
        <v>3168</v>
      </c>
      <c r="L2020" t="s">
        <v>3348</v>
      </c>
      <c r="M2020">
        <v>45000</v>
      </c>
      <c r="N2020" s="10">
        <v>1.11E-2</v>
      </c>
      <c r="O2020" s="10">
        <f t="shared" si="190"/>
        <v>499.5</v>
      </c>
      <c r="P2020" s="10" t="s">
        <v>5006</v>
      </c>
      <c r="Q2020" s="10" t="s">
        <v>5006</v>
      </c>
      <c r="R2020" s="10" t="str">
        <f>IF(COUNTIF($J$2:J2020,J2020)=1,SUMIFS($O:$O,$J:$J,J2020)+SUMIFS($P:$P,$J:$J,J2020)+SUMIFS($Q:$Q,$J:$J,J2020),"")</f>
        <v/>
      </c>
      <c r="S2020" s="10" t="s">
        <v>5006</v>
      </c>
      <c r="T2020" s="11" t="str">
        <f t="shared" si="193"/>
        <v>Ok</v>
      </c>
      <c r="U2020" s="12">
        <v>46128</v>
      </c>
      <c r="V2020" s="10">
        <v>475.23</v>
      </c>
      <c r="W2020" s="10" t="str">
        <f t="shared" si="191"/>
        <v>N/A</v>
      </c>
      <c r="X2020" t="s">
        <v>450</v>
      </c>
      <c r="Y2020" t="s">
        <v>28</v>
      </c>
      <c r="Z2020">
        <v>100207</v>
      </c>
      <c r="AA2020" t="s">
        <v>519</v>
      </c>
      <c r="AB2020" t="s">
        <v>3039</v>
      </c>
      <c r="AC2020" s="9">
        <v>2</v>
      </c>
      <c r="AD2020" s="9" t="str">
        <f t="shared" si="192"/>
        <v>N/A</v>
      </c>
      <c r="AE2020" s="11" t="e">
        <f t="shared" si="194"/>
        <v>#VALUE!</v>
      </c>
    </row>
    <row r="2021" spans="1:31" x14ac:dyDescent="0.3">
      <c r="A2021">
        <v>7</v>
      </c>
      <c r="B2021">
        <v>4925427</v>
      </c>
      <c r="C2021" t="s">
        <v>167</v>
      </c>
      <c r="D2021">
        <v>1212379</v>
      </c>
      <c r="E2021" t="s">
        <v>535</v>
      </c>
      <c r="F2021" t="s">
        <v>3809</v>
      </c>
      <c r="G2021" t="s">
        <v>1764</v>
      </c>
      <c r="H2021" t="s">
        <v>1765</v>
      </c>
      <c r="I2021" t="s">
        <v>3432</v>
      </c>
      <c r="J2021">
        <v>51157989229</v>
      </c>
      <c r="K2021" t="s">
        <v>3379</v>
      </c>
      <c r="L2021" t="s">
        <v>4627</v>
      </c>
      <c r="M2021">
        <v>1000</v>
      </c>
      <c r="N2021" s="10">
        <v>0.29025000000000001</v>
      </c>
      <c r="O2021" s="10">
        <f t="shared" si="190"/>
        <v>290.25</v>
      </c>
      <c r="P2021" s="10">
        <v>0</v>
      </c>
      <c r="Q2021" s="10">
        <v>0</v>
      </c>
      <c r="R2021" s="10">
        <f>IF(COUNTIF($J$2:J2021,J2021)=1,SUMIFS($O:$O,$J:$J,J2021)+SUMIFS($P:$P,$J:$J,J2021)+SUMIFS($Q:$Q,$J:$J,J2021),"")</f>
        <v>1080.6500000000001</v>
      </c>
      <c r="S2021" s="10">
        <v>1080.6500000000001</v>
      </c>
      <c r="T2021" s="11" t="str">
        <f t="shared" si="193"/>
        <v>Ok</v>
      </c>
      <c r="U2021" s="12">
        <v>46184</v>
      </c>
      <c r="V2021" s="10">
        <v>595840</v>
      </c>
      <c r="W2021" s="10" t="str">
        <f t="shared" si="191"/>
        <v>Short Paid</v>
      </c>
      <c r="X2021" t="s">
        <v>455</v>
      </c>
      <c r="Y2021" t="s">
        <v>40</v>
      </c>
      <c r="Z2021">
        <v>100180</v>
      </c>
      <c r="AA2021" t="s">
        <v>3049</v>
      </c>
      <c r="AB2021" t="s">
        <v>3810</v>
      </c>
      <c r="AC2021" s="9">
        <v>4</v>
      </c>
      <c r="AD2021" s="9" t="str">
        <f t="shared" si="192"/>
        <v>Ok</v>
      </c>
      <c r="AE2021" s="11">
        <f t="shared" si="194"/>
        <v>0</v>
      </c>
    </row>
    <row r="2022" spans="1:31" x14ac:dyDescent="0.3">
      <c r="A2022">
        <v>7</v>
      </c>
      <c r="B2022">
        <v>4925427</v>
      </c>
      <c r="C2022" t="s">
        <v>167</v>
      </c>
      <c r="D2022">
        <v>1212379</v>
      </c>
      <c r="E2022" t="s">
        <v>535</v>
      </c>
      <c r="F2022" t="s">
        <v>3809</v>
      </c>
      <c r="G2022" t="s">
        <v>1764</v>
      </c>
      <c r="H2022" t="s">
        <v>1765</v>
      </c>
      <c r="I2022" t="s">
        <v>3432</v>
      </c>
      <c r="J2022">
        <v>51157989229</v>
      </c>
      <c r="K2022" t="s">
        <v>3379</v>
      </c>
      <c r="L2022" t="s">
        <v>4628</v>
      </c>
      <c r="M2022">
        <v>12000</v>
      </c>
      <c r="N2022" s="10">
        <v>6.1999999999999998E-3</v>
      </c>
      <c r="O2022" s="10">
        <f t="shared" si="190"/>
        <v>74.399999999999991</v>
      </c>
      <c r="P2022" s="10" t="s">
        <v>5006</v>
      </c>
      <c r="Q2022" s="10" t="s">
        <v>5006</v>
      </c>
      <c r="R2022" s="10" t="str">
        <f>IF(COUNTIF($J$2:J2022,J2022)=1,SUMIFS($O:$O,$J:$J,J2022)+SUMIFS($P:$P,$J:$J,J2022)+SUMIFS($Q:$Q,$J:$J,J2022),"")</f>
        <v/>
      </c>
      <c r="S2022" s="10" t="s">
        <v>5006</v>
      </c>
      <c r="T2022" s="11" t="str">
        <f t="shared" si="193"/>
        <v>Ok</v>
      </c>
      <c r="U2022" s="12">
        <v>46184</v>
      </c>
      <c r="V2022" s="10">
        <v>595840</v>
      </c>
      <c r="W2022" s="10" t="str">
        <f t="shared" si="191"/>
        <v>N/A</v>
      </c>
      <c r="X2022" t="s">
        <v>455</v>
      </c>
      <c r="Y2022" t="s">
        <v>40</v>
      </c>
      <c r="Z2022">
        <v>100180</v>
      </c>
      <c r="AA2022" t="s">
        <v>3049</v>
      </c>
      <c r="AB2022" t="s">
        <v>3810</v>
      </c>
      <c r="AC2022" s="9">
        <v>4</v>
      </c>
      <c r="AD2022" s="9" t="str">
        <f t="shared" si="192"/>
        <v>N/A</v>
      </c>
      <c r="AE2022" s="11" t="e">
        <f t="shared" si="194"/>
        <v>#VALUE!</v>
      </c>
    </row>
    <row r="2023" spans="1:31" x14ac:dyDescent="0.3">
      <c r="A2023">
        <v>7</v>
      </c>
      <c r="B2023">
        <v>4925427</v>
      </c>
      <c r="C2023" t="s">
        <v>167</v>
      </c>
      <c r="D2023">
        <v>1212379</v>
      </c>
      <c r="E2023" t="s">
        <v>535</v>
      </c>
      <c r="F2023" t="s">
        <v>3809</v>
      </c>
      <c r="G2023" t="s">
        <v>1764</v>
      </c>
      <c r="H2023" t="s">
        <v>1765</v>
      </c>
      <c r="I2023" t="s">
        <v>3432</v>
      </c>
      <c r="J2023">
        <v>51157989229</v>
      </c>
      <c r="K2023" t="s">
        <v>3379</v>
      </c>
      <c r="L2023" t="s">
        <v>4629</v>
      </c>
      <c r="M2023">
        <v>6000</v>
      </c>
      <c r="N2023" s="10">
        <v>0.11600000000000001</v>
      </c>
      <c r="O2023" s="10">
        <f t="shared" si="190"/>
        <v>696</v>
      </c>
      <c r="P2023" s="10" t="s">
        <v>5006</v>
      </c>
      <c r="Q2023" s="10" t="s">
        <v>5006</v>
      </c>
      <c r="R2023" s="10" t="str">
        <f>IF(COUNTIF($J$2:J2023,J2023)=1,SUMIFS($O:$O,$J:$J,J2023)+SUMIFS($P:$P,$J:$J,J2023)+SUMIFS($Q:$Q,$J:$J,J2023),"")</f>
        <v/>
      </c>
      <c r="S2023" s="10" t="s">
        <v>5006</v>
      </c>
      <c r="T2023" s="11" t="str">
        <f t="shared" si="193"/>
        <v>Ok</v>
      </c>
      <c r="U2023" s="12">
        <v>46184</v>
      </c>
      <c r="V2023" s="10">
        <v>595840</v>
      </c>
      <c r="W2023" s="10" t="str">
        <f t="shared" si="191"/>
        <v>N/A</v>
      </c>
      <c r="X2023" t="s">
        <v>455</v>
      </c>
      <c r="Y2023" t="s">
        <v>40</v>
      </c>
      <c r="Z2023">
        <v>100180</v>
      </c>
      <c r="AA2023" t="s">
        <v>3049</v>
      </c>
      <c r="AB2023" t="s">
        <v>3810</v>
      </c>
      <c r="AC2023" s="9">
        <v>4</v>
      </c>
      <c r="AD2023" s="9" t="str">
        <f t="shared" si="192"/>
        <v>N/A</v>
      </c>
      <c r="AE2023" s="11" t="e">
        <f t="shared" si="194"/>
        <v>#VALUE!</v>
      </c>
    </row>
    <row r="2024" spans="1:31" x14ac:dyDescent="0.3">
      <c r="A2024">
        <v>7</v>
      </c>
      <c r="B2024">
        <v>4925427</v>
      </c>
      <c r="C2024" t="s">
        <v>167</v>
      </c>
      <c r="D2024">
        <v>1212379</v>
      </c>
      <c r="E2024" t="s">
        <v>535</v>
      </c>
      <c r="F2024" t="s">
        <v>3809</v>
      </c>
      <c r="G2024" t="s">
        <v>1764</v>
      </c>
      <c r="H2024" t="s">
        <v>1765</v>
      </c>
      <c r="I2024" t="s">
        <v>3432</v>
      </c>
      <c r="J2024">
        <v>51157989229</v>
      </c>
      <c r="K2024" t="s">
        <v>3374</v>
      </c>
      <c r="L2024" t="s">
        <v>4630</v>
      </c>
      <c r="M2024">
        <v>20000</v>
      </c>
      <c r="N2024" s="10">
        <v>1E-3</v>
      </c>
      <c r="O2024" s="10">
        <f t="shared" si="190"/>
        <v>20</v>
      </c>
      <c r="P2024" s="10" t="s">
        <v>5006</v>
      </c>
      <c r="Q2024" s="10" t="s">
        <v>5006</v>
      </c>
      <c r="R2024" s="10" t="str">
        <f>IF(COUNTIF($J$2:J2024,J2024)=1,SUMIFS($O:$O,$J:$J,J2024)+SUMIFS($P:$P,$J:$J,J2024)+SUMIFS($Q:$Q,$J:$J,J2024),"")</f>
        <v/>
      </c>
      <c r="S2024" s="10" t="s">
        <v>5006</v>
      </c>
      <c r="T2024" s="11" t="str">
        <f t="shared" si="193"/>
        <v>Ok</v>
      </c>
      <c r="U2024" s="12">
        <v>46184</v>
      </c>
      <c r="V2024" s="10">
        <v>595840</v>
      </c>
      <c r="W2024" s="10" t="str">
        <f t="shared" si="191"/>
        <v>N/A</v>
      </c>
      <c r="X2024" t="s">
        <v>455</v>
      </c>
      <c r="Y2024" t="s">
        <v>40</v>
      </c>
      <c r="Z2024">
        <v>100180</v>
      </c>
      <c r="AA2024" t="s">
        <v>3049</v>
      </c>
      <c r="AB2024" t="s">
        <v>3810</v>
      </c>
      <c r="AC2024" s="9">
        <v>4</v>
      </c>
      <c r="AD2024" s="9" t="str">
        <f t="shared" si="192"/>
        <v>N/A</v>
      </c>
      <c r="AE2024" s="11" t="e">
        <f t="shared" si="194"/>
        <v>#VALUE!</v>
      </c>
    </row>
    <row r="2025" spans="1:31" x14ac:dyDescent="0.3">
      <c r="A2025">
        <v>7</v>
      </c>
      <c r="B2025">
        <v>4928488</v>
      </c>
      <c r="C2025" t="s">
        <v>94</v>
      </c>
      <c r="D2025">
        <v>1449770</v>
      </c>
      <c r="E2025" t="s">
        <v>560</v>
      </c>
      <c r="F2025" t="s">
        <v>47</v>
      </c>
      <c r="G2025" t="s">
        <v>1782</v>
      </c>
      <c r="H2025" t="s">
        <v>1783</v>
      </c>
      <c r="I2025" t="s">
        <v>3198</v>
      </c>
      <c r="J2025">
        <v>51158063308</v>
      </c>
      <c r="K2025" t="s">
        <v>3537</v>
      </c>
      <c r="L2025" t="s">
        <v>3728</v>
      </c>
      <c r="M2025">
        <v>2000</v>
      </c>
      <c r="N2025" s="10">
        <v>0.29099999999999998</v>
      </c>
      <c r="O2025" s="10">
        <f t="shared" si="190"/>
        <v>582</v>
      </c>
      <c r="P2025" s="10">
        <v>0</v>
      </c>
      <c r="Q2025" s="10">
        <v>55.29</v>
      </c>
      <c r="R2025" s="10">
        <f>IF(COUNTIF($J$2:J2025,J2025)=1,SUMIFS($O:$O,$J:$J,J2025)+SUMIFS($P:$P,$J:$J,J2025)+SUMIFS($Q:$Q,$J:$J,J2025),"")</f>
        <v>1909.29</v>
      </c>
      <c r="S2025" s="10">
        <v>1909.29</v>
      </c>
      <c r="T2025" s="11" t="str">
        <f t="shared" si="193"/>
        <v>Ok</v>
      </c>
      <c r="U2025" s="12">
        <v>46112</v>
      </c>
      <c r="V2025" s="10">
        <v>637.29</v>
      </c>
      <c r="W2025" s="10" t="str">
        <f t="shared" si="191"/>
        <v>Short Paid</v>
      </c>
      <c r="X2025" t="s">
        <v>450</v>
      </c>
      <c r="Y2025" t="s">
        <v>28</v>
      </c>
      <c r="Z2025">
        <v>100127</v>
      </c>
      <c r="AA2025" t="s">
        <v>3090</v>
      </c>
      <c r="AB2025" t="s">
        <v>3039</v>
      </c>
      <c r="AC2025" s="9">
        <v>2</v>
      </c>
      <c r="AD2025" s="9" t="str">
        <f t="shared" si="192"/>
        <v>Ok</v>
      </c>
      <c r="AE2025" s="11">
        <f t="shared" si="194"/>
        <v>0</v>
      </c>
    </row>
    <row r="2026" spans="1:31" x14ac:dyDescent="0.3">
      <c r="A2026">
        <v>7</v>
      </c>
      <c r="B2026">
        <v>4928488</v>
      </c>
      <c r="C2026" t="s">
        <v>94</v>
      </c>
      <c r="D2026">
        <v>1449770</v>
      </c>
      <c r="E2026" t="s">
        <v>560</v>
      </c>
      <c r="F2026" t="s">
        <v>47</v>
      </c>
      <c r="G2026" t="s">
        <v>1782</v>
      </c>
      <c r="H2026" t="s">
        <v>1783</v>
      </c>
      <c r="I2026" t="s">
        <v>3357</v>
      </c>
      <c r="J2026">
        <v>51158063308</v>
      </c>
      <c r="K2026" t="s">
        <v>3209</v>
      </c>
      <c r="L2026" t="s">
        <v>4631</v>
      </c>
      <c r="M2026">
        <v>1200</v>
      </c>
      <c r="N2026" s="10">
        <v>1.06</v>
      </c>
      <c r="O2026" s="10">
        <f t="shared" si="190"/>
        <v>1272</v>
      </c>
      <c r="P2026" s="10" t="s">
        <v>5006</v>
      </c>
      <c r="Q2026" s="10" t="s">
        <v>5006</v>
      </c>
      <c r="R2026" s="10" t="str">
        <f>IF(COUNTIF($J$2:J2026,J2026)=1,SUMIFS($O:$O,$J:$J,J2026)+SUMIFS($P:$P,$J:$J,J2026)+SUMIFS($Q:$Q,$J:$J,J2026),"")</f>
        <v/>
      </c>
      <c r="S2026" s="10" t="s">
        <v>5006</v>
      </c>
      <c r="T2026" s="11" t="str">
        <f t="shared" si="193"/>
        <v>Ok</v>
      </c>
      <c r="U2026" s="12">
        <v>46112</v>
      </c>
      <c r="V2026" s="10">
        <v>637.29</v>
      </c>
      <c r="W2026" s="10" t="str">
        <f t="shared" si="191"/>
        <v>N/A</v>
      </c>
      <c r="X2026" t="s">
        <v>450</v>
      </c>
      <c r="Y2026" t="s">
        <v>28</v>
      </c>
      <c r="Z2026">
        <v>100127</v>
      </c>
      <c r="AA2026" t="s">
        <v>3090</v>
      </c>
      <c r="AB2026" t="s">
        <v>3039</v>
      </c>
      <c r="AC2026" s="9">
        <v>2</v>
      </c>
      <c r="AD2026" s="9" t="str">
        <f t="shared" si="192"/>
        <v>N/A</v>
      </c>
      <c r="AE2026" s="11" t="e">
        <f t="shared" si="194"/>
        <v>#VALUE!</v>
      </c>
    </row>
    <row r="2027" spans="1:31" x14ac:dyDescent="0.3">
      <c r="A2027">
        <v>22</v>
      </c>
      <c r="B2027">
        <v>4843333</v>
      </c>
      <c r="C2027" t="s">
        <v>220</v>
      </c>
      <c r="D2027">
        <v>1125734</v>
      </c>
      <c r="E2027" t="s">
        <v>532</v>
      </c>
      <c r="F2027" t="s">
        <v>20</v>
      </c>
      <c r="G2027" t="s">
        <v>2863</v>
      </c>
      <c r="H2027" t="s">
        <v>2864</v>
      </c>
      <c r="I2027" t="s">
        <v>3361</v>
      </c>
      <c r="J2027">
        <v>51158075224</v>
      </c>
      <c r="K2027" t="s">
        <v>3577</v>
      </c>
      <c r="L2027" t="s">
        <v>4402</v>
      </c>
      <c r="M2027">
        <v>25000</v>
      </c>
      <c r="N2027" s="10">
        <v>0.25</v>
      </c>
      <c r="O2027" s="10">
        <f t="shared" si="190"/>
        <v>6250</v>
      </c>
      <c r="P2027" s="10">
        <v>0</v>
      </c>
      <c r="Q2027" s="10">
        <v>0</v>
      </c>
      <c r="R2027" s="10">
        <f>IF(COUNTIF($J$2:J2027,J2027)=1,SUMIFS($O:$O,$J:$J,J2027)+SUMIFS($P:$P,$J:$J,J2027)+SUMIFS($Q:$Q,$J:$J,J2027),"")</f>
        <v>13655.62</v>
      </c>
      <c r="S2027" s="10">
        <v>14415.52</v>
      </c>
      <c r="T2027" s="11" t="str">
        <f t="shared" si="193"/>
        <v>Check</v>
      </c>
      <c r="U2027" s="12">
        <v>46043</v>
      </c>
      <c r="V2027" s="10">
        <v>6250</v>
      </c>
      <c r="W2027" s="10" t="str">
        <f t="shared" si="191"/>
        <v>Short Paid</v>
      </c>
      <c r="X2027" t="s">
        <v>470</v>
      </c>
      <c r="Y2027" t="s">
        <v>28</v>
      </c>
      <c r="Z2027">
        <v>100208</v>
      </c>
      <c r="AA2027" t="s">
        <v>3098</v>
      </c>
      <c r="AB2027" t="s">
        <v>521</v>
      </c>
      <c r="AC2027" s="9">
        <v>7</v>
      </c>
      <c r="AD2027" s="9" t="str">
        <f t="shared" si="192"/>
        <v>Check</v>
      </c>
      <c r="AE2027" s="11">
        <f t="shared" si="194"/>
        <v>-759.89999999999964</v>
      </c>
    </row>
    <row r="2028" spans="1:31" x14ac:dyDescent="0.3">
      <c r="A2028">
        <v>22</v>
      </c>
      <c r="B2028">
        <v>4843333</v>
      </c>
      <c r="C2028" t="s">
        <v>220</v>
      </c>
      <c r="D2028">
        <v>1125734</v>
      </c>
      <c r="E2028" t="s">
        <v>532</v>
      </c>
      <c r="F2028" t="s">
        <v>20</v>
      </c>
      <c r="G2028" t="s">
        <v>2863</v>
      </c>
      <c r="H2028" t="s">
        <v>2864</v>
      </c>
      <c r="I2028" t="s">
        <v>3204</v>
      </c>
      <c r="J2028">
        <v>51158075224</v>
      </c>
      <c r="K2028" t="s">
        <v>3165</v>
      </c>
      <c r="L2028" t="s">
        <v>4632</v>
      </c>
      <c r="M2028">
        <v>64</v>
      </c>
      <c r="N2028" s="10">
        <v>3.1549999999999998</v>
      </c>
      <c r="O2028" s="10">
        <f t="shared" si="190"/>
        <v>201.92</v>
      </c>
      <c r="P2028" s="10" t="s">
        <v>5006</v>
      </c>
      <c r="Q2028" s="10" t="s">
        <v>5006</v>
      </c>
      <c r="R2028" s="10" t="str">
        <f>IF(COUNTIF($J$2:J2028,J2028)=1,SUMIFS($O:$O,$J:$J,J2028)+SUMIFS($P:$P,$J:$J,J2028)+SUMIFS($Q:$Q,$J:$J,J2028),"")</f>
        <v/>
      </c>
      <c r="S2028" s="10" t="s">
        <v>5006</v>
      </c>
      <c r="T2028" s="11" t="str">
        <f t="shared" si="193"/>
        <v>Check</v>
      </c>
      <c r="U2028" s="12">
        <v>46043</v>
      </c>
      <c r="V2028" s="10">
        <v>6250</v>
      </c>
      <c r="W2028" s="10" t="str">
        <f t="shared" si="191"/>
        <v>N/A</v>
      </c>
      <c r="X2028" t="s">
        <v>470</v>
      </c>
      <c r="Y2028" t="s">
        <v>28</v>
      </c>
      <c r="Z2028">
        <v>100208</v>
      </c>
      <c r="AA2028" t="s">
        <v>3098</v>
      </c>
      <c r="AB2028" t="s">
        <v>521</v>
      </c>
      <c r="AC2028" s="9">
        <v>7</v>
      </c>
      <c r="AD2028" s="9" t="str">
        <f t="shared" si="192"/>
        <v>N/A</v>
      </c>
      <c r="AE2028" s="11" t="e">
        <f t="shared" si="194"/>
        <v>#VALUE!</v>
      </c>
    </row>
    <row r="2029" spans="1:31" x14ac:dyDescent="0.3">
      <c r="A2029">
        <v>22</v>
      </c>
      <c r="B2029">
        <v>4843333</v>
      </c>
      <c r="C2029" t="s">
        <v>220</v>
      </c>
      <c r="D2029">
        <v>1125734</v>
      </c>
      <c r="E2029" t="s">
        <v>532</v>
      </c>
      <c r="F2029" t="s">
        <v>20</v>
      </c>
      <c r="G2029" t="s">
        <v>2863</v>
      </c>
      <c r="H2029" t="s">
        <v>2864</v>
      </c>
      <c r="I2029" t="s">
        <v>3204</v>
      </c>
      <c r="J2029">
        <v>51158075224</v>
      </c>
      <c r="K2029" t="s">
        <v>3216</v>
      </c>
      <c r="L2029" t="s">
        <v>3215</v>
      </c>
      <c r="M2029">
        <v>140000</v>
      </c>
      <c r="N2029" s="10">
        <v>1.8700000000000001E-2</v>
      </c>
      <c r="O2029" s="10">
        <f t="shared" si="190"/>
        <v>2618</v>
      </c>
      <c r="P2029" s="10" t="s">
        <v>5006</v>
      </c>
      <c r="Q2029" s="10" t="s">
        <v>5006</v>
      </c>
      <c r="R2029" s="10" t="str">
        <f>IF(COUNTIF($J$2:J2029,J2029)=1,SUMIFS($O:$O,$J:$J,J2029)+SUMIFS($P:$P,$J:$J,J2029)+SUMIFS($Q:$Q,$J:$J,J2029),"")</f>
        <v/>
      </c>
      <c r="S2029" s="10" t="s">
        <v>5006</v>
      </c>
      <c r="T2029" s="11" t="str">
        <f t="shared" si="193"/>
        <v>Check</v>
      </c>
      <c r="U2029" s="12">
        <v>46043</v>
      </c>
      <c r="V2029" s="10">
        <v>6250</v>
      </c>
      <c r="W2029" s="10" t="str">
        <f t="shared" si="191"/>
        <v>N/A</v>
      </c>
      <c r="X2029" t="s">
        <v>470</v>
      </c>
      <c r="Y2029" t="s">
        <v>28</v>
      </c>
      <c r="Z2029">
        <v>100208</v>
      </c>
      <c r="AA2029" t="s">
        <v>3098</v>
      </c>
      <c r="AB2029" t="s">
        <v>521</v>
      </c>
      <c r="AC2029" s="9">
        <v>7</v>
      </c>
      <c r="AD2029" s="9" t="str">
        <f t="shared" si="192"/>
        <v>N/A</v>
      </c>
      <c r="AE2029" s="11" t="e">
        <f t="shared" si="194"/>
        <v>#VALUE!</v>
      </c>
    </row>
    <row r="2030" spans="1:31" x14ac:dyDescent="0.3">
      <c r="A2030">
        <v>22</v>
      </c>
      <c r="B2030">
        <v>4843333</v>
      </c>
      <c r="C2030" t="s">
        <v>220</v>
      </c>
      <c r="D2030">
        <v>1125734</v>
      </c>
      <c r="E2030" t="s">
        <v>532</v>
      </c>
      <c r="F2030" t="s">
        <v>20</v>
      </c>
      <c r="G2030" t="s">
        <v>2863</v>
      </c>
      <c r="H2030" t="s">
        <v>2864</v>
      </c>
      <c r="I2030" t="s">
        <v>3204</v>
      </c>
      <c r="J2030">
        <v>51158075224</v>
      </c>
      <c r="K2030" t="s">
        <v>3229</v>
      </c>
      <c r="L2030" t="s">
        <v>3877</v>
      </c>
      <c r="M2030">
        <v>27500</v>
      </c>
      <c r="N2030" s="10">
        <v>1.9879999999999998E-2</v>
      </c>
      <c r="O2030" s="10">
        <f t="shared" si="190"/>
        <v>546.69999999999993</v>
      </c>
      <c r="P2030" s="10" t="s">
        <v>5006</v>
      </c>
      <c r="Q2030" s="10" t="s">
        <v>5006</v>
      </c>
      <c r="R2030" s="10" t="str">
        <f>IF(COUNTIF($J$2:J2030,J2030)=1,SUMIFS($O:$O,$J:$J,J2030)+SUMIFS($P:$P,$J:$J,J2030)+SUMIFS($Q:$Q,$J:$J,J2030),"")</f>
        <v/>
      </c>
      <c r="S2030" s="10" t="s">
        <v>5006</v>
      </c>
      <c r="T2030" s="11" t="str">
        <f t="shared" si="193"/>
        <v>Check</v>
      </c>
      <c r="U2030" s="12">
        <v>46043</v>
      </c>
      <c r="V2030" s="10">
        <v>6250</v>
      </c>
      <c r="W2030" s="10" t="str">
        <f t="shared" si="191"/>
        <v>N/A</v>
      </c>
      <c r="X2030" t="s">
        <v>470</v>
      </c>
      <c r="Y2030" t="s">
        <v>28</v>
      </c>
      <c r="Z2030">
        <v>100208</v>
      </c>
      <c r="AA2030" t="s">
        <v>3098</v>
      </c>
      <c r="AB2030" t="s">
        <v>521</v>
      </c>
      <c r="AC2030" s="9">
        <v>7</v>
      </c>
      <c r="AD2030" s="9" t="str">
        <f t="shared" si="192"/>
        <v>N/A</v>
      </c>
      <c r="AE2030" s="11" t="e">
        <f t="shared" si="194"/>
        <v>#VALUE!</v>
      </c>
    </row>
    <row r="2031" spans="1:31" x14ac:dyDescent="0.3">
      <c r="A2031">
        <v>22</v>
      </c>
      <c r="B2031">
        <v>4843333</v>
      </c>
      <c r="C2031" t="s">
        <v>220</v>
      </c>
      <c r="D2031">
        <v>1125734</v>
      </c>
      <c r="E2031" t="s">
        <v>532</v>
      </c>
      <c r="F2031" t="s">
        <v>20</v>
      </c>
      <c r="G2031" t="s">
        <v>2863</v>
      </c>
      <c r="H2031" t="s">
        <v>2864</v>
      </c>
      <c r="I2031" t="s">
        <v>3204</v>
      </c>
      <c r="J2031">
        <v>51158075224</v>
      </c>
      <c r="K2031" t="s">
        <v>3168</v>
      </c>
      <c r="L2031" t="s">
        <v>4633</v>
      </c>
      <c r="M2031">
        <v>2500</v>
      </c>
      <c r="N2031" s="10">
        <v>0.17599999999999999</v>
      </c>
      <c r="O2031" s="10">
        <f t="shared" si="190"/>
        <v>440</v>
      </c>
      <c r="P2031" s="10" t="s">
        <v>5006</v>
      </c>
      <c r="Q2031" s="10" t="s">
        <v>5006</v>
      </c>
      <c r="R2031" s="10" t="str">
        <f>IF(COUNTIF($J$2:J2031,J2031)=1,SUMIFS($O:$O,$J:$J,J2031)+SUMIFS($P:$P,$J:$J,J2031)+SUMIFS($Q:$Q,$J:$J,J2031),"")</f>
        <v/>
      </c>
      <c r="S2031" s="10" t="s">
        <v>5006</v>
      </c>
      <c r="T2031" s="11" t="str">
        <f t="shared" si="193"/>
        <v>Check</v>
      </c>
      <c r="U2031" s="12">
        <v>46043</v>
      </c>
      <c r="V2031" s="10">
        <v>6250</v>
      </c>
      <c r="W2031" s="10" t="str">
        <f t="shared" si="191"/>
        <v>N/A</v>
      </c>
      <c r="X2031" t="s">
        <v>470</v>
      </c>
      <c r="Y2031" t="s">
        <v>28</v>
      </c>
      <c r="Z2031">
        <v>100208</v>
      </c>
      <c r="AA2031" t="s">
        <v>3098</v>
      </c>
      <c r="AB2031" t="s">
        <v>521</v>
      </c>
      <c r="AC2031" s="9">
        <v>7</v>
      </c>
      <c r="AD2031" s="9" t="str">
        <f t="shared" si="192"/>
        <v>N/A</v>
      </c>
      <c r="AE2031" s="11" t="e">
        <f t="shared" si="194"/>
        <v>#VALUE!</v>
      </c>
    </row>
    <row r="2032" spans="1:31" x14ac:dyDescent="0.3">
      <c r="A2032">
        <v>22</v>
      </c>
      <c r="B2032">
        <v>4843333</v>
      </c>
      <c r="C2032" t="s">
        <v>220</v>
      </c>
      <c r="D2032">
        <v>1125734</v>
      </c>
      <c r="E2032" t="s">
        <v>532</v>
      </c>
      <c r="F2032" t="s">
        <v>20</v>
      </c>
      <c r="G2032" t="s">
        <v>2863</v>
      </c>
      <c r="H2032" t="s">
        <v>2864</v>
      </c>
      <c r="I2032" t="s">
        <v>3204</v>
      </c>
      <c r="J2032">
        <v>51158075224</v>
      </c>
      <c r="K2032" t="s">
        <v>3207</v>
      </c>
      <c r="L2032" t="s">
        <v>3870</v>
      </c>
      <c r="M2032">
        <v>116000</v>
      </c>
      <c r="N2032" s="10">
        <v>2.9100000000000001E-2</v>
      </c>
      <c r="O2032" s="10">
        <f t="shared" si="190"/>
        <v>3375.6</v>
      </c>
      <c r="P2032" s="10" t="s">
        <v>5006</v>
      </c>
      <c r="Q2032" s="10" t="s">
        <v>5006</v>
      </c>
      <c r="R2032" s="10" t="str">
        <f>IF(COUNTIF($J$2:J2032,J2032)=1,SUMIFS($O:$O,$J:$J,J2032)+SUMIFS($P:$P,$J:$J,J2032)+SUMIFS($Q:$Q,$J:$J,J2032),"")</f>
        <v/>
      </c>
      <c r="S2032" s="10" t="s">
        <v>5006</v>
      </c>
      <c r="T2032" s="11" t="str">
        <f t="shared" si="193"/>
        <v>Check</v>
      </c>
      <c r="U2032" s="12">
        <v>46043</v>
      </c>
      <c r="V2032" s="10">
        <v>6250</v>
      </c>
      <c r="W2032" s="10" t="str">
        <f t="shared" si="191"/>
        <v>N/A</v>
      </c>
      <c r="X2032" t="s">
        <v>470</v>
      </c>
      <c r="Y2032" t="s">
        <v>28</v>
      </c>
      <c r="Z2032">
        <v>100208</v>
      </c>
      <c r="AA2032" t="s">
        <v>3098</v>
      </c>
      <c r="AB2032" t="s">
        <v>521</v>
      </c>
      <c r="AC2032" s="9">
        <v>7</v>
      </c>
      <c r="AD2032" s="9" t="str">
        <f t="shared" si="192"/>
        <v>N/A</v>
      </c>
      <c r="AE2032" s="11" t="e">
        <f t="shared" si="194"/>
        <v>#VALUE!</v>
      </c>
    </row>
    <row r="2033" spans="1:31" x14ac:dyDescent="0.3">
      <c r="A2033">
        <v>22</v>
      </c>
      <c r="B2033">
        <v>4843333</v>
      </c>
      <c r="C2033" t="s">
        <v>220</v>
      </c>
      <c r="D2033">
        <v>1125734</v>
      </c>
      <c r="E2033" t="s">
        <v>532</v>
      </c>
      <c r="F2033" t="s">
        <v>20</v>
      </c>
      <c r="G2033" t="s">
        <v>2863</v>
      </c>
      <c r="H2033" t="s">
        <v>2864</v>
      </c>
      <c r="I2033" t="s">
        <v>3204</v>
      </c>
      <c r="J2033">
        <v>51158075224</v>
      </c>
      <c r="K2033" t="s">
        <v>3318</v>
      </c>
      <c r="L2033" t="s">
        <v>3317</v>
      </c>
      <c r="M2033">
        <v>2000</v>
      </c>
      <c r="N2033" s="10">
        <v>0.11169999999999999</v>
      </c>
      <c r="O2033" s="10">
        <f t="shared" si="190"/>
        <v>223.39999999999998</v>
      </c>
      <c r="P2033" s="10" t="s">
        <v>5006</v>
      </c>
      <c r="Q2033" s="10" t="s">
        <v>5006</v>
      </c>
      <c r="R2033" s="10" t="str">
        <f>IF(COUNTIF($J$2:J2033,J2033)=1,SUMIFS($O:$O,$J:$J,J2033)+SUMIFS($P:$P,$J:$J,J2033)+SUMIFS($Q:$Q,$J:$J,J2033),"")</f>
        <v/>
      </c>
      <c r="S2033" s="10" t="s">
        <v>5006</v>
      </c>
      <c r="T2033" s="11" t="str">
        <f t="shared" si="193"/>
        <v>Check</v>
      </c>
      <c r="U2033" s="12">
        <v>46043</v>
      </c>
      <c r="V2033" s="10">
        <v>6250</v>
      </c>
      <c r="W2033" s="10" t="str">
        <f t="shared" si="191"/>
        <v>N/A</v>
      </c>
      <c r="X2033" t="s">
        <v>470</v>
      </c>
      <c r="Y2033" t="s">
        <v>28</v>
      </c>
      <c r="Z2033">
        <v>100208</v>
      </c>
      <c r="AA2033" t="s">
        <v>3098</v>
      </c>
      <c r="AB2033" t="s">
        <v>521</v>
      </c>
      <c r="AC2033" s="9">
        <v>7</v>
      </c>
      <c r="AD2033" s="9" t="str">
        <f t="shared" si="192"/>
        <v>N/A</v>
      </c>
      <c r="AE2033" s="11" t="e">
        <f t="shared" si="194"/>
        <v>#VALUE!</v>
      </c>
    </row>
    <row r="2034" spans="1:31" x14ac:dyDescent="0.3">
      <c r="A2034">
        <v>4</v>
      </c>
      <c r="B2034">
        <v>4939063</v>
      </c>
      <c r="C2034" t="s">
        <v>167</v>
      </c>
      <c r="D2034">
        <v>1213304</v>
      </c>
      <c r="E2034" t="s">
        <v>595</v>
      </c>
      <c r="F2034" t="s">
        <v>18</v>
      </c>
      <c r="G2034" t="s">
        <v>1820</v>
      </c>
      <c r="H2034" t="s">
        <v>1821</v>
      </c>
      <c r="I2034" t="s">
        <v>3581</v>
      </c>
      <c r="J2034">
        <v>51158104830</v>
      </c>
      <c r="K2034" t="s">
        <v>3379</v>
      </c>
      <c r="L2034" t="s">
        <v>3461</v>
      </c>
      <c r="M2034">
        <v>80000</v>
      </c>
      <c r="N2034" s="10">
        <v>2.7E-2</v>
      </c>
      <c r="O2034" s="10">
        <f t="shared" si="190"/>
        <v>2160</v>
      </c>
      <c r="P2034" s="10">
        <v>0</v>
      </c>
      <c r="Q2034" s="10">
        <v>0</v>
      </c>
      <c r="R2034" s="10">
        <f>IF(COUNTIF($J$2:J2034,J2034)=1,SUMIFS($O:$O,$J:$J,J2034)+SUMIFS($P:$P,$J:$J,J2034)+SUMIFS($Q:$Q,$J:$J,J2034),"")</f>
        <v>3706</v>
      </c>
      <c r="S2034" s="10">
        <v>3706</v>
      </c>
      <c r="T2034" s="11" t="str">
        <f t="shared" si="193"/>
        <v>Ok</v>
      </c>
      <c r="U2034" s="12">
        <v>46073</v>
      </c>
      <c r="V2034" s="10">
        <v>1546</v>
      </c>
      <c r="W2034" s="10" t="str">
        <f t="shared" si="191"/>
        <v>Short Paid</v>
      </c>
      <c r="X2034" t="s">
        <v>455</v>
      </c>
      <c r="Y2034" t="s">
        <v>28</v>
      </c>
      <c r="Z2034">
        <v>100280</v>
      </c>
      <c r="AA2034" t="s">
        <v>465</v>
      </c>
      <c r="AB2034" t="s">
        <v>523</v>
      </c>
      <c r="AC2034" s="9">
        <v>2</v>
      </c>
      <c r="AD2034" s="9" t="str">
        <f t="shared" si="192"/>
        <v>Ok</v>
      </c>
      <c r="AE2034" s="11">
        <f t="shared" si="194"/>
        <v>0</v>
      </c>
    </row>
    <row r="2035" spans="1:31" x14ac:dyDescent="0.3">
      <c r="A2035">
        <v>4</v>
      </c>
      <c r="B2035">
        <v>4939063</v>
      </c>
      <c r="C2035" t="s">
        <v>167</v>
      </c>
      <c r="D2035">
        <v>1213304</v>
      </c>
      <c r="E2035" t="s">
        <v>595</v>
      </c>
      <c r="F2035" t="s">
        <v>18</v>
      </c>
      <c r="G2035" t="s">
        <v>1820</v>
      </c>
      <c r="H2035" t="s">
        <v>1821</v>
      </c>
      <c r="I2035" t="s">
        <v>3424</v>
      </c>
      <c r="J2035">
        <v>51158104830</v>
      </c>
      <c r="K2035" t="s">
        <v>3375</v>
      </c>
      <c r="L2035" t="s">
        <v>4634</v>
      </c>
      <c r="M2035">
        <v>5000</v>
      </c>
      <c r="N2035" s="10">
        <v>0.30919999999999997</v>
      </c>
      <c r="O2035" s="10">
        <f t="shared" si="190"/>
        <v>1545.9999999999998</v>
      </c>
      <c r="P2035" s="10" t="s">
        <v>5006</v>
      </c>
      <c r="Q2035" s="10" t="s">
        <v>5006</v>
      </c>
      <c r="R2035" s="10" t="str">
        <f>IF(COUNTIF($J$2:J2035,J2035)=1,SUMIFS($O:$O,$J:$J,J2035)+SUMIFS($P:$P,$J:$J,J2035)+SUMIFS($Q:$Q,$J:$J,J2035),"")</f>
        <v/>
      </c>
      <c r="S2035" s="10" t="s">
        <v>5006</v>
      </c>
      <c r="T2035" s="11" t="str">
        <f t="shared" si="193"/>
        <v>Ok</v>
      </c>
      <c r="U2035" s="12">
        <v>46073</v>
      </c>
      <c r="V2035" s="10">
        <v>1546</v>
      </c>
      <c r="W2035" s="10" t="str">
        <f t="shared" si="191"/>
        <v>N/A</v>
      </c>
      <c r="X2035" t="s">
        <v>455</v>
      </c>
      <c r="Y2035" t="s">
        <v>28</v>
      </c>
      <c r="Z2035">
        <v>100280</v>
      </c>
      <c r="AA2035" t="s">
        <v>465</v>
      </c>
      <c r="AB2035" t="s">
        <v>523</v>
      </c>
      <c r="AC2035" s="9">
        <v>2</v>
      </c>
      <c r="AD2035" s="9" t="str">
        <f t="shared" si="192"/>
        <v>N/A</v>
      </c>
      <c r="AE2035" s="11" t="e">
        <f t="shared" si="194"/>
        <v>#VALUE!</v>
      </c>
    </row>
    <row r="2036" spans="1:31" x14ac:dyDescent="0.3">
      <c r="A2036">
        <v>4</v>
      </c>
      <c r="B2036">
        <v>4938506</v>
      </c>
      <c r="C2036" t="s">
        <v>217</v>
      </c>
      <c r="D2036">
        <v>1518030</v>
      </c>
      <c r="E2036" t="s">
        <v>562</v>
      </c>
      <c r="F2036" t="s">
        <v>18</v>
      </c>
      <c r="G2036" t="s">
        <v>4635</v>
      </c>
      <c r="H2036" t="s">
        <v>4636</v>
      </c>
      <c r="I2036" t="s">
        <v>3333</v>
      </c>
      <c r="J2036">
        <v>51158170972</v>
      </c>
      <c r="K2036" t="s">
        <v>3473</v>
      </c>
      <c r="L2036" t="s">
        <v>4637</v>
      </c>
      <c r="M2036">
        <v>14000</v>
      </c>
      <c r="N2036" s="10">
        <v>2.0899999999999998E-2</v>
      </c>
      <c r="O2036" s="10">
        <f t="shared" si="190"/>
        <v>292.59999999999997</v>
      </c>
      <c r="P2036" s="10">
        <v>0</v>
      </c>
      <c r="Q2036" s="10">
        <v>0</v>
      </c>
      <c r="R2036" s="10">
        <f>IF(COUNTIF($J$2:J2036,J2036)=1,SUMIFS($O:$O,$J:$J,J2036)+SUMIFS($P:$P,$J:$J,J2036)+SUMIFS($Q:$Q,$J:$J,J2036),"")</f>
        <v>33621.4</v>
      </c>
      <c r="S2036" s="10">
        <v>49699.6</v>
      </c>
      <c r="T2036" s="11" t="str">
        <f t="shared" si="193"/>
        <v>Check</v>
      </c>
      <c r="U2036" s="12">
        <v>46113</v>
      </c>
      <c r="V2036" s="10">
        <v>45319.6</v>
      </c>
      <c r="W2036" s="10" t="str">
        <f t="shared" si="191"/>
        <v>Short Paid</v>
      </c>
      <c r="X2036" t="s">
        <v>468</v>
      </c>
      <c r="Y2036" t="s">
        <v>28</v>
      </c>
      <c r="Z2036">
        <v>100246</v>
      </c>
      <c r="AA2036" t="s">
        <v>3060</v>
      </c>
      <c r="AB2036" t="s">
        <v>523</v>
      </c>
      <c r="AC2036" s="9">
        <v>4</v>
      </c>
      <c r="AD2036" s="9" t="str">
        <f t="shared" si="192"/>
        <v>Check</v>
      </c>
      <c r="AE2036" s="11">
        <f t="shared" si="194"/>
        <v>-16078.199999999997</v>
      </c>
    </row>
    <row r="2037" spans="1:31" x14ac:dyDescent="0.3">
      <c r="A2037">
        <v>4</v>
      </c>
      <c r="B2037">
        <v>4938506</v>
      </c>
      <c r="C2037" t="s">
        <v>217</v>
      </c>
      <c r="D2037">
        <v>1518030</v>
      </c>
      <c r="E2037" t="s">
        <v>562</v>
      </c>
      <c r="F2037" t="s">
        <v>18</v>
      </c>
      <c r="G2037" t="s">
        <v>4635</v>
      </c>
      <c r="H2037" t="s">
        <v>4636</v>
      </c>
      <c r="I2037" t="s">
        <v>3333</v>
      </c>
      <c r="J2037">
        <v>51158170972</v>
      </c>
      <c r="K2037" t="s">
        <v>3473</v>
      </c>
      <c r="L2037" t="s">
        <v>4638</v>
      </c>
      <c r="M2037">
        <v>150000</v>
      </c>
      <c r="N2037" s="10">
        <v>8.0000000000000002E-3</v>
      </c>
      <c r="O2037" s="10">
        <f t="shared" si="190"/>
        <v>1200</v>
      </c>
      <c r="P2037" s="10" t="s">
        <v>5006</v>
      </c>
      <c r="Q2037" s="10" t="s">
        <v>5006</v>
      </c>
      <c r="R2037" s="10" t="str">
        <f>IF(COUNTIF($J$2:J2037,J2037)=1,SUMIFS($O:$O,$J:$J,J2037)+SUMIFS($P:$P,$J:$J,J2037)+SUMIFS($Q:$Q,$J:$J,J2037),"")</f>
        <v/>
      </c>
      <c r="S2037" s="10" t="s">
        <v>5006</v>
      </c>
      <c r="T2037" s="11" t="str">
        <f t="shared" si="193"/>
        <v>Check</v>
      </c>
      <c r="U2037" s="12">
        <v>46113</v>
      </c>
      <c r="V2037" s="10">
        <v>45319.6</v>
      </c>
      <c r="W2037" s="10" t="str">
        <f t="shared" si="191"/>
        <v>N/A</v>
      </c>
      <c r="X2037" t="s">
        <v>468</v>
      </c>
      <c r="Y2037" t="s">
        <v>28</v>
      </c>
      <c r="Z2037">
        <v>100246</v>
      </c>
      <c r="AA2037" t="s">
        <v>3060</v>
      </c>
      <c r="AB2037" t="s">
        <v>523</v>
      </c>
      <c r="AC2037" s="9">
        <v>4</v>
      </c>
      <c r="AD2037" s="9" t="str">
        <f t="shared" si="192"/>
        <v>N/A</v>
      </c>
      <c r="AE2037" s="11" t="e">
        <f t="shared" si="194"/>
        <v>#VALUE!</v>
      </c>
    </row>
    <row r="2038" spans="1:31" x14ac:dyDescent="0.3">
      <c r="A2038">
        <v>4</v>
      </c>
      <c r="B2038">
        <v>4938506</v>
      </c>
      <c r="C2038" t="s">
        <v>217</v>
      </c>
      <c r="D2038">
        <v>1518030</v>
      </c>
      <c r="E2038" t="s">
        <v>562</v>
      </c>
      <c r="F2038" t="s">
        <v>18</v>
      </c>
      <c r="G2038" t="s">
        <v>4635</v>
      </c>
      <c r="H2038" t="s">
        <v>4636</v>
      </c>
      <c r="I2038" t="s">
        <v>3333</v>
      </c>
      <c r="J2038">
        <v>51158170972</v>
      </c>
      <c r="K2038" t="s">
        <v>3194</v>
      </c>
      <c r="L2038" t="s">
        <v>4639</v>
      </c>
      <c r="M2038">
        <v>72000</v>
      </c>
      <c r="N2038" s="10">
        <v>0.4</v>
      </c>
      <c r="O2038" s="10">
        <f t="shared" si="190"/>
        <v>28800</v>
      </c>
      <c r="P2038" s="10" t="s">
        <v>5006</v>
      </c>
      <c r="Q2038" s="10" t="s">
        <v>5006</v>
      </c>
      <c r="R2038" s="10" t="str">
        <f>IF(COUNTIF($J$2:J2038,J2038)=1,SUMIFS($O:$O,$J:$J,J2038)+SUMIFS($P:$P,$J:$J,J2038)+SUMIFS($Q:$Q,$J:$J,J2038),"")</f>
        <v/>
      </c>
      <c r="S2038" s="10" t="s">
        <v>5006</v>
      </c>
      <c r="T2038" s="11" t="str">
        <f t="shared" si="193"/>
        <v>Check</v>
      </c>
      <c r="U2038" s="12">
        <v>46113</v>
      </c>
      <c r="V2038" s="10">
        <v>45319.6</v>
      </c>
      <c r="W2038" s="10" t="str">
        <f t="shared" si="191"/>
        <v>N/A</v>
      </c>
      <c r="X2038" t="s">
        <v>468</v>
      </c>
      <c r="Y2038" t="s">
        <v>28</v>
      </c>
      <c r="Z2038">
        <v>100246</v>
      </c>
      <c r="AA2038" t="s">
        <v>3060</v>
      </c>
      <c r="AB2038" t="s">
        <v>523</v>
      </c>
      <c r="AC2038" s="9">
        <v>4</v>
      </c>
      <c r="AD2038" s="9" t="str">
        <f t="shared" si="192"/>
        <v>N/A</v>
      </c>
      <c r="AE2038" s="11" t="e">
        <f t="shared" si="194"/>
        <v>#VALUE!</v>
      </c>
    </row>
    <row r="2039" spans="1:31" x14ac:dyDescent="0.3">
      <c r="A2039">
        <v>4</v>
      </c>
      <c r="B2039">
        <v>4938506</v>
      </c>
      <c r="C2039" t="s">
        <v>217</v>
      </c>
      <c r="D2039">
        <v>1518030</v>
      </c>
      <c r="E2039" t="s">
        <v>562</v>
      </c>
      <c r="F2039" t="s">
        <v>18</v>
      </c>
      <c r="G2039" t="s">
        <v>4635</v>
      </c>
      <c r="H2039" t="s">
        <v>4636</v>
      </c>
      <c r="I2039" t="s">
        <v>3213</v>
      </c>
      <c r="J2039">
        <v>51158170972</v>
      </c>
      <c r="K2039" t="s">
        <v>3177</v>
      </c>
      <c r="L2039" t="s">
        <v>4640</v>
      </c>
      <c r="M2039">
        <v>76000</v>
      </c>
      <c r="N2039" s="10">
        <v>4.3799999999999999E-2</v>
      </c>
      <c r="O2039" s="10">
        <f t="shared" si="190"/>
        <v>3328.7999999999997</v>
      </c>
      <c r="P2039" s="10" t="s">
        <v>5006</v>
      </c>
      <c r="Q2039" s="10" t="s">
        <v>5006</v>
      </c>
      <c r="R2039" s="10" t="str">
        <f>IF(COUNTIF($J$2:J2039,J2039)=1,SUMIFS($O:$O,$J:$J,J2039)+SUMIFS($P:$P,$J:$J,J2039)+SUMIFS($Q:$Q,$J:$J,J2039),"")</f>
        <v/>
      </c>
      <c r="S2039" s="10" t="s">
        <v>5006</v>
      </c>
      <c r="T2039" s="11" t="str">
        <f t="shared" si="193"/>
        <v>Check</v>
      </c>
      <c r="U2039" s="12">
        <v>46113</v>
      </c>
      <c r="V2039" s="10">
        <v>45319.6</v>
      </c>
      <c r="W2039" s="10" t="str">
        <f t="shared" si="191"/>
        <v>N/A</v>
      </c>
      <c r="X2039" t="s">
        <v>468</v>
      </c>
      <c r="Y2039" t="s">
        <v>28</v>
      </c>
      <c r="Z2039">
        <v>100246</v>
      </c>
      <c r="AA2039" t="s">
        <v>3060</v>
      </c>
      <c r="AB2039" t="s">
        <v>523</v>
      </c>
      <c r="AC2039" s="9">
        <v>4</v>
      </c>
      <c r="AD2039" s="9" t="str">
        <f t="shared" si="192"/>
        <v>N/A</v>
      </c>
      <c r="AE2039" s="11" t="e">
        <f t="shared" si="194"/>
        <v>#VALUE!</v>
      </c>
    </row>
    <row r="2040" spans="1:31" x14ac:dyDescent="0.3">
      <c r="A2040">
        <v>15</v>
      </c>
      <c r="B2040">
        <v>4884519</v>
      </c>
      <c r="C2040" t="s">
        <v>239</v>
      </c>
      <c r="D2040">
        <v>1067606</v>
      </c>
      <c r="E2040" t="s">
        <v>374</v>
      </c>
      <c r="F2040" t="s">
        <v>20</v>
      </c>
      <c r="G2040" t="s">
        <v>2912</v>
      </c>
      <c r="H2040" t="s">
        <v>2913</v>
      </c>
      <c r="I2040" t="s">
        <v>3477</v>
      </c>
      <c r="J2040">
        <v>51158177766</v>
      </c>
      <c r="K2040" t="s">
        <v>3177</v>
      </c>
      <c r="L2040" t="s">
        <v>3891</v>
      </c>
      <c r="M2040">
        <v>10000</v>
      </c>
      <c r="N2040" s="10">
        <v>1.495E-2</v>
      </c>
      <c r="O2040" s="10">
        <f t="shared" si="190"/>
        <v>149.5</v>
      </c>
      <c r="P2040" s="10">
        <v>0</v>
      </c>
      <c r="Q2040" s="10">
        <v>0</v>
      </c>
      <c r="R2040" s="10">
        <f>IF(COUNTIF($J$2:J2040,J2040)=1,SUMIFS($O:$O,$J:$J,J2040)+SUMIFS($P:$P,$J:$J,J2040)+SUMIFS($Q:$Q,$J:$J,J2040),"")</f>
        <v>367.29999999999995</v>
      </c>
      <c r="S2040" s="10">
        <v>516.79999999999995</v>
      </c>
      <c r="T2040" s="11" t="str">
        <f t="shared" si="193"/>
        <v>Check</v>
      </c>
      <c r="U2040" s="12">
        <v>46128</v>
      </c>
      <c r="V2040" s="10">
        <v>217.8</v>
      </c>
      <c r="W2040" s="10" t="str">
        <f t="shared" si="191"/>
        <v>Short Paid</v>
      </c>
      <c r="X2040" t="s">
        <v>476</v>
      </c>
      <c r="Y2040" t="s">
        <v>28</v>
      </c>
      <c r="Z2040">
        <v>100165</v>
      </c>
      <c r="AA2040" t="s">
        <v>3100</v>
      </c>
      <c r="AB2040" t="s">
        <v>521</v>
      </c>
      <c r="AC2040" s="9">
        <v>2</v>
      </c>
      <c r="AD2040" s="9" t="str">
        <f t="shared" si="192"/>
        <v>Check</v>
      </c>
      <c r="AE2040" s="11">
        <f t="shared" si="194"/>
        <v>-149.5</v>
      </c>
    </row>
    <row r="2041" spans="1:31" x14ac:dyDescent="0.3">
      <c r="A2041">
        <v>15</v>
      </c>
      <c r="B2041">
        <v>4884519</v>
      </c>
      <c r="C2041" t="s">
        <v>239</v>
      </c>
      <c r="D2041">
        <v>1067606</v>
      </c>
      <c r="E2041" t="s">
        <v>374</v>
      </c>
      <c r="F2041" t="s">
        <v>20</v>
      </c>
      <c r="G2041" t="s">
        <v>2912</v>
      </c>
      <c r="H2041" t="s">
        <v>2913</v>
      </c>
      <c r="I2041" t="s">
        <v>3184</v>
      </c>
      <c r="J2041">
        <v>51158177766</v>
      </c>
      <c r="K2041" t="s">
        <v>3168</v>
      </c>
      <c r="L2041" t="s">
        <v>4641</v>
      </c>
      <c r="M2041">
        <v>12000</v>
      </c>
      <c r="N2041" s="10">
        <v>1.8149999999999999E-2</v>
      </c>
      <c r="O2041" s="10">
        <f t="shared" si="190"/>
        <v>217.79999999999998</v>
      </c>
      <c r="P2041" s="10" t="s">
        <v>5006</v>
      </c>
      <c r="Q2041" s="10" t="s">
        <v>5006</v>
      </c>
      <c r="R2041" s="10" t="str">
        <f>IF(COUNTIF($J$2:J2041,J2041)=1,SUMIFS($O:$O,$J:$J,J2041)+SUMIFS($P:$P,$J:$J,J2041)+SUMIFS($Q:$Q,$J:$J,J2041),"")</f>
        <v/>
      </c>
      <c r="S2041" s="10" t="s">
        <v>5006</v>
      </c>
      <c r="T2041" s="11" t="str">
        <f t="shared" si="193"/>
        <v>Check</v>
      </c>
      <c r="U2041" s="12">
        <v>46128</v>
      </c>
      <c r="V2041" s="10">
        <v>217.8</v>
      </c>
      <c r="W2041" s="10" t="str">
        <f t="shared" si="191"/>
        <v>N/A</v>
      </c>
      <c r="X2041" t="s">
        <v>476</v>
      </c>
      <c r="Y2041" t="s">
        <v>28</v>
      </c>
      <c r="Z2041">
        <v>100165</v>
      </c>
      <c r="AA2041" t="s">
        <v>3100</v>
      </c>
      <c r="AB2041" t="s">
        <v>521</v>
      </c>
      <c r="AC2041" s="9">
        <v>2</v>
      </c>
      <c r="AD2041" s="9" t="str">
        <f t="shared" si="192"/>
        <v>N/A</v>
      </c>
      <c r="AE2041" s="11" t="e">
        <f t="shared" si="194"/>
        <v>#VALUE!</v>
      </c>
    </row>
    <row r="2042" spans="1:31" x14ac:dyDescent="0.3">
      <c r="A2042">
        <v>4</v>
      </c>
      <c r="B2042">
        <v>4938228</v>
      </c>
      <c r="C2042" t="s">
        <v>220</v>
      </c>
      <c r="D2042">
        <v>1702136</v>
      </c>
      <c r="E2042" t="s">
        <v>594</v>
      </c>
      <c r="F2042" t="s">
        <v>19</v>
      </c>
      <c r="G2042" t="s">
        <v>1818</v>
      </c>
      <c r="H2042" t="s">
        <v>1819</v>
      </c>
      <c r="I2042" t="s">
        <v>3494</v>
      </c>
      <c r="J2042">
        <v>51158182173</v>
      </c>
      <c r="K2042" t="s">
        <v>3201</v>
      </c>
      <c r="L2042" t="s">
        <v>4642</v>
      </c>
      <c r="M2042">
        <v>19500</v>
      </c>
      <c r="N2042" s="10">
        <v>0.43559999999999999</v>
      </c>
      <c r="O2042" s="10">
        <f t="shared" si="190"/>
        <v>8494.1999999999989</v>
      </c>
      <c r="P2042" s="10">
        <v>0</v>
      </c>
      <c r="Q2042" s="10">
        <v>0</v>
      </c>
      <c r="R2042" s="10">
        <f>IF(COUNTIF($J$2:J2042,J2042)=1,SUMIFS($O:$O,$J:$J,J2042)+SUMIFS($P:$P,$J:$J,J2042)+SUMIFS($Q:$Q,$J:$J,J2042),"")</f>
        <v>9486.48</v>
      </c>
      <c r="S2042" s="10">
        <v>9486.4800000000014</v>
      </c>
      <c r="T2042" s="11" t="str">
        <f t="shared" si="193"/>
        <v>Ok</v>
      </c>
      <c r="U2042" s="12">
        <v>45957</v>
      </c>
      <c r="V2042" s="10">
        <v>992.28</v>
      </c>
      <c r="W2042" s="10" t="str">
        <f t="shared" si="191"/>
        <v>Short Paid</v>
      </c>
      <c r="X2042" t="s">
        <v>470</v>
      </c>
      <c r="Y2042" t="s">
        <v>28</v>
      </c>
      <c r="Z2042">
        <v>100238</v>
      </c>
      <c r="AA2042" t="s">
        <v>3078</v>
      </c>
      <c r="AB2042" t="s">
        <v>524</v>
      </c>
      <c r="AC2042" s="9">
        <v>2</v>
      </c>
      <c r="AD2042" s="9" t="str">
        <f t="shared" si="192"/>
        <v>Ok</v>
      </c>
      <c r="AE2042" s="11">
        <f t="shared" si="194"/>
        <v>0</v>
      </c>
    </row>
    <row r="2043" spans="1:31" x14ac:dyDescent="0.3">
      <c r="A2043">
        <v>4</v>
      </c>
      <c r="B2043">
        <v>4938228</v>
      </c>
      <c r="C2043" t="s">
        <v>220</v>
      </c>
      <c r="D2043">
        <v>1702136</v>
      </c>
      <c r="E2043" t="s">
        <v>594</v>
      </c>
      <c r="F2043" t="s">
        <v>19</v>
      </c>
      <c r="G2043" t="s">
        <v>1818</v>
      </c>
      <c r="H2043" t="s">
        <v>1819</v>
      </c>
      <c r="I2043" t="s">
        <v>3408</v>
      </c>
      <c r="J2043">
        <v>51158182173</v>
      </c>
      <c r="K2043" t="s">
        <v>3266</v>
      </c>
      <c r="L2043" t="s">
        <v>4643</v>
      </c>
      <c r="M2043">
        <v>6</v>
      </c>
      <c r="N2043" s="10">
        <v>165.38</v>
      </c>
      <c r="O2043" s="10">
        <f t="shared" si="190"/>
        <v>992.28</v>
      </c>
      <c r="P2043" s="10" t="s">
        <v>5006</v>
      </c>
      <c r="Q2043" s="10" t="s">
        <v>5006</v>
      </c>
      <c r="R2043" s="10" t="str">
        <f>IF(COUNTIF($J$2:J2043,J2043)=1,SUMIFS($O:$O,$J:$J,J2043)+SUMIFS($P:$P,$J:$J,J2043)+SUMIFS($Q:$Q,$J:$J,J2043),"")</f>
        <v/>
      </c>
      <c r="S2043" s="10" t="s">
        <v>5006</v>
      </c>
      <c r="T2043" s="11" t="str">
        <f t="shared" si="193"/>
        <v>Ok</v>
      </c>
      <c r="U2043" s="12">
        <v>45957</v>
      </c>
      <c r="V2043" s="10">
        <v>992.28</v>
      </c>
      <c r="W2043" s="10" t="str">
        <f t="shared" si="191"/>
        <v>N/A</v>
      </c>
      <c r="X2043" t="s">
        <v>470</v>
      </c>
      <c r="Y2043" t="s">
        <v>28</v>
      </c>
      <c r="Z2043">
        <v>100238</v>
      </c>
      <c r="AA2043" t="s">
        <v>3078</v>
      </c>
      <c r="AB2043" t="s">
        <v>524</v>
      </c>
      <c r="AC2043" s="9">
        <v>2</v>
      </c>
      <c r="AD2043" s="9" t="str">
        <f t="shared" si="192"/>
        <v>N/A</v>
      </c>
      <c r="AE2043" s="11" t="e">
        <f t="shared" si="194"/>
        <v>#VALUE!</v>
      </c>
    </row>
    <row r="2044" spans="1:31" x14ac:dyDescent="0.3">
      <c r="A2044">
        <v>7</v>
      </c>
      <c r="B2044">
        <v>4929323</v>
      </c>
      <c r="C2044" t="s">
        <v>94</v>
      </c>
      <c r="D2044">
        <v>1449770</v>
      </c>
      <c r="E2044" t="s">
        <v>560</v>
      </c>
      <c r="F2044" t="s">
        <v>47</v>
      </c>
      <c r="G2044" t="s">
        <v>1766</v>
      </c>
      <c r="H2044" t="s">
        <v>1767</v>
      </c>
      <c r="I2044" t="s">
        <v>3242</v>
      </c>
      <c r="J2044">
        <v>51158206755</v>
      </c>
      <c r="K2044" t="s">
        <v>3266</v>
      </c>
      <c r="L2044" t="s">
        <v>3632</v>
      </c>
      <c r="M2044">
        <v>5600</v>
      </c>
      <c r="N2044" s="10">
        <v>0.37885999999999997</v>
      </c>
      <c r="O2044" s="10">
        <f t="shared" si="190"/>
        <v>2121.616</v>
      </c>
      <c r="P2044" s="10">
        <v>0</v>
      </c>
      <c r="Q2044" s="10">
        <v>333</v>
      </c>
      <c r="R2044" s="10">
        <f>IF(COUNTIF($J$2:J2044,J2044)=1,SUMIFS($O:$O,$J:$J,J2044)+SUMIFS($P:$P,$J:$J,J2044)+SUMIFS($Q:$Q,$J:$J,J2044),"")</f>
        <v>3454.616</v>
      </c>
      <c r="S2044" s="10">
        <v>3454.62</v>
      </c>
      <c r="T2044" s="11" t="str">
        <f t="shared" si="193"/>
        <v>Check</v>
      </c>
      <c r="U2044" s="12">
        <v>46121</v>
      </c>
      <c r="V2044" s="10">
        <v>1333</v>
      </c>
      <c r="W2044" s="10" t="str">
        <f t="shared" si="191"/>
        <v>Short Paid</v>
      </c>
      <c r="X2044" t="s">
        <v>450</v>
      </c>
      <c r="Y2044" t="s">
        <v>28</v>
      </c>
      <c r="Z2044">
        <v>100197</v>
      </c>
      <c r="AA2044" t="s">
        <v>493</v>
      </c>
      <c r="AB2044" t="s">
        <v>3039</v>
      </c>
      <c r="AC2044" s="9">
        <v>2</v>
      </c>
      <c r="AD2044" s="9" t="str">
        <f t="shared" si="192"/>
        <v>Check</v>
      </c>
      <c r="AE2044" s="11">
        <f t="shared" si="194"/>
        <v>-3.9999999999054126E-3</v>
      </c>
    </row>
    <row r="2045" spans="1:31" x14ac:dyDescent="0.3">
      <c r="A2045">
        <v>7</v>
      </c>
      <c r="B2045">
        <v>4929323</v>
      </c>
      <c r="C2045" t="s">
        <v>94</v>
      </c>
      <c r="D2045">
        <v>1449770</v>
      </c>
      <c r="E2045" t="s">
        <v>560</v>
      </c>
      <c r="F2045" t="s">
        <v>47</v>
      </c>
      <c r="G2045" t="s">
        <v>1766</v>
      </c>
      <c r="H2045" t="s">
        <v>1767</v>
      </c>
      <c r="I2045" t="s">
        <v>3239</v>
      </c>
      <c r="J2045">
        <v>51158206755</v>
      </c>
      <c r="K2045" t="s">
        <v>3238</v>
      </c>
      <c r="L2045" t="s">
        <v>4644</v>
      </c>
      <c r="M2045">
        <v>2500</v>
      </c>
      <c r="N2045" s="10">
        <v>0.4</v>
      </c>
      <c r="O2045" s="10">
        <f t="shared" si="190"/>
        <v>1000</v>
      </c>
      <c r="P2045" s="10" t="s">
        <v>5006</v>
      </c>
      <c r="Q2045" s="10" t="s">
        <v>5006</v>
      </c>
      <c r="R2045" s="10" t="str">
        <f>IF(COUNTIF($J$2:J2045,J2045)=1,SUMIFS($O:$O,$J:$J,J2045)+SUMIFS($P:$P,$J:$J,J2045)+SUMIFS($Q:$Q,$J:$J,J2045),"")</f>
        <v/>
      </c>
      <c r="S2045" s="10" t="s">
        <v>5006</v>
      </c>
      <c r="T2045" s="11" t="str">
        <f t="shared" si="193"/>
        <v>Check</v>
      </c>
      <c r="U2045" s="12">
        <v>46121</v>
      </c>
      <c r="V2045" s="10">
        <v>1333</v>
      </c>
      <c r="W2045" s="10" t="str">
        <f t="shared" si="191"/>
        <v>N/A</v>
      </c>
      <c r="X2045" t="s">
        <v>450</v>
      </c>
      <c r="Y2045" t="s">
        <v>28</v>
      </c>
      <c r="Z2045">
        <v>100197</v>
      </c>
      <c r="AA2045" t="s">
        <v>493</v>
      </c>
      <c r="AB2045" t="s">
        <v>3039</v>
      </c>
      <c r="AC2045" s="9">
        <v>2</v>
      </c>
      <c r="AD2045" s="9" t="str">
        <f t="shared" si="192"/>
        <v>N/A</v>
      </c>
      <c r="AE2045" s="11" t="e">
        <f t="shared" si="194"/>
        <v>#VALUE!</v>
      </c>
    </row>
    <row r="2046" spans="1:31" x14ac:dyDescent="0.3">
      <c r="A2046">
        <v>15</v>
      </c>
      <c r="B2046">
        <v>4887024</v>
      </c>
      <c r="C2046" t="s">
        <v>217</v>
      </c>
      <c r="D2046">
        <v>1160621</v>
      </c>
      <c r="E2046" t="s">
        <v>571</v>
      </c>
      <c r="F2046" t="s">
        <v>20</v>
      </c>
      <c r="G2046" t="s">
        <v>1694</v>
      </c>
      <c r="H2046" t="s">
        <v>1695</v>
      </c>
      <c r="I2046" t="s">
        <v>3298</v>
      </c>
      <c r="J2046">
        <v>51158227857</v>
      </c>
      <c r="K2046" t="s">
        <v>3379</v>
      </c>
      <c r="L2046" t="s">
        <v>3378</v>
      </c>
      <c r="M2046">
        <v>14000</v>
      </c>
      <c r="N2046" s="10">
        <v>0.16250000000000001</v>
      </c>
      <c r="O2046" s="10">
        <f t="shared" si="190"/>
        <v>2275</v>
      </c>
      <c r="P2046" s="10">
        <v>0</v>
      </c>
      <c r="Q2046" s="10">
        <v>0</v>
      </c>
      <c r="R2046" s="10">
        <f>IF(COUNTIF($J$2:J2046,J2046)=1,SUMIFS($O:$O,$J:$J,J2046)+SUMIFS($P:$P,$J:$J,J2046)+SUMIFS($Q:$Q,$J:$J,J2046),"")</f>
        <v>8834.27</v>
      </c>
      <c r="S2046" s="10">
        <v>8834.27</v>
      </c>
      <c r="T2046" s="11" t="str">
        <f t="shared" si="193"/>
        <v>Ok</v>
      </c>
      <c r="U2046" s="12">
        <v>46038</v>
      </c>
      <c r="V2046" s="10">
        <v>6559.27</v>
      </c>
      <c r="W2046" s="10" t="str">
        <f t="shared" si="191"/>
        <v>Short Paid</v>
      </c>
      <c r="X2046" t="s">
        <v>468</v>
      </c>
      <c r="Y2046" t="s">
        <v>28</v>
      </c>
      <c r="Z2046">
        <v>100156</v>
      </c>
      <c r="AA2046" t="s">
        <v>3112</v>
      </c>
      <c r="AB2046" t="s">
        <v>521</v>
      </c>
      <c r="AC2046" s="9">
        <v>2</v>
      </c>
      <c r="AD2046" s="9" t="str">
        <f t="shared" si="192"/>
        <v>Ok</v>
      </c>
      <c r="AE2046" s="11">
        <f t="shared" si="194"/>
        <v>0</v>
      </c>
    </row>
    <row r="2047" spans="1:31" x14ac:dyDescent="0.3">
      <c r="A2047">
        <v>15</v>
      </c>
      <c r="B2047">
        <v>4887024</v>
      </c>
      <c r="C2047" t="s">
        <v>217</v>
      </c>
      <c r="D2047">
        <v>1160621</v>
      </c>
      <c r="E2047" t="s">
        <v>571</v>
      </c>
      <c r="F2047" t="s">
        <v>20</v>
      </c>
      <c r="G2047" t="s">
        <v>1694</v>
      </c>
      <c r="H2047" t="s">
        <v>1695</v>
      </c>
      <c r="I2047" t="s">
        <v>3425</v>
      </c>
      <c r="J2047">
        <v>51158227857</v>
      </c>
      <c r="K2047" t="s">
        <v>3165</v>
      </c>
      <c r="L2047" t="s">
        <v>4645</v>
      </c>
      <c r="M2047">
        <v>1</v>
      </c>
      <c r="N2047" s="10">
        <v>6559.27</v>
      </c>
      <c r="O2047" s="10">
        <f t="shared" si="190"/>
        <v>6559.27</v>
      </c>
      <c r="P2047" s="10" t="s">
        <v>5006</v>
      </c>
      <c r="Q2047" s="10" t="s">
        <v>5006</v>
      </c>
      <c r="R2047" s="10" t="str">
        <f>IF(COUNTIF($J$2:J2047,J2047)=1,SUMIFS($O:$O,$J:$J,J2047)+SUMIFS($P:$P,$J:$J,J2047)+SUMIFS($Q:$Q,$J:$J,J2047),"")</f>
        <v/>
      </c>
      <c r="S2047" s="10" t="s">
        <v>5006</v>
      </c>
      <c r="T2047" s="11" t="str">
        <f t="shared" si="193"/>
        <v>Ok</v>
      </c>
      <c r="U2047" s="12">
        <v>46038</v>
      </c>
      <c r="V2047" s="10">
        <v>6559.27</v>
      </c>
      <c r="W2047" s="10" t="str">
        <f t="shared" si="191"/>
        <v>N/A</v>
      </c>
      <c r="X2047" t="s">
        <v>468</v>
      </c>
      <c r="Y2047" t="s">
        <v>28</v>
      </c>
      <c r="Z2047">
        <v>100156</v>
      </c>
      <c r="AA2047" t="s">
        <v>3112</v>
      </c>
      <c r="AB2047" t="s">
        <v>521</v>
      </c>
      <c r="AC2047" s="9">
        <v>2</v>
      </c>
      <c r="AD2047" s="9" t="str">
        <f t="shared" si="192"/>
        <v>N/A</v>
      </c>
      <c r="AE2047" s="11" t="e">
        <f t="shared" si="194"/>
        <v>#VALUE!</v>
      </c>
    </row>
    <row r="2048" spans="1:31" x14ac:dyDescent="0.3">
      <c r="A2048">
        <v>8</v>
      </c>
      <c r="B2048">
        <v>4912348</v>
      </c>
      <c r="C2048" t="s">
        <v>160</v>
      </c>
      <c r="D2048">
        <v>1262308</v>
      </c>
      <c r="E2048" t="s">
        <v>611</v>
      </c>
      <c r="F2048" t="s">
        <v>24</v>
      </c>
      <c r="G2048" t="s">
        <v>1754</v>
      </c>
      <c r="H2048" t="s">
        <v>1755</v>
      </c>
      <c r="I2048" t="s">
        <v>3581</v>
      </c>
      <c r="J2048">
        <v>51158230216</v>
      </c>
      <c r="K2048" t="s">
        <v>3650</v>
      </c>
      <c r="L2048" t="s">
        <v>4119</v>
      </c>
      <c r="M2048">
        <v>1000</v>
      </c>
      <c r="N2048" s="10">
        <v>22.93</v>
      </c>
      <c r="O2048" s="10">
        <f t="shared" si="190"/>
        <v>22930</v>
      </c>
      <c r="P2048" s="10">
        <v>0</v>
      </c>
      <c r="Q2048" s="10">
        <v>0</v>
      </c>
      <c r="R2048" s="10">
        <f>IF(COUNTIF($J$2:J2048,J2048)=1,SUMIFS($O:$O,$J:$J,J2048)+SUMIFS($P:$P,$J:$J,J2048)+SUMIFS($Q:$Q,$J:$J,J2048),"")</f>
        <v>23887</v>
      </c>
      <c r="S2048" s="10">
        <v>23887</v>
      </c>
      <c r="T2048" s="11" t="str">
        <f t="shared" si="193"/>
        <v>Ok</v>
      </c>
      <c r="U2048" s="12">
        <v>46130</v>
      </c>
      <c r="V2048" s="10">
        <v>3770</v>
      </c>
      <c r="W2048" s="10" t="str">
        <f t="shared" si="191"/>
        <v>Short Paid</v>
      </c>
      <c r="X2048" t="s">
        <v>453</v>
      </c>
      <c r="Y2048" t="s">
        <v>40</v>
      </c>
      <c r="Z2048">
        <v>100184</v>
      </c>
      <c r="AA2048" t="s">
        <v>3080</v>
      </c>
      <c r="AB2048" t="s">
        <v>522</v>
      </c>
      <c r="AC2048" s="9">
        <v>2</v>
      </c>
      <c r="AD2048" s="9" t="str">
        <f t="shared" si="192"/>
        <v>Ok</v>
      </c>
      <c r="AE2048" s="11">
        <f t="shared" si="194"/>
        <v>0</v>
      </c>
    </row>
    <row r="2049" spans="1:31" x14ac:dyDescent="0.3">
      <c r="A2049">
        <v>8</v>
      </c>
      <c r="B2049">
        <v>4912348</v>
      </c>
      <c r="C2049" t="s">
        <v>160</v>
      </c>
      <c r="D2049">
        <v>1262308</v>
      </c>
      <c r="E2049" t="s">
        <v>611</v>
      </c>
      <c r="F2049" t="s">
        <v>24</v>
      </c>
      <c r="G2049" t="s">
        <v>1754</v>
      </c>
      <c r="H2049" t="s">
        <v>1755</v>
      </c>
      <c r="I2049" t="s">
        <v>3287</v>
      </c>
      <c r="J2049">
        <v>51158230216</v>
      </c>
      <c r="K2049" t="s">
        <v>3183</v>
      </c>
      <c r="L2049" t="s">
        <v>4646</v>
      </c>
      <c r="M2049">
        <v>1500</v>
      </c>
      <c r="N2049" s="10">
        <v>0.63800000000000001</v>
      </c>
      <c r="O2049" s="10">
        <f t="shared" si="190"/>
        <v>957</v>
      </c>
      <c r="P2049" s="10" t="s">
        <v>5006</v>
      </c>
      <c r="Q2049" s="10" t="s">
        <v>5006</v>
      </c>
      <c r="R2049" s="10" t="str">
        <f>IF(COUNTIF($J$2:J2049,J2049)=1,SUMIFS($O:$O,$J:$J,J2049)+SUMIFS($P:$P,$J:$J,J2049)+SUMIFS($Q:$Q,$J:$J,J2049),"")</f>
        <v/>
      </c>
      <c r="S2049" s="10" t="s">
        <v>5006</v>
      </c>
      <c r="T2049" s="11" t="str">
        <f t="shared" si="193"/>
        <v>Ok</v>
      </c>
      <c r="U2049" s="12">
        <v>46130</v>
      </c>
      <c r="V2049" s="10">
        <v>3770</v>
      </c>
      <c r="W2049" s="10" t="str">
        <f t="shared" si="191"/>
        <v>N/A</v>
      </c>
      <c r="X2049" t="s">
        <v>453</v>
      </c>
      <c r="Y2049" t="s">
        <v>40</v>
      </c>
      <c r="Z2049">
        <v>100184</v>
      </c>
      <c r="AA2049" t="s">
        <v>3080</v>
      </c>
      <c r="AB2049" t="s">
        <v>522</v>
      </c>
      <c r="AC2049" s="9">
        <v>2</v>
      </c>
      <c r="AD2049" s="9" t="str">
        <f t="shared" si="192"/>
        <v>N/A</v>
      </c>
      <c r="AE2049" s="11" t="e">
        <f t="shared" si="194"/>
        <v>#VALUE!</v>
      </c>
    </row>
    <row r="2050" spans="1:31" x14ac:dyDescent="0.3">
      <c r="A2050">
        <v>15</v>
      </c>
      <c r="B2050">
        <v>4886467</v>
      </c>
      <c r="C2050" t="s">
        <v>220</v>
      </c>
      <c r="D2050">
        <v>1124420</v>
      </c>
      <c r="E2050" t="s">
        <v>221</v>
      </c>
      <c r="F2050" t="s">
        <v>20</v>
      </c>
      <c r="G2050" t="s">
        <v>1690</v>
      </c>
      <c r="H2050" t="s">
        <v>1691</v>
      </c>
      <c r="I2050" t="s">
        <v>3327</v>
      </c>
      <c r="J2050">
        <v>51158357709</v>
      </c>
      <c r="K2050" t="s">
        <v>3244</v>
      </c>
      <c r="L2050" t="s">
        <v>3518</v>
      </c>
      <c r="M2050">
        <v>114</v>
      </c>
      <c r="N2050" s="10">
        <v>142.15</v>
      </c>
      <c r="O2050" s="10">
        <f t="shared" ref="O2050:O2113" si="195">M2050*N2050</f>
        <v>16205.1</v>
      </c>
      <c r="P2050" s="10">
        <v>0</v>
      </c>
      <c r="Q2050" s="10">
        <v>0</v>
      </c>
      <c r="R2050" s="10">
        <f>IF(COUNTIF($J$2:J2050,J2050)=1,SUMIFS($O:$O,$J:$J,J2050)+SUMIFS($P:$P,$J:$J,J2050)+SUMIFS($Q:$Q,$J:$J,J2050),"")</f>
        <v>20078.7</v>
      </c>
      <c r="S2050" s="10">
        <v>20078.7</v>
      </c>
      <c r="T2050" s="11" t="str">
        <f t="shared" si="193"/>
        <v>Ok</v>
      </c>
      <c r="U2050" s="12">
        <v>46049</v>
      </c>
      <c r="V2050" s="10">
        <v>16205.1</v>
      </c>
      <c r="W2050" s="10" t="str">
        <f t="shared" ref="W2050:W2113" si="196">IF(OR(S2050="",V2050=""),"N/A",IF(S2050&lt;&gt;V2050,"Short Paid","Not Paid"))</f>
        <v>Short Paid</v>
      </c>
      <c r="X2050" t="s">
        <v>470</v>
      </c>
      <c r="Y2050" t="s">
        <v>28</v>
      </c>
      <c r="Z2050">
        <v>100118</v>
      </c>
      <c r="AA2050" t="s">
        <v>494</v>
      </c>
      <c r="AB2050" t="s">
        <v>521</v>
      </c>
      <c r="AC2050" s="9">
        <v>2</v>
      </c>
      <c r="AD2050" s="9" t="str">
        <f t="shared" ref="AD2050:AD2113" si="197">IF(AND(R2050="",S2050=""),"N/A",IF(R2050=S2050,"Ok","Check"))</f>
        <v>Ok</v>
      </c>
      <c r="AE2050" s="11">
        <f t="shared" si="194"/>
        <v>0</v>
      </c>
    </row>
    <row r="2051" spans="1:31" x14ac:dyDescent="0.3">
      <c r="A2051">
        <v>15</v>
      </c>
      <c r="B2051">
        <v>4886467</v>
      </c>
      <c r="C2051" t="s">
        <v>220</v>
      </c>
      <c r="D2051">
        <v>1124420</v>
      </c>
      <c r="E2051" t="s">
        <v>221</v>
      </c>
      <c r="F2051" t="s">
        <v>20</v>
      </c>
      <c r="G2051" t="s">
        <v>1690</v>
      </c>
      <c r="H2051" t="s">
        <v>1691</v>
      </c>
      <c r="I2051" t="s">
        <v>3283</v>
      </c>
      <c r="J2051">
        <v>51158357709</v>
      </c>
      <c r="K2051" t="s">
        <v>3375</v>
      </c>
      <c r="L2051" t="s">
        <v>4647</v>
      </c>
      <c r="M2051">
        <v>24000</v>
      </c>
      <c r="N2051" s="10">
        <v>0.16139999999999999</v>
      </c>
      <c r="O2051" s="10">
        <f t="shared" si="195"/>
        <v>3873.6</v>
      </c>
      <c r="P2051" s="10" t="s">
        <v>5006</v>
      </c>
      <c r="Q2051" s="10" t="s">
        <v>5006</v>
      </c>
      <c r="R2051" s="10" t="str">
        <f>IF(COUNTIF($J$2:J2051,J2051)=1,SUMIFS($O:$O,$J:$J,J2051)+SUMIFS($P:$P,$J:$J,J2051)+SUMIFS($Q:$Q,$J:$J,J2051),"")</f>
        <v/>
      </c>
      <c r="S2051" s="10" t="s">
        <v>5006</v>
      </c>
      <c r="T2051" s="11" t="str">
        <f t="shared" ref="T2051:T2114" si="198">IFERROR(INDEX(AD:AD,MATCH(J2051,J:J,0)),"")</f>
        <v>Ok</v>
      </c>
      <c r="U2051" s="12">
        <v>46049</v>
      </c>
      <c r="V2051" s="10">
        <v>16205.1</v>
      </c>
      <c r="W2051" s="10" t="str">
        <f t="shared" si="196"/>
        <v>N/A</v>
      </c>
      <c r="X2051" t="s">
        <v>470</v>
      </c>
      <c r="Y2051" t="s">
        <v>28</v>
      </c>
      <c r="Z2051">
        <v>100118</v>
      </c>
      <c r="AA2051" t="s">
        <v>494</v>
      </c>
      <c r="AB2051" t="s">
        <v>521</v>
      </c>
      <c r="AC2051" s="9">
        <v>2</v>
      </c>
      <c r="AD2051" s="9" t="str">
        <f t="shared" si="197"/>
        <v>N/A</v>
      </c>
      <c r="AE2051" s="11" t="e">
        <f t="shared" si="194"/>
        <v>#VALUE!</v>
      </c>
    </row>
    <row r="2052" spans="1:31" x14ac:dyDescent="0.3">
      <c r="A2052">
        <v>3</v>
      </c>
      <c r="B2052">
        <v>4951029</v>
      </c>
      <c r="C2052" t="s">
        <v>239</v>
      </c>
      <c r="D2052">
        <v>1085063</v>
      </c>
      <c r="E2052" t="s">
        <v>601</v>
      </c>
      <c r="F2052" t="s">
        <v>18</v>
      </c>
      <c r="G2052" t="s">
        <v>1834</v>
      </c>
      <c r="H2052" t="s">
        <v>1835</v>
      </c>
      <c r="I2052" t="s">
        <v>3236</v>
      </c>
      <c r="J2052">
        <v>51158371787</v>
      </c>
      <c r="K2052" t="s">
        <v>3370</v>
      </c>
      <c r="L2052" t="s">
        <v>4648</v>
      </c>
      <c r="M2052">
        <v>3000</v>
      </c>
      <c r="N2052" s="10">
        <v>2.8500000000000001E-2</v>
      </c>
      <c r="O2052" s="10">
        <f t="shared" si="195"/>
        <v>85.5</v>
      </c>
      <c r="P2052" s="10">
        <v>0</v>
      </c>
      <c r="Q2052" s="10">
        <v>0</v>
      </c>
      <c r="R2052" s="10">
        <f>IF(COUNTIF($J$2:J2052,J2052)=1,SUMIFS($O:$O,$J:$J,J2052)+SUMIFS($P:$P,$J:$J,J2052)+SUMIFS($Q:$Q,$J:$J,J2052),"")</f>
        <v>670.5</v>
      </c>
      <c r="S2052" s="10">
        <v>670.5</v>
      </c>
      <c r="T2052" s="11" t="str">
        <f t="shared" si="198"/>
        <v>Ok</v>
      </c>
      <c r="U2052" s="12">
        <v>46095</v>
      </c>
      <c r="V2052" s="10">
        <v>585</v>
      </c>
      <c r="W2052" s="10" t="str">
        <f t="shared" si="196"/>
        <v>Short Paid</v>
      </c>
      <c r="X2052" t="s">
        <v>476</v>
      </c>
      <c r="Y2052" t="s">
        <v>28</v>
      </c>
      <c r="Z2052">
        <v>100155</v>
      </c>
      <c r="AA2052" t="s">
        <v>3072</v>
      </c>
      <c r="AB2052" t="s">
        <v>523</v>
      </c>
      <c r="AC2052" s="9">
        <v>2</v>
      </c>
      <c r="AD2052" s="9" t="str">
        <f t="shared" si="197"/>
        <v>Ok</v>
      </c>
      <c r="AE2052" s="11">
        <f t="shared" si="194"/>
        <v>0</v>
      </c>
    </row>
    <row r="2053" spans="1:31" x14ac:dyDescent="0.3">
      <c r="A2053">
        <v>3</v>
      </c>
      <c r="B2053">
        <v>4951029</v>
      </c>
      <c r="C2053" t="s">
        <v>239</v>
      </c>
      <c r="D2053">
        <v>1085063</v>
      </c>
      <c r="E2053" t="s">
        <v>601</v>
      </c>
      <c r="F2053" t="s">
        <v>18</v>
      </c>
      <c r="G2053" t="s">
        <v>1834</v>
      </c>
      <c r="H2053" t="s">
        <v>1835</v>
      </c>
      <c r="I2053" t="s">
        <v>3498</v>
      </c>
      <c r="J2053">
        <v>51158371787</v>
      </c>
      <c r="K2053" t="s">
        <v>3168</v>
      </c>
      <c r="L2053" t="s">
        <v>4649</v>
      </c>
      <c r="M2053">
        <v>30000</v>
      </c>
      <c r="N2053" s="10">
        <v>1.95E-2</v>
      </c>
      <c r="O2053" s="10">
        <f t="shared" si="195"/>
        <v>585</v>
      </c>
      <c r="P2053" s="10" t="s">
        <v>5006</v>
      </c>
      <c r="Q2053" s="10" t="s">
        <v>5006</v>
      </c>
      <c r="R2053" s="10" t="str">
        <f>IF(COUNTIF($J$2:J2053,J2053)=1,SUMIFS($O:$O,$J:$J,J2053)+SUMIFS($P:$P,$J:$J,J2053)+SUMIFS($Q:$Q,$J:$J,J2053),"")</f>
        <v/>
      </c>
      <c r="S2053" s="10" t="s">
        <v>5006</v>
      </c>
      <c r="T2053" s="11" t="str">
        <f t="shared" si="198"/>
        <v>Ok</v>
      </c>
      <c r="U2053" s="12">
        <v>46095</v>
      </c>
      <c r="V2053" s="10">
        <v>585</v>
      </c>
      <c r="W2053" s="10" t="str">
        <f t="shared" si="196"/>
        <v>N/A</v>
      </c>
      <c r="X2053" t="s">
        <v>476</v>
      </c>
      <c r="Y2053" t="s">
        <v>28</v>
      </c>
      <c r="Z2053">
        <v>100155</v>
      </c>
      <c r="AA2053" t="s">
        <v>3072</v>
      </c>
      <c r="AB2053" t="s">
        <v>523</v>
      </c>
      <c r="AC2053" s="9">
        <v>2</v>
      </c>
      <c r="AD2053" s="9" t="str">
        <f t="shared" si="197"/>
        <v>N/A</v>
      </c>
      <c r="AE2053" s="11" t="e">
        <f t="shared" si="194"/>
        <v>#VALUE!</v>
      </c>
    </row>
    <row r="2054" spans="1:31" x14ac:dyDescent="0.3">
      <c r="A2054">
        <v>14</v>
      </c>
      <c r="B2054">
        <v>4890641</v>
      </c>
      <c r="C2054" t="s">
        <v>217</v>
      </c>
      <c r="D2054">
        <v>1134777</v>
      </c>
      <c r="E2054" t="s">
        <v>695</v>
      </c>
      <c r="F2054" t="s">
        <v>18</v>
      </c>
      <c r="G2054" t="s">
        <v>2925</v>
      </c>
      <c r="H2054" t="s">
        <v>1708</v>
      </c>
      <c r="I2054" t="s">
        <v>3342</v>
      </c>
      <c r="J2054">
        <v>51158406494</v>
      </c>
      <c r="K2054" t="s">
        <v>3611</v>
      </c>
      <c r="L2054" t="s">
        <v>4650</v>
      </c>
      <c r="M2054">
        <v>10000</v>
      </c>
      <c r="N2054" s="10">
        <v>0.36499999999999999</v>
      </c>
      <c r="O2054" s="10">
        <f t="shared" si="195"/>
        <v>3650</v>
      </c>
      <c r="P2054" s="10">
        <v>0</v>
      </c>
      <c r="Q2054" s="10">
        <v>0</v>
      </c>
      <c r="R2054" s="10">
        <f>IF(COUNTIF($J$2:J2054,J2054)=1,SUMIFS($O:$O,$J:$J,J2054)+SUMIFS($P:$P,$J:$J,J2054)+SUMIFS($Q:$Q,$J:$J,J2054),"")</f>
        <v>5707.25</v>
      </c>
      <c r="S2054" s="10">
        <v>5707.25</v>
      </c>
      <c r="T2054" s="11" t="str">
        <f t="shared" si="198"/>
        <v>Ok</v>
      </c>
      <c r="U2054" s="12">
        <v>45996</v>
      </c>
      <c r="V2054" s="10">
        <v>100</v>
      </c>
      <c r="W2054" s="10" t="str">
        <f t="shared" si="196"/>
        <v>Short Paid</v>
      </c>
      <c r="X2054" t="s">
        <v>468</v>
      </c>
      <c r="Y2054" t="s">
        <v>28</v>
      </c>
      <c r="Z2054">
        <v>100206</v>
      </c>
      <c r="AA2054" t="s">
        <v>3058</v>
      </c>
      <c r="AB2054" t="s">
        <v>523</v>
      </c>
      <c r="AC2054" s="9">
        <v>2</v>
      </c>
      <c r="AD2054" s="9" t="str">
        <f t="shared" si="197"/>
        <v>Ok</v>
      </c>
      <c r="AE2054" s="11">
        <f t="shared" si="194"/>
        <v>0</v>
      </c>
    </row>
    <row r="2055" spans="1:31" x14ac:dyDescent="0.3">
      <c r="A2055">
        <v>14</v>
      </c>
      <c r="B2055">
        <v>4890641</v>
      </c>
      <c r="C2055" t="s">
        <v>217</v>
      </c>
      <c r="D2055">
        <v>1134777</v>
      </c>
      <c r="E2055" t="s">
        <v>695</v>
      </c>
      <c r="F2055" t="s">
        <v>18</v>
      </c>
      <c r="G2055" t="s">
        <v>2925</v>
      </c>
      <c r="H2055" t="s">
        <v>1708</v>
      </c>
      <c r="I2055" t="s">
        <v>3208</v>
      </c>
      <c r="J2055">
        <v>51158406494</v>
      </c>
      <c r="K2055" t="s">
        <v>3375</v>
      </c>
      <c r="L2055" t="s">
        <v>3380</v>
      </c>
      <c r="M2055">
        <v>7500</v>
      </c>
      <c r="N2055" s="10">
        <v>0.27429999999999999</v>
      </c>
      <c r="O2055" s="10">
        <f t="shared" si="195"/>
        <v>2057.25</v>
      </c>
      <c r="P2055" s="10" t="s">
        <v>5006</v>
      </c>
      <c r="Q2055" s="10" t="s">
        <v>5006</v>
      </c>
      <c r="R2055" s="10" t="str">
        <f>IF(COUNTIF($J$2:J2055,J2055)=1,SUMIFS($O:$O,$J:$J,J2055)+SUMIFS($P:$P,$J:$J,J2055)+SUMIFS($Q:$Q,$J:$J,J2055),"")</f>
        <v/>
      </c>
      <c r="S2055" s="10" t="s">
        <v>5006</v>
      </c>
      <c r="T2055" s="11" t="str">
        <f t="shared" si="198"/>
        <v>Ok</v>
      </c>
      <c r="U2055" s="12">
        <v>45996</v>
      </c>
      <c r="V2055" s="10">
        <v>100</v>
      </c>
      <c r="W2055" s="10" t="str">
        <f t="shared" si="196"/>
        <v>N/A</v>
      </c>
      <c r="X2055" t="s">
        <v>468</v>
      </c>
      <c r="Y2055" t="s">
        <v>28</v>
      </c>
      <c r="Z2055">
        <v>100206</v>
      </c>
      <c r="AA2055" t="s">
        <v>3058</v>
      </c>
      <c r="AB2055" t="s">
        <v>523</v>
      </c>
      <c r="AC2055" s="9">
        <v>2</v>
      </c>
      <c r="AD2055" s="9" t="str">
        <f t="shared" si="197"/>
        <v>N/A</v>
      </c>
      <c r="AE2055" s="11" t="e">
        <f t="shared" ref="AE2055:AE2118" si="199">R2055-S2055</f>
        <v>#VALUE!</v>
      </c>
    </row>
    <row r="2056" spans="1:31" x14ac:dyDescent="0.3">
      <c r="A2056">
        <v>10</v>
      </c>
      <c r="B2056">
        <v>4899546</v>
      </c>
      <c r="C2056" t="s">
        <v>167</v>
      </c>
      <c r="D2056">
        <v>1235549</v>
      </c>
      <c r="E2056" t="s">
        <v>168</v>
      </c>
      <c r="F2056" t="s">
        <v>24</v>
      </c>
      <c r="G2056" t="s">
        <v>4908</v>
      </c>
      <c r="H2056" t="s">
        <v>1731</v>
      </c>
      <c r="I2056" t="s">
        <v>3425</v>
      </c>
      <c r="J2056">
        <v>51158486602</v>
      </c>
      <c r="K2056" t="s">
        <v>4460</v>
      </c>
      <c r="L2056" t="s">
        <v>4651</v>
      </c>
      <c r="M2056">
        <v>24</v>
      </c>
      <c r="N2056" s="10">
        <v>558.04999999999995</v>
      </c>
      <c r="O2056" s="10">
        <f t="shared" si="195"/>
        <v>13393.199999999999</v>
      </c>
      <c r="P2056" s="10">
        <v>0</v>
      </c>
      <c r="Q2056" s="10" t="s">
        <v>5006</v>
      </c>
      <c r="R2056" s="10">
        <f>IF(COUNTIF($J$2:J2056,J2056)=1,SUMIFS($O:$O,$J:$J,J2056)+SUMIFS($P:$P,$J:$J,J2056)+SUMIFS($Q:$Q,$J:$J,J2056),"")</f>
        <v>14093.199999999999</v>
      </c>
      <c r="S2056" s="10">
        <v>14618.2</v>
      </c>
      <c r="T2056" s="11" t="str">
        <f t="shared" si="198"/>
        <v>Check</v>
      </c>
      <c r="U2056" s="12">
        <v>46177</v>
      </c>
      <c r="V2056" s="10">
        <v>55.38</v>
      </c>
      <c r="W2056" s="10" t="str">
        <f t="shared" si="196"/>
        <v>Short Paid</v>
      </c>
      <c r="X2056" t="s">
        <v>455</v>
      </c>
      <c r="Y2056" t="s">
        <v>40</v>
      </c>
      <c r="Z2056">
        <v>100220</v>
      </c>
      <c r="AA2056" t="s">
        <v>3051</v>
      </c>
      <c r="AB2056" t="s">
        <v>522</v>
      </c>
      <c r="AC2056" s="9">
        <v>2</v>
      </c>
      <c r="AD2056" s="9" t="str">
        <f t="shared" si="197"/>
        <v>Check</v>
      </c>
      <c r="AE2056" s="11">
        <f t="shared" si="199"/>
        <v>-525.00000000000182</v>
      </c>
    </row>
    <row r="2057" spans="1:31" x14ac:dyDescent="0.3">
      <c r="A2057">
        <v>10</v>
      </c>
      <c r="B2057">
        <v>4899546</v>
      </c>
      <c r="C2057" t="s">
        <v>167</v>
      </c>
      <c r="D2057">
        <v>1235549</v>
      </c>
      <c r="E2057" t="s">
        <v>168</v>
      </c>
      <c r="F2057" t="s">
        <v>24</v>
      </c>
      <c r="G2057" t="s">
        <v>4908</v>
      </c>
      <c r="H2057" t="s">
        <v>1731</v>
      </c>
      <c r="I2057" t="s">
        <v>3425</v>
      </c>
      <c r="J2057">
        <v>51158486602</v>
      </c>
      <c r="K2057" t="s">
        <v>4460</v>
      </c>
      <c r="L2057" t="s">
        <v>4652</v>
      </c>
      <c r="M2057">
        <v>1</v>
      </c>
      <c r="N2057" s="10">
        <v>700</v>
      </c>
      <c r="O2057" s="10">
        <f t="shared" si="195"/>
        <v>700</v>
      </c>
      <c r="P2057" s="10" t="s">
        <v>5006</v>
      </c>
      <c r="Q2057" s="10" t="s">
        <v>5006</v>
      </c>
      <c r="R2057" s="10" t="str">
        <f>IF(COUNTIF($J$2:J2057,J2057)=1,SUMIFS($O:$O,$J:$J,J2057)+SUMIFS($P:$P,$J:$J,J2057)+SUMIFS($Q:$Q,$J:$J,J2057),"")</f>
        <v/>
      </c>
      <c r="S2057" s="10" t="s">
        <v>5006</v>
      </c>
      <c r="T2057" s="11" t="str">
        <f t="shared" si="198"/>
        <v>Check</v>
      </c>
      <c r="U2057" s="12">
        <v>46177</v>
      </c>
      <c r="V2057" s="10">
        <v>55.38</v>
      </c>
      <c r="W2057" s="10" t="str">
        <f t="shared" si="196"/>
        <v>N/A</v>
      </c>
      <c r="X2057" t="s">
        <v>455</v>
      </c>
      <c r="Y2057" t="s">
        <v>40</v>
      </c>
      <c r="Z2057">
        <v>100220</v>
      </c>
      <c r="AA2057" t="s">
        <v>3051</v>
      </c>
      <c r="AB2057" t="s">
        <v>522</v>
      </c>
      <c r="AC2057" s="9">
        <v>2</v>
      </c>
      <c r="AD2057" s="9" t="str">
        <f t="shared" si="197"/>
        <v>N/A</v>
      </c>
      <c r="AE2057" s="11" t="e">
        <f t="shared" si="199"/>
        <v>#VALUE!</v>
      </c>
    </row>
    <row r="2058" spans="1:31" x14ac:dyDescent="0.3">
      <c r="A2058">
        <v>3</v>
      </c>
      <c r="B2058">
        <v>4954647</v>
      </c>
      <c r="C2058" t="s">
        <v>60</v>
      </c>
      <c r="D2058">
        <v>1012428</v>
      </c>
      <c r="E2058" t="s">
        <v>4909</v>
      </c>
      <c r="F2058" t="s">
        <v>17</v>
      </c>
      <c r="G2058" t="s">
        <v>1832</v>
      </c>
      <c r="H2058" t="s">
        <v>1833</v>
      </c>
      <c r="I2058" t="s">
        <v>3325</v>
      </c>
      <c r="J2058">
        <v>51158533134</v>
      </c>
      <c r="K2058" t="s">
        <v>4654</v>
      </c>
      <c r="L2058" t="s">
        <v>4653</v>
      </c>
      <c r="M2058">
        <v>2</v>
      </c>
      <c r="N2058" s="10">
        <v>6331.76</v>
      </c>
      <c r="O2058" s="10">
        <f t="shared" si="195"/>
        <v>12663.52</v>
      </c>
      <c r="P2058" s="10">
        <v>899.84</v>
      </c>
      <c r="Q2058" s="10">
        <v>899.11</v>
      </c>
      <c r="R2058" s="10">
        <f>IF(COUNTIF($J$2:J2058,J2058)=1,SUMIFS($O:$O,$J:$J,J2058)+SUMIFS($P:$P,$J:$J,J2058)+SUMIFS($Q:$Q,$J:$J,J2058),"")</f>
        <v>20290.79</v>
      </c>
      <c r="S2058" s="10">
        <v>20310.68</v>
      </c>
      <c r="T2058" s="11" t="str">
        <f t="shared" si="198"/>
        <v>Check</v>
      </c>
      <c r="U2058" s="12">
        <v>46134</v>
      </c>
      <c r="V2058" s="10">
        <v>14482.36</v>
      </c>
      <c r="W2058" s="10" t="str">
        <f t="shared" si="196"/>
        <v>Short Paid</v>
      </c>
      <c r="X2058" t="s">
        <v>438</v>
      </c>
      <c r="Y2058" t="s">
        <v>436</v>
      </c>
      <c r="Z2058">
        <v>100253</v>
      </c>
      <c r="AA2058" t="s">
        <v>3086</v>
      </c>
      <c r="AB2058" t="s">
        <v>528</v>
      </c>
      <c r="AC2058" s="9">
        <v>6</v>
      </c>
      <c r="AD2058" s="9" t="str">
        <f t="shared" si="197"/>
        <v>Check</v>
      </c>
      <c r="AE2058" s="11">
        <f t="shared" si="199"/>
        <v>-19.889999999999418</v>
      </c>
    </row>
    <row r="2059" spans="1:31" x14ac:dyDescent="0.3">
      <c r="A2059">
        <v>3</v>
      </c>
      <c r="B2059">
        <v>4954647</v>
      </c>
      <c r="C2059" t="s">
        <v>60</v>
      </c>
      <c r="D2059">
        <v>1012428</v>
      </c>
      <c r="E2059" t="s">
        <v>4909</v>
      </c>
      <c r="F2059" t="s">
        <v>17</v>
      </c>
      <c r="G2059" t="s">
        <v>1832</v>
      </c>
      <c r="H2059" t="s">
        <v>1833</v>
      </c>
      <c r="I2059" t="s">
        <v>3204</v>
      </c>
      <c r="J2059">
        <v>51158533134</v>
      </c>
      <c r="K2059" t="s">
        <v>3177</v>
      </c>
      <c r="L2059" t="s">
        <v>3891</v>
      </c>
      <c r="M2059">
        <v>20000</v>
      </c>
      <c r="N2059" s="10">
        <v>1.4500000000000001E-2</v>
      </c>
      <c r="O2059" s="10">
        <f t="shared" si="195"/>
        <v>290</v>
      </c>
      <c r="P2059" s="10" t="s">
        <v>5006</v>
      </c>
      <c r="Q2059" s="10" t="s">
        <v>5006</v>
      </c>
      <c r="R2059" s="10" t="str">
        <f>IF(COUNTIF($J$2:J2059,J2059)=1,SUMIFS($O:$O,$J:$J,J2059)+SUMIFS($P:$P,$J:$J,J2059)+SUMIFS($Q:$Q,$J:$J,J2059),"")</f>
        <v/>
      </c>
      <c r="S2059" s="10" t="s">
        <v>5006</v>
      </c>
      <c r="T2059" s="11" t="str">
        <f t="shared" si="198"/>
        <v>Check</v>
      </c>
      <c r="U2059" s="12">
        <v>46134</v>
      </c>
      <c r="V2059" s="10">
        <v>14482.36</v>
      </c>
      <c r="W2059" s="10" t="str">
        <f t="shared" si="196"/>
        <v>N/A</v>
      </c>
      <c r="X2059" t="s">
        <v>438</v>
      </c>
      <c r="Y2059" t="s">
        <v>436</v>
      </c>
      <c r="Z2059">
        <v>100253</v>
      </c>
      <c r="AA2059" t="s">
        <v>3086</v>
      </c>
      <c r="AB2059" t="s">
        <v>528</v>
      </c>
      <c r="AC2059" s="9">
        <v>6</v>
      </c>
      <c r="AD2059" s="9" t="str">
        <f t="shared" si="197"/>
        <v>N/A</v>
      </c>
      <c r="AE2059" s="11" t="e">
        <f t="shared" si="199"/>
        <v>#VALUE!</v>
      </c>
    </row>
    <row r="2060" spans="1:31" x14ac:dyDescent="0.3">
      <c r="A2060">
        <v>3</v>
      </c>
      <c r="B2060">
        <v>4954647</v>
      </c>
      <c r="C2060" t="s">
        <v>60</v>
      </c>
      <c r="D2060">
        <v>1012428</v>
      </c>
      <c r="E2060" t="s">
        <v>4909</v>
      </c>
      <c r="F2060" t="s">
        <v>17</v>
      </c>
      <c r="G2060" t="s">
        <v>1832</v>
      </c>
      <c r="H2060" t="s">
        <v>1833</v>
      </c>
      <c r="I2060" t="s">
        <v>3204</v>
      </c>
      <c r="J2060">
        <v>51158533134</v>
      </c>
      <c r="K2060" t="s">
        <v>3177</v>
      </c>
      <c r="L2060" t="s">
        <v>4424</v>
      </c>
      <c r="M2060">
        <v>16000</v>
      </c>
      <c r="N2060" s="10">
        <v>6.1399999999999996E-3</v>
      </c>
      <c r="O2060" s="10">
        <f t="shared" si="195"/>
        <v>98.24</v>
      </c>
      <c r="P2060" s="10" t="s">
        <v>5006</v>
      </c>
      <c r="Q2060" s="10" t="s">
        <v>5006</v>
      </c>
      <c r="R2060" s="10" t="str">
        <f>IF(COUNTIF($J$2:J2060,J2060)=1,SUMIFS($O:$O,$J:$J,J2060)+SUMIFS($P:$P,$J:$J,J2060)+SUMIFS($Q:$Q,$J:$J,J2060),"")</f>
        <v/>
      </c>
      <c r="S2060" s="10" t="s">
        <v>5006</v>
      </c>
      <c r="T2060" s="11" t="str">
        <f t="shared" si="198"/>
        <v>Check</v>
      </c>
      <c r="U2060" s="12">
        <v>46134</v>
      </c>
      <c r="V2060" s="10">
        <v>14482.36</v>
      </c>
      <c r="W2060" s="10" t="str">
        <f t="shared" si="196"/>
        <v>N/A</v>
      </c>
      <c r="X2060" t="s">
        <v>438</v>
      </c>
      <c r="Y2060" t="s">
        <v>436</v>
      </c>
      <c r="Z2060">
        <v>100253</v>
      </c>
      <c r="AA2060" t="s">
        <v>3086</v>
      </c>
      <c r="AB2060" t="s">
        <v>528</v>
      </c>
      <c r="AC2060" s="9">
        <v>6</v>
      </c>
      <c r="AD2060" s="9" t="str">
        <f t="shared" si="197"/>
        <v>N/A</v>
      </c>
      <c r="AE2060" s="11" t="e">
        <f t="shared" si="199"/>
        <v>#VALUE!</v>
      </c>
    </row>
    <row r="2061" spans="1:31" x14ac:dyDescent="0.3">
      <c r="A2061">
        <v>3</v>
      </c>
      <c r="B2061">
        <v>4954647</v>
      </c>
      <c r="C2061" t="s">
        <v>60</v>
      </c>
      <c r="D2061">
        <v>1012428</v>
      </c>
      <c r="E2061" t="s">
        <v>4909</v>
      </c>
      <c r="F2061" t="s">
        <v>17</v>
      </c>
      <c r="G2061" t="s">
        <v>1832</v>
      </c>
      <c r="H2061" t="s">
        <v>1833</v>
      </c>
      <c r="I2061" t="s">
        <v>3204</v>
      </c>
      <c r="J2061">
        <v>51158533134</v>
      </c>
      <c r="K2061" t="s">
        <v>3266</v>
      </c>
      <c r="L2061" t="s">
        <v>3893</v>
      </c>
      <c r="M2061">
        <v>1944</v>
      </c>
      <c r="N2061" s="10">
        <v>1.27</v>
      </c>
      <c r="O2061" s="10">
        <f t="shared" si="195"/>
        <v>2468.88</v>
      </c>
      <c r="P2061" s="10" t="s">
        <v>5006</v>
      </c>
      <c r="Q2061" s="10" t="s">
        <v>5006</v>
      </c>
      <c r="R2061" s="10" t="str">
        <f>IF(COUNTIF($J$2:J2061,J2061)=1,SUMIFS($O:$O,$J:$J,J2061)+SUMIFS($P:$P,$J:$J,J2061)+SUMIFS($Q:$Q,$J:$J,J2061),"")</f>
        <v/>
      </c>
      <c r="S2061" s="10" t="s">
        <v>5006</v>
      </c>
      <c r="T2061" s="11" t="str">
        <f t="shared" si="198"/>
        <v>Check</v>
      </c>
      <c r="U2061" s="12">
        <v>46134</v>
      </c>
      <c r="V2061" s="10">
        <v>14482.36</v>
      </c>
      <c r="W2061" s="10" t="str">
        <f t="shared" si="196"/>
        <v>N/A</v>
      </c>
      <c r="X2061" t="s">
        <v>438</v>
      </c>
      <c r="Y2061" t="s">
        <v>436</v>
      </c>
      <c r="Z2061">
        <v>100253</v>
      </c>
      <c r="AA2061" t="s">
        <v>3086</v>
      </c>
      <c r="AB2061" t="s">
        <v>528</v>
      </c>
      <c r="AC2061" s="9">
        <v>6</v>
      </c>
      <c r="AD2061" s="9" t="str">
        <f t="shared" si="197"/>
        <v>N/A</v>
      </c>
      <c r="AE2061" s="11" t="e">
        <f t="shared" si="199"/>
        <v>#VALUE!</v>
      </c>
    </row>
    <row r="2062" spans="1:31" x14ac:dyDescent="0.3">
      <c r="A2062">
        <v>3</v>
      </c>
      <c r="B2062">
        <v>4954647</v>
      </c>
      <c r="C2062" t="s">
        <v>60</v>
      </c>
      <c r="D2062">
        <v>1012428</v>
      </c>
      <c r="E2062" t="s">
        <v>4909</v>
      </c>
      <c r="F2062" t="s">
        <v>17</v>
      </c>
      <c r="G2062" t="s">
        <v>1832</v>
      </c>
      <c r="H2062" t="s">
        <v>1833</v>
      </c>
      <c r="I2062" t="s">
        <v>3204</v>
      </c>
      <c r="J2062">
        <v>51158533134</v>
      </c>
      <c r="K2062" t="s">
        <v>3168</v>
      </c>
      <c r="L2062" t="s">
        <v>4272</v>
      </c>
      <c r="M2062">
        <v>6000</v>
      </c>
      <c r="N2062" s="10">
        <v>1.0200000000000001E-2</v>
      </c>
      <c r="O2062" s="10">
        <f t="shared" si="195"/>
        <v>61.2</v>
      </c>
      <c r="P2062" s="10" t="s">
        <v>5006</v>
      </c>
      <c r="Q2062" s="10" t="s">
        <v>5006</v>
      </c>
      <c r="R2062" s="10" t="str">
        <f>IF(COUNTIF($J$2:J2062,J2062)=1,SUMIFS($O:$O,$J:$J,J2062)+SUMIFS($P:$P,$J:$J,J2062)+SUMIFS($Q:$Q,$J:$J,J2062),"")</f>
        <v/>
      </c>
      <c r="S2062" s="10" t="s">
        <v>5006</v>
      </c>
      <c r="T2062" s="11" t="str">
        <f t="shared" si="198"/>
        <v>Check</v>
      </c>
      <c r="U2062" s="12">
        <v>46134</v>
      </c>
      <c r="V2062" s="10">
        <v>14482.36</v>
      </c>
      <c r="W2062" s="10" t="str">
        <f t="shared" si="196"/>
        <v>N/A</v>
      </c>
      <c r="X2062" t="s">
        <v>438</v>
      </c>
      <c r="Y2062" t="s">
        <v>436</v>
      </c>
      <c r="Z2062">
        <v>100253</v>
      </c>
      <c r="AA2062" t="s">
        <v>3086</v>
      </c>
      <c r="AB2062" t="s">
        <v>528</v>
      </c>
      <c r="AC2062" s="9">
        <v>6</v>
      </c>
      <c r="AD2062" s="9" t="str">
        <f t="shared" si="197"/>
        <v>N/A</v>
      </c>
      <c r="AE2062" s="11" t="e">
        <f t="shared" si="199"/>
        <v>#VALUE!</v>
      </c>
    </row>
    <row r="2063" spans="1:31" x14ac:dyDescent="0.3">
      <c r="A2063">
        <v>3</v>
      </c>
      <c r="B2063">
        <v>4954647</v>
      </c>
      <c r="C2063" t="s">
        <v>60</v>
      </c>
      <c r="D2063">
        <v>1012428</v>
      </c>
      <c r="E2063" t="s">
        <v>4909</v>
      </c>
      <c r="F2063" t="s">
        <v>17</v>
      </c>
      <c r="G2063" t="s">
        <v>1832</v>
      </c>
      <c r="H2063" t="s">
        <v>1833</v>
      </c>
      <c r="I2063" t="s">
        <v>3204</v>
      </c>
      <c r="J2063">
        <v>51158533134</v>
      </c>
      <c r="K2063" t="s">
        <v>3207</v>
      </c>
      <c r="L2063" t="s">
        <v>3870</v>
      </c>
      <c r="M2063">
        <v>100000</v>
      </c>
      <c r="N2063" s="10">
        <v>2.9100000000000001E-2</v>
      </c>
      <c r="O2063" s="10">
        <f t="shared" si="195"/>
        <v>2910</v>
      </c>
      <c r="P2063" s="10" t="s">
        <v>5006</v>
      </c>
      <c r="Q2063" s="10" t="s">
        <v>5006</v>
      </c>
      <c r="R2063" s="10" t="str">
        <f>IF(COUNTIF($J$2:J2063,J2063)=1,SUMIFS($O:$O,$J:$J,J2063)+SUMIFS($P:$P,$J:$J,J2063)+SUMIFS($Q:$Q,$J:$J,J2063),"")</f>
        <v/>
      </c>
      <c r="S2063" s="10" t="s">
        <v>5006</v>
      </c>
      <c r="T2063" s="11" t="str">
        <f t="shared" si="198"/>
        <v>Check</v>
      </c>
      <c r="U2063" s="12">
        <v>46134</v>
      </c>
      <c r="V2063" s="10">
        <v>14482.36</v>
      </c>
      <c r="W2063" s="10" t="str">
        <f t="shared" si="196"/>
        <v>N/A</v>
      </c>
      <c r="X2063" t="s">
        <v>438</v>
      </c>
      <c r="Y2063" t="s">
        <v>436</v>
      </c>
      <c r="Z2063">
        <v>100253</v>
      </c>
      <c r="AA2063" t="s">
        <v>3086</v>
      </c>
      <c r="AB2063" t="s">
        <v>528</v>
      </c>
      <c r="AC2063" s="9">
        <v>6</v>
      </c>
      <c r="AD2063" s="9" t="str">
        <f t="shared" si="197"/>
        <v>N/A</v>
      </c>
      <c r="AE2063" s="11" t="e">
        <f t="shared" si="199"/>
        <v>#VALUE!</v>
      </c>
    </row>
    <row r="2064" spans="1:31" x14ac:dyDescent="0.3">
      <c r="A2064">
        <v>11</v>
      </c>
      <c r="B2064">
        <v>4898155</v>
      </c>
      <c r="C2064" t="s">
        <v>220</v>
      </c>
      <c r="D2064">
        <v>1125734</v>
      </c>
      <c r="E2064" t="s">
        <v>532</v>
      </c>
      <c r="F2064" t="s">
        <v>20</v>
      </c>
      <c r="G2064" t="s">
        <v>2942</v>
      </c>
      <c r="H2064" t="s">
        <v>1732</v>
      </c>
      <c r="I2064" t="s">
        <v>3175</v>
      </c>
      <c r="J2064">
        <v>51158550917</v>
      </c>
      <c r="K2064" t="s">
        <v>3483</v>
      </c>
      <c r="L2064" t="s">
        <v>4655</v>
      </c>
      <c r="M2064">
        <v>260</v>
      </c>
      <c r="N2064" s="10">
        <v>437.58</v>
      </c>
      <c r="O2064" s="10">
        <f t="shared" si="195"/>
        <v>113770.8</v>
      </c>
      <c r="P2064" s="10">
        <v>0</v>
      </c>
      <c r="Q2064" s="10">
        <v>0</v>
      </c>
      <c r="R2064" s="10">
        <f>IF(COUNTIF($J$2:J2064,J2064)=1,SUMIFS($O:$O,$J:$J,J2064)+SUMIFS($P:$P,$J:$J,J2064)+SUMIFS($Q:$Q,$J:$J,J2064),"")</f>
        <v>116311.8</v>
      </c>
      <c r="S2064" s="10">
        <v>116311.8</v>
      </c>
      <c r="T2064" s="11" t="str">
        <f t="shared" si="198"/>
        <v>Ok</v>
      </c>
      <c r="U2064" s="12">
        <v>46150</v>
      </c>
      <c r="V2064" s="10">
        <v>113770.8</v>
      </c>
      <c r="W2064" s="10" t="str">
        <f t="shared" si="196"/>
        <v>Short Paid</v>
      </c>
      <c r="X2064" t="s">
        <v>470</v>
      </c>
      <c r="Y2064" t="s">
        <v>28</v>
      </c>
      <c r="Z2064">
        <v>100158</v>
      </c>
      <c r="AA2064" t="s">
        <v>510</v>
      </c>
      <c r="AB2064" t="s">
        <v>521</v>
      </c>
      <c r="AC2064" s="9">
        <v>2</v>
      </c>
      <c r="AD2064" s="9" t="str">
        <f t="shared" si="197"/>
        <v>Ok</v>
      </c>
      <c r="AE2064" s="11">
        <f t="shared" si="199"/>
        <v>0</v>
      </c>
    </row>
    <row r="2065" spans="1:31" x14ac:dyDescent="0.3">
      <c r="A2065">
        <v>11</v>
      </c>
      <c r="B2065">
        <v>4898155</v>
      </c>
      <c r="C2065" t="s">
        <v>220</v>
      </c>
      <c r="D2065">
        <v>1125734</v>
      </c>
      <c r="E2065" t="s">
        <v>532</v>
      </c>
      <c r="F2065" t="s">
        <v>20</v>
      </c>
      <c r="G2065" t="s">
        <v>2942</v>
      </c>
      <c r="H2065" t="s">
        <v>1732</v>
      </c>
      <c r="I2065" t="s">
        <v>3326</v>
      </c>
      <c r="J2065">
        <v>51158550917</v>
      </c>
      <c r="K2065" t="s">
        <v>3207</v>
      </c>
      <c r="L2065" t="s">
        <v>3346</v>
      </c>
      <c r="M2065">
        <v>38500</v>
      </c>
      <c r="N2065" s="10">
        <v>6.6000000000000003E-2</v>
      </c>
      <c r="O2065" s="10">
        <f t="shared" si="195"/>
        <v>2541</v>
      </c>
      <c r="P2065" s="10" t="s">
        <v>5006</v>
      </c>
      <c r="Q2065" s="10" t="s">
        <v>5006</v>
      </c>
      <c r="R2065" s="10" t="str">
        <f>IF(COUNTIF($J$2:J2065,J2065)=1,SUMIFS($O:$O,$J:$J,J2065)+SUMIFS($P:$P,$J:$J,J2065)+SUMIFS($Q:$Q,$J:$J,J2065),"")</f>
        <v/>
      </c>
      <c r="S2065" s="10" t="s">
        <v>5006</v>
      </c>
      <c r="T2065" s="11" t="str">
        <f t="shared" si="198"/>
        <v>Ok</v>
      </c>
      <c r="U2065" s="12">
        <v>46150</v>
      </c>
      <c r="V2065" s="10">
        <v>113770.8</v>
      </c>
      <c r="W2065" s="10" t="str">
        <f t="shared" si="196"/>
        <v>N/A</v>
      </c>
      <c r="X2065" t="s">
        <v>470</v>
      </c>
      <c r="Y2065" t="s">
        <v>28</v>
      </c>
      <c r="Z2065">
        <v>100158</v>
      </c>
      <c r="AA2065" t="s">
        <v>510</v>
      </c>
      <c r="AB2065" t="s">
        <v>521</v>
      </c>
      <c r="AC2065" s="9">
        <v>2</v>
      </c>
      <c r="AD2065" s="9" t="str">
        <f t="shared" si="197"/>
        <v>N/A</v>
      </c>
      <c r="AE2065" s="11" t="e">
        <f t="shared" si="199"/>
        <v>#VALUE!</v>
      </c>
    </row>
    <row r="2066" spans="1:31" x14ac:dyDescent="0.3">
      <c r="A2066">
        <v>3</v>
      </c>
      <c r="B2066">
        <v>4955203</v>
      </c>
      <c r="C2066" t="s">
        <v>240</v>
      </c>
      <c r="D2066">
        <v>1199471</v>
      </c>
      <c r="E2066" t="s">
        <v>604</v>
      </c>
      <c r="F2066" t="s">
        <v>24</v>
      </c>
      <c r="G2066" t="s">
        <v>2979</v>
      </c>
      <c r="H2066" t="s">
        <v>2980</v>
      </c>
      <c r="I2066" t="s">
        <v>3336</v>
      </c>
      <c r="J2066">
        <v>51158561052</v>
      </c>
      <c r="K2066" t="s">
        <v>3289</v>
      </c>
      <c r="L2066" t="s">
        <v>4656</v>
      </c>
      <c r="M2066">
        <v>1000</v>
      </c>
      <c r="N2066" s="10">
        <v>0.41399999999999998</v>
      </c>
      <c r="O2066" s="10">
        <f t="shared" si="195"/>
        <v>414</v>
      </c>
      <c r="P2066" s="10">
        <v>0</v>
      </c>
      <c r="Q2066" s="10">
        <v>175.52</v>
      </c>
      <c r="R2066" s="10">
        <f>IF(COUNTIF($J$2:J2066,J2066)=1,SUMIFS($O:$O,$J:$J,J2066)+SUMIFS($P:$P,$J:$J,J2066)+SUMIFS($Q:$Q,$J:$J,J2066),"")</f>
        <v>3232.9956000000002</v>
      </c>
      <c r="S2066" s="10">
        <v>3333.33</v>
      </c>
      <c r="T2066" s="11" t="str">
        <f t="shared" si="198"/>
        <v>Check</v>
      </c>
      <c r="U2066" s="12">
        <v>46158</v>
      </c>
      <c r="V2066" s="10">
        <v>811.88</v>
      </c>
      <c r="W2066" s="10" t="str">
        <f t="shared" si="196"/>
        <v>Short Paid</v>
      </c>
      <c r="X2066" t="s">
        <v>478</v>
      </c>
      <c r="Y2066" t="s">
        <v>40</v>
      </c>
      <c r="Z2066">
        <v>100262</v>
      </c>
      <c r="AA2066" t="s">
        <v>3159</v>
      </c>
      <c r="AB2066" t="s">
        <v>522</v>
      </c>
      <c r="AC2066" s="9">
        <v>9</v>
      </c>
      <c r="AD2066" s="9" t="str">
        <f t="shared" si="197"/>
        <v>Check</v>
      </c>
      <c r="AE2066" s="11">
        <f t="shared" si="199"/>
        <v>-100.33439999999973</v>
      </c>
    </row>
    <row r="2067" spans="1:31" x14ac:dyDescent="0.3">
      <c r="A2067">
        <v>3</v>
      </c>
      <c r="B2067">
        <v>4955203</v>
      </c>
      <c r="C2067" t="s">
        <v>240</v>
      </c>
      <c r="D2067">
        <v>1199471</v>
      </c>
      <c r="E2067" t="s">
        <v>604</v>
      </c>
      <c r="F2067" t="s">
        <v>24</v>
      </c>
      <c r="G2067" t="s">
        <v>2979</v>
      </c>
      <c r="H2067" t="s">
        <v>2980</v>
      </c>
      <c r="I2067" t="s">
        <v>3336</v>
      </c>
      <c r="J2067">
        <v>51158561052</v>
      </c>
      <c r="K2067" t="s">
        <v>3266</v>
      </c>
      <c r="L2067" t="s">
        <v>4657</v>
      </c>
      <c r="M2067">
        <v>1000</v>
      </c>
      <c r="N2067" s="10">
        <v>0.434</v>
      </c>
      <c r="O2067" s="10">
        <f t="shared" si="195"/>
        <v>434</v>
      </c>
      <c r="P2067" s="10" t="s">
        <v>5006</v>
      </c>
      <c r="Q2067" s="10" t="s">
        <v>5006</v>
      </c>
      <c r="R2067" s="10" t="str">
        <f>IF(COUNTIF($J$2:J2067,J2067)=1,SUMIFS($O:$O,$J:$J,J2067)+SUMIFS($P:$P,$J:$J,J2067)+SUMIFS($Q:$Q,$J:$J,J2067),"")</f>
        <v/>
      </c>
      <c r="S2067" s="10" t="s">
        <v>5006</v>
      </c>
      <c r="T2067" s="11" t="str">
        <f t="shared" si="198"/>
        <v>Check</v>
      </c>
      <c r="U2067" s="12">
        <v>46158</v>
      </c>
      <c r="V2067" s="10">
        <v>811.88</v>
      </c>
      <c r="W2067" s="10" t="str">
        <f t="shared" si="196"/>
        <v>N/A</v>
      </c>
      <c r="X2067" t="s">
        <v>478</v>
      </c>
      <c r="Y2067" t="s">
        <v>40</v>
      </c>
      <c r="Z2067">
        <v>100262</v>
      </c>
      <c r="AA2067" t="s">
        <v>3159</v>
      </c>
      <c r="AB2067" t="s">
        <v>522</v>
      </c>
      <c r="AC2067" s="9">
        <v>9</v>
      </c>
      <c r="AD2067" s="9" t="str">
        <f t="shared" si="197"/>
        <v>N/A</v>
      </c>
      <c r="AE2067" s="11" t="e">
        <f t="shared" si="199"/>
        <v>#VALUE!</v>
      </c>
    </row>
    <row r="2068" spans="1:31" x14ac:dyDescent="0.3">
      <c r="A2068">
        <v>3</v>
      </c>
      <c r="B2068">
        <v>4955203</v>
      </c>
      <c r="C2068" t="s">
        <v>240</v>
      </c>
      <c r="D2068">
        <v>1199471</v>
      </c>
      <c r="E2068" t="s">
        <v>604</v>
      </c>
      <c r="F2068" t="s">
        <v>24</v>
      </c>
      <c r="G2068" t="s">
        <v>2979</v>
      </c>
      <c r="H2068" t="s">
        <v>2980</v>
      </c>
      <c r="I2068" t="s">
        <v>3336</v>
      </c>
      <c r="J2068">
        <v>51158561052</v>
      </c>
      <c r="K2068" t="s">
        <v>3266</v>
      </c>
      <c r="L2068" t="s">
        <v>4658</v>
      </c>
      <c r="M2068">
        <v>1472</v>
      </c>
      <c r="N2068" s="10">
        <v>0.43230000000000002</v>
      </c>
      <c r="O2068" s="10">
        <f t="shared" si="195"/>
        <v>636.34559999999999</v>
      </c>
      <c r="P2068" s="10" t="s">
        <v>5006</v>
      </c>
      <c r="Q2068" s="10" t="s">
        <v>5006</v>
      </c>
      <c r="R2068" s="10" t="str">
        <f>IF(COUNTIF($J$2:J2068,J2068)=1,SUMIFS($O:$O,$J:$J,J2068)+SUMIFS($P:$P,$J:$J,J2068)+SUMIFS($Q:$Q,$J:$J,J2068),"")</f>
        <v/>
      </c>
      <c r="S2068" s="10" t="s">
        <v>5006</v>
      </c>
      <c r="T2068" s="11" t="str">
        <f t="shared" si="198"/>
        <v>Check</v>
      </c>
      <c r="U2068" s="12">
        <v>46158</v>
      </c>
      <c r="V2068" s="10">
        <v>811.88</v>
      </c>
      <c r="W2068" s="10" t="str">
        <f t="shared" si="196"/>
        <v>N/A</v>
      </c>
      <c r="X2068" t="s">
        <v>478</v>
      </c>
      <c r="Y2068" t="s">
        <v>40</v>
      </c>
      <c r="Z2068">
        <v>100262</v>
      </c>
      <c r="AA2068" t="s">
        <v>3159</v>
      </c>
      <c r="AB2068" t="s">
        <v>522</v>
      </c>
      <c r="AC2068" s="9">
        <v>9</v>
      </c>
      <c r="AD2068" s="9" t="str">
        <f t="shared" si="197"/>
        <v>N/A</v>
      </c>
      <c r="AE2068" s="11" t="e">
        <f t="shared" si="199"/>
        <v>#VALUE!</v>
      </c>
    </row>
    <row r="2069" spans="1:31" x14ac:dyDescent="0.3">
      <c r="A2069">
        <v>3</v>
      </c>
      <c r="B2069">
        <v>4955203</v>
      </c>
      <c r="C2069" t="s">
        <v>240</v>
      </c>
      <c r="D2069">
        <v>1199471</v>
      </c>
      <c r="E2069" t="s">
        <v>604</v>
      </c>
      <c r="F2069" t="s">
        <v>24</v>
      </c>
      <c r="G2069" t="s">
        <v>2979</v>
      </c>
      <c r="H2069" t="s">
        <v>2980</v>
      </c>
      <c r="I2069" t="s">
        <v>3336</v>
      </c>
      <c r="J2069">
        <v>51158561052</v>
      </c>
      <c r="K2069" t="s">
        <v>3168</v>
      </c>
      <c r="L2069" t="s">
        <v>4659</v>
      </c>
      <c r="M2069">
        <v>3000</v>
      </c>
      <c r="N2069" s="10">
        <v>8.5800000000000008E-3</v>
      </c>
      <c r="O2069" s="10">
        <f t="shared" si="195"/>
        <v>25.740000000000002</v>
      </c>
      <c r="P2069" s="10" t="s">
        <v>5006</v>
      </c>
      <c r="Q2069" s="10" t="s">
        <v>5006</v>
      </c>
      <c r="R2069" s="10" t="str">
        <f>IF(COUNTIF($J$2:J2069,J2069)=1,SUMIFS($O:$O,$J:$J,J2069)+SUMIFS($P:$P,$J:$J,J2069)+SUMIFS($Q:$Q,$J:$J,J2069),"")</f>
        <v/>
      </c>
      <c r="S2069" s="10" t="s">
        <v>5006</v>
      </c>
      <c r="T2069" s="11" t="str">
        <f t="shared" si="198"/>
        <v>Check</v>
      </c>
      <c r="U2069" s="12">
        <v>46158</v>
      </c>
      <c r="V2069" s="10">
        <v>811.88</v>
      </c>
      <c r="W2069" s="10" t="str">
        <f t="shared" si="196"/>
        <v>N/A</v>
      </c>
      <c r="X2069" t="s">
        <v>478</v>
      </c>
      <c r="Y2069" t="s">
        <v>40</v>
      </c>
      <c r="Z2069">
        <v>100262</v>
      </c>
      <c r="AA2069" t="s">
        <v>3159</v>
      </c>
      <c r="AB2069" t="s">
        <v>522</v>
      </c>
      <c r="AC2069" s="9">
        <v>9</v>
      </c>
      <c r="AD2069" s="9" t="str">
        <f t="shared" si="197"/>
        <v>N/A</v>
      </c>
      <c r="AE2069" s="11" t="e">
        <f t="shared" si="199"/>
        <v>#VALUE!</v>
      </c>
    </row>
    <row r="2070" spans="1:31" x14ac:dyDescent="0.3">
      <c r="A2070">
        <v>3</v>
      </c>
      <c r="B2070">
        <v>4955203</v>
      </c>
      <c r="C2070" t="s">
        <v>240</v>
      </c>
      <c r="D2070">
        <v>1199471</v>
      </c>
      <c r="E2070" t="s">
        <v>604</v>
      </c>
      <c r="F2070" t="s">
        <v>24</v>
      </c>
      <c r="G2070" t="s">
        <v>2979</v>
      </c>
      <c r="H2070" t="s">
        <v>2980</v>
      </c>
      <c r="I2070" t="s">
        <v>3336</v>
      </c>
      <c r="J2070">
        <v>51158561052</v>
      </c>
      <c r="K2070" t="s">
        <v>3479</v>
      </c>
      <c r="L2070" t="s">
        <v>4660</v>
      </c>
      <c r="M2070">
        <v>8000</v>
      </c>
      <c r="N2070" s="10">
        <v>3.3999999999999998E-3</v>
      </c>
      <c r="O2070" s="10">
        <f t="shared" si="195"/>
        <v>27.2</v>
      </c>
      <c r="P2070" s="10" t="s">
        <v>5006</v>
      </c>
      <c r="Q2070" s="10" t="s">
        <v>5006</v>
      </c>
      <c r="R2070" s="10" t="str">
        <f>IF(COUNTIF($J$2:J2070,J2070)=1,SUMIFS($O:$O,$J:$J,J2070)+SUMIFS($P:$P,$J:$J,J2070)+SUMIFS($Q:$Q,$J:$J,J2070),"")</f>
        <v/>
      </c>
      <c r="S2070" s="10" t="s">
        <v>5006</v>
      </c>
      <c r="T2070" s="11" t="str">
        <f t="shared" si="198"/>
        <v>Check</v>
      </c>
      <c r="U2070" s="12">
        <v>46158</v>
      </c>
      <c r="V2070" s="10">
        <v>811.88</v>
      </c>
      <c r="W2070" s="10" t="str">
        <f t="shared" si="196"/>
        <v>N/A</v>
      </c>
      <c r="X2070" t="s">
        <v>478</v>
      </c>
      <c r="Y2070" t="s">
        <v>40</v>
      </c>
      <c r="Z2070">
        <v>100262</v>
      </c>
      <c r="AA2070" t="s">
        <v>3159</v>
      </c>
      <c r="AB2070" t="s">
        <v>522</v>
      </c>
      <c r="AC2070" s="9">
        <v>9</v>
      </c>
      <c r="AD2070" s="9" t="str">
        <f t="shared" si="197"/>
        <v>N/A</v>
      </c>
      <c r="AE2070" s="11" t="e">
        <f t="shared" si="199"/>
        <v>#VALUE!</v>
      </c>
    </row>
    <row r="2071" spans="1:31" x14ac:dyDescent="0.3">
      <c r="A2071">
        <v>3</v>
      </c>
      <c r="B2071">
        <v>4955203</v>
      </c>
      <c r="C2071" t="s">
        <v>240</v>
      </c>
      <c r="D2071">
        <v>1199471</v>
      </c>
      <c r="E2071" t="s">
        <v>604</v>
      </c>
      <c r="F2071" t="s">
        <v>24</v>
      </c>
      <c r="G2071" t="s">
        <v>2979</v>
      </c>
      <c r="H2071" t="s">
        <v>2980</v>
      </c>
      <c r="I2071" t="s">
        <v>3336</v>
      </c>
      <c r="J2071">
        <v>51158561052</v>
      </c>
      <c r="K2071" t="s">
        <v>3537</v>
      </c>
      <c r="L2071" t="s">
        <v>4661</v>
      </c>
      <c r="M2071">
        <v>4000</v>
      </c>
      <c r="N2071" s="10">
        <v>3.526E-2</v>
      </c>
      <c r="O2071" s="10">
        <f t="shared" si="195"/>
        <v>141.04</v>
      </c>
      <c r="P2071" s="10" t="s">
        <v>5006</v>
      </c>
      <c r="Q2071" s="10" t="s">
        <v>5006</v>
      </c>
      <c r="R2071" s="10" t="str">
        <f>IF(COUNTIF($J$2:J2071,J2071)=1,SUMIFS($O:$O,$J:$J,J2071)+SUMIFS($P:$P,$J:$J,J2071)+SUMIFS($Q:$Q,$J:$J,J2071),"")</f>
        <v/>
      </c>
      <c r="S2071" s="10" t="s">
        <v>5006</v>
      </c>
      <c r="T2071" s="11" t="str">
        <f t="shared" si="198"/>
        <v>Check</v>
      </c>
      <c r="U2071" s="12">
        <v>46158</v>
      </c>
      <c r="V2071" s="10">
        <v>811.88</v>
      </c>
      <c r="W2071" s="10" t="str">
        <f t="shared" si="196"/>
        <v>N/A</v>
      </c>
      <c r="X2071" t="s">
        <v>478</v>
      </c>
      <c r="Y2071" t="s">
        <v>40</v>
      </c>
      <c r="Z2071">
        <v>100262</v>
      </c>
      <c r="AA2071" t="s">
        <v>3159</v>
      </c>
      <c r="AB2071" t="s">
        <v>522</v>
      </c>
      <c r="AC2071" s="9">
        <v>9</v>
      </c>
      <c r="AD2071" s="9" t="str">
        <f t="shared" si="197"/>
        <v>N/A</v>
      </c>
      <c r="AE2071" s="11" t="e">
        <f t="shared" si="199"/>
        <v>#VALUE!</v>
      </c>
    </row>
    <row r="2072" spans="1:31" x14ac:dyDescent="0.3">
      <c r="A2072">
        <v>3</v>
      </c>
      <c r="B2072">
        <v>4955203</v>
      </c>
      <c r="C2072" t="s">
        <v>240</v>
      </c>
      <c r="D2072">
        <v>1199471</v>
      </c>
      <c r="E2072" t="s">
        <v>604</v>
      </c>
      <c r="F2072" t="s">
        <v>24</v>
      </c>
      <c r="G2072" t="s">
        <v>2979</v>
      </c>
      <c r="H2072" t="s">
        <v>2980</v>
      </c>
      <c r="I2072" t="s">
        <v>3336</v>
      </c>
      <c r="J2072">
        <v>51158561052</v>
      </c>
      <c r="K2072" t="s">
        <v>3377</v>
      </c>
      <c r="L2072" t="s">
        <v>4662</v>
      </c>
      <c r="M2072">
        <v>1500</v>
      </c>
      <c r="N2072" s="10">
        <v>0.1231</v>
      </c>
      <c r="O2072" s="10">
        <f t="shared" si="195"/>
        <v>184.65</v>
      </c>
      <c r="P2072" s="10" t="s">
        <v>5006</v>
      </c>
      <c r="Q2072" s="10" t="s">
        <v>5006</v>
      </c>
      <c r="R2072" s="10" t="str">
        <f>IF(COUNTIF($J$2:J2072,J2072)=1,SUMIFS($O:$O,$J:$J,J2072)+SUMIFS($P:$P,$J:$J,J2072)+SUMIFS($Q:$Q,$J:$J,J2072),"")</f>
        <v/>
      </c>
      <c r="S2072" s="10" t="s">
        <v>5006</v>
      </c>
      <c r="T2072" s="11" t="str">
        <f t="shared" si="198"/>
        <v>Check</v>
      </c>
      <c r="U2072" s="12">
        <v>46158</v>
      </c>
      <c r="V2072" s="10">
        <v>811.88</v>
      </c>
      <c r="W2072" s="10" t="str">
        <f t="shared" si="196"/>
        <v>N/A</v>
      </c>
      <c r="X2072" t="s">
        <v>478</v>
      </c>
      <c r="Y2072" t="s">
        <v>40</v>
      </c>
      <c r="Z2072">
        <v>100262</v>
      </c>
      <c r="AA2072" t="s">
        <v>3159</v>
      </c>
      <c r="AB2072" t="s">
        <v>522</v>
      </c>
      <c r="AC2072" s="9">
        <v>9</v>
      </c>
      <c r="AD2072" s="9" t="str">
        <f t="shared" si="197"/>
        <v>N/A</v>
      </c>
      <c r="AE2072" s="11" t="e">
        <f t="shared" si="199"/>
        <v>#VALUE!</v>
      </c>
    </row>
    <row r="2073" spans="1:31" x14ac:dyDescent="0.3">
      <c r="A2073">
        <v>3</v>
      </c>
      <c r="B2073">
        <v>4955203</v>
      </c>
      <c r="C2073" t="s">
        <v>240</v>
      </c>
      <c r="D2073">
        <v>1199471</v>
      </c>
      <c r="E2073" t="s">
        <v>604</v>
      </c>
      <c r="F2073" t="s">
        <v>24</v>
      </c>
      <c r="G2073" t="s">
        <v>2979</v>
      </c>
      <c r="H2073" t="s">
        <v>2980</v>
      </c>
      <c r="I2073" t="s">
        <v>3336</v>
      </c>
      <c r="J2073">
        <v>51158561052</v>
      </c>
      <c r="K2073" t="s">
        <v>3241</v>
      </c>
      <c r="L2073" t="s">
        <v>4663</v>
      </c>
      <c r="M2073">
        <v>5000</v>
      </c>
      <c r="N2073" s="10">
        <v>2.29E-2</v>
      </c>
      <c r="O2073" s="10">
        <f t="shared" si="195"/>
        <v>114.5</v>
      </c>
      <c r="P2073" s="10" t="s">
        <v>5006</v>
      </c>
      <c r="Q2073" s="10" t="s">
        <v>5006</v>
      </c>
      <c r="R2073" s="10" t="str">
        <f>IF(COUNTIF($J$2:J2073,J2073)=1,SUMIFS($O:$O,$J:$J,J2073)+SUMIFS($P:$P,$J:$J,J2073)+SUMIFS($Q:$Q,$J:$J,J2073),"")</f>
        <v/>
      </c>
      <c r="S2073" s="10" t="s">
        <v>5006</v>
      </c>
      <c r="T2073" s="11" t="str">
        <f t="shared" si="198"/>
        <v>Check</v>
      </c>
      <c r="U2073" s="12">
        <v>46158</v>
      </c>
      <c r="V2073" s="10">
        <v>811.88</v>
      </c>
      <c r="W2073" s="10" t="str">
        <f t="shared" si="196"/>
        <v>N/A</v>
      </c>
      <c r="X2073" t="s">
        <v>478</v>
      </c>
      <c r="Y2073" t="s">
        <v>40</v>
      </c>
      <c r="Z2073">
        <v>100262</v>
      </c>
      <c r="AA2073" t="s">
        <v>3159</v>
      </c>
      <c r="AB2073" t="s">
        <v>522</v>
      </c>
      <c r="AC2073" s="9">
        <v>9</v>
      </c>
      <c r="AD2073" s="9" t="str">
        <f t="shared" si="197"/>
        <v>N/A</v>
      </c>
      <c r="AE2073" s="11" t="e">
        <f t="shared" si="199"/>
        <v>#VALUE!</v>
      </c>
    </row>
    <row r="2074" spans="1:31" x14ac:dyDescent="0.3">
      <c r="A2074">
        <v>3</v>
      </c>
      <c r="B2074">
        <v>4955203</v>
      </c>
      <c r="C2074" t="s">
        <v>240</v>
      </c>
      <c r="D2074">
        <v>1199471</v>
      </c>
      <c r="E2074" t="s">
        <v>604</v>
      </c>
      <c r="F2074" t="s">
        <v>24</v>
      </c>
      <c r="G2074" t="s">
        <v>2979</v>
      </c>
      <c r="H2074" t="s">
        <v>2980</v>
      </c>
      <c r="I2074" t="s">
        <v>3208</v>
      </c>
      <c r="J2074">
        <v>51158561052</v>
      </c>
      <c r="K2074" t="s">
        <v>3379</v>
      </c>
      <c r="L2074" t="s">
        <v>3461</v>
      </c>
      <c r="M2074">
        <v>40000</v>
      </c>
      <c r="N2074" s="10">
        <v>2.7E-2</v>
      </c>
      <c r="O2074" s="10">
        <f t="shared" si="195"/>
        <v>1080</v>
      </c>
      <c r="P2074" s="10" t="s">
        <v>5006</v>
      </c>
      <c r="Q2074" s="10" t="s">
        <v>5006</v>
      </c>
      <c r="R2074" s="10" t="str">
        <f>IF(COUNTIF($J$2:J2074,J2074)=1,SUMIFS($O:$O,$J:$J,J2074)+SUMIFS($P:$P,$J:$J,J2074)+SUMIFS($Q:$Q,$J:$J,J2074),"")</f>
        <v/>
      </c>
      <c r="S2074" s="10" t="s">
        <v>5006</v>
      </c>
      <c r="T2074" s="11" t="str">
        <f t="shared" si="198"/>
        <v>Check</v>
      </c>
      <c r="U2074" s="12">
        <v>46158</v>
      </c>
      <c r="V2074" s="10">
        <v>811.88</v>
      </c>
      <c r="W2074" s="10" t="str">
        <f t="shared" si="196"/>
        <v>N/A</v>
      </c>
      <c r="X2074" t="s">
        <v>478</v>
      </c>
      <c r="Y2074" t="s">
        <v>40</v>
      </c>
      <c r="Z2074">
        <v>100262</v>
      </c>
      <c r="AA2074" t="s">
        <v>3159</v>
      </c>
      <c r="AB2074" t="s">
        <v>522</v>
      </c>
      <c r="AC2074" s="9">
        <v>9</v>
      </c>
      <c r="AD2074" s="9" t="str">
        <f t="shared" si="197"/>
        <v>N/A</v>
      </c>
      <c r="AE2074" s="11" t="e">
        <f t="shared" si="199"/>
        <v>#VALUE!</v>
      </c>
    </row>
    <row r="2075" spans="1:31" x14ac:dyDescent="0.3">
      <c r="A2075">
        <v>3</v>
      </c>
      <c r="B2075">
        <v>4954925</v>
      </c>
      <c r="C2075" t="s">
        <v>160</v>
      </c>
      <c r="D2075">
        <v>1027819</v>
      </c>
      <c r="E2075" t="s">
        <v>602</v>
      </c>
      <c r="F2075" t="s">
        <v>19</v>
      </c>
      <c r="G2075" t="s">
        <v>1850</v>
      </c>
      <c r="H2075" t="s">
        <v>1851</v>
      </c>
      <c r="I2075" t="s">
        <v>3408</v>
      </c>
      <c r="J2075">
        <v>51158565333</v>
      </c>
      <c r="K2075" t="s">
        <v>3177</v>
      </c>
      <c r="L2075" t="s">
        <v>3470</v>
      </c>
      <c r="M2075">
        <v>48000</v>
      </c>
      <c r="N2075" s="10">
        <v>1.273E-2</v>
      </c>
      <c r="O2075" s="10">
        <f t="shared" si="195"/>
        <v>611.04</v>
      </c>
      <c r="P2075" s="10">
        <v>30.67</v>
      </c>
      <c r="Q2075" s="10">
        <v>0</v>
      </c>
      <c r="R2075" s="10">
        <f>IF(COUNTIF($J$2:J2075,J2075)=1,SUMIFS($O:$O,$J:$J,J2075)+SUMIFS($P:$P,$J:$J,J2075)+SUMIFS($Q:$Q,$J:$J,J2075),"")</f>
        <v>1040.02</v>
      </c>
      <c r="S2075" s="10">
        <v>1040.02</v>
      </c>
      <c r="T2075" s="11" t="str">
        <f t="shared" si="198"/>
        <v>Ok</v>
      </c>
      <c r="U2075" s="12">
        <v>46094</v>
      </c>
      <c r="V2075" s="10">
        <v>428.98</v>
      </c>
      <c r="W2075" s="10" t="str">
        <f t="shared" si="196"/>
        <v>Short Paid</v>
      </c>
      <c r="X2075" t="s">
        <v>453</v>
      </c>
      <c r="Y2075" t="s">
        <v>28</v>
      </c>
      <c r="Z2075">
        <v>100234</v>
      </c>
      <c r="AA2075" t="s">
        <v>502</v>
      </c>
      <c r="AB2075" t="s">
        <v>524</v>
      </c>
      <c r="AC2075" s="9">
        <v>2</v>
      </c>
      <c r="AD2075" s="9" t="str">
        <f t="shared" si="197"/>
        <v>Ok</v>
      </c>
      <c r="AE2075" s="11">
        <f t="shared" si="199"/>
        <v>0</v>
      </c>
    </row>
    <row r="2076" spans="1:31" x14ac:dyDescent="0.3">
      <c r="A2076">
        <v>3</v>
      </c>
      <c r="B2076">
        <v>4954925</v>
      </c>
      <c r="C2076" t="s">
        <v>160</v>
      </c>
      <c r="D2076">
        <v>1027819</v>
      </c>
      <c r="E2076" t="s">
        <v>602</v>
      </c>
      <c r="F2076" t="s">
        <v>19</v>
      </c>
      <c r="G2076" t="s">
        <v>1850</v>
      </c>
      <c r="H2076" t="s">
        <v>1851</v>
      </c>
      <c r="I2076" t="s">
        <v>3446</v>
      </c>
      <c r="J2076">
        <v>51158565333</v>
      </c>
      <c r="K2076" t="s">
        <v>3429</v>
      </c>
      <c r="L2076" t="s">
        <v>4664</v>
      </c>
      <c r="M2076">
        <v>51</v>
      </c>
      <c r="N2076" s="10">
        <v>7.81</v>
      </c>
      <c r="O2076" s="10">
        <f t="shared" si="195"/>
        <v>398.31</v>
      </c>
      <c r="P2076" s="10" t="s">
        <v>5006</v>
      </c>
      <c r="Q2076" s="10" t="s">
        <v>5006</v>
      </c>
      <c r="R2076" s="10" t="str">
        <f>IF(COUNTIF($J$2:J2076,J2076)=1,SUMIFS($O:$O,$J:$J,J2076)+SUMIFS($P:$P,$J:$J,J2076)+SUMIFS($Q:$Q,$J:$J,J2076),"")</f>
        <v/>
      </c>
      <c r="S2076" s="10" t="s">
        <v>5006</v>
      </c>
      <c r="T2076" s="11" t="str">
        <f t="shared" si="198"/>
        <v>Ok</v>
      </c>
      <c r="U2076" s="12">
        <v>46094</v>
      </c>
      <c r="V2076" s="10">
        <v>428.98</v>
      </c>
      <c r="W2076" s="10" t="str">
        <f t="shared" si="196"/>
        <v>N/A</v>
      </c>
      <c r="X2076" t="s">
        <v>453</v>
      </c>
      <c r="Y2076" t="s">
        <v>28</v>
      </c>
      <c r="Z2076">
        <v>100234</v>
      </c>
      <c r="AA2076" t="s">
        <v>502</v>
      </c>
      <c r="AB2076" t="s">
        <v>524</v>
      </c>
      <c r="AC2076" s="9">
        <v>2</v>
      </c>
      <c r="AD2076" s="9" t="str">
        <f t="shared" si="197"/>
        <v>N/A</v>
      </c>
      <c r="AE2076" s="11" t="e">
        <f t="shared" si="199"/>
        <v>#VALUE!</v>
      </c>
    </row>
    <row r="2077" spans="1:31" x14ac:dyDescent="0.3">
      <c r="A2077">
        <v>2</v>
      </c>
      <c r="B2077">
        <v>4960769</v>
      </c>
      <c r="C2077" t="s">
        <v>167</v>
      </c>
      <c r="D2077">
        <v>1241713</v>
      </c>
      <c r="E2077" t="s">
        <v>614</v>
      </c>
      <c r="F2077" t="s">
        <v>19</v>
      </c>
      <c r="G2077" t="s">
        <v>2996</v>
      </c>
      <c r="H2077" t="s">
        <v>1852</v>
      </c>
      <c r="I2077" t="s">
        <v>3172</v>
      </c>
      <c r="J2077">
        <v>51158595742</v>
      </c>
      <c r="K2077" t="s">
        <v>3364</v>
      </c>
      <c r="L2077" t="s">
        <v>4665</v>
      </c>
      <c r="M2077">
        <v>50095</v>
      </c>
      <c r="N2077" s="10">
        <v>0.67469999999999997</v>
      </c>
      <c r="O2077" s="10">
        <f t="shared" si="195"/>
        <v>33799.0965</v>
      </c>
      <c r="P2077" s="10">
        <v>0</v>
      </c>
      <c r="Q2077" s="10">
        <v>0</v>
      </c>
      <c r="R2077" s="10">
        <f>IF(COUNTIF($J$2:J2077,J2077)=1,SUMIFS($O:$O,$J:$J,J2077)+SUMIFS($P:$P,$J:$J,J2077)+SUMIFS($Q:$Q,$J:$J,J2077),"")</f>
        <v>34642.396499999995</v>
      </c>
      <c r="S2077" s="10">
        <v>34761.879999999997</v>
      </c>
      <c r="T2077" s="11" t="str">
        <f t="shared" si="198"/>
        <v>Check</v>
      </c>
      <c r="U2077" s="12">
        <v>46171</v>
      </c>
      <c r="V2077" s="10">
        <v>33799.1</v>
      </c>
      <c r="W2077" s="10" t="str">
        <f t="shared" si="196"/>
        <v>Short Paid</v>
      </c>
      <c r="X2077" t="s">
        <v>455</v>
      </c>
      <c r="Y2077" t="s">
        <v>28</v>
      </c>
      <c r="Z2077">
        <v>100240</v>
      </c>
      <c r="AA2077" t="s">
        <v>459</v>
      </c>
      <c r="AB2077" t="s">
        <v>524</v>
      </c>
      <c r="AC2077" s="9">
        <v>3</v>
      </c>
      <c r="AD2077" s="9" t="str">
        <f t="shared" si="197"/>
        <v>Check</v>
      </c>
      <c r="AE2077" s="11">
        <f t="shared" si="199"/>
        <v>-119.4835000000021</v>
      </c>
    </row>
    <row r="2078" spans="1:31" x14ac:dyDescent="0.3">
      <c r="A2078">
        <v>2</v>
      </c>
      <c r="B2078">
        <v>4960769</v>
      </c>
      <c r="C2078" t="s">
        <v>167</v>
      </c>
      <c r="D2078">
        <v>1241713</v>
      </c>
      <c r="E2078" t="s">
        <v>614</v>
      </c>
      <c r="F2078" t="s">
        <v>19</v>
      </c>
      <c r="G2078" t="s">
        <v>2996</v>
      </c>
      <c r="H2078" t="s">
        <v>1852</v>
      </c>
      <c r="I2078" t="s">
        <v>3326</v>
      </c>
      <c r="J2078">
        <v>51158595742</v>
      </c>
      <c r="K2078" t="s">
        <v>3177</v>
      </c>
      <c r="L2078" t="s">
        <v>4666</v>
      </c>
      <c r="M2078">
        <v>10000</v>
      </c>
      <c r="N2078" s="10">
        <v>4.5269999999999998E-2</v>
      </c>
      <c r="O2078" s="10">
        <f t="shared" si="195"/>
        <v>452.7</v>
      </c>
      <c r="P2078" s="10" t="s">
        <v>5006</v>
      </c>
      <c r="Q2078" s="10" t="s">
        <v>5006</v>
      </c>
      <c r="R2078" s="10" t="str">
        <f>IF(COUNTIF($J$2:J2078,J2078)=1,SUMIFS($O:$O,$J:$J,J2078)+SUMIFS($P:$P,$J:$J,J2078)+SUMIFS($Q:$Q,$J:$J,J2078),"")</f>
        <v/>
      </c>
      <c r="S2078" s="10" t="s">
        <v>5006</v>
      </c>
      <c r="T2078" s="11" t="str">
        <f t="shared" si="198"/>
        <v>Check</v>
      </c>
      <c r="U2078" s="12">
        <v>46171</v>
      </c>
      <c r="V2078" s="10">
        <v>33799.1</v>
      </c>
      <c r="W2078" s="10" t="str">
        <f t="shared" si="196"/>
        <v>N/A</v>
      </c>
      <c r="X2078" t="s">
        <v>455</v>
      </c>
      <c r="Y2078" t="s">
        <v>28</v>
      </c>
      <c r="Z2078">
        <v>100240</v>
      </c>
      <c r="AA2078" t="s">
        <v>459</v>
      </c>
      <c r="AB2078" t="s">
        <v>524</v>
      </c>
      <c r="AC2078" s="9">
        <v>3</v>
      </c>
      <c r="AD2078" s="9" t="str">
        <f t="shared" si="197"/>
        <v>N/A</v>
      </c>
      <c r="AE2078" s="11" t="e">
        <f t="shared" si="199"/>
        <v>#VALUE!</v>
      </c>
    </row>
    <row r="2079" spans="1:31" x14ac:dyDescent="0.3">
      <c r="A2079">
        <v>2</v>
      </c>
      <c r="B2079">
        <v>4960769</v>
      </c>
      <c r="C2079" t="s">
        <v>167</v>
      </c>
      <c r="D2079">
        <v>1241713</v>
      </c>
      <c r="E2079" t="s">
        <v>614</v>
      </c>
      <c r="F2079" t="s">
        <v>19</v>
      </c>
      <c r="G2079" t="s">
        <v>2996</v>
      </c>
      <c r="H2079" t="s">
        <v>1852</v>
      </c>
      <c r="I2079" t="s">
        <v>3326</v>
      </c>
      <c r="J2079">
        <v>51158595742</v>
      </c>
      <c r="K2079" t="s">
        <v>4089</v>
      </c>
      <c r="L2079" t="s">
        <v>4667</v>
      </c>
      <c r="M2079">
        <v>4000</v>
      </c>
      <c r="N2079" s="10">
        <v>9.7650000000000001E-2</v>
      </c>
      <c r="O2079" s="10">
        <f t="shared" si="195"/>
        <v>390.6</v>
      </c>
      <c r="P2079" s="10" t="s">
        <v>5006</v>
      </c>
      <c r="Q2079" s="10" t="s">
        <v>5006</v>
      </c>
      <c r="R2079" s="10" t="str">
        <f>IF(COUNTIF($J$2:J2079,J2079)=1,SUMIFS($O:$O,$J:$J,J2079)+SUMIFS($P:$P,$J:$J,J2079)+SUMIFS($Q:$Q,$J:$J,J2079),"")</f>
        <v/>
      </c>
      <c r="S2079" s="10" t="s">
        <v>5006</v>
      </c>
      <c r="T2079" s="11" t="str">
        <f t="shared" si="198"/>
        <v>Check</v>
      </c>
      <c r="U2079" s="12">
        <v>46171</v>
      </c>
      <c r="V2079" s="10">
        <v>33799.1</v>
      </c>
      <c r="W2079" s="10" t="str">
        <f t="shared" si="196"/>
        <v>N/A</v>
      </c>
      <c r="X2079" t="s">
        <v>455</v>
      </c>
      <c r="Y2079" t="s">
        <v>28</v>
      </c>
      <c r="Z2079">
        <v>100240</v>
      </c>
      <c r="AA2079" t="s">
        <v>459</v>
      </c>
      <c r="AB2079" t="s">
        <v>524</v>
      </c>
      <c r="AC2079" s="9">
        <v>3</v>
      </c>
      <c r="AD2079" s="9" t="str">
        <f t="shared" si="197"/>
        <v>N/A</v>
      </c>
      <c r="AE2079" s="11" t="e">
        <f t="shared" si="199"/>
        <v>#VALUE!</v>
      </c>
    </row>
    <row r="2080" spans="1:31" x14ac:dyDescent="0.3">
      <c r="A2080">
        <v>3</v>
      </c>
      <c r="B2080">
        <v>4954368</v>
      </c>
      <c r="C2080" t="s">
        <v>240</v>
      </c>
      <c r="D2080">
        <v>1960172</v>
      </c>
      <c r="E2080" t="s">
        <v>597</v>
      </c>
      <c r="F2080" t="s">
        <v>27</v>
      </c>
      <c r="G2080" t="s">
        <v>1848</v>
      </c>
      <c r="H2080" t="s">
        <v>1849</v>
      </c>
      <c r="I2080" t="s">
        <v>3195</v>
      </c>
      <c r="J2080">
        <v>51158597165</v>
      </c>
      <c r="K2080" t="s">
        <v>3226</v>
      </c>
      <c r="L2080" t="s">
        <v>3225</v>
      </c>
      <c r="M2080">
        <v>1000</v>
      </c>
      <c r="N2080" s="10">
        <v>1.41882</v>
      </c>
      <c r="O2080" s="10">
        <f t="shared" si="195"/>
        <v>1418.82</v>
      </c>
      <c r="P2080" s="10">
        <v>0</v>
      </c>
      <c r="Q2080" s="10">
        <v>0</v>
      </c>
      <c r="R2080" s="10">
        <f>IF(COUNTIF($J$2:J2080,J2080)=1,SUMIFS($O:$O,$J:$J,J2080)+SUMIFS($P:$P,$J:$J,J2080)+SUMIFS($Q:$Q,$J:$J,J2080),"")</f>
        <v>2446.8305</v>
      </c>
      <c r="S2080" s="10">
        <v>2446.83</v>
      </c>
      <c r="T2080" s="11" t="str">
        <f t="shared" si="198"/>
        <v>Check</v>
      </c>
      <c r="U2080" s="12">
        <v>45912</v>
      </c>
      <c r="V2080" s="10">
        <v>1028.01</v>
      </c>
      <c r="W2080" s="10" t="str">
        <f t="shared" si="196"/>
        <v>Short Paid</v>
      </c>
      <c r="X2080" t="s">
        <v>478</v>
      </c>
      <c r="Y2080" t="s">
        <v>436</v>
      </c>
      <c r="Z2080">
        <v>100132</v>
      </c>
      <c r="AA2080" t="s">
        <v>3053</v>
      </c>
      <c r="AB2080" t="s">
        <v>3034</v>
      </c>
      <c r="AC2080" s="9">
        <v>2</v>
      </c>
      <c r="AD2080" s="9" t="str">
        <f t="shared" si="197"/>
        <v>Check</v>
      </c>
      <c r="AE2080" s="11">
        <f t="shared" si="199"/>
        <v>5.0000000010186341E-4</v>
      </c>
    </row>
    <row r="2081" spans="1:31" x14ac:dyDescent="0.3">
      <c r="A2081">
        <v>3</v>
      </c>
      <c r="B2081">
        <v>4954368</v>
      </c>
      <c r="C2081" t="s">
        <v>240</v>
      </c>
      <c r="D2081">
        <v>1960172</v>
      </c>
      <c r="E2081" t="s">
        <v>597</v>
      </c>
      <c r="F2081" t="s">
        <v>27</v>
      </c>
      <c r="G2081" t="s">
        <v>1848</v>
      </c>
      <c r="H2081" t="s">
        <v>1849</v>
      </c>
      <c r="I2081" t="s">
        <v>3260</v>
      </c>
      <c r="J2081">
        <v>51158597165</v>
      </c>
      <c r="K2081" t="s">
        <v>3171</v>
      </c>
      <c r="L2081" t="s">
        <v>4668</v>
      </c>
      <c r="M2081">
        <v>11</v>
      </c>
      <c r="N2081" s="10">
        <v>93.455500000000001</v>
      </c>
      <c r="O2081" s="10">
        <f t="shared" si="195"/>
        <v>1028.0105000000001</v>
      </c>
      <c r="P2081" s="10" t="s">
        <v>5006</v>
      </c>
      <c r="Q2081" s="10" t="s">
        <v>5006</v>
      </c>
      <c r="R2081" s="10" t="str">
        <f>IF(COUNTIF($J$2:J2081,J2081)=1,SUMIFS($O:$O,$J:$J,J2081)+SUMIFS($P:$P,$J:$J,J2081)+SUMIFS($Q:$Q,$J:$J,J2081),"")</f>
        <v/>
      </c>
      <c r="S2081" s="10" t="s">
        <v>5006</v>
      </c>
      <c r="T2081" s="11" t="str">
        <f t="shared" si="198"/>
        <v>Check</v>
      </c>
      <c r="U2081" s="12">
        <v>45912</v>
      </c>
      <c r="V2081" s="10">
        <v>1028.01</v>
      </c>
      <c r="W2081" s="10" t="str">
        <f t="shared" si="196"/>
        <v>N/A</v>
      </c>
      <c r="X2081" t="s">
        <v>478</v>
      </c>
      <c r="Y2081" t="s">
        <v>436</v>
      </c>
      <c r="Z2081">
        <v>100132</v>
      </c>
      <c r="AA2081" t="s">
        <v>3053</v>
      </c>
      <c r="AB2081" t="s">
        <v>3034</v>
      </c>
      <c r="AC2081" s="9">
        <v>2</v>
      </c>
      <c r="AD2081" s="9" t="str">
        <f t="shared" si="197"/>
        <v>N/A</v>
      </c>
      <c r="AE2081" s="11" t="e">
        <f t="shared" si="199"/>
        <v>#VALUE!</v>
      </c>
    </row>
    <row r="2082" spans="1:31" x14ac:dyDescent="0.3">
      <c r="A2082">
        <v>3</v>
      </c>
      <c r="B2082">
        <v>4954090</v>
      </c>
      <c r="C2082" t="s">
        <v>60</v>
      </c>
      <c r="D2082">
        <v>1507694</v>
      </c>
      <c r="E2082" t="s">
        <v>351</v>
      </c>
      <c r="F2082" t="s">
        <v>24</v>
      </c>
      <c r="G2082" t="s">
        <v>1846</v>
      </c>
      <c r="H2082" t="s">
        <v>1847</v>
      </c>
      <c r="I2082" t="s">
        <v>3419</v>
      </c>
      <c r="J2082">
        <v>51158602796</v>
      </c>
      <c r="K2082" t="s">
        <v>3226</v>
      </c>
      <c r="L2082" t="s">
        <v>3225</v>
      </c>
      <c r="M2082">
        <v>1000</v>
      </c>
      <c r="N2082" s="10">
        <v>1.41882</v>
      </c>
      <c r="O2082" s="10">
        <f t="shared" si="195"/>
        <v>1418.82</v>
      </c>
      <c r="P2082" s="10">
        <v>0</v>
      </c>
      <c r="Q2082" s="10">
        <v>5374.630000000001</v>
      </c>
      <c r="R2082" s="10">
        <f>IF(COUNTIF($J$2:J2082,J2082)=1,SUMIFS($O:$O,$J:$J,J2082)+SUMIFS($P:$P,$J:$J,J2082)+SUMIFS($Q:$Q,$J:$J,J2082),"")</f>
        <v>14863.45</v>
      </c>
      <c r="S2082" s="10">
        <v>22933.45</v>
      </c>
      <c r="T2082" s="11" t="str">
        <f t="shared" si="198"/>
        <v>Check</v>
      </c>
      <c r="U2082" s="12">
        <v>46175</v>
      </c>
      <c r="V2082" s="10">
        <v>9794.6299999999992</v>
      </c>
      <c r="W2082" s="10" t="str">
        <f t="shared" si="196"/>
        <v>Short Paid</v>
      </c>
      <c r="X2082" t="s">
        <v>438</v>
      </c>
      <c r="Y2082" t="s">
        <v>40</v>
      </c>
      <c r="Z2082">
        <v>100103</v>
      </c>
      <c r="AA2082" t="s">
        <v>3071</v>
      </c>
      <c r="AB2082" t="s">
        <v>522</v>
      </c>
      <c r="AC2082" s="9">
        <v>2</v>
      </c>
      <c r="AD2082" s="9" t="str">
        <f t="shared" si="197"/>
        <v>Check</v>
      </c>
      <c r="AE2082" s="11">
        <f t="shared" si="199"/>
        <v>-8070</v>
      </c>
    </row>
    <row r="2083" spans="1:31" x14ac:dyDescent="0.3">
      <c r="A2083">
        <v>3</v>
      </c>
      <c r="B2083">
        <v>4954090</v>
      </c>
      <c r="C2083" t="s">
        <v>60</v>
      </c>
      <c r="D2083">
        <v>1507694</v>
      </c>
      <c r="E2083" t="s">
        <v>351</v>
      </c>
      <c r="F2083" t="s">
        <v>24</v>
      </c>
      <c r="G2083" t="s">
        <v>1846</v>
      </c>
      <c r="H2083" t="s">
        <v>1847</v>
      </c>
      <c r="I2083" t="s">
        <v>3543</v>
      </c>
      <c r="J2083">
        <v>51158602796</v>
      </c>
      <c r="K2083" t="s">
        <v>3229</v>
      </c>
      <c r="L2083" t="s">
        <v>4669</v>
      </c>
      <c r="M2083">
        <v>2000</v>
      </c>
      <c r="N2083" s="10">
        <v>4.0350000000000001</v>
      </c>
      <c r="O2083" s="10">
        <f t="shared" si="195"/>
        <v>8070</v>
      </c>
      <c r="P2083" s="10" t="s">
        <v>5006</v>
      </c>
      <c r="Q2083" s="10" t="s">
        <v>5006</v>
      </c>
      <c r="R2083" s="10" t="str">
        <f>IF(COUNTIF($J$2:J2083,J2083)=1,SUMIFS($O:$O,$J:$J,J2083)+SUMIFS($P:$P,$J:$J,J2083)+SUMIFS($Q:$Q,$J:$J,J2083),"")</f>
        <v/>
      </c>
      <c r="S2083" s="10" t="s">
        <v>5006</v>
      </c>
      <c r="T2083" s="11" t="str">
        <f t="shared" si="198"/>
        <v>Check</v>
      </c>
      <c r="U2083" s="12">
        <v>46175</v>
      </c>
      <c r="V2083" s="10">
        <v>9794.6299999999992</v>
      </c>
      <c r="W2083" s="10" t="str">
        <f t="shared" si="196"/>
        <v>N/A</v>
      </c>
      <c r="X2083" t="s">
        <v>438</v>
      </c>
      <c r="Y2083" t="s">
        <v>40</v>
      </c>
      <c r="Z2083">
        <v>100103</v>
      </c>
      <c r="AA2083" t="s">
        <v>3071</v>
      </c>
      <c r="AB2083" t="s">
        <v>522</v>
      </c>
      <c r="AC2083" s="9">
        <v>2</v>
      </c>
      <c r="AD2083" s="9" t="str">
        <f t="shared" si="197"/>
        <v>N/A</v>
      </c>
      <c r="AE2083" s="11" t="e">
        <f t="shared" si="199"/>
        <v>#VALUE!</v>
      </c>
    </row>
    <row r="2084" spans="1:31" x14ac:dyDescent="0.3">
      <c r="A2084">
        <v>2</v>
      </c>
      <c r="B2084">
        <v>4970231</v>
      </c>
      <c r="C2084" t="s">
        <v>56</v>
      </c>
      <c r="D2084">
        <v>1880594</v>
      </c>
      <c r="E2084" t="s">
        <v>397</v>
      </c>
      <c r="F2084" t="s">
        <v>24</v>
      </c>
      <c r="G2084" t="s">
        <v>1878</v>
      </c>
      <c r="H2084" t="s">
        <v>1879</v>
      </c>
      <c r="I2084" t="s">
        <v>3273</v>
      </c>
      <c r="J2084">
        <v>51158608808</v>
      </c>
      <c r="K2084" t="s">
        <v>3177</v>
      </c>
      <c r="L2084" t="s">
        <v>4670</v>
      </c>
      <c r="M2084">
        <v>4000</v>
      </c>
      <c r="N2084" s="10">
        <v>9.8460000000000006E-2</v>
      </c>
      <c r="O2084" s="10">
        <f t="shared" si="195"/>
        <v>393.84000000000003</v>
      </c>
      <c r="P2084" s="10">
        <v>0</v>
      </c>
      <c r="Q2084" s="10">
        <v>37.409999999999997</v>
      </c>
      <c r="R2084" s="10">
        <f>IF(COUNTIF($J$2:J2084,J2084)=1,SUMIFS($O:$O,$J:$J,J2084)+SUMIFS($P:$P,$J:$J,J2084)+SUMIFS($Q:$Q,$J:$J,J2084),"")</f>
        <v>1736.6897500000002</v>
      </c>
      <c r="S2084" s="10">
        <v>1736.69</v>
      </c>
      <c r="T2084" s="11" t="str">
        <f t="shared" si="198"/>
        <v>Check</v>
      </c>
      <c r="U2084" s="12">
        <v>46143</v>
      </c>
      <c r="V2084" s="10">
        <v>393.84</v>
      </c>
      <c r="W2084" s="10" t="str">
        <f t="shared" si="196"/>
        <v>Short Paid</v>
      </c>
      <c r="X2084" t="s">
        <v>435</v>
      </c>
      <c r="Y2084" t="s">
        <v>40</v>
      </c>
      <c r="Z2084">
        <v>100261</v>
      </c>
      <c r="AA2084" t="s">
        <v>3052</v>
      </c>
      <c r="AB2084" t="s">
        <v>522</v>
      </c>
      <c r="AC2084" s="9">
        <v>2</v>
      </c>
      <c r="AD2084" s="9" t="str">
        <f t="shared" si="197"/>
        <v>Check</v>
      </c>
      <c r="AE2084" s="11">
        <f t="shared" si="199"/>
        <v>-2.4999999982355803E-4</v>
      </c>
    </row>
    <row r="2085" spans="1:31" x14ac:dyDescent="0.3">
      <c r="A2085">
        <v>2</v>
      </c>
      <c r="B2085">
        <v>4970231</v>
      </c>
      <c r="C2085" t="s">
        <v>56</v>
      </c>
      <c r="D2085">
        <v>1880594</v>
      </c>
      <c r="E2085" t="s">
        <v>397</v>
      </c>
      <c r="F2085" t="s">
        <v>24</v>
      </c>
      <c r="G2085" t="s">
        <v>1878</v>
      </c>
      <c r="H2085" t="s">
        <v>1879</v>
      </c>
      <c r="I2085" t="s">
        <v>3414</v>
      </c>
      <c r="J2085">
        <v>51158608808</v>
      </c>
      <c r="K2085" t="s">
        <v>3203</v>
      </c>
      <c r="L2085" t="s">
        <v>3583</v>
      </c>
      <c r="M2085">
        <v>13225</v>
      </c>
      <c r="N2085" s="10">
        <v>9.8710000000000006E-2</v>
      </c>
      <c r="O2085" s="10">
        <f t="shared" si="195"/>
        <v>1305.43975</v>
      </c>
      <c r="P2085" s="10" t="s">
        <v>5006</v>
      </c>
      <c r="Q2085" s="10" t="s">
        <v>5006</v>
      </c>
      <c r="R2085" s="10" t="str">
        <f>IF(COUNTIF($J$2:J2085,J2085)=1,SUMIFS($O:$O,$J:$J,J2085)+SUMIFS($P:$P,$J:$J,J2085)+SUMIFS($Q:$Q,$J:$J,J2085),"")</f>
        <v/>
      </c>
      <c r="S2085" s="10" t="s">
        <v>5006</v>
      </c>
      <c r="T2085" s="11" t="str">
        <f t="shared" si="198"/>
        <v>Check</v>
      </c>
      <c r="U2085" s="12">
        <v>46143</v>
      </c>
      <c r="V2085" s="10">
        <v>393.84</v>
      </c>
      <c r="W2085" s="10" t="str">
        <f t="shared" si="196"/>
        <v>N/A</v>
      </c>
      <c r="X2085" t="s">
        <v>435</v>
      </c>
      <c r="Y2085" t="s">
        <v>40</v>
      </c>
      <c r="Z2085">
        <v>100261</v>
      </c>
      <c r="AA2085" t="s">
        <v>3052</v>
      </c>
      <c r="AB2085" t="s">
        <v>522</v>
      </c>
      <c r="AC2085" s="9">
        <v>2</v>
      </c>
      <c r="AD2085" s="9" t="str">
        <f t="shared" si="197"/>
        <v>N/A</v>
      </c>
      <c r="AE2085" s="11" t="e">
        <f t="shared" si="199"/>
        <v>#VALUE!</v>
      </c>
    </row>
    <row r="2086" spans="1:31" x14ac:dyDescent="0.3">
      <c r="A2086">
        <v>2</v>
      </c>
      <c r="B2086">
        <v>4970509</v>
      </c>
      <c r="C2086" t="s">
        <v>56</v>
      </c>
      <c r="D2086">
        <v>1880594</v>
      </c>
      <c r="E2086" t="s">
        <v>397</v>
      </c>
      <c r="F2086" t="s">
        <v>24</v>
      </c>
      <c r="G2086" t="s">
        <v>1906</v>
      </c>
      <c r="H2086" t="s">
        <v>1907</v>
      </c>
      <c r="I2086" t="s">
        <v>3361</v>
      </c>
      <c r="J2086">
        <v>51158608947</v>
      </c>
      <c r="K2086" t="s">
        <v>3177</v>
      </c>
      <c r="L2086" t="s">
        <v>4671</v>
      </c>
      <c r="M2086">
        <v>189</v>
      </c>
      <c r="N2086" s="10">
        <v>50</v>
      </c>
      <c r="O2086" s="10">
        <f t="shared" si="195"/>
        <v>9450</v>
      </c>
      <c r="P2086" s="10">
        <v>0</v>
      </c>
      <c r="Q2086" s="10">
        <v>1089.6100000000001</v>
      </c>
      <c r="R2086" s="10">
        <f>IF(COUNTIF($J$2:J2086,J2086)=1,SUMIFS($O:$O,$J:$J,J2086)+SUMIFS($P:$P,$J:$J,J2086)+SUMIFS($Q:$Q,$J:$J,J2086),"")</f>
        <v>12559.210000000001</v>
      </c>
      <c r="S2086" s="10">
        <v>12577.330000000002</v>
      </c>
      <c r="T2086" s="11" t="str">
        <f t="shared" si="198"/>
        <v>Check</v>
      </c>
      <c r="U2086" s="12">
        <v>46141</v>
      </c>
      <c r="V2086" s="10">
        <v>2019.6</v>
      </c>
      <c r="W2086" s="10" t="str">
        <f t="shared" si="196"/>
        <v>Short Paid</v>
      </c>
      <c r="X2086" t="s">
        <v>435</v>
      </c>
      <c r="Y2086" t="s">
        <v>40</v>
      </c>
      <c r="Z2086">
        <v>100101</v>
      </c>
      <c r="AA2086" t="s">
        <v>3048</v>
      </c>
      <c r="AB2086" t="s">
        <v>522</v>
      </c>
      <c r="AC2086" s="9">
        <v>2</v>
      </c>
      <c r="AD2086" s="9" t="str">
        <f t="shared" si="197"/>
        <v>Check</v>
      </c>
      <c r="AE2086" s="11">
        <f t="shared" si="199"/>
        <v>-18.1200000000008</v>
      </c>
    </row>
    <row r="2087" spans="1:31" x14ac:dyDescent="0.3">
      <c r="A2087">
        <v>2</v>
      </c>
      <c r="B2087">
        <v>4970509</v>
      </c>
      <c r="C2087" t="s">
        <v>56</v>
      </c>
      <c r="D2087">
        <v>1880594</v>
      </c>
      <c r="E2087" t="s">
        <v>397</v>
      </c>
      <c r="F2087" t="s">
        <v>24</v>
      </c>
      <c r="G2087" t="s">
        <v>1906</v>
      </c>
      <c r="H2087" t="s">
        <v>1907</v>
      </c>
      <c r="I2087" t="s">
        <v>3204</v>
      </c>
      <c r="J2087">
        <v>51158608947</v>
      </c>
      <c r="K2087" t="s">
        <v>3207</v>
      </c>
      <c r="L2087" t="s">
        <v>4672</v>
      </c>
      <c r="M2087">
        <v>102000</v>
      </c>
      <c r="N2087" s="10">
        <v>1.9800000000000002E-2</v>
      </c>
      <c r="O2087" s="10">
        <f t="shared" si="195"/>
        <v>2019.6000000000001</v>
      </c>
      <c r="P2087" s="10" t="s">
        <v>5006</v>
      </c>
      <c r="Q2087" s="10" t="s">
        <v>5006</v>
      </c>
      <c r="R2087" s="10" t="str">
        <f>IF(COUNTIF($J$2:J2087,J2087)=1,SUMIFS($O:$O,$J:$J,J2087)+SUMIFS($P:$P,$J:$J,J2087)+SUMIFS($Q:$Q,$J:$J,J2087),"")</f>
        <v/>
      </c>
      <c r="S2087" s="10" t="s">
        <v>5006</v>
      </c>
      <c r="T2087" s="11" t="str">
        <f t="shared" si="198"/>
        <v>Check</v>
      </c>
      <c r="U2087" s="12">
        <v>46141</v>
      </c>
      <c r="V2087" s="10">
        <v>2019.6</v>
      </c>
      <c r="W2087" s="10" t="str">
        <f t="shared" si="196"/>
        <v>N/A</v>
      </c>
      <c r="X2087" t="s">
        <v>435</v>
      </c>
      <c r="Y2087" t="s">
        <v>40</v>
      </c>
      <c r="Z2087">
        <v>100101</v>
      </c>
      <c r="AA2087" t="s">
        <v>3048</v>
      </c>
      <c r="AB2087" t="s">
        <v>522</v>
      </c>
      <c r="AC2087" s="9">
        <v>2</v>
      </c>
      <c r="AD2087" s="9" t="str">
        <f t="shared" si="197"/>
        <v>N/A</v>
      </c>
      <c r="AE2087" s="11" t="e">
        <f t="shared" si="199"/>
        <v>#VALUE!</v>
      </c>
    </row>
    <row r="2088" spans="1:31" x14ac:dyDescent="0.3">
      <c r="A2088">
        <v>2</v>
      </c>
      <c r="B2088">
        <v>4969952</v>
      </c>
      <c r="C2088" t="s">
        <v>56</v>
      </c>
      <c r="D2088">
        <v>1880594</v>
      </c>
      <c r="E2088" t="s">
        <v>397</v>
      </c>
      <c r="F2088" t="s">
        <v>24</v>
      </c>
      <c r="G2088" t="s">
        <v>1902</v>
      </c>
      <c r="H2088" t="s">
        <v>1903</v>
      </c>
      <c r="I2088" t="s">
        <v>3221</v>
      </c>
      <c r="J2088">
        <v>51158609189</v>
      </c>
      <c r="K2088" t="s">
        <v>3177</v>
      </c>
      <c r="L2088" t="s">
        <v>3470</v>
      </c>
      <c r="M2088">
        <v>16000</v>
      </c>
      <c r="N2088" s="10">
        <v>1.273E-2</v>
      </c>
      <c r="O2088" s="10">
        <f t="shared" si="195"/>
        <v>203.68</v>
      </c>
      <c r="P2088" s="10">
        <v>0</v>
      </c>
      <c r="Q2088" s="10">
        <v>3.39</v>
      </c>
      <c r="R2088" s="10">
        <f>IF(COUNTIF($J$2:J2088,J2088)=1,SUMIFS($O:$O,$J:$J,J2088)+SUMIFS($P:$P,$J:$J,J2088)+SUMIFS($Q:$Q,$J:$J,J2088),"")</f>
        <v>242.76999999999998</v>
      </c>
      <c r="S2088" s="10">
        <v>242.77</v>
      </c>
      <c r="T2088" s="11" t="str">
        <f t="shared" si="198"/>
        <v>Ok</v>
      </c>
      <c r="U2088" s="12">
        <v>46139</v>
      </c>
      <c r="V2088" s="10">
        <v>35.700000000000003</v>
      </c>
      <c r="W2088" s="10" t="str">
        <f t="shared" si="196"/>
        <v>Short Paid</v>
      </c>
      <c r="X2088" t="s">
        <v>435</v>
      </c>
      <c r="Y2088" t="s">
        <v>40</v>
      </c>
      <c r="Z2088">
        <v>100221</v>
      </c>
      <c r="AA2088" t="s">
        <v>518</v>
      </c>
      <c r="AB2088" t="s">
        <v>522</v>
      </c>
      <c r="AC2088" s="9">
        <v>2</v>
      </c>
      <c r="AD2088" s="9" t="str">
        <f t="shared" si="197"/>
        <v>Ok</v>
      </c>
      <c r="AE2088" s="11">
        <f t="shared" si="199"/>
        <v>0</v>
      </c>
    </row>
    <row r="2089" spans="1:31" x14ac:dyDescent="0.3">
      <c r="A2089">
        <v>2</v>
      </c>
      <c r="B2089">
        <v>4969952</v>
      </c>
      <c r="C2089" t="s">
        <v>56</v>
      </c>
      <c r="D2089">
        <v>1880594</v>
      </c>
      <c r="E2089" t="s">
        <v>397</v>
      </c>
      <c r="F2089" t="s">
        <v>24</v>
      </c>
      <c r="G2089" t="s">
        <v>1902</v>
      </c>
      <c r="H2089" t="s">
        <v>1903</v>
      </c>
      <c r="I2089" t="s">
        <v>3477</v>
      </c>
      <c r="J2089">
        <v>51158609189</v>
      </c>
      <c r="K2089" t="s">
        <v>3177</v>
      </c>
      <c r="L2089" t="s">
        <v>4673</v>
      </c>
      <c r="M2089">
        <v>10000</v>
      </c>
      <c r="N2089" s="10">
        <v>3.5699999999999998E-3</v>
      </c>
      <c r="O2089" s="10">
        <f t="shared" si="195"/>
        <v>35.699999999999996</v>
      </c>
      <c r="P2089" s="10" t="s">
        <v>5006</v>
      </c>
      <c r="Q2089" s="10" t="s">
        <v>5006</v>
      </c>
      <c r="R2089" s="10" t="str">
        <f>IF(COUNTIF($J$2:J2089,J2089)=1,SUMIFS($O:$O,$J:$J,J2089)+SUMIFS($P:$P,$J:$J,J2089)+SUMIFS($Q:$Q,$J:$J,J2089),"")</f>
        <v/>
      </c>
      <c r="S2089" s="10" t="s">
        <v>5006</v>
      </c>
      <c r="T2089" s="11" t="str">
        <f t="shared" si="198"/>
        <v>Ok</v>
      </c>
      <c r="U2089" s="12">
        <v>46139</v>
      </c>
      <c r="V2089" s="10">
        <v>35.700000000000003</v>
      </c>
      <c r="W2089" s="10" t="str">
        <f t="shared" si="196"/>
        <v>N/A</v>
      </c>
      <c r="X2089" t="s">
        <v>435</v>
      </c>
      <c r="Y2089" t="s">
        <v>40</v>
      </c>
      <c r="Z2089">
        <v>100221</v>
      </c>
      <c r="AA2089" t="s">
        <v>518</v>
      </c>
      <c r="AB2089" t="s">
        <v>522</v>
      </c>
      <c r="AC2089" s="9">
        <v>2</v>
      </c>
      <c r="AD2089" s="9" t="str">
        <f t="shared" si="197"/>
        <v>N/A</v>
      </c>
      <c r="AE2089" s="11" t="e">
        <f t="shared" si="199"/>
        <v>#VALUE!</v>
      </c>
    </row>
    <row r="2090" spans="1:31" x14ac:dyDescent="0.3">
      <c r="A2090">
        <v>9</v>
      </c>
      <c r="B2090">
        <v>4908173</v>
      </c>
      <c r="C2090" t="s">
        <v>60</v>
      </c>
      <c r="D2090">
        <v>1230147</v>
      </c>
      <c r="E2090" t="s">
        <v>4901</v>
      </c>
      <c r="F2090" t="s">
        <v>20</v>
      </c>
      <c r="G2090" t="s">
        <v>4910</v>
      </c>
      <c r="H2090" t="s">
        <v>1743</v>
      </c>
      <c r="I2090" t="s">
        <v>3496</v>
      </c>
      <c r="J2090">
        <v>51158624431</v>
      </c>
      <c r="K2090" s="12">
        <v>36586</v>
      </c>
      <c r="L2090" t="s">
        <v>4674</v>
      </c>
      <c r="M2090">
        <v>3</v>
      </c>
      <c r="N2090" s="10">
        <v>1906.5</v>
      </c>
      <c r="O2090" s="10">
        <f t="shared" si="195"/>
        <v>5719.5</v>
      </c>
      <c r="P2090" s="10">
        <v>0</v>
      </c>
      <c r="Q2090" s="10">
        <v>1630.06</v>
      </c>
      <c r="R2090" s="10">
        <f>IF(COUNTIF($J$2:J2090,J2090)=1,SUMIFS($O:$O,$J:$J,J2090)+SUMIFS($P:$P,$J:$J,J2090)+SUMIFS($Q:$Q,$J:$J,J2090),"")</f>
        <v>8557.56</v>
      </c>
      <c r="S2090" s="10">
        <v>8617.2000000000007</v>
      </c>
      <c r="T2090" s="11" t="str">
        <f t="shared" si="198"/>
        <v>Check</v>
      </c>
      <c r="U2090" s="12">
        <v>46111</v>
      </c>
      <c r="V2090" s="10">
        <v>1267.6400000000001</v>
      </c>
      <c r="W2090" s="10" t="str">
        <f t="shared" si="196"/>
        <v>Short Paid</v>
      </c>
      <c r="X2090" t="s">
        <v>438</v>
      </c>
      <c r="Y2090" t="s">
        <v>28</v>
      </c>
      <c r="Z2090">
        <v>100273</v>
      </c>
      <c r="AA2090" t="s">
        <v>444</v>
      </c>
      <c r="AB2090" t="s">
        <v>521</v>
      </c>
      <c r="AC2090" s="9">
        <v>2</v>
      </c>
      <c r="AD2090" s="9" t="str">
        <f t="shared" si="197"/>
        <v>Check</v>
      </c>
      <c r="AE2090" s="11">
        <f t="shared" si="199"/>
        <v>-59.640000000001237</v>
      </c>
    </row>
    <row r="2091" spans="1:31" x14ac:dyDescent="0.3">
      <c r="A2091">
        <v>9</v>
      </c>
      <c r="B2091">
        <v>4908173</v>
      </c>
      <c r="C2091" t="s">
        <v>60</v>
      </c>
      <c r="D2091">
        <v>1230147</v>
      </c>
      <c r="E2091" t="s">
        <v>4901</v>
      </c>
      <c r="F2091" t="s">
        <v>20</v>
      </c>
      <c r="G2091" t="s">
        <v>4910</v>
      </c>
      <c r="H2091" t="s">
        <v>1743</v>
      </c>
      <c r="I2091" t="s">
        <v>3359</v>
      </c>
      <c r="J2091">
        <v>51158624431</v>
      </c>
      <c r="K2091" t="s">
        <v>3266</v>
      </c>
      <c r="L2091" t="s">
        <v>4380</v>
      </c>
      <c r="M2091">
        <v>4</v>
      </c>
      <c r="N2091" s="10">
        <v>302</v>
      </c>
      <c r="O2091" s="10">
        <f t="shared" si="195"/>
        <v>1208</v>
      </c>
      <c r="P2091" s="10" t="s">
        <v>5006</v>
      </c>
      <c r="Q2091" s="10" t="s">
        <v>5006</v>
      </c>
      <c r="R2091" s="10" t="str">
        <f>IF(COUNTIF($J$2:J2091,J2091)=1,SUMIFS($O:$O,$J:$J,J2091)+SUMIFS($P:$P,$J:$J,J2091)+SUMIFS($Q:$Q,$J:$J,J2091),"")</f>
        <v/>
      </c>
      <c r="S2091" s="10" t="s">
        <v>5006</v>
      </c>
      <c r="T2091" s="11" t="str">
        <f t="shared" si="198"/>
        <v>Check</v>
      </c>
      <c r="U2091" s="12">
        <v>46111</v>
      </c>
      <c r="V2091" s="10">
        <v>1267.6400000000001</v>
      </c>
      <c r="W2091" s="10" t="str">
        <f t="shared" si="196"/>
        <v>N/A</v>
      </c>
      <c r="X2091" t="s">
        <v>438</v>
      </c>
      <c r="Y2091" t="s">
        <v>28</v>
      </c>
      <c r="Z2091">
        <v>100273</v>
      </c>
      <c r="AA2091" t="s">
        <v>444</v>
      </c>
      <c r="AB2091" t="s">
        <v>521</v>
      </c>
      <c r="AC2091" s="9">
        <v>2</v>
      </c>
      <c r="AD2091" s="9" t="str">
        <f t="shared" si="197"/>
        <v>N/A</v>
      </c>
      <c r="AE2091" s="11" t="e">
        <f t="shared" si="199"/>
        <v>#VALUE!</v>
      </c>
    </row>
    <row r="2092" spans="1:31" x14ac:dyDescent="0.3">
      <c r="A2092">
        <v>9</v>
      </c>
      <c r="B2092">
        <v>4905112</v>
      </c>
      <c r="C2092" t="s">
        <v>239</v>
      </c>
      <c r="D2092">
        <v>1055845</v>
      </c>
      <c r="E2092" t="s">
        <v>537</v>
      </c>
      <c r="F2092" t="s">
        <v>49</v>
      </c>
      <c r="G2092" t="s">
        <v>4911</v>
      </c>
      <c r="H2092" t="s">
        <v>4675</v>
      </c>
      <c r="I2092" t="s">
        <v>3349</v>
      </c>
      <c r="J2092">
        <v>51158624592</v>
      </c>
      <c r="K2092" t="s">
        <v>3375</v>
      </c>
      <c r="L2092" t="s">
        <v>3481</v>
      </c>
      <c r="M2092">
        <v>128000</v>
      </c>
      <c r="N2092" s="10">
        <v>0.10481</v>
      </c>
      <c r="O2092" s="10">
        <f t="shared" si="195"/>
        <v>13415.68</v>
      </c>
      <c r="P2092" s="10">
        <v>131.13</v>
      </c>
      <c r="Q2092" s="10">
        <v>0</v>
      </c>
      <c r="R2092" s="10">
        <f>IF(COUNTIF($J$2:J2092,J2092)=1,SUMIFS($O:$O,$J:$J,J2092)+SUMIFS($P:$P,$J:$J,J2092)+SUMIFS($Q:$Q,$J:$J,J2092),"")</f>
        <v>14392.89</v>
      </c>
      <c r="S2092" s="10">
        <v>19034.14</v>
      </c>
      <c r="T2092" s="11" t="str">
        <f t="shared" si="198"/>
        <v>Check</v>
      </c>
      <c r="U2092" s="12">
        <v>45965</v>
      </c>
      <c r="V2092" s="10">
        <v>87.35</v>
      </c>
      <c r="W2092" s="10" t="str">
        <f t="shared" si="196"/>
        <v>Short Paid</v>
      </c>
      <c r="X2092" t="s">
        <v>476</v>
      </c>
      <c r="Y2092" t="s">
        <v>29</v>
      </c>
      <c r="Z2092">
        <v>100295</v>
      </c>
      <c r="AA2092" t="s">
        <v>3127</v>
      </c>
      <c r="AB2092" t="s">
        <v>3041</v>
      </c>
      <c r="AC2092" s="9">
        <v>2</v>
      </c>
      <c r="AD2092" s="9" t="str">
        <f t="shared" si="197"/>
        <v>Check</v>
      </c>
      <c r="AE2092" s="11">
        <f t="shared" si="199"/>
        <v>-4641.25</v>
      </c>
    </row>
    <row r="2093" spans="1:31" x14ac:dyDescent="0.3">
      <c r="A2093">
        <v>9</v>
      </c>
      <c r="B2093">
        <v>4905112</v>
      </c>
      <c r="C2093" t="s">
        <v>239</v>
      </c>
      <c r="D2093">
        <v>1055845</v>
      </c>
      <c r="E2093" t="s">
        <v>537</v>
      </c>
      <c r="F2093" t="s">
        <v>49</v>
      </c>
      <c r="G2093" t="s">
        <v>4911</v>
      </c>
      <c r="H2093" t="s">
        <v>4675</v>
      </c>
      <c r="I2093" t="s">
        <v>3210</v>
      </c>
      <c r="J2093">
        <v>51158624592</v>
      </c>
      <c r="K2093" t="s">
        <v>3483</v>
      </c>
      <c r="L2093" t="s">
        <v>4676</v>
      </c>
      <c r="M2093">
        <v>16</v>
      </c>
      <c r="N2093" s="10">
        <v>52.88</v>
      </c>
      <c r="O2093" s="10">
        <f t="shared" si="195"/>
        <v>846.08</v>
      </c>
      <c r="P2093" s="10" t="s">
        <v>5006</v>
      </c>
      <c r="Q2093" s="10" t="s">
        <v>5006</v>
      </c>
      <c r="R2093" s="10" t="str">
        <f>IF(COUNTIF($J$2:J2093,J2093)=1,SUMIFS($O:$O,$J:$J,J2093)+SUMIFS($P:$P,$J:$J,J2093)+SUMIFS($Q:$Q,$J:$J,J2093),"")</f>
        <v/>
      </c>
      <c r="S2093" s="10" t="s">
        <v>5006</v>
      </c>
      <c r="T2093" s="11" t="str">
        <f t="shared" si="198"/>
        <v>Check</v>
      </c>
      <c r="U2093" s="12">
        <v>45965</v>
      </c>
      <c r="V2093" s="10">
        <v>87.35</v>
      </c>
      <c r="W2093" s="10" t="str">
        <f t="shared" si="196"/>
        <v>N/A</v>
      </c>
      <c r="X2093" t="s">
        <v>476</v>
      </c>
      <c r="Y2093" t="s">
        <v>29</v>
      </c>
      <c r="Z2093">
        <v>100295</v>
      </c>
      <c r="AA2093" t="s">
        <v>3127</v>
      </c>
      <c r="AB2093" t="s">
        <v>3041</v>
      </c>
      <c r="AC2093" s="9">
        <v>2</v>
      </c>
      <c r="AD2093" s="9" t="str">
        <f t="shared" si="197"/>
        <v>N/A</v>
      </c>
      <c r="AE2093" s="11" t="e">
        <f t="shared" si="199"/>
        <v>#VALUE!</v>
      </c>
    </row>
    <row r="2094" spans="1:31" x14ac:dyDescent="0.3">
      <c r="A2094">
        <v>10</v>
      </c>
      <c r="B2094">
        <v>4901773</v>
      </c>
      <c r="C2094" t="s">
        <v>239</v>
      </c>
      <c r="D2094">
        <v>1058757</v>
      </c>
      <c r="E2094" t="s">
        <v>738</v>
      </c>
      <c r="F2094" t="s">
        <v>20</v>
      </c>
      <c r="G2094" t="s">
        <v>2958</v>
      </c>
      <c r="H2094" t="s">
        <v>2959</v>
      </c>
      <c r="I2094" t="s">
        <v>3200</v>
      </c>
      <c r="J2094">
        <v>51158624754</v>
      </c>
      <c r="K2094" t="s">
        <v>3216</v>
      </c>
      <c r="L2094" t="s">
        <v>3215</v>
      </c>
      <c r="M2094">
        <v>148000</v>
      </c>
      <c r="N2094" s="10">
        <v>1.8700000000000001E-2</v>
      </c>
      <c r="O2094" s="10">
        <f t="shared" si="195"/>
        <v>2767.6000000000004</v>
      </c>
      <c r="P2094" s="10">
        <v>0</v>
      </c>
      <c r="Q2094" s="10">
        <v>0</v>
      </c>
      <c r="R2094" s="10">
        <f>IF(COUNTIF($J$2:J2094,J2094)=1,SUMIFS($O:$O,$J:$J,J2094)+SUMIFS($P:$P,$J:$J,J2094)+SUMIFS($Q:$Q,$J:$J,J2094),"")</f>
        <v>182295.94</v>
      </c>
      <c r="S2094" s="10">
        <v>182520.34</v>
      </c>
      <c r="T2094" s="11" t="str">
        <f t="shared" si="198"/>
        <v>Check</v>
      </c>
      <c r="U2094" s="12">
        <v>46105</v>
      </c>
      <c r="V2094" s="10">
        <v>179528.34</v>
      </c>
      <c r="W2094" s="10" t="str">
        <f t="shared" si="196"/>
        <v>Short Paid</v>
      </c>
      <c r="X2094" t="s">
        <v>476</v>
      </c>
      <c r="Y2094" t="s">
        <v>28</v>
      </c>
      <c r="Z2094">
        <v>100205</v>
      </c>
      <c r="AA2094" t="s">
        <v>3075</v>
      </c>
      <c r="AB2094" t="s">
        <v>521</v>
      </c>
      <c r="AC2094" s="9">
        <v>2</v>
      </c>
      <c r="AD2094" s="9" t="str">
        <f t="shared" si="197"/>
        <v>Check</v>
      </c>
      <c r="AE2094" s="11">
        <f t="shared" si="199"/>
        <v>-224.39999999999418</v>
      </c>
    </row>
    <row r="2095" spans="1:31" x14ac:dyDescent="0.3">
      <c r="A2095">
        <v>10</v>
      </c>
      <c r="B2095">
        <v>4901773</v>
      </c>
      <c r="C2095" t="s">
        <v>239</v>
      </c>
      <c r="D2095">
        <v>1058757</v>
      </c>
      <c r="E2095" t="s">
        <v>738</v>
      </c>
      <c r="F2095" t="s">
        <v>20</v>
      </c>
      <c r="G2095" t="s">
        <v>2958</v>
      </c>
      <c r="H2095" t="s">
        <v>2959</v>
      </c>
      <c r="I2095" t="s">
        <v>3234</v>
      </c>
      <c r="J2095">
        <v>51158624754</v>
      </c>
      <c r="K2095" t="s">
        <v>3194</v>
      </c>
      <c r="L2095" t="s">
        <v>4677</v>
      </c>
      <c r="M2095">
        <v>157481</v>
      </c>
      <c r="N2095" s="10">
        <v>1.1399999999999999</v>
      </c>
      <c r="O2095" s="10">
        <f t="shared" si="195"/>
        <v>179528.34</v>
      </c>
      <c r="P2095" s="10" t="s">
        <v>5006</v>
      </c>
      <c r="Q2095" s="10" t="s">
        <v>5006</v>
      </c>
      <c r="R2095" s="10" t="str">
        <f>IF(COUNTIF($J$2:J2095,J2095)=1,SUMIFS($O:$O,$J:$J,J2095)+SUMIFS($P:$P,$J:$J,J2095)+SUMIFS($Q:$Q,$J:$J,J2095),"")</f>
        <v/>
      </c>
      <c r="S2095" s="10" t="s">
        <v>5006</v>
      </c>
      <c r="T2095" s="11" t="str">
        <f t="shared" si="198"/>
        <v>Check</v>
      </c>
      <c r="U2095" s="12">
        <v>46105</v>
      </c>
      <c r="V2095" s="10">
        <v>179528.34</v>
      </c>
      <c r="W2095" s="10" t="str">
        <f t="shared" si="196"/>
        <v>N/A</v>
      </c>
      <c r="X2095" t="s">
        <v>476</v>
      </c>
      <c r="Y2095" t="s">
        <v>28</v>
      </c>
      <c r="Z2095">
        <v>100205</v>
      </c>
      <c r="AA2095" t="s">
        <v>3075</v>
      </c>
      <c r="AB2095" t="s">
        <v>521</v>
      </c>
      <c r="AC2095" s="9">
        <v>2</v>
      </c>
      <c r="AD2095" s="9" t="str">
        <f t="shared" si="197"/>
        <v>N/A</v>
      </c>
      <c r="AE2095" s="11" t="e">
        <f t="shared" si="199"/>
        <v>#VALUE!</v>
      </c>
    </row>
    <row r="2096" spans="1:31" x14ac:dyDescent="0.3">
      <c r="A2096">
        <v>10</v>
      </c>
      <c r="B2096">
        <v>4902608</v>
      </c>
      <c r="C2096" t="s">
        <v>217</v>
      </c>
      <c r="D2096">
        <v>1146794</v>
      </c>
      <c r="E2096" t="s">
        <v>628</v>
      </c>
      <c r="F2096" t="s">
        <v>18</v>
      </c>
      <c r="G2096" t="s">
        <v>2961</v>
      </c>
      <c r="H2096" t="s">
        <v>2962</v>
      </c>
      <c r="I2096" t="s">
        <v>3296</v>
      </c>
      <c r="J2096">
        <v>51158624811</v>
      </c>
      <c r="K2096" t="s">
        <v>3611</v>
      </c>
      <c r="L2096" t="s">
        <v>4678</v>
      </c>
      <c r="M2096">
        <v>40000</v>
      </c>
      <c r="N2096" s="10">
        <v>0.27100000000000002</v>
      </c>
      <c r="O2096" s="10">
        <f t="shared" si="195"/>
        <v>10840</v>
      </c>
      <c r="P2096" s="10">
        <v>0</v>
      </c>
      <c r="Q2096" s="10">
        <v>0</v>
      </c>
      <c r="R2096" s="10">
        <f>IF(COUNTIF($J$2:J2096,J2096)=1,SUMIFS($O:$O,$J:$J,J2096)+SUMIFS($P:$P,$J:$J,J2096)+SUMIFS($Q:$Q,$J:$J,J2096),"")</f>
        <v>14515.7</v>
      </c>
      <c r="S2096" s="10">
        <v>14459.43</v>
      </c>
      <c r="T2096" s="11" t="str">
        <f t="shared" si="198"/>
        <v>Check</v>
      </c>
      <c r="U2096" s="12">
        <v>46107</v>
      </c>
      <c r="V2096" s="10">
        <v>120</v>
      </c>
      <c r="W2096" s="10" t="str">
        <f t="shared" si="196"/>
        <v>Short Paid</v>
      </c>
      <c r="X2096" t="s">
        <v>468</v>
      </c>
      <c r="Y2096" t="s">
        <v>28</v>
      </c>
      <c r="Z2096">
        <v>100276</v>
      </c>
      <c r="AA2096" t="s">
        <v>469</v>
      </c>
      <c r="AB2096" t="s">
        <v>523</v>
      </c>
      <c r="AC2096" s="9">
        <v>2</v>
      </c>
      <c r="AD2096" s="9" t="str">
        <f t="shared" si="197"/>
        <v>Check</v>
      </c>
      <c r="AE2096" s="11">
        <f t="shared" si="199"/>
        <v>56.270000000000437</v>
      </c>
    </row>
    <row r="2097" spans="1:31" x14ac:dyDescent="0.3">
      <c r="A2097">
        <v>10</v>
      </c>
      <c r="B2097">
        <v>4902608</v>
      </c>
      <c r="C2097" t="s">
        <v>217</v>
      </c>
      <c r="D2097">
        <v>1146794</v>
      </c>
      <c r="E2097" t="s">
        <v>628</v>
      </c>
      <c r="F2097" t="s">
        <v>18</v>
      </c>
      <c r="G2097" t="s">
        <v>2961</v>
      </c>
      <c r="H2097" t="s">
        <v>2962</v>
      </c>
      <c r="I2097" t="s">
        <v>3192</v>
      </c>
      <c r="J2097">
        <v>51158624811</v>
      </c>
      <c r="K2097" t="s">
        <v>3276</v>
      </c>
      <c r="L2097" t="s">
        <v>4679</v>
      </c>
      <c r="M2097">
        <v>140</v>
      </c>
      <c r="N2097" s="10">
        <v>26.255000000000003</v>
      </c>
      <c r="O2097" s="10">
        <f t="shared" si="195"/>
        <v>3675.7000000000003</v>
      </c>
      <c r="P2097" s="10" t="s">
        <v>5006</v>
      </c>
      <c r="Q2097" s="10" t="s">
        <v>5006</v>
      </c>
      <c r="R2097" s="10" t="str">
        <f>IF(COUNTIF($J$2:J2097,J2097)=1,SUMIFS($O:$O,$J:$J,J2097)+SUMIFS($P:$P,$J:$J,J2097)+SUMIFS($Q:$Q,$J:$J,J2097),"")</f>
        <v/>
      </c>
      <c r="S2097" s="10" t="s">
        <v>5006</v>
      </c>
      <c r="T2097" s="11" t="str">
        <f t="shared" si="198"/>
        <v>Check</v>
      </c>
      <c r="U2097" s="12">
        <v>46107</v>
      </c>
      <c r="V2097" s="10">
        <v>120</v>
      </c>
      <c r="W2097" s="10" t="str">
        <f t="shared" si="196"/>
        <v>N/A</v>
      </c>
      <c r="X2097" t="s">
        <v>468</v>
      </c>
      <c r="Y2097" t="s">
        <v>28</v>
      </c>
      <c r="Z2097">
        <v>100276</v>
      </c>
      <c r="AA2097" t="s">
        <v>469</v>
      </c>
      <c r="AB2097" t="s">
        <v>523</v>
      </c>
      <c r="AC2097" s="9">
        <v>2</v>
      </c>
      <c r="AD2097" s="9" t="str">
        <f t="shared" si="197"/>
        <v>N/A</v>
      </c>
      <c r="AE2097" s="11" t="e">
        <f t="shared" si="199"/>
        <v>#VALUE!</v>
      </c>
    </row>
    <row r="2098" spans="1:31" x14ac:dyDescent="0.3">
      <c r="A2098">
        <v>3</v>
      </c>
      <c r="B2098">
        <v>4957430</v>
      </c>
      <c r="C2098" t="s">
        <v>217</v>
      </c>
      <c r="D2098">
        <v>1508719</v>
      </c>
      <c r="E2098" t="s">
        <v>600</v>
      </c>
      <c r="F2098" t="s">
        <v>20</v>
      </c>
      <c r="G2098" t="s">
        <v>2964</v>
      </c>
      <c r="H2098" t="s">
        <v>2965</v>
      </c>
      <c r="I2098" t="s">
        <v>3263</v>
      </c>
      <c r="J2098">
        <v>51158703634</v>
      </c>
      <c r="K2098" t="s">
        <v>3252</v>
      </c>
      <c r="L2098" t="s">
        <v>3649</v>
      </c>
      <c r="M2098">
        <v>120000</v>
      </c>
      <c r="N2098" s="10">
        <v>4.1999999999999997E-3</v>
      </c>
      <c r="O2098" s="10">
        <f t="shared" si="195"/>
        <v>503.99999999999994</v>
      </c>
      <c r="P2098" s="10">
        <v>98.28</v>
      </c>
      <c r="Q2098" s="10">
        <v>0</v>
      </c>
      <c r="R2098" s="10">
        <f>IF(COUNTIF($J$2:J2098,J2098)=1,SUMIFS($O:$O,$J:$J,J2098)+SUMIFS($P:$P,$J:$J,J2098)+SUMIFS($Q:$Q,$J:$J,J2098),"")</f>
        <v>6962.28</v>
      </c>
      <c r="S2098" s="10">
        <v>7214.28</v>
      </c>
      <c r="T2098" s="11" t="str">
        <f t="shared" si="198"/>
        <v>Check</v>
      </c>
      <c r="U2098" s="12">
        <v>46021</v>
      </c>
      <c r="V2098" s="10">
        <v>6360</v>
      </c>
      <c r="W2098" s="10" t="str">
        <f t="shared" si="196"/>
        <v>Short Paid</v>
      </c>
      <c r="X2098" t="s">
        <v>468</v>
      </c>
      <c r="Y2098" t="s">
        <v>28</v>
      </c>
      <c r="Z2098">
        <v>100206</v>
      </c>
      <c r="AA2098" t="s">
        <v>3058</v>
      </c>
      <c r="AB2098" t="s">
        <v>521</v>
      </c>
      <c r="AC2098" s="9">
        <v>2</v>
      </c>
      <c r="AD2098" s="9" t="str">
        <f t="shared" si="197"/>
        <v>Check</v>
      </c>
      <c r="AE2098" s="11">
        <f t="shared" si="199"/>
        <v>-252</v>
      </c>
    </row>
    <row r="2099" spans="1:31" x14ac:dyDescent="0.3">
      <c r="A2099">
        <v>3</v>
      </c>
      <c r="B2099">
        <v>4957430</v>
      </c>
      <c r="C2099" t="s">
        <v>217</v>
      </c>
      <c r="D2099">
        <v>1508719</v>
      </c>
      <c r="E2099" t="s">
        <v>600</v>
      </c>
      <c r="F2099" t="s">
        <v>20</v>
      </c>
      <c r="G2099" t="s">
        <v>2964</v>
      </c>
      <c r="H2099" t="s">
        <v>2965</v>
      </c>
      <c r="I2099" t="s">
        <v>3477</v>
      </c>
      <c r="J2099">
        <v>51158703634</v>
      </c>
      <c r="K2099" t="s">
        <v>4097</v>
      </c>
      <c r="L2099" t="s">
        <v>4680</v>
      </c>
      <c r="M2099">
        <v>20</v>
      </c>
      <c r="N2099" s="10">
        <v>318</v>
      </c>
      <c r="O2099" s="10">
        <f t="shared" si="195"/>
        <v>6360</v>
      </c>
      <c r="P2099" s="10" t="s">
        <v>5006</v>
      </c>
      <c r="Q2099" s="10" t="s">
        <v>5006</v>
      </c>
      <c r="R2099" s="10" t="str">
        <f>IF(COUNTIF($J$2:J2099,J2099)=1,SUMIFS($O:$O,$J:$J,J2099)+SUMIFS($P:$P,$J:$J,J2099)+SUMIFS($Q:$Q,$J:$J,J2099),"")</f>
        <v/>
      </c>
      <c r="S2099" s="10" t="s">
        <v>5006</v>
      </c>
      <c r="T2099" s="11" t="str">
        <f t="shared" si="198"/>
        <v>Check</v>
      </c>
      <c r="U2099" s="12">
        <v>46021</v>
      </c>
      <c r="V2099" s="10">
        <v>6360</v>
      </c>
      <c r="W2099" s="10" t="str">
        <f t="shared" si="196"/>
        <v>N/A</v>
      </c>
      <c r="X2099" t="s">
        <v>468</v>
      </c>
      <c r="Y2099" t="s">
        <v>28</v>
      </c>
      <c r="Z2099">
        <v>100206</v>
      </c>
      <c r="AA2099" t="s">
        <v>3058</v>
      </c>
      <c r="AB2099" t="s">
        <v>521</v>
      </c>
      <c r="AC2099" s="9">
        <v>2</v>
      </c>
      <c r="AD2099" s="9" t="str">
        <f t="shared" si="197"/>
        <v>N/A</v>
      </c>
      <c r="AE2099" s="11" t="e">
        <f t="shared" si="199"/>
        <v>#VALUE!</v>
      </c>
    </row>
    <row r="2100" spans="1:31" x14ac:dyDescent="0.3">
      <c r="A2100">
        <v>1</v>
      </c>
      <c r="B2100">
        <v>4977744</v>
      </c>
      <c r="C2100" t="s">
        <v>167</v>
      </c>
      <c r="D2100">
        <v>1216521</v>
      </c>
      <c r="E2100" t="s">
        <v>618</v>
      </c>
      <c r="F2100" t="s">
        <v>24</v>
      </c>
      <c r="G2100" t="s">
        <v>3017</v>
      </c>
      <c r="H2100" t="s">
        <v>1923</v>
      </c>
      <c r="I2100" t="s">
        <v>3357</v>
      </c>
      <c r="J2100">
        <v>51158842221</v>
      </c>
      <c r="K2100" t="s">
        <v>3244</v>
      </c>
      <c r="L2100" t="s">
        <v>3243</v>
      </c>
      <c r="M2100">
        <v>116</v>
      </c>
      <c r="N2100" s="10">
        <v>175</v>
      </c>
      <c r="O2100" s="10">
        <f t="shared" si="195"/>
        <v>20300</v>
      </c>
      <c r="P2100" s="10">
        <v>0</v>
      </c>
      <c r="Q2100" s="10">
        <v>10.34</v>
      </c>
      <c r="R2100" s="10">
        <f>IF(COUNTIF($J$2:J2100,J2100)=1,SUMIFS($O:$O,$J:$J,J2100)+SUMIFS($P:$P,$J:$J,J2100)+SUMIFS($Q:$Q,$J:$J,J2100),"")</f>
        <v>20367.490000000002</v>
      </c>
      <c r="S2100" s="10">
        <v>20367.490000000002</v>
      </c>
      <c r="T2100" s="11" t="str">
        <f t="shared" si="198"/>
        <v>Ok</v>
      </c>
      <c r="U2100" s="12">
        <v>46093</v>
      </c>
      <c r="V2100" s="10">
        <v>57.15</v>
      </c>
      <c r="W2100" s="10" t="str">
        <f t="shared" si="196"/>
        <v>Short Paid</v>
      </c>
      <c r="X2100" t="s">
        <v>455</v>
      </c>
      <c r="Y2100" t="s">
        <v>40</v>
      </c>
      <c r="Z2100">
        <v>100140</v>
      </c>
      <c r="AA2100" t="s">
        <v>3050</v>
      </c>
      <c r="AB2100" t="s">
        <v>522</v>
      </c>
      <c r="AC2100" s="9">
        <v>2</v>
      </c>
      <c r="AD2100" s="9" t="str">
        <f t="shared" si="197"/>
        <v>Ok</v>
      </c>
      <c r="AE2100" s="11">
        <f t="shared" si="199"/>
        <v>0</v>
      </c>
    </row>
    <row r="2101" spans="1:31" x14ac:dyDescent="0.3">
      <c r="A2101">
        <v>1</v>
      </c>
      <c r="B2101">
        <v>4977744</v>
      </c>
      <c r="C2101" t="s">
        <v>167</v>
      </c>
      <c r="D2101">
        <v>1216521</v>
      </c>
      <c r="E2101" t="s">
        <v>618</v>
      </c>
      <c r="F2101" t="s">
        <v>24</v>
      </c>
      <c r="G2101" t="s">
        <v>3017</v>
      </c>
      <c r="H2101" t="s">
        <v>1923</v>
      </c>
      <c r="I2101" t="s">
        <v>3249</v>
      </c>
      <c r="J2101">
        <v>51158842221</v>
      </c>
      <c r="K2101" t="s">
        <v>3266</v>
      </c>
      <c r="L2101" t="s">
        <v>3509</v>
      </c>
      <c r="M2101">
        <v>500</v>
      </c>
      <c r="N2101" s="10">
        <v>0.1143</v>
      </c>
      <c r="O2101" s="10">
        <f t="shared" si="195"/>
        <v>57.15</v>
      </c>
      <c r="P2101" s="10" t="s">
        <v>5006</v>
      </c>
      <c r="Q2101" s="10" t="s">
        <v>5006</v>
      </c>
      <c r="R2101" s="10" t="str">
        <f>IF(COUNTIF($J$2:J2101,J2101)=1,SUMIFS($O:$O,$J:$J,J2101)+SUMIFS($P:$P,$J:$J,J2101)+SUMIFS($Q:$Q,$J:$J,J2101),"")</f>
        <v/>
      </c>
      <c r="S2101" s="10" t="s">
        <v>5006</v>
      </c>
      <c r="T2101" s="11" t="str">
        <f t="shared" si="198"/>
        <v>Ok</v>
      </c>
      <c r="U2101" s="12">
        <v>46093</v>
      </c>
      <c r="V2101" s="10">
        <v>57.15</v>
      </c>
      <c r="W2101" s="10" t="str">
        <f t="shared" si="196"/>
        <v>N/A</v>
      </c>
      <c r="X2101" t="s">
        <v>455</v>
      </c>
      <c r="Y2101" t="s">
        <v>40</v>
      </c>
      <c r="Z2101">
        <v>100140</v>
      </c>
      <c r="AA2101" t="s">
        <v>3050</v>
      </c>
      <c r="AB2101" t="s">
        <v>522</v>
      </c>
      <c r="AC2101" s="9">
        <v>2</v>
      </c>
      <c r="AD2101" s="9" t="str">
        <f t="shared" si="197"/>
        <v>N/A</v>
      </c>
      <c r="AE2101" s="11" t="e">
        <f t="shared" si="199"/>
        <v>#VALUE!</v>
      </c>
    </row>
    <row r="2102" spans="1:31" x14ac:dyDescent="0.3">
      <c r="A2102">
        <v>3</v>
      </c>
      <c r="B2102">
        <v>4956873</v>
      </c>
      <c r="C2102" t="s">
        <v>217</v>
      </c>
      <c r="D2102">
        <v>1150978</v>
      </c>
      <c r="E2102" t="s">
        <v>553</v>
      </c>
      <c r="F2102" t="s">
        <v>24</v>
      </c>
      <c r="G2102" t="s">
        <v>1869</v>
      </c>
      <c r="H2102" t="s">
        <v>1870</v>
      </c>
      <c r="I2102" t="s">
        <v>3435</v>
      </c>
      <c r="J2102">
        <v>51158849936</v>
      </c>
      <c r="K2102" t="s">
        <v>3168</v>
      </c>
      <c r="L2102" t="s">
        <v>4681</v>
      </c>
      <c r="M2102">
        <v>4000</v>
      </c>
      <c r="N2102" s="10">
        <v>0.27460000000000001</v>
      </c>
      <c r="O2102" s="10">
        <f t="shared" si="195"/>
        <v>1098.4000000000001</v>
      </c>
      <c r="P2102" s="10">
        <v>0</v>
      </c>
      <c r="Q2102" s="10">
        <v>0</v>
      </c>
      <c r="R2102" s="10">
        <f>IF(COUNTIF($J$2:J2102,J2102)=1,SUMIFS($O:$O,$J:$J,J2102)+SUMIFS($P:$P,$J:$J,J2102)+SUMIFS($Q:$Q,$J:$J,J2102),"")</f>
        <v>2156.8636000000001</v>
      </c>
      <c r="S2102" s="10">
        <v>3255.26</v>
      </c>
      <c r="T2102" s="11" t="str">
        <f t="shared" si="198"/>
        <v>Check</v>
      </c>
      <c r="U2102" s="12">
        <v>46007</v>
      </c>
      <c r="V2102" s="10">
        <v>1098.4000000000001</v>
      </c>
      <c r="W2102" s="10" t="str">
        <f t="shared" si="196"/>
        <v>Short Paid</v>
      </c>
      <c r="X2102" t="s">
        <v>468</v>
      </c>
      <c r="Y2102" t="s">
        <v>40</v>
      </c>
      <c r="Z2102">
        <v>100186</v>
      </c>
      <c r="AA2102" t="s">
        <v>3158</v>
      </c>
      <c r="AB2102" t="s">
        <v>522</v>
      </c>
      <c r="AC2102" s="9">
        <v>2</v>
      </c>
      <c r="AD2102" s="9" t="str">
        <f t="shared" si="197"/>
        <v>Check</v>
      </c>
      <c r="AE2102" s="11">
        <f t="shared" si="199"/>
        <v>-1098.3964000000001</v>
      </c>
    </row>
    <row r="2103" spans="1:31" x14ac:dyDescent="0.3">
      <c r="A2103">
        <v>3</v>
      </c>
      <c r="B2103">
        <v>4956873</v>
      </c>
      <c r="C2103" t="s">
        <v>217</v>
      </c>
      <c r="D2103">
        <v>1150978</v>
      </c>
      <c r="E2103" t="s">
        <v>553</v>
      </c>
      <c r="F2103" t="s">
        <v>24</v>
      </c>
      <c r="G2103" t="s">
        <v>1869</v>
      </c>
      <c r="H2103" t="s">
        <v>1870</v>
      </c>
      <c r="I2103" t="s">
        <v>3419</v>
      </c>
      <c r="J2103">
        <v>51158849936</v>
      </c>
      <c r="K2103" t="s">
        <v>3320</v>
      </c>
      <c r="L2103" t="s">
        <v>4682</v>
      </c>
      <c r="M2103">
        <v>1563</v>
      </c>
      <c r="N2103" s="10">
        <v>0.67720000000000002</v>
      </c>
      <c r="O2103" s="10">
        <f t="shared" si="195"/>
        <v>1058.4636</v>
      </c>
      <c r="P2103" s="10" t="s">
        <v>5006</v>
      </c>
      <c r="Q2103" s="10" t="s">
        <v>5006</v>
      </c>
      <c r="R2103" s="10" t="str">
        <f>IF(COUNTIF($J$2:J2103,J2103)=1,SUMIFS($O:$O,$J:$J,J2103)+SUMIFS($P:$P,$J:$J,J2103)+SUMIFS($Q:$Q,$J:$J,J2103),"")</f>
        <v/>
      </c>
      <c r="S2103" s="10" t="s">
        <v>5006</v>
      </c>
      <c r="T2103" s="11" t="str">
        <f t="shared" si="198"/>
        <v>Check</v>
      </c>
      <c r="U2103" s="12">
        <v>46007</v>
      </c>
      <c r="V2103" s="10">
        <v>1098.4000000000001</v>
      </c>
      <c r="W2103" s="10" t="str">
        <f t="shared" si="196"/>
        <v>N/A</v>
      </c>
      <c r="X2103" t="s">
        <v>468</v>
      </c>
      <c r="Y2103" t="s">
        <v>40</v>
      </c>
      <c r="Z2103">
        <v>100186</v>
      </c>
      <c r="AA2103" t="s">
        <v>3158</v>
      </c>
      <c r="AB2103" t="s">
        <v>522</v>
      </c>
      <c r="AC2103" s="9">
        <v>2</v>
      </c>
      <c r="AD2103" s="9" t="str">
        <f t="shared" si="197"/>
        <v>N/A</v>
      </c>
      <c r="AE2103" s="11" t="e">
        <f t="shared" si="199"/>
        <v>#VALUE!</v>
      </c>
    </row>
    <row r="2104" spans="1:31" x14ac:dyDescent="0.3">
      <c r="A2104">
        <v>15</v>
      </c>
      <c r="B2104">
        <v>4882293</v>
      </c>
      <c r="C2104" t="s">
        <v>217</v>
      </c>
      <c r="D2104">
        <v>1160621</v>
      </c>
      <c r="E2104" t="s">
        <v>571</v>
      </c>
      <c r="F2104" t="s">
        <v>18</v>
      </c>
      <c r="G2104" t="s">
        <v>1666</v>
      </c>
      <c r="H2104" t="s">
        <v>1667</v>
      </c>
      <c r="I2104" t="s">
        <v>3221</v>
      </c>
      <c r="J2104">
        <v>51158858974</v>
      </c>
      <c r="K2104" t="s">
        <v>3168</v>
      </c>
      <c r="L2104" t="s">
        <v>3646</v>
      </c>
      <c r="M2104">
        <v>15000</v>
      </c>
      <c r="N2104" s="10">
        <v>0.11824999999999999</v>
      </c>
      <c r="O2104" s="10">
        <f t="shared" si="195"/>
        <v>1773.75</v>
      </c>
      <c r="P2104" s="10">
        <v>0</v>
      </c>
      <c r="Q2104" s="10">
        <v>89.66</v>
      </c>
      <c r="R2104" s="10">
        <f>IF(COUNTIF($J$2:J2104,J2104)=1,SUMIFS($O:$O,$J:$J,J2104)+SUMIFS($P:$P,$J:$J,J2104)+SUMIFS($Q:$Q,$J:$J,J2104),"")</f>
        <v>2490.41</v>
      </c>
      <c r="S2104" s="10">
        <v>2490.41</v>
      </c>
      <c r="T2104" s="11" t="str">
        <f t="shared" si="198"/>
        <v>Ok</v>
      </c>
      <c r="U2104" s="12">
        <v>46078</v>
      </c>
      <c r="V2104" s="10">
        <v>716.66</v>
      </c>
      <c r="W2104" s="10" t="str">
        <f t="shared" si="196"/>
        <v>Short Paid</v>
      </c>
      <c r="X2104" t="s">
        <v>468</v>
      </c>
      <c r="Y2104" t="s">
        <v>28</v>
      </c>
      <c r="Z2104">
        <v>100206</v>
      </c>
      <c r="AA2104" t="s">
        <v>3058</v>
      </c>
      <c r="AB2104" t="s">
        <v>523</v>
      </c>
      <c r="AC2104" s="9">
        <v>2</v>
      </c>
      <c r="AD2104" s="9" t="str">
        <f t="shared" si="197"/>
        <v>Ok</v>
      </c>
      <c r="AE2104" s="11">
        <f t="shared" si="199"/>
        <v>0</v>
      </c>
    </row>
    <row r="2105" spans="1:31" x14ac:dyDescent="0.3">
      <c r="A2105">
        <v>15</v>
      </c>
      <c r="B2105">
        <v>4882293</v>
      </c>
      <c r="C2105" t="s">
        <v>217</v>
      </c>
      <c r="D2105">
        <v>1160621</v>
      </c>
      <c r="E2105" t="s">
        <v>571</v>
      </c>
      <c r="F2105" t="s">
        <v>18</v>
      </c>
      <c r="G2105" t="s">
        <v>1666</v>
      </c>
      <c r="H2105" t="s">
        <v>1667</v>
      </c>
      <c r="I2105" t="s">
        <v>3327</v>
      </c>
      <c r="J2105">
        <v>51158858974</v>
      </c>
      <c r="K2105" t="s">
        <v>3537</v>
      </c>
      <c r="L2105" t="s">
        <v>4683</v>
      </c>
      <c r="M2105">
        <v>3000</v>
      </c>
      <c r="N2105" s="10">
        <v>0.20899999999999999</v>
      </c>
      <c r="O2105" s="10">
        <f t="shared" si="195"/>
        <v>627</v>
      </c>
      <c r="P2105" s="10" t="s">
        <v>5006</v>
      </c>
      <c r="Q2105" s="10" t="s">
        <v>5006</v>
      </c>
      <c r="R2105" s="10" t="str">
        <f>IF(COUNTIF($J$2:J2105,J2105)=1,SUMIFS($O:$O,$J:$J,J2105)+SUMIFS($P:$P,$J:$J,J2105)+SUMIFS($Q:$Q,$J:$J,J2105),"")</f>
        <v/>
      </c>
      <c r="S2105" s="10" t="s">
        <v>5006</v>
      </c>
      <c r="T2105" s="11" t="str">
        <f t="shared" si="198"/>
        <v>Ok</v>
      </c>
      <c r="U2105" s="12">
        <v>46078</v>
      </c>
      <c r="V2105" s="10">
        <v>716.66</v>
      </c>
      <c r="W2105" s="10" t="str">
        <f t="shared" si="196"/>
        <v>N/A</v>
      </c>
      <c r="X2105" t="s">
        <v>468</v>
      </c>
      <c r="Y2105" t="s">
        <v>28</v>
      </c>
      <c r="Z2105">
        <v>100206</v>
      </c>
      <c r="AA2105" t="s">
        <v>3058</v>
      </c>
      <c r="AB2105" t="s">
        <v>523</v>
      </c>
      <c r="AC2105" s="9">
        <v>2</v>
      </c>
      <c r="AD2105" s="9" t="str">
        <f t="shared" si="197"/>
        <v>N/A</v>
      </c>
      <c r="AE2105" s="11" t="e">
        <f t="shared" si="199"/>
        <v>#VALUE!</v>
      </c>
    </row>
    <row r="2106" spans="1:31" x14ac:dyDescent="0.3">
      <c r="A2106">
        <v>3</v>
      </c>
      <c r="B2106">
        <v>4957151</v>
      </c>
      <c r="C2106" t="s">
        <v>239</v>
      </c>
      <c r="D2106">
        <v>1534965</v>
      </c>
      <c r="E2106" t="s">
        <v>598</v>
      </c>
      <c r="F2106" t="s">
        <v>20</v>
      </c>
      <c r="G2106" t="s">
        <v>1871</v>
      </c>
      <c r="H2106" t="s">
        <v>1872</v>
      </c>
      <c r="I2106" t="s">
        <v>3336</v>
      </c>
      <c r="J2106">
        <v>51158860905</v>
      </c>
      <c r="K2106" t="s">
        <v>3262</v>
      </c>
      <c r="L2106" t="s">
        <v>3261</v>
      </c>
      <c r="M2106">
        <v>1000</v>
      </c>
      <c r="N2106" s="10">
        <v>1.82</v>
      </c>
      <c r="O2106" s="10">
        <f t="shared" si="195"/>
        <v>1820</v>
      </c>
      <c r="P2106" s="10">
        <v>109.2</v>
      </c>
      <c r="Q2106" s="10">
        <v>0</v>
      </c>
      <c r="R2106" s="10">
        <f>IF(COUNTIF($J$2:J2106,J2106)=1,SUMIFS($O:$O,$J:$J,J2106)+SUMIFS($P:$P,$J:$J,J2106)+SUMIFS($Q:$Q,$J:$J,J2106),"")</f>
        <v>7894.25</v>
      </c>
      <c r="S2106" s="10">
        <v>7894.25</v>
      </c>
      <c r="T2106" s="11" t="str">
        <f t="shared" si="198"/>
        <v>Ok</v>
      </c>
      <c r="U2106" s="12">
        <v>45944</v>
      </c>
      <c r="V2106" s="10">
        <v>5965.05</v>
      </c>
      <c r="W2106" s="10" t="str">
        <f t="shared" si="196"/>
        <v>Short Paid</v>
      </c>
      <c r="X2106" t="s">
        <v>476</v>
      </c>
      <c r="Y2106" t="s">
        <v>28</v>
      </c>
      <c r="Z2106">
        <v>100195</v>
      </c>
      <c r="AA2106" t="s">
        <v>3070</v>
      </c>
      <c r="AB2106" t="s">
        <v>521</v>
      </c>
      <c r="AC2106" s="9">
        <v>2</v>
      </c>
      <c r="AD2106" s="9" t="str">
        <f t="shared" si="197"/>
        <v>Ok</v>
      </c>
      <c r="AE2106" s="11">
        <f t="shared" si="199"/>
        <v>0</v>
      </c>
    </row>
    <row r="2107" spans="1:31" x14ac:dyDescent="0.3">
      <c r="A2107">
        <v>3</v>
      </c>
      <c r="B2107">
        <v>4957151</v>
      </c>
      <c r="C2107" t="s">
        <v>239</v>
      </c>
      <c r="D2107">
        <v>1534965</v>
      </c>
      <c r="E2107" t="s">
        <v>598</v>
      </c>
      <c r="F2107" t="s">
        <v>20</v>
      </c>
      <c r="G2107" t="s">
        <v>1871</v>
      </c>
      <c r="H2107" t="s">
        <v>1872</v>
      </c>
      <c r="I2107" t="s">
        <v>3468</v>
      </c>
      <c r="J2107">
        <v>51158860905</v>
      </c>
      <c r="K2107" t="s">
        <v>3203</v>
      </c>
      <c r="L2107" t="s">
        <v>4684</v>
      </c>
      <c r="M2107">
        <v>105</v>
      </c>
      <c r="N2107" s="10">
        <v>56.81</v>
      </c>
      <c r="O2107" s="10">
        <f t="shared" si="195"/>
        <v>5965.05</v>
      </c>
      <c r="P2107" s="10" t="s">
        <v>5006</v>
      </c>
      <c r="Q2107" s="10" t="s">
        <v>5006</v>
      </c>
      <c r="R2107" s="10" t="str">
        <f>IF(COUNTIF($J$2:J2107,J2107)=1,SUMIFS($O:$O,$J:$J,J2107)+SUMIFS($P:$P,$J:$J,J2107)+SUMIFS($Q:$Q,$J:$J,J2107),"")</f>
        <v/>
      </c>
      <c r="S2107" s="10" t="s">
        <v>5006</v>
      </c>
      <c r="T2107" s="11" t="str">
        <f t="shared" si="198"/>
        <v>Ok</v>
      </c>
      <c r="U2107" s="12">
        <v>45944</v>
      </c>
      <c r="V2107" s="10">
        <v>5965.05</v>
      </c>
      <c r="W2107" s="10" t="str">
        <f t="shared" si="196"/>
        <v>N/A</v>
      </c>
      <c r="X2107" t="s">
        <v>476</v>
      </c>
      <c r="Y2107" t="s">
        <v>28</v>
      </c>
      <c r="Z2107">
        <v>100195</v>
      </c>
      <c r="AA2107" t="s">
        <v>3070</v>
      </c>
      <c r="AB2107" t="s">
        <v>521</v>
      </c>
      <c r="AC2107" s="9">
        <v>2</v>
      </c>
      <c r="AD2107" s="9" t="str">
        <f t="shared" si="197"/>
        <v>N/A</v>
      </c>
      <c r="AE2107" s="11" t="e">
        <f t="shared" si="199"/>
        <v>#VALUE!</v>
      </c>
    </row>
    <row r="2108" spans="1:31" x14ac:dyDescent="0.3">
      <c r="A2108">
        <v>16</v>
      </c>
      <c r="B2108">
        <v>4869213</v>
      </c>
      <c r="C2108" t="s">
        <v>220</v>
      </c>
      <c r="D2108">
        <v>1125734</v>
      </c>
      <c r="E2108" t="s">
        <v>532</v>
      </c>
      <c r="F2108" t="s">
        <v>19</v>
      </c>
      <c r="G2108" t="s">
        <v>2901</v>
      </c>
      <c r="H2108" t="s">
        <v>1603</v>
      </c>
      <c r="I2108" t="s">
        <v>3298</v>
      </c>
      <c r="J2108">
        <v>51158893151</v>
      </c>
      <c r="K2108" t="s">
        <v>3475</v>
      </c>
      <c r="L2108" t="s">
        <v>4685</v>
      </c>
      <c r="M2108">
        <v>1</v>
      </c>
      <c r="N2108" s="10">
        <v>35353.54</v>
      </c>
      <c r="O2108" s="10">
        <f t="shared" si="195"/>
        <v>35353.54</v>
      </c>
      <c r="P2108" s="10">
        <v>0</v>
      </c>
      <c r="Q2108" s="10">
        <v>0</v>
      </c>
      <c r="R2108" s="10">
        <f>IF(COUNTIF($J$2:J2108,J2108)=1,SUMIFS($O:$O,$J:$J,J2108)+SUMIFS($P:$P,$J:$J,J2108)+SUMIFS($Q:$Q,$J:$J,J2108),"")</f>
        <v>35824.832500000004</v>
      </c>
      <c r="S2108" s="10">
        <v>35824.83</v>
      </c>
      <c r="T2108" s="11" t="str">
        <f t="shared" si="198"/>
        <v>Check</v>
      </c>
      <c r="U2108" s="12">
        <v>46057</v>
      </c>
      <c r="V2108" s="10">
        <v>35353.54</v>
      </c>
      <c r="W2108" s="10" t="str">
        <f t="shared" si="196"/>
        <v>Short Paid</v>
      </c>
      <c r="X2108" t="s">
        <v>470</v>
      </c>
      <c r="Y2108" t="s">
        <v>28</v>
      </c>
      <c r="Z2108">
        <v>100278</v>
      </c>
      <c r="AA2108" t="s">
        <v>3114</v>
      </c>
      <c r="AB2108" t="s">
        <v>524</v>
      </c>
      <c r="AC2108" s="9">
        <v>2</v>
      </c>
      <c r="AD2108" s="9" t="str">
        <f t="shared" si="197"/>
        <v>Check</v>
      </c>
      <c r="AE2108" s="11">
        <f t="shared" si="199"/>
        <v>2.5000000023283064E-3</v>
      </c>
    </row>
    <row r="2109" spans="1:31" x14ac:dyDescent="0.3">
      <c r="A2109">
        <v>16</v>
      </c>
      <c r="B2109">
        <v>4869213</v>
      </c>
      <c r="C2109" t="s">
        <v>220</v>
      </c>
      <c r="D2109">
        <v>1125734</v>
      </c>
      <c r="E2109" t="s">
        <v>532</v>
      </c>
      <c r="F2109" t="s">
        <v>19</v>
      </c>
      <c r="G2109" t="s">
        <v>2901</v>
      </c>
      <c r="H2109" t="s">
        <v>1603</v>
      </c>
      <c r="I2109" t="s">
        <v>3399</v>
      </c>
      <c r="J2109">
        <v>51158893151</v>
      </c>
      <c r="K2109" t="s">
        <v>3203</v>
      </c>
      <c r="L2109" t="s">
        <v>3583</v>
      </c>
      <c r="M2109">
        <v>8225</v>
      </c>
      <c r="N2109" s="10">
        <v>5.7299999999999997E-2</v>
      </c>
      <c r="O2109" s="10">
        <f t="shared" si="195"/>
        <v>471.29249999999996</v>
      </c>
      <c r="P2109" s="10" t="s">
        <v>5006</v>
      </c>
      <c r="Q2109" s="10" t="s">
        <v>5006</v>
      </c>
      <c r="R2109" s="10" t="str">
        <f>IF(COUNTIF($J$2:J2109,J2109)=1,SUMIFS($O:$O,$J:$J,J2109)+SUMIFS($P:$P,$J:$J,J2109)+SUMIFS($Q:$Q,$J:$J,J2109),"")</f>
        <v/>
      </c>
      <c r="S2109" s="10" t="s">
        <v>5006</v>
      </c>
      <c r="T2109" s="11" t="str">
        <f t="shared" si="198"/>
        <v>Check</v>
      </c>
      <c r="U2109" s="12">
        <v>46057</v>
      </c>
      <c r="V2109" s="10">
        <v>35353.54</v>
      </c>
      <c r="W2109" s="10" t="str">
        <f t="shared" si="196"/>
        <v>N/A</v>
      </c>
      <c r="X2109" t="s">
        <v>470</v>
      </c>
      <c r="Y2109" t="s">
        <v>28</v>
      </c>
      <c r="Z2109">
        <v>100278</v>
      </c>
      <c r="AA2109" t="s">
        <v>3114</v>
      </c>
      <c r="AB2109" t="s">
        <v>524</v>
      </c>
      <c r="AC2109" s="9">
        <v>2</v>
      </c>
      <c r="AD2109" s="9" t="str">
        <f t="shared" si="197"/>
        <v>N/A</v>
      </c>
      <c r="AE2109" s="11" t="e">
        <f t="shared" si="199"/>
        <v>#VALUE!</v>
      </c>
    </row>
    <row r="2110" spans="1:31" x14ac:dyDescent="0.3">
      <c r="A2110">
        <v>15</v>
      </c>
      <c r="B2110">
        <v>4885910</v>
      </c>
      <c r="C2110" t="s">
        <v>220</v>
      </c>
      <c r="D2110">
        <v>1124420</v>
      </c>
      <c r="E2110" t="s">
        <v>221</v>
      </c>
      <c r="F2110" t="s">
        <v>20</v>
      </c>
      <c r="G2110" t="s">
        <v>1684</v>
      </c>
      <c r="H2110" t="s">
        <v>1685</v>
      </c>
      <c r="I2110" t="s">
        <v>3419</v>
      </c>
      <c r="J2110">
        <v>51159010621</v>
      </c>
      <c r="K2110" t="s">
        <v>3244</v>
      </c>
      <c r="L2110" t="s">
        <v>3518</v>
      </c>
      <c r="M2110">
        <v>75</v>
      </c>
      <c r="N2110" s="10">
        <v>142.15</v>
      </c>
      <c r="O2110" s="10">
        <f t="shared" si="195"/>
        <v>10661.25</v>
      </c>
      <c r="P2110" s="10">
        <v>77.33</v>
      </c>
      <c r="Q2110" s="10">
        <v>0</v>
      </c>
      <c r="R2110" s="10">
        <f>IF(COUNTIF($J$2:J2110,J2110)=1,SUMIFS($O:$O,$J:$J,J2110)+SUMIFS($P:$P,$J:$J,J2110)+SUMIFS($Q:$Q,$J:$J,J2110),"")</f>
        <v>11675.86</v>
      </c>
      <c r="S2110" s="10">
        <v>11675.86</v>
      </c>
      <c r="T2110" s="11" t="str">
        <f t="shared" si="198"/>
        <v>Ok</v>
      </c>
      <c r="U2110" s="12">
        <v>46043</v>
      </c>
      <c r="V2110" s="10">
        <v>10661.25</v>
      </c>
      <c r="W2110" s="10" t="str">
        <f t="shared" si="196"/>
        <v>Short Paid</v>
      </c>
      <c r="X2110" t="s">
        <v>470</v>
      </c>
      <c r="Y2110" t="s">
        <v>28</v>
      </c>
      <c r="Z2110">
        <v>100278</v>
      </c>
      <c r="AA2110" t="s">
        <v>3114</v>
      </c>
      <c r="AB2110" t="s">
        <v>521</v>
      </c>
      <c r="AC2110" s="9">
        <v>2</v>
      </c>
      <c r="AD2110" s="9" t="str">
        <f t="shared" si="197"/>
        <v>Ok</v>
      </c>
      <c r="AE2110" s="11">
        <f t="shared" si="199"/>
        <v>0</v>
      </c>
    </row>
    <row r="2111" spans="1:31" x14ac:dyDescent="0.3">
      <c r="A2111">
        <v>15</v>
      </c>
      <c r="B2111">
        <v>4885910</v>
      </c>
      <c r="C2111" t="s">
        <v>220</v>
      </c>
      <c r="D2111">
        <v>1124420</v>
      </c>
      <c r="E2111" t="s">
        <v>221</v>
      </c>
      <c r="F2111" t="s">
        <v>20</v>
      </c>
      <c r="G2111" t="s">
        <v>1684</v>
      </c>
      <c r="H2111" t="s">
        <v>1685</v>
      </c>
      <c r="I2111" t="s">
        <v>3326</v>
      </c>
      <c r="J2111">
        <v>51159010621</v>
      </c>
      <c r="K2111" t="s">
        <v>3209</v>
      </c>
      <c r="L2111" t="s">
        <v>3871</v>
      </c>
      <c r="M2111">
        <v>8000</v>
      </c>
      <c r="N2111" s="10">
        <v>0.11716</v>
      </c>
      <c r="O2111" s="10">
        <f t="shared" si="195"/>
        <v>937.28</v>
      </c>
      <c r="P2111" s="10" t="s">
        <v>5006</v>
      </c>
      <c r="Q2111" s="10" t="s">
        <v>5006</v>
      </c>
      <c r="R2111" s="10" t="str">
        <f>IF(COUNTIF($J$2:J2111,J2111)=1,SUMIFS($O:$O,$J:$J,J2111)+SUMIFS($P:$P,$J:$J,J2111)+SUMIFS($Q:$Q,$J:$J,J2111),"")</f>
        <v/>
      </c>
      <c r="S2111" s="10" t="s">
        <v>5006</v>
      </c>
      <c r="T2111" s="11" t="str">
        <f t="shared" si="198"/>
        <v>Ok</v>
      </c>
      <c r="U2111" s="12">
        <v>46043</v>
      </c>
      <c r="V2111" s="10">
        <v>10661.25</v>
      </c>
      <c r="W2111" s="10" t="str">
        <f t="shared" si="196"/>
        <v>N/A</v>
      </c>
      <c r="X2111" t="s">
        <v>470</v>
      </c>
      <c r="Y2111" t="s">
        <v>28</v>
      </c>
      <c r="Z2111">
        <v>100278</v>
      </c>
      <c r="AA2111" t="s">
        <v>3114</v>
      </c>
      <c r="AB2111" t="s">
        <v>521</v>
      </c>
      <c r="AC2111" s="9">
        <v>2</v>
      </c>
      <c r="AD2111" s="9" t="str">
        <f t="shared" si="197"/>
        <v>N/A</v>
      </c>
      <c r="AE2111" s="11" t="e">
        <f t="shared" si="199"/>
        <v>#VALUE!</v>
      </c>
    </row>
    <row r="2112" spans="1:31" x14ac:dyDescent="0.3">
      <c r="A2112">
        <v>8</v>
      </c>
      <c r="B2112">
        <v>4915965</v>
      </c>
      <c r="C2112" t="s">
        <v>217</v>
      </c>
      <c r="D2112">
        <v>1150978</v>
      </c>
      <c r="E2112" t="s">
        <v>553</v>
      </c>
      <c r="F2112" t="s">
        <v>18</v>
      </c>
      <c r="G2112" t="s">
        <v>2918</v>
      </c>
      <c r="H2112" t="s">
        <v>1753</v>
      </c>
      <c r="I2112" t="s">
        <v>3350</v>
      </c>
      <c r="J2112">
        <v>51159039043</v>
      </c>
      <c r="K2112" t="s">
        <v>3177</v>
      </c>
      <c r="L2112" t="s">
        <v>3874</v>
      </c>
      <c r="M2112">
        <v>20000</v>
      </c>
      <c r="N2112" s="10">
        <v>2.5400000000000002E-3</v>
      </c>
      <c r="O2112" s="10">
        <f t="shared" si="195"/>
        <v>50.800000000000004</v>
      </c>
      <c r="P2112" s="10">
        <v>0</v>
      </c>
      <c r="Q2112" s="10">
        <v>0</v>
      </c>
      <c r="R2112" s="10">
        <f>IF(COUNTIF($J$2:J2112,J2112)=1,SUMIFS($O:$O,$J:$J,J2112)+SUMIFS($P:$P,$J:$J,J2112)+SUMIFS($Q:$Q,$J:$J,J2112),"")</f>
        <v>2288.2000000000003</v>
      </c>
      <c r="S2112" s="10">
        <v>3882.32</v>
      </c>
      <c r="T2112" s="11" t="str">
        <f t="shared" si="198"/>
        <v>Check</v>
      </c>
      <c r="U2112" s="12">
        <v>46057</v>
      </c>
      <c r="V2112" s="10">
        <v>220.07</v>
      </c>
      <c r="W2112" s="10" t="str">
        <f t="shared" si="196"/>
        <v>Short Paid</v>
      </c>
      <c r="X2112" t="s">
        <v>468</v>
      </c>
      <c r="Y2112" t="s">
        <v>28</v>
      </c>
      <c r="Z2112">
        <v>100236</v>
      </c>
      <c r="AA2112" t="s">
        <v>3059</v>
      </c>
      <c r="AB2112" t="s">
        <v>523</v>
      </c>
      <c r="AC2112" s="9">
        <v>3</v>
      </c>
      <c r="AD2112" s="9" t="str">
        <f t="shared" si="197"/>
        <v>Check</v>
      </c>
      <c r="AE2112" s="11">
        <f t="shared" si="199"/>
        <v>-1594.12</v>
      </c>
    </row>
    <row r="2113" spans="1:31" x14ac:dyDescent="0.3">
      <c r="A2113">
        <v>8</v>
      </c>
      <c r="B2113">
        <v>4915965</v>
      </c>
      <c r="C2113" t="s">
        <v>217</v>
      </c>
      <c r="D2113">
        <v>1150978</v>
      </c>
      <c r="E2113" t="s">
        <v>553</v>
      </c>
      <c r="F2113" t="s">
        <v>18</v>
      </c>
      <c r="G2113" t="s">
        <v>2918</v>
      </c>
      <c r="H2113" t="s">
        <v>1753</v>
      </c>
      <c r="I2113" t="s">
        <v>3350</v>
      </c>
      <c r="J2113">
        <v>51159039043</v>
      </c>
      <c r="K2113" t="s">
        <v>3379</v>
      </c>
      <c r="L2113" t="s">
        <v>3461</v>
      </c>
      <c r="M2113">
        <v>80000</v>
      </c>
      <c r="N2113" s="10">
        <v>2.7E-2</v>
      </c>
      <c r="O2113" s="10">
        <f t="shared" si="195"/>
        <v>2160</v>
      </c>
      <c r="P2113" s="10" t="s">
        <v>5006</v>
      </c>
      <c r="Q2113" s="10" t="s">
        <v>5006</v>
      </c>
      <c r="R2113" s="10" t="str">
        <f>IF(COUNTIF($J$2:J2113,J2113)=1,SUMIFS($O:$O,$J:$J,J2113)+SUMIFS($P:$P,$J:$J,J2113)+SUMIFS($Q:$Q,$J:$J,J2113),"")</f>
        <v/>
      </c>
      <c r="S2113" s="10" t="s">
        <v>5006</v>
      </c>
      <c r="T2113" s="11" t="str">
        <f t="shared" si="198"/>
        <v>Check</v>
      </c>
      <c r="U2113" s="12">
        <v>46057</v>
      </c>
      <c r="V2113" s="10">
        <v>220.07</v>
      </c>
      <c r="W2113" s="10" t="str">
        <f t="shared" si="196"/>
        <v>N/A</v>
      </c>
      <c r="X2113" t="s">
        <v>468</v>
      </c>
      <c r="Y2113" t="s">
        <v>28</v>
      </c>
      <c r="Z2113">
        <v>100236</v>
      </c>
      <c r="AA2113" t="s">
        <v>3059</v>
      </c>
      <c r="AB2113" t="s">
        <v>523</v>
      </c>
      <c r="AC2113" s="9">
        <v>3</v>
      </c>
      <c r="AD2113" s="9" t="str">
        <f t="shared" si="197"/>
        <v>N/A</v>
      </c>
      <c r="AE2113" s="11" t="e">
        <f t="shared" si="199"/>
        <v>#VALUE!</v>
      </c>
    </row>
    <row r="2114" spans="1:31" x14ac:dyDescent="0.3">
      <c r="A2114">
        <v>8</v>
      </c>
      <c r="B2114">
        <v>4915965</v>
      </c>
      <c r="C2114" t="s">
        <v>217</v>
      </c>
      <c r="D2114">
        <v>1150978</v>
      </c>
      <c r="E2114" t="s">
        <v>553</v>
      </c>
      <c r="F2114" t="s">
        <v>18</v>
      </c>
      <c r="G2114" t="s">
        <v>2918</v>
      </c>
      <c r="H2114" t="s">
        <v>1753</v>
      </c>
      <c r="I2114" t="s">
        <v>3350</v>
      </c>
      <c r="J2114">
        <v>51159039043</v>
      </c>
      <c r="K2114" t="s">
        <v>3168</v>
      </c>
      <c r="L2114" t="s">
        <v>4615</v>
      </c>
      <c r="M2114">
        <v>9000</v>
      </c>
      <c r="N2114" s="10">
        <v>8.6E-3</v>
      </c>
      <c r="O2114" s="10">
        <f t="shared" ref="O2114:O2177" si="200">M2114*N2114</f>
        <v>77.400000000000006</v>
      </c>
      <c r="P2114" s="10" t="s">
        <v>5006</v>
      </c>
      <c r="Q2114" s="10" t="s">
        <v>5006</v>
      </c>
      <c r="R2114" s="10" t="str">
        <f>IF(COUNTIF($J$2:J2114,J2114)=1,SUMIFS($O:$O,$J:$J,J2114)+SUMIFS($P:$P,$J:$J,J2114)+SUMIFS($Q:$Q,$J:$J,J2114),"")</f>
        <v/>
      </c>
      <c r="S2114" s="10" t="s">
        <v>5006</v>
      </c>
      <c r="T2114" s="11" t="str">
        <f t="shared" si="198"/>
        <v>Check</v>
      </c>
      <c r="U2114" s="12">
        <v>46057</v>
      </c>
      <c r="V2114" s="10">
        <v>220.07</v>
      </c>
      <c r="W2114" s="10" t="str">
        <f t="shared" ref="W2114:W2177" si="201">IF(OR(S2114="",V2114=""),"N/A",IF(S2114&lt;&gt;V2114,"Short Paid","Not Paid"))</f>
        <v>N/A</v>
      </c>
      <c r="X2114" t="s">
        <v>468</v>
      </c>
      <c r="Y2114" t="s">
        <v>28</v>
      </c>
      <c r="Z2114">
        <v>100236</v>
      </c>
      <c r="AA2114" t="s">
        <v>3059</v>
      </c>
      <c r="AB2114" t="s">
        <v>523</v>
      </c>
      <c r="AC2114" s="9">
        <v>3</v>
      </c>
      <c r="AD2114" s="9" t="str">
        <f t="shared" ref="AD2114:AD2177" si="202">IF(AND(R2114="",S2114=""),"N/A",IF(R2114=S2114,"Ok","Check"))</f>
        <v>N/A</v>
      </c>
      <c r="AE2114" s="11" t="e">
        <f t="shared" si="199"/>
        <v>#VALUE!</v>
      </c>
    </row>
    <row r="2115" spans="1:31" x14ac:dyDescent="0.3">
      <c r="A2115">
        <v>15</v>
      </c>
      <c r="B2115">
        <v>4882849</v>
      </c>
      <c r="C2115" t="s">
        <v>217</v>
      </c>
      <c r="D2115">
        <v>1160621</v>
      </c>
      <c r="E2115" t="s">
        <v>571</v>
      </c>
      <c r="F2115" t="s">
        <v>18</v>
      </c>
      <c r="G2115" t="s">
        <v>1670</v>
      </c>
      <c r="H2115" t="s">
        <v>1671</v>
      </c>
      <c r="I2115" t="s">
        <v>3449</v>
      </c>
      <c r="J2115">
        <v>51159073882</v>
      </c>
      <c r="K2115" t="s">
        <v>3577</v>
      </c>
      <c r="L2115" t="s">
        <v>3604</v>
      </c>
      <c r="M2115">
        <v>1500</v>
      </c>
      <c r="N2115" s="10">
        <v>0.56159999999999999</v>
      </c>
      <c r="O2115" s="10">
        <f t="shared" si="200"/>
        <v>842.4</v>
      </c>
      <c r="P2115" s="10">
        <v>69.5</v>
      </c>
      <c r="Q2115" s="10">
        <v>298.87</v>
      </c>
      <c r="R2115" s="10">
        <f>IF(COUNTIF($J$2:J2115,J2115)=1,SUMIFS($O:$O,$J:$J,J2115)+SUMIFS($P:$P,$J:$J,J2115)+SUMIFS($Q:$Q,$J:$J,J2115),"")</f>
        <v>2783.77</v>
      </c>
      <c r="S2115" s="10">
        <v>2783.77</v>
      </c>
      <c r="T2115" s="11" t="str">
        <f t="shared" ref="T2115:T2178" si="203">IFERROR(INDEX(AD:AD,MATCH(J2115,J:J,0)),"")</f>
        <v>Ok</v>
      </c>
      <c r="U2115" s="12">
        <v>46079</v>
      </c>
      <c r="V2115" s="10">
        <v>1871.87</v>
      </c>
      <c r="W2115" s="10" t="str">
        <f t="shared" si="201"/>
        <v>Short Paid</v>
      </c>
      <c r="X2115" t="s">
        <v>468</v>
      </c>
      <c r="Y2115" t="s">
        <v>28</v>
      </c>
      <c r="Z2115">
        <v>100246</v>
      </c>
      <c r="AA2115" t="s">
        <v>3060</v>
      </c>
      <c r="AB2115" t="s">
        <v>523</v>
      </c>
      <c r="AC2115" s="9">
        <v>2</v>
      </c>
      <c r="AD2115" s="9" t="str">
        <f t="shared" si="202"/>
        <v>Ok</v>
      </c>
      <c r="AE2115" s="11">
        <f t="shared" si="199"/>
        <v>0</v>
      </c>
    </row>
    <row r="2116" spans="1:31" x14ac:dyDescent="0.3">
      <c r="A2116">
        <v>15</v>
      </c>
      <c r="B2116">
        <v>4882849</v>
      </c>
      <c r="C2116" t="s">
        <v>217</v>
      </c>
      <c r="D2116">
        <v>1160621</v>
      </c>
      <c r="E2116" t="s">
        <v>571</v>
      </c>
      <c r="F2116" t="s">
        <v>18</v>
      </c>
      <c r="G2116" t="s">
        <v>1670</v>
      </c>
      <c r="H2116" t="s">
        <v>1671</v>
      </c>
      <c r="I2116" t="s">
        <v>3412</v>
      </c>
      <c r="J2116">
        <v>51159073882</v>
      </c>
      <c r="K2116" t="s">
        <v>3246</v>
      </c>
      <c r="L2116" t="s">
        <v>4686</v>
      </c>
      <c r="M2116">
        <v>5000</v>
      </c>
      <c r="N2116" s="10">
        <v>0.31459999999999999</v>
      </c>
      <c r="O2116" s="10">
        <f t="shared" si="200"/>
        <v>1573</v>
      </c>
      <c r="P2116" s="10" t="s">
        <v>5006</v>
      </c>
      <c r="Q2116" s="10" t="s">
        <v>5006</v>
      </c>
      <c r="R2116" s="10" t="str">
        <f>IF(COUNTIF($J$2:J2116,J2116)=1,SUMIFS($O:$O,$J:$J,J2116)+SUMIFS($P:$P,$J:$J,J2116)+SUMIFS($Q:$Q,$J:$J,J2116),"")</f>
        <v/>
      </c>
      <c r="S2116" s="10" t="s">
        <v>5006</v>
      </c>
      <c r="T2116" s="11" t="str">
        <f t="shared" si="203"/>
        <v>Ok</v>
      </c>
      <c r="U2116" s="12">
        <v>46079</v>
      </c>
      <c r="V2116" s="10">
        <v>1871.87</v>
      </c>
      <c r="W2116" s="10" t="str">
        <f t="shared" si="201"/>
        <v>N/A</v>
      </c>
      <c r="X2116" t="s">
        <v>468</v>
      </c>
      <c r="Y2116" t="s">
        <v>28</v>
      </c>
      <c r="Z2116">
        <v>100246</v>
      </c>
      <c r="AA2116" t="s">
        <v>3060</v>
      </c>
      <c r="AB2116" t="s">
        <v>523</v>
      </c>
      <c r="AC2116" s="9">
        <v>2</v>
      </c>
      <c r="AD2116" s="9" t="str">
        <f t="shared" si="202"/>
        <v>N/A</v>
      </c>
      <c r="AE2116" s="11" t="e">
        <f t="shared" si="199"/>
        <v>#VALUE!</v>
      </c>
    </row>
    <row r="2117" spans="1:31" x14ac:dyDescent="0.3">
      <c r="A2117">
        <v>8</v>
      </c>
      <c r="B2117">
        <v>4915130</v>
      </c>
      <c r="C2117" t="s">
        <v>56</v>
      </c>
      <c r="D2117">
        <v>1229933</v>
      </c>
      <c r="E2117" t="s">
        <v>589</v>
      </c>
      <c r="F2117" t="s">
        <v>19</v>
      </c>
      <c r="G2117" t="s">
        <v>2921</v>
      </c>
      <c r="H2117" t="s">
        <v>2922</v>
      </c>
      <c r="I2117" t="s">
        <v>3232</v>
      </c>
      <c r="J2117">
        <v>51159121516</v>
      </c>
      <c r="K2117" t="s">
        <v>3483</v>
      </c>
      <c r="L2117" t="s">
        <v>4687</v>
      </c>
      <c r="M2117">
        <v>257</v>
      </c>
      <c r="N2117" s="10">
        <v>14.4</v>
      </c>
      <c r="O2117" s="10">
        <f t="shared" si="200"/>
        <v>3700.8</v>
      </c>
      <c r="P2117" s="10">
        <v>0</v>
      </c>
      <c r="Q2117" s="10">
        <v>0</v>
      </c>
      <c r="R2117" s="10">
        <f>IF(COUNTIF($J$2:J2117,J2117)=1,SUMIFS($O:$O,$J:$J,J2117)+SUMIFS($P:$P,$J:$J,J2117)+SUMIFS($Q:$Q,$J:$J,J2117),"")</f>
        <v>6945.6</v>
      </c>
      <c r="S2117" s="10">
        <v>8568</v>
      </c>
      <c r="T2117" s="11" t="str">
        <f t="shared" si="203"/>
        <v>Check</v>
      </c>
      <c r="U2117" s="12">
        <v>46105</v>
      </c>
      <c r="V2117" s="10">
        <v>8568</v>
      </c>
      <c r="W2117" s="10" t="str">
        <f t="shared" si="201"/>
        <v>Not Paid</v>
      </c>
      <c r="X2117" t="s">
        <v>435</v>
      </c>
      <c r="Y2117" t="s">
        <v>28</v>
      </c>
      <c r="Z2117">
        <v>100271</v>
      </c>
      <c r="AA2117" t="s">
        <v>3067</v>
      </c>
      <c r="AB2117" t="s">
        <v>524</v>
      </c>
      <c r="AC2117" s="9">
        <v>2</v>
      </c>
      <c r="AD2117" s="9" t="str">
        <f t="shared" si="202"/>
        <v>Check</v>
      </c>
      <c r="AE2117" s="11">
        <f t="shared" si="199"/>
        <v>-1622.3999999999996</v>
      </c>
    </row>
    <row r="2118" spans="1:31" x14ac:dyDescent="0.3">
      <c r="A2118">
        <v>8</v>
      </c>
      <c r="B2118">
        <v>4915130</v>
      </c>
      <c r="C2118" t="s">
        <v>56</v>
      </c>
      <c r="D2118">
        <v>1229933</v>
      </c>
      <c r="E2118" t="s">
        <v>589</v>
      </c>
      <c r="F2118" t="s">
        <v>19</v>
      </c>
      <c r="G2118" t="s">
        <v>2921</v>
      </c>
      <c r="H2118" t="s">
        <v>2922</v>
      </c>
      <c r="I2118" t="s">
        <v>3232</v>
      </c>
      <c r="J2118">
        <v>51159121516</v>
      </c>
      <c r="K2118" t="s">
        <v>3483</v>
      </c>
      <c r="L2118" t="s">
        <v>4688</v>
      </c>
      <c r="M2118">
        <v>120</v>
      </c>
      <c r="N2118" s="10">
        <v>27.04</v>
      </c>
      <c r="O2118" s="10">
        <f t="shared" si="200"/>
        <v>3244.7999999999997</v>
      </c>
      <c r="P2118" s="10" t="s">
        <v>5006</v>
      </c>
      <c r="Q2118" s="10" t="s">
        <v>5006</v>
      </c>
      <c r="R2118" s="10" t="str">
        <f>IF(COUNTIF($J$2:J2118,J2118)=1,SUMIFS($O:$O,$J:$J,J2118)+SUMIFS($P:$P,$J:$J,J2118)+SUMIFS($Q:$Q,$J:$J,J2118),"")</f>
        <v/>
      </c>
      <c r="S2118" s="10" t="s">
        <v>5006</v>
      </c>
      <c r="T2118" s="11" t="str">
        <f t="shared" si="203"/>
        <v>Check</v>
      </c>
      <c r="U2118" s="12">
        <v>46105</v>
      </c>
      <c r="V2118" s="10">
        <v>8568</v>
      </c>
      <c r="W2118" s="10" t="str">
        <f t="shared" si="201"/>
        <v>N/A</v>
      </c>
      <c r="X2118" t="s">
        <v>435</v>
      </c>
      <c r="Y2118" t="s">
        <v>28</v>
      </c>
      <c r="Z2118">
        <v>100271</v>
      </c>
      <c r="AA2118" t="s">
        <v>3067</v>
      </c>
      <c r="AB2118" t="s">
        <v>524</v>
      </c>
      <c r="AC2118" s="9">
        <v>2</v>
      </c>
      <c r="AD2118" s="9" t="str">
        <f t="shared" si="202"/>
        <v>N/A</v>
      </c>
      <c r="AE2118" s="11" t="e">
        <f t="shared" si="199"/>
        <v>#VALUE!</v>
      </c>
    </row>
    <row r="2119" spans="1:31" x14ac:dyDescent="0.3">
      <c r="A2119">
        <v>4</v>
      </c>
      <c r="B2119">
        <v>4937393</v>
      </c>
      <c r="C2119" t="s">
        <v>60</v>
      </c>
      <c r="D2119">
        <v>1130746</v>
      </c>
      <c r="E2119" t="s">
        <v>596</v>
      </c>
      <c r="F2119" t="s">
        <v>20</v>
      </c>
      <c r="G2119" t="s">
        <v>2954</v>
      </c>
      <c r="H2119" t="s">
        <v>1813</v>
      </c>
      <c r="I2119" t="s">
        <v>3277</v>
      </c>
      <c r="J2119">
        <v>51159147496</v>
      </c>
      <c r="K2119" t="s">
        <v>3314</v>
      </c>
      <c r="L2119" t="s">
        <v>3503</v>
      </c>
      <c r="M2119">
        <v>25000</v>
      </c>
      <c r="N2119" s="10">
        <v>2.6380000000000001E-2</v>
      </c>
      <c r="O2119" s="10">
        <f t="shared" si="200"/>
        <v>659.5</v>
      </c>
      <c r="P2119" s="10">
        <v>0</v>
      </c>
      <c r="Q2119" s="10">
        <v>6581.45</v>
      </c>
      <c r="R2119" s="10">
        <f>IF(COUNTIF($J$2:J2119,J2119)=1,SUMIFS($O:$O,$J:$J,J2119)+SUMIFS($P:$P,$J:$J,J2119)+SUMIFS($Q:$Q,$J:$J,J2119),"")</f>
        <v>21096.63</v>
      </c>
      <c r="S2119" s="10">
        <v>21096.63</v>
      </c>
      <c r="T2119" s="11" t="str">
        <f t="shared" si="203"/>
        <v>Ok</v>
      </c>
      <c r="U2119" s="12">
        <v>46128</v>
      </c>
      <c r="V2119" s="10">
        <v>20437.13</v>
      </c>
      <c r="W2119" s="10" t="str">
        <f t="shared" si="201"/>
        <v>Short Paid</v>
      </c>
      <c r="X2119" t="s">
        <v>438</v>
      </c>
      <c r="Y2119" t="s">
        <v>28</v>
      </c>
      <c r="Z2119">
        <v>100163</v>
      </c>
      <c r="AA2119" t="s">
        <v>443</v>
      </c>
      <c r="AB2119" t="s">
        <v>521</v>
      </c>
      <c r="AC2119" s="9">
        <v>2</v>
      </c>
      <c r="AD2119" s="9" t="str">
        <f t="shared" si="202"/>
        <v>Ok</v>
      </c>
      <c r="AE2119" s="11">
        <f t="shared" ref="AE2119:AE2182" si="204">R2119-S2119</f>
        <v>0</v>
      </c>
    </row>
    <row r="2120" spans="1:31" x14ac:dyDescent="0.3">
      <c r="A2120">
        <v>4</v>
      </c>
      <c r="B2120">
        <v>4937393</v>
      </c>
      <c r="C2120" t="s">
        <v>60</v>
      </c>
      <c r="D2120">
        <v>1130746</v>
      </c>
      <c r="E2120" t="s">
        <v>596</v>
      </c>
      <c r="F2120" t="s">
        <v>20</v>
      </c>
      <c r="G2120" t="s">
        <v>2954</v>
      </c>
      <c r="H2120" t="s">
        <v>1813</v>
      </c>
      <c r="I2120" t="s">
        <v>3326</v>
      </c>
      <c r="J2120">
        <v>51159147496</v>
      </c>
      <c r="K2120" t="s">
        <v>3168</v>
      </c>
      <c r="L2120" t="s">
        <v>4689</v>
      </c>
      <c r="M2120">
        <v>160</v>
      </c>
      <c r="N2120" s="10">
        <v>86.597999999999999</v>
      </c>
      <c r="O2120" s="10">
        <f t="shared" si="200"/>
        <v>13855.68</v>
      </c>
      <c r="P2120" s="10" t="s">
        <v>5006</v>
      </c>
      <c r="Q2120" s="10" t="s">
        <v>5006</v>
      </c>
      <c r="R2120" s="10" t="str">
        <f>IF(COUNTIF($J$2:J2120,J2120)=1,SUMIFS($O:$O,$J:$J,J2120)+SUMIFS($P:$P,$J:$J,J2120)+SUMIFS($Q:$Q,$J:$J,J2120),"")</f>
        <v/>
      </c>
      <c r="S2120" s="10" t="s">
        <v>5006</v>
      </c>
      <c r="T2120" s="11" t="str">
        <f t="shared" si="203"/>
        <v>Ok</v>
      </c>
      <c r="U2120" s="12">
        <v>46128</v>
      </c>
      <c r="V2120" s="10">
        <v>20437.13</v>
      </c>
      <c r="W2120" s="10" t="str">
        <f t="shared" si="201"/>
        <v>N/A</v>
      </c>
      <c r="X2120" t="s">
        <v>438</v>
      </c>
      <c r="Y2120" t="s">
        <v>28</v>
      </c>
      <c r="Z2120">
        <v>100163</v>
      </c>
      <c r="AA2120" t="s">
        <v>443</v>
      </c>
      <c r="AB2120" t="s">
        <v>521</v>
      </c>
      <c r="AC2120" s="9">
        <v>2</v>
      </c>
      <c r="AD2120" s="9" t="str">
        <f t="shared" si="202"/>
        <v>N/A</v>
      </c>
      <c r="AE2120" s="11" t="e">
        <f t="shared" si="204"/>
        <v>#VALUE!</v>
      </c>
    </row>
    <row r="2121" spans="1:31" x14ac:dyDescent="0.3">
      <c r="A2121">
        <v>3</v>
      </c>
      <c r="B2121">
        <v>4955482</v>
      </c>
      <c r="C2121" t="s">
        <v>239</v>
      </c>
      <c r="D2121">
        <v>1037347</v>
      </c>
      <c r="E2121" t="s">
        <v>291</v>
      </c>
      <c r="F2121" t="s">
        <v>18</v>
      </c>
      <c r="G2121" t="s">
        <v>2971</v>
      </c>
      <c r="H2121" t="s">
        <v>2972</v>
      </c>
      <c r="I2121" t="s">
        <v>3217</v>
      </c>
      <c r="J2121">
        <v>51159168021</v>
      </c>
      <c r="K2121" t="s">
        <v>3177</v>
      </c>
      <c r="L2121" t="s">
        <v>3891</v>
      </c>
      <c r="M2121">
        <v>10000</v>
      </c>
      <c r="N2121" s="10">
        <v>1.4500000000000001E-2</v>
      </c>
      <c r="O2121" s="10">
        <f t="shared" si="200"/>
        <v>145</v>
      </c>
      <c r="P2121" s="10">
        <v>0</v>
      </c>
      <c r="Q2121" s="10">
        <v>136.80000000000001</v>
      </c>
      <c r="R2121" s="10">
        <f>IF(COUNTIF($J$2:J2121,J2121)=1,SUMIFS($O:$O,$J:$J,J2121)+SUMIFS($P:$P,$J:$J,J2121)+SUMIFS($Q:$Q,$J:$J,J2121),"")</f>
        <v>694.40000000000009</v>
      </c>
      <c r="S2121" s="10">
        <v>839.40000000000009</v>
      </c>
      <c r="T2121" s="11" t="str">
        <f t="shared" si="203"/>
        <v>Check</v>
      </c>
      <c r="U2121" s="12">
        <v>46113</v>
      </c>
      <c r="V2121" s="10">
        <v>424.8</v>
      </c>
      <c r="W2121" s="10" t="str">
        <f t="shared" si="201"/>
        <v>Short Paid</v>
      </c>
      <c r="X2121" t="s">
        <v>476</v>
      </c>
      <c r="Y2121" t="s">
        <v>28</v>
      </c>
      <c r="Z2121">
        <v>100275</v>
      </c>
      <c r="AA2121" t="s">
        <v>492</v>
      </c>
      <c r="AB2121" t="s">
        <v>523</v>
      </c>
      <c r="AC2121" s="9">
        <v>4</v>
      </c>
      <c r="AD2121" s="9" t="str">
        <f t="shared" si="202"/>
        <v>Check</v>
      </c>
      <c r="AE2121" s="11">
        <f t="shared" si="204"/>
        <v>-145</v>
      </c>
    </row>
    <row r="2122" spans="1:31" x14ac:dyDescent="0.3">
      <c r="A2122">
        <v>3</v>
      </c>
      <c r="B2122">
        <v>4955482</v>
      </c>
      <c r="C2122" t="s">
        <v>239</v>
      </c>
      <c r="D2122">
        <v>1037347</v>
      </c>
      <c r="E2122" t="s">
        <v>291</v>
      </c>
      <c r="F2122" t="s">
        <v>18</v>
      </c>
      <c r="G2122" t="s">
        <v>2971</v>
      </c>
      <c r="H2122" t="s">
        <v>2972</v>
      </c>
      <c r="I2122" t="s">
        <v>3217</v>
      </c>
      <c r="J2122">
        <v>51159168021</v>
      </c>
      <c r="K2122" t="s">
        <v>3177</v>
      </c>
      <c r="L2122" t="s">
        <v>3892</v>
      </c>
      <c r="M2122">
        <v>30000</v>
      </c>
      <c r="N2122" s="10">
        <v>3.7000000000000002E-3</v>
      </c>
      <c r="O2122" s="10">
        <f t="shared" si="200"/>
        <v>111</v>
      </c>
      <c r="P2122" s="10" t="s">
        <v>5006</v>
      </c>
      <c r="Q2122" s="10" t="s">
        <v>5006</v>
      </c>
      <c r="R2122" s="10" t="str">
        <f>IF(COUNTIF($J$2:J2122,J2122)=1,SUMIFS($O:$O,$J:$J,J2122)+SUMIFS($P:$P,$J:$J,J2122)+SUMIFS($Q:$Q,$J:$J,J2122),"")</f>
        <v/>
      </c>
      <c r="S2122" s="10" t="s">
        <v>5006</v>
      </c>
      <c r="T2122" s="11" t="str">
        <f t="shared" si="203"/>
        <v>Check</v>
      </c>
      <c r="U2122" s="12">
        <v>46113</v>
      </c>
      <c r="V2122" s="10">
        <v>424.8</v>
      </c>
      <c r="W2122" s="10" t="str">
        <f t="shared" si="201"/>
        <v>N/A</v>
      </c>
      <c r="X2122" t="s">
        <v>476</v>
      </c>
      <c r="Y2122" t="s">
        <v>28</v>
      </c>
      <c r="Z2122">
        <v>100275</v>
      </c>
      <c r="AA2122" t="s">
        <v>492</v>
      </c>
      <c r="AB2122" t="s">
        <v>523</v>
      </c>
      <c r="AC2122" s="9">
        <v>4</v>
      </c>
      <c r="AD2122" s="9" t="str">
        <f t="shared" si="202"/>
        <v>N/A</v>
      </c>
      <c r="AE2122" s="11" t="e">
        <f t="shared" si="204"/>
        <v>#VALUE!</v>
      </c>
    </row>
    <row r="2123" spans="1:31" x14ac:dyDescent="0.3">
      <c r="A2123">
        <v>3</v>
      </c>
      <c r="B2123">
        <v>4955482</v>
      </c>
      <c r="C2123" t="s">
        <v>239</v>
      </c>
      <c r="D2123">
        <v>1037347</v>
      </c>
      <c r="E2123" t="s">
        <v>291</v>
      </c>
      <c r="F2123" t="s">
        <v>18</v>
      </c>
      <c r="G2123" t="s">
        <v>2971</v>
      </c>
      <c r="H2123" t="s">
        <v>2972</v>
      </c>
      <c r="I2123" t="s">
        <v>3217</v>
      </c>
      <c r="J2123">
        <v>51159168021</v>
      </c>
      <c r="K2123" t="s">
        <v>3177</v>
      </c>
      <c r="L2123" t="s">
        <v>4275</v>
      </c>
      <c r="M2123">
        <v>8000</v>
      </c>
      <c r="N2123" s="10">
        <v>1.6999999999999999E-3</v>
      </c>
      <c r="O2123" s="10">
        <f t="shared" si="200"/>
        <v>13.6</v>
      </c>
      <c r="P2123" s="10" t="s">
        <v>5006</v>
      </c>
      <c r="Q2123" s="10" t="s">
        <v>5006</v>
      </c>
      <c r="R2123" s="10" t="str">
        <f>IF(COUNTIF($J$2:J2123,J2123)=1,SUMIFS($O:$O,$J:$J,J2123)+SUMIFS($P:$P,$J:$J,J2123)+SUMIFS($Q:$Q,$J:$J,J2123),"")</f>
        <v/>
      </c>
      <c r="S2123" s="10" t="s">
        <v>5006</v>
      </c>
      <c r="T2123" s="11" t="str">
        <f t="shared" si="203"/>
        <v>Check</v>
      </c>
      <c r="U2123" s="12">
        <v>46113</v>
      </c>
      <c r="V2123" s="10">
        <v>424.8</v>
      </c>
      <c r="W2123" s="10" t="str">
        <f t="shared" si="201"/>
        <v>N/A</v>
      </c>
      <c r="X2123" t="s">
        <v>476</v>
      </c>
      <c r="Y2123" t="s">
        <v>28</v>
      </c>
      <c r="Z2123">
        <v>100275</v>
      </c>
      <c r="AA2123" t="s">
        <v>492</v>
      </c>
      <c r="AB2123" t="s">
        <v>523</v>
      </c>
      <c r="AC2123" s="9">
        <v>4</v>
      </c>
      <c r="AD2123" s="9" t="str">
        <f t="shared" si="202"/>
        <v>N/A</v>
      </c>
      <c r="AE2123" s="11" t="e">
        <f t="shared" si="204"/>
        <v>#VALUE!</v>
      </c>
    </row>
    <row r="2124" spans="1:31" x14ac:dyDescent="0.3">
      <c r="A2124">
        <v>3</v>
      </c>
      <c r="B2124">
        <v>4955482</v>
      </c>
      <c r="C2124" t="s">
        <v>239</v>
      </c>
      <c r="D2124">
        <v>1037347</v>
      </c>
      <c r="E2124" t="s">
        <v>291</v>
      </c>
      <c r="F2124" t="s">
        <v>18</v>
      </c>
      <c r="G2124" t="s">
        <v>2971</v>
      </c>
      <c r="H2124" t="s">
        <v>2972</v>
      </c>
      <c r="I2124" t="s">
        <v>3402</v>
      </c>
      <c r="J2124">
        <v>51159168021</v>
      </c>
      <c r="K2124" t="s">
        <v>3370</v>
      </c>
      <c r="L2124" t="s">
        <v>4003</v>
      </c>
      <c r="M2124">
        <v>9000</v>
      </c>
      <c r="N2124" s="10">
        <v>3.2000000000000001E-2</v>
      </c>
      <c r="O2124" s="10">
        <f t="shared" si="200"/>
        <v>288</v>
      </c>
      <c r="P2124" s="10" t="s">
        <v>5006</v>
      </c>
      <c r="Q2124" s="10" t="s">
        <v>5006</v>
      </c>
      <c r="R2124" s="10" t="str">
        <f>IF(COUNTIF($J$2:J2124,J2124)=1,SUMIFS($O:$O,$J:$J,J2124)+SUMIFS($P:$P,$J:$J,J2124)+SUMIFS($Q:$Q,$J:$J,J2124),"")</f>
        <v/>
      </c>
      <c r="S2124" s="10" t="s">
        <v>5006</v>
      </c>
      <c r="T2124" s="11" t="str">
        <f t="shared" si="203"/>
        <v>Check</v>
      </c>
      <c r="U2124" s="12">
        <v>46113</v>
      </c>
      <c r="V2124" s="10">
        <v>424.8</v>
      </c>
      <c r="W2124" s="10" t="str">
        <f t="shared" si="201"/>
        <v>N/A</v>
      </c>
      <c r="X2124" t="s">
        <v>476</v>
      </c>
      <c r="Y2124" t="s">
        <v>28</v>
      </c>
      <c r="Z2124">
        <v>100275</v>
      </c>
      <c r="AA2124" t="s">
        <v>492</v>
      </c>
      <c r="AB2124" t="s">
        <v>523</v>
      </c>
      <c r="AC2124" s="9">
        <v>4</v>
      </c>
      <c r="AD2124" s="9" t="str">
        <f t="shared" si="202"/>
        <v>N/A</v>
      </c>
      <c r="AE2124" s="11" t="e">
        <f t="shared" si="204"/>
        <v>#VALUE!</v>
      </c>
    </row>
    <row r="2125" spans="1:31" x14ac:dyDescent="0.3">
      <c r="A2125">
        <v>4</v>
      </c>
      <c r="B2125">
        <v>4944629</v>
      </c>
      <c r="C2125" t="s">
        <v>94</v>
      </c>
      <c r="D2125">
        <v>1292196</v>
      </c>
      <c r="E2125" t="s">
        <v>593</v>
      </c>
      <c r="F2125" t="s">
        <v>25</v>
      </c>
      <c r="G2125" t="s">
        <v>1830</v>
      </c>
      <c r="H2125" t="s">
        <v>1831</v>
      </c>
      <c r="I2125" t="s">
        <v>3451</v>
      </c>
      <c r="J2125">
        <v>51159173120</v>
      </c>
      <c r="K2125" t="s">
        <v>3906</v>
      </c>
      <c r="L2125" t="s">
        <v>4690</v>
      </c>
      <c r="M2125">
        <v>1</v>
      </c>
      <c r="N2125" s="10">
        <v>888.05</v>
      </c>
      <c r="O2125" s="10">
        <f t="shared" si="200"/>
        <v>888.05</v>
      </c>
      <c r="P2125" s="10">
        <v>801.16000000000008</v>
      </c>
      <c r="Q2125" s="10">
        <v>0</v>
      </c>
      <c r="R2125" s="10">
        <f>IF(COUNTIF($J$2:J2125,J2125)=1,SUMIFS($O:$O,$J:$J,J2125)+SUMIFS($P:$P,$J:$J,J2125)+SUMIFS($Q:$Q,$J:$J,J2125),"")</f>
        <v>14452.52</v>
      </c>
      <c r="S2125" s="10">
        <v>22037.35</v>
      </c>
      <c r="T2125" s="11" t="str">
        <f t="shared" si="203"/>
        <v>Check</v>
      </c>
      <c r="U2125" s="12">
        <v>45870</v>
      </c>
      <c r="V2125" s="10">
        <v>9346.85</v>
      </c>
      <c r="W2125" s="10" t="str">
        <f t="shared" si="201"/>
        <v>Short Paid</v>
      </c>
      <c r="X2125" t="s">
        <v>450</v>
      </c>
      <c r="Y2125" t="s">
        <v>28</v>
      </c>
      <c r="Z2125">
        <v>100287</v>
      </c>
      <c r="AA2125" t="s">
        <v>503</v>
      </c>
      <c r="AB2125" t="s">
        <v>525</v>
      </c>
      <c r="AC2125" s="9">
        <v>5</v>
      </c>
      <c r="AD2125" s="9" t="str">
        <f t="shared" si="202"/>
        <v>Check</v>
      </c>
      <c r="AE2125" s="11">
        <f t="shared" si="204"/>
        <v>-7584.8299999999981</v>
      </c>
    </row>
    <row r="2126" spans="1:31" x14ac:dyDescent="0.3">
      <c r="A2126">
        <v>4</v>
      </c>
      <c r="B2126">
        <v>4944629</v>
      </c>
      <c r="C2126" t="s">
        <v>94</v>
      </c>
      <c r="D2126">
        <v>1292196</v>
      </c>
      <c r="E2126" t="s">
        <v>593</v>
      </c>
      <c r="F2126" t="s">
        <v>25</v>
      </c>
      <c r="G2126" t="s">
        <v>1830</v>
      </c>
      <c r="H2126" t="s">
        <v>1831</v>
      </c>
      <c r="I2126" t="s">
        <v>3451</v>
      </c>
      <c r="J2126">
        <v>51159173120</v>
      </c>
      <c r="K2126" t="s">
        <v>4624</v>
      </c>
      <c r="L2126" t="s">
        <v>4691</v>
      </c>
      <c r="M2126">
        <v>2</v>
      </c>
      <c r="N2126" s="10">
        <v>21.18</v>
      </c>
      <c r="O2126" s="10">
        <f t="shared" si="200"/>
        <v>42.36</v>
      </c>
      <c r="P2126" s="10" t="s">
        <v>5006</v>
      </c>
      <c r="Q2126" s="10" t="s">
        <v>5006</v>
      </c>
      <c r="R2126" s="10" t="str">
        <f>IF(COUNTIF($J$2:J2126,J2126)=1,SUMIFS($O:$O,$J:$J,J2126)+SUMIFS($P:$P,$J:$J,J2126)+SUMIFS($Q:$Q,$J:$J,J2126),"")</f>
        <v/>
      </c>
      <c r="S2126" s="10" t="s">
        <v>5006</v>
      </c>
      <c r="T2126" s="11" t="str">
        <f t="shared" si="203"/>
        <v>Check</v>
      </c>
      <c r="U2126" s="12">
        <v>45870</v>
      </c>
      <c r="V2126" s="10">
        <v>9346.85</v>
      </c>
      <c r="W2126" s="10" t="str">
        <f t="shared" si="201"/>
        <v>N/A</v>
      </c>
      <c r="X2126" t="s">
        <v>450</v>
      </c>
      <c r="Y2126" t="s">
        <v>28</v>
      </c>
      <c r="Z2126">
        <v>100287</v>
      </c>
      <c r="AA2126" t="s">
        <v>503</v>
      </c>
      <c r="AB2126" t="s">
        <v>525</v>
      </c>
      <c r="AC2126" s="9">
        <v>5</v>
      </c>
      <c r="AD2126" s="9" t="str">
        <f t="shared" si="202"/>
        <v>N/A</v>
      </c>
      <c r="AE2126" s="11" t="e">
        <f t="shared" si="204"/>
        <v>#VALUE!</v>
      </c>
    </row>
    <row r="2127" spans="1:31" x14ac:dyDescent="0.3">
      <c r="A2127">
        <v>4</v>
      </c>
      <c r="B2127">
        <v>4944629</v>
      </c>
      <c r="C2127" t="s">
        <v>94</v>
      </c>
      <c r="D2127">
        <v>1292196</v>
      </c>
      <c r="E2127" t="s">
        <v>593</v>
      </c>
      <c r="F2127" t="s">
        <v>25</v>
      </c>
      <c r="G2127" t="s">
        <v>1830</v>
      </c>
      <c r="H2127" t="s">
        <v>1831</v>
      </c>
      <c r="I2127" t="s">
        <v>3451</v>
      </c>
      <c r="J2127">
        <v>51159173120</v>
      </c>
      <c r="K2127" t="s">
        <v>3183</v>
      </c>
      <c r="L2127" t="s">
        <v>4692</v>
      </c>
      <c r="M2127">
        <v>3</v>
      </c>
      <c r="N2127" s="10">
        <v>10.15</v>
      </c>
      <c r="O2127" s="10">
        <f t="shared" si="200"/>
        <v>30.450000000000003</v>
      </c>
      <c r="P2127" s="10" t="s">
        <v>5006</v>
      </c>
      <c r="Q2127" s="10" t="s">
        <v>5006</v>
      </c>
      <c r="R2127" s="10" t="str">
        <f>IF(COUNTIF($J$2:J2127,J2127)=1,SUMIFS($O:$O,$J:$J,J2127)+SUMIFS($P:$P,$J:$J,J2127)+SUMIFS($Q:$Q,$J:$J,J2127),"")</f>
        <v/>
      </c>
      <c r="S2127" s="10" t="s">
        <v>5006</v>
      </c>
      <c r="T2127" s="11" t="str">
        <f t="shared" si="203"/>
        <v>Check</v>
      </c>
      <c r="U2127" s="12">
        <v>45870</v>
      </c>
      <c r="V2127" s="10">
        <v>9346.85</v>
      </c>
      <c r="W2127" s="10" t="str">
        <f t="shared" si="201"/>
        <v>N/A</v>
      </c>
      <c r="X2127" t="s">
        <v>450</v>
      </c>
      <c r="Y2127" t="s">
        <v>28</v>
      </c>
      <c r="Z2127">
        <v>100287</v>
      </c>
      <c r="AA2127" t="s">
        <v>503</v>
      </c>
      <c r="AB2127" t="s">
        <v>525</v>
      </c>
      <c r="AC2127" s="9">
        <v>5</v>
      </c>
      <c r="AD2127" s="9" t="str">
        <f t="shared" si="202"/>
        <v>N/A</v>
      </c>
      <c r="AE2127" s="11" t="e">
        <f t="shared" si="204"/>
        <v>#VALUE!</v>
      </c>
    </row>
    <row r="2128" spans="1:31" x14ac:dyDescent="0.3">
      <c r="A2128">
        <v>4</v>
      </c>
      <c r="B2128">
        <v>4944629</v>
      </c>
      <c r="C2128" t="s">
        <v>94</v>
      </c>
      <c r="D2128">
        <v>1292196</v>
      </c>
      <c r="E2128" t="s">
        <v>593</v>
      </c>
      <c r="F2128" t="s">
        <v>25</v>
      </c>
      <c r="G2128" t="s">
        <v>1830</v>
      </c>
      <c r="H2128" t="s">
        <v>1831</v>
      </c>
      <c r="I2128" t="s">
        <v>3451</v>
      </c>
      <c r="J2128">
        <v>51159173120</v>
      </c>
      <c r="K2128" t="s">
        <v>3705</v>
      </c>
      <c r="L2128" t="s">
        <v>4693</v>
      </c>
      <c r="M2128">
        <v>0</v>
      </c>
      <c r="N2128" s="10">
        <v>813.74</v>
      </c>
      <c r="O2128" s="10">
        <f t="shared" si="200"/>
        <v>0</v>
      </c>
      <c r="P2128" s="10" t="s">
        <v>5006</v>
      </c>
      <c r="Q2128" s="10" t="s">
        <v>5006</v>
      </c>
      <c r="R2128" s="10" t="str">
        <f>IF(COUNTIF($J$2:J2128,J2128)=1,SUMIFS($O:$O,$J:$J,J2128)+SUMIFS($P:$P,$J:$J,J2128)+SUMIFS($Q:$Q,$J:$J,J2128),"")</f>
        <v/>
      </c>
      <c r="S2128" s="10" t="s">
        <v>5006</v>
      </c>
      <c r="T2128" s="11" t="str">
        <f t="shared" si="203"/>
        <v>Check</v>
      </c>
      <c r="U2128" s="12">
        <v>45870</v>
      </c>
      <c r="V2128" s="10">
        <v>9346.85</v>
      </c>
      <c r="W2128" s="10" t="str">
        <f t="shared" si="201"/>
        <v>N/A</v>
      </c>
      <c r="X2128" t="s">
        <v>450</v>
      </c>
      <c r="Y2128" t="s">
        <v>28</v>
      </c>
      <c r="Z2128">
        <v>100287</v>
      </c>
      <c r="AA2128" t="s">
        <v>503</v>
      </c>
      <c r="AB2128" t="s">
        <v>525</v>
      </c>
      <c r="AC2128" s="9">
        <v>5</v>
      </c>
      <c r="AD2128" s="9" t="str">
        <f t="shared" si="202"/>
        <v>N/A</v>
      </c>
      <c r="AE2128" s="11" t="e">
        <f t="shared" si="204"/>
        <v>#VALUE!</v>
      </c>
    </row>
    <row r="2129" spans="1:31" x14ac:dyDescent="0.3">
      <c r="A2129">
        <v>4</v>
      </c>
      <c r="B2129">
        <v>4944629</v>
      </c>
      <c r="C2129" t="s">
        <v>94</v>
      </c>
      <c r="D2129">
        <v>1292196</v>
      </c>
      <c r="E2129" t="s">
        <v>593</v>
      </c>
      <c r="F2129" t="s">
        <v>25</v>
      </c>
      <c r="G2129" t="s">
        <v>1830</v>
      </c>
      <c r="H2129" t="s">
        <v>1831</v>
      </c>
      <c r="I2129" t="s">
        <v>3421</v>
      </c>
      <c r="J2129">
        <v>51159173120</v>
      </c>
      <c r="K2129" t="s">
        <v>3550</v>
      </c>
      <c r="L2129" t="s">
        <v>3648</v>
      </c>
      <c r="M2129">
        <v>34</v>
      </c>
      <c r="N2129" s="10">
        <v>373.25</v>
      </c>
      <c r="O2129" s="10">
        <f t="shared" si="200"/>
        <v>12690.5</v>
      </c>
      <c r="P2129" s="10" t="s">
        <v>5006</v>
      </c>
      <c r="Q2129" s="10" t="s">
        <v>5006</v>
      </c>
      <c r="R2129" s="10" t="str">
        <f>IF(COUNTIF($J$2:J2129,J2129)=1,SUMIFS($O:$O,$J:$J,J2129)+SUMIFS($P:$P,$J:$J,J2129)+SUMIFS($Q:$Q,$J:$J,J2129),"")</f>
        <v/>
      </c>
      <c r="S2129" s="10" t="s">
        <v>5006</v>
      </c>
      <c r="T2129" s="11" t="str">
        <f t="shared" si="203"/>
        <v>Check</v>
      </c>
      <c r="U2129" s="12">
        <v>45870</v>
      </c>
      <c r="V2129" s="10">
        <v>9346.85</v>
      </c>
      <c r="W2129" s="10" t="str">
        <f t="shared" si="201"/>
        <v>N/A</v>
      </c>
      <c r="X2129" t="s">
        <v>450</v>
      </c>
      <c r="Y2129" t="s">
        <v>28</v>
      </c>
      <c r="Z2129">
        <v>100287</v>
      </c>
      <c r="AA2129" t="s">
        <v>503</v>
      </c>
      <c r="AB2129" t="s">
        <v>525</v>
      </c>
      <c r="AC2129" s="9">
        <v>5</v>
      </c>
      <c r="AD2129" s="9" t="str">
        <f t="shared" si="202"/>
        <v>N/A</v>
      </c>
      <c r="AE2129" s="11" t="e">
        <f t="shared" si="204"/>
        <v>#VALUE!</v>
      </c>
    </row>
    <row r="2130" spans="1:31" x14ac:dyDescent="0.3">
      <c r="A2130">
        <v>3</v>
      </c>
      <c r="B2130">
        <v>4952699</v>
      </c>
      <c r="C2130" t="s">
        <v>239</v>
      </c>
      <c r="D2130">
        <v>1085063</v>
      </c>
      <c r="E2130" t="s">
        <v>601</v>
      </c>
      <c r="F2130" t="s">
        <v>47</v>
      </c>
      <c r="G2130" t="s">
        <v>1840</v>
      </c>
      <c r="H2130" t="s">
        <v>1841</v>
      </c>
      <c r="I2130" t="s">
        <v>3285</v>
      </c>
      <c r="J2130">
        <v>51159173191</v>
      </c>
      <c r="K2130" t="s">
        <v>3389</v>
      </c>
      <c r="L2130" t="s">
        <v>4694</v>
      </c>
      <c r="M2130">
        <v>3000</v>
      </c>
      <c r="N2130" s="10">
        <v>4.4499999999999998E-2</v>
      </c>
      <c r="O2130" s="10">
        <f t="shared" si="200"/>
        <v>133.5</v>
      </c>
      <c r="P2130" s="10">
        <v>0</v>
      </c>
      <c r="Q2130" s="10">
        <v>88.78</v>
      </c>
      <c r="R2130" s="10">
        <f>IF(COUNTIF($J$2:J2130,J2130)=1,SUMIFS($O:$O,$J:$J,J2130)+SUMIFS($P:$P,$J:$J,J2130)+SUMIFS($Q:$Q,$J:$J,J2130),"")</f>
        <v>1422.28</v>
      </c>
      <c r="S2130" s="10">
        <v>1422.28</v>
      </c>
      <c r="T2130" s="11" t="str">
        <f t="shared" si="203"/>
        <v>Ok</v>
      </c>
      <c r="U2130" s="12">
        <v>46109</v>
      </c>
      <c r="V2130" s="10">
        <v>222.28</v>
      </c>
      <c r="W2130" s="10" t="str">
        <f t="shared" si="201"/>
        <v>Short Paid</v>
      </c>
      <c r="X2130" t="s">
        <v>476</v>
      </c>
      <c r="Y2130" t="s">
        <v>28</v>
      </c>
      <c r="Z2130">
        <v>100275</v>
      </c>
      <c r="AA2130" t="s">
        <v>492</v>
      </c>
      <c r="AB2130" t="s">
        <v>3039</v>
      </c>
      <c r="AC2130" s="9">
        <v>2</v>
      </c>
      <c r="AD2130" s="9" t="str">
        <f t="shared" si="202"/>
        <v>Ok</v>
      </c>
      <c r="AE2130" s="11">
        <f t="shared" si="204"/>
        <v>0</v>
      </c>
    </row>
    <row r="2131" spans="1:31" x14ac:dyDescent="0.3">
      <c r="A2131">
        <v>3</v>
      </c>
      <c r="B2131">
        <v>4952699</v>
      </c>
      <c r="C2131" t="s">
        <v>239</v>
      </c>
      <c r="D2131">
        <v>1085063</v>
      </c>
      <c r="E2131" t="s">
        <v>601</v>
      </c>
      <c r="F2131" t="s">
        <v>47</v>
      </c>
      <c r="G2131" t="s">
        <v>1840</v>
      </c>
      <c r="H2131" t="s">
        <v>1841</v>
      </c>
      <c r="I2131" t="s">
        <v>3469</v>
      </c>
      <c r="J2131">
        <v>51159173191</v>
      </c>
      <c r="K2131" t="s">
        <v>3488</v>
      </c>
      <c r="L2131" t="s">
        <v>3582</v>
      </c>
      <c r="M2131">
        <v>32000</v>
      </c>
      <c r="N2131" s="10">
        <v>3.7499999999999999E-2</v>
      </c>
      <c r="O2131" s="10">
        <f t="shared" si="200"/>
        <v>1200</v>
      </c>
      <c r="P2131" s="10" t="s">
        <v>5006</v>
      </c>
      <c r="Q2131" s="10" t="s">
        <v>5006</v>
      </c>
      <c r="R2131" s="10" t="str">
        <f>IF(COUNTIF($J$2:J2131,J2131)=1,SUMIFS($O:$O,$J:$J,J2131)+SUMIFS($P:$P,$J:$J,J2131)+SUMIFS($Q:$Q,$J:$J,J2131),"")</f>
        <v/>
      </c>
      <c r="S2131" s="10" t="s">
        <v>5006</v>
      </c>
      <c r="T2131" s="11" t="str">
        <f t="shared" si="203"/>
        <v>Ok</v>
      </c>
      <c r="U2131" s="12">
        <v>46109</v>
      </c>
      <c r="V2131" s="10">
        <v>222.28</v>
      </c>
      <c r="W2131" s="10" t="str">
        <f t="shared" si="201"/>
        <v>N/A</v>
      </c>
      <c r="X2131" t="s">
        <v>476</v>
      </c>
      <c r="Y2131" t="s">
        <v>28</v>
      </c>
      <c r="Z2131">
        <v>100275</v>
      </c>
      <c r="AA2131" t="s">
        <v>492</v>
      </c>
      <c r="AB2131" t="s">
        <v>3039</v>
      </c>
      <c r="AC2131" s="9">
        <v>2</v>
      </c>
      <c r="AD2131" s="9" t="str">
        <f t="shared" si="202"/>
        <v>N/A</v>
      </c>
      <c r="AE2131" s="11" t="e">
        <f t="shared" si="204"/>
        <v>#VALUE!</v>
      </c>
    </row>
    <row r="2132" spans="1:31" x14ac:dyDescent="0.3">
      <c r="A2132">
        <v>4</v>
      </c>
      <c r="B2132">
        <v>4938785</v>
      </c>
      <c r="C2132" t="s">
        <v>167</v>
      </c>
      <c r="D2132">
        <v>1213304</v>
      </c>
      <c r="E2132" t="s">
        <v>595</v>
      </c>
      <c r="F2132" t="s">
        <v>19</v>
      </c>
      <c r="G2132" t="s">
        <v>2949</v>
      </c>
      <c r="H2132" t="s">
        <v>2950</v>
      </c>
      <c r="I2132" t="s">
        <v>3218</v>
      </c>
      <c r="J2132">
        <v>51159173241</v>
      </c>
      <c r="K2132" t="s">
        <v>3177</v>
      </c>
      <c r="L2132" t="s">
        <v>4695</v>
      </c>
      <c r="M2132">
        <v>32000</v>
      </c>
      <c r="N2132" s="10">
        <v>2.1149999999999999E-2</v>
      </c>
      <c r="O2132" s="10">
        <f t="shared" si="200"/>
        <v>676.8</v>
      </c>
      <c r="P2132" s="10">
        <v>0</v>
      </c>
      <c r="Q2132" s="10">
        <v>0</v>
      </c>
      <c r="R2132" s="10">
        <f>IF(COUNTIF($J$2:J2132,J2132)=1,SUMIFS($O:$O,$J:$J,J2132)+SUMIFS($P:$P,$J:$J,J2132)+SUMIFS($Q:$Q,$J:$J,J2132),"")</f>
        <v>1342.8000000000002</v>
      </c>
      <c r="S2132" s="10">
        <v>1850.4</v>
      </c>
      <c r="T2132" s="11" t="str">
        <f t="shared" si="203"/>
        <v>Check</v>
      </c>
      <c r="U2132" s="12">
        <v>46043</v>
      </c>
      <c r="V2132" s="10">
        <v>666</v>
      </c>
      <c r="W2132" s="10" t="str">
        <f t="shared" si="201"/>
        <v>Short Paid</v>
      </c>
      <c r="X2132" t="s">
        <v>455</v>
      </c>
      <c r="Y2132" t="s">
        <v>28</v>
      </c>
      <c r="Z2132">
        <v>100270</v>
      </c>
      <c r="AA2132" t="s">
        <v>464</v>
      </c>
      <c r="AB2132" t="s">
        <v>524</v>
      </c>
      <c r="AC2132" s="9">
        <v>2</v>
      </c>
      <c r="AD2132" s="9" t="str">
        <f t="shared" si="202"/>
        <v>Check</v>
      </c>
      <c r="AE2132" s="11">
        <f t="shared" si="204"/>
        <v>-507.59999999999991</v>
      </c>
    </row>
    <row r="2133" spans="1:31" x14ac:dyDescent="0.3">
      <c r="A2133">
        <v>4</v>
      </c>
      <c r="B2133">
        <v>4938785</v>
      </c>
      <c r="C2133" t="s">
        <v>167</v>
      </c>
      <c r="D2133">
        <v>1213304</v>
      </c>
      <c r="E2133" t="s">
        <v>595</v>
      </c>
      <c r="F2133" t="s">
        <v>19</v>
      </c>
      <c r="G2133" t="s">
        <v>2949</v>
      </c>
      <c r="H2133" t="s">
        <v>2950</v>
      </c>
      <c r="I2133" t="s">
        <v>3390</v>
      </c>
      <c r="J2133">
        <v>51159173241</v>
      </c>
      <c r="K2133" t="s">
        <v>3537</v>
      </c>
      <c r="L2133" t="s">
        <v>4696</v>
      </c>
      <c r="M2133">
        <v>20000</v>
      </c>
      <c r="N2133" s="10">
        <v>3.3300000000000003E-2</v>
      </c>
      <c r="O2133" s="10">
        <f t="shared" si="200"/>
        <v>666.00000000000011</v>
      </c>
      <c r="P2133" s="10" t="s">
        <v>5006</v>
      </c>
      <c r="Q2133" s="10" t="s">
        <v>5006</v>
      </c>
      <c r="R2133" s="10" t="str">
        <f>IF(COUNTIF($J$2:J2133,J2133)=1,SUMIFS($O:$O,$J:$J,J2133)+SUMIFS($P:$P,$J:$J,J2133)+SUMIFS($Q:$Q,$J:$J,J2133),"")</f>
        <v/>
      </c>
      <c r="S2133" s="10" t="s">
        <v>5006</v>
      </c>
      <c r="T2133" s="11" t="str">
        <f t="shared" si="203"/>
        <v>Check</v>
      </c>
      <c r="U2133" s="12">
        <v>46043</v>
      </c>
      <c r="V2133" s="10">
        <v>666</v>
      </c>
      <c r="W2133" s="10" t="str">
        <f t="shared" si="201"/>
        <v>N/A</v>
      </c>
      <c r="X2133" t="s">
        <v>455</v>
      </c>
      <c r="Y2133" t="s">
        <v>28</v>
      </c>
      <c r="Z2133">
        <v>100270</v>
      </c>
      <c r="AA2133" t="s">
        <v>464</v>
      </c>
      <c r="AB2133" t="s">
        <v>524</v>
      </c>
      <c r="AC2133" s="9">
        <v>2</v>
      </c>
      <c r="AD2133" s="9" t="str">
        <f t="shared" si="202"/>
        <v>N/A</v>
      </c>
      <c r="AE2133" s="11" t="e">
        <f t="shared" si="204"/>
        <v>#VALUE!</v>
      </c>
    </row>
    <row r="2134" spans="1:31" x14ac:dyDescent="0.3">
      <c r="A2134">
        <v>209</v>
      </c>
      <c r="B2134">
        <v>4401196</v>
      </c>
      <c r="C2134" t="s">
        <v>94</v>
      </c>
      <c r="D2134">
        <v>1830445</v>
      </c>
      <c r="E2134" t="s">
        <v>95</v>
      </c>
      <c r="F2134" t="s">
        <v>19</v>
      </c>
      <c r="G2134" t="s">
        <v>2035</v>
      </c>
      <c r="H2134" t="s">
        <v>2036</v>
      </c>
      <c r="I2134" t="s">
        <v>3446</v>
      </c>
      <c r="J2134">
        <v>51159173350</v>
      </c>
      <c r="K2134" t="s">
        <v>3209</v>
      </c>
      <c r="L2134" t="s">
        <v>4697</v>
      </c>
      <c r="M2134">
        <v>1</v>
      </c>
      <c r="N2134" s="10">
        <v>245</v>
      </c>
      <c r="O2134" s="10">
        <f t="shared" si="200"/>
        <v>245</v>
      </c>
      <c r="P2134" s="10">
        <v>0</v>
      </c>
      <c r="Q2134" s="10">
        <v>0</v>
      </c>
      <c r="R2134" s="10">
        <f>IF(COUNTIF($J$2:J2134,J2134)=1,SUMIFS($O:$O,$J:$J,J2134)+SUMIFS($P:$P,$J:$J,J2134)+SUMIFS($Q:$Q,$J:$J,J2134),"")</f>
        <v>5849</v>
      </c>
      <c r="S2134" s="10">
        <v>11657</v>
      </c>
      <c r="T2134" s="11" t="str">
        <f t="shared" si="203"/>
        <v>Check</v>
      </c>
      <c r="U2134" s="12">
        <v>45944</v>
      </c>
      <c r="V2134" s="10">
        <v>325</v>
      </c>
      <c r="W2134" s="10" t="str">
        <f t="shared" si="201"/>
        <v>Short Paid</v>
      </c>
      <c r="X2134" t="s">
        <v>450</v>
      </c>
      <c r="Y2134" t="s">
        <v>28</v>
      </c>
      <c r="Z2134">
        <v>100237</v>
      </c>
      <c r="AA2134" t="s">
        <v>3094</v>
      </c>
      <c r="AB2134" t="s">
        <v>524</v>
      </c>
      <c r="AC2134" s="9">
        <v>2</v>
      </c>
      <c r="AD2134" s="9" t="str">
        <f t="shared" si="202"/>
        <v>Check</v>
      </c>
      <c r="AE2134" s="11">
        <f t="shared" si="204"/>
        <v>-5808</v>
      </c>
    </row>
    <row r="2135" spans="1:31" x14ac:dyDescent="0.3">
      <c r="A2135">
        <v>209</v>
      </c>
      <c r="B2135">
        <v>4401196</v>
      </c>
      <c r="C2135" t="s">
        <v>94</v>
      </c>
      <c r="D2135">
        <v>1830445</v>
      </c>
      <c r="E2135" t="s">
        <v>95</v>
      </c>
      <c r="F2135" t="s">
        <v>19</v>
      </c>
      <c r="G2135" t="s">
        <v>2035</v>
      </c>
      <c r="H2135" t="s">
        <v>2036</v>
      </c>
      <c r="I2135" t="s">
        <v>3446</v>
      </c>
      <c r="J2135">
        <v>51159173350</v>
      </c>
      <c r="K2135" t="s">
        <v>3209</v>
      </c>
      <c r="L2135" t="s">
        <v>4698</v>
      </c>
      <c r="M2135">
        <v>300</v>
      </c>
      <c r="N2135" s="10">
        <v>18.68</v>
      </c>
      <c r="O2135" s="10">
        <f t="shared" si="200"/>
        <v>5604</v>
      </c>
      <c r="P2135" s="10" t="s">
        <v>5006</v>
      </c>
      <c r="Q2135" s="10" t="s">
        <v>5006</v>
      </c>
      <c r="R2135" s="10" t="str">
        <f>IF(COUNTIF($J$2:J2135,J2135)=1,SUMIFS($O:$O,$J:$J,J2135)+SUMIFS($P:$P,$J:$J,J2135)+SUMIFS($Q:$Q,$J:$J,J2135),"")</f>
        <v/>
      </c>
      <c r="S2135" s="10" t="s">
        <v>5006</v>
      </c>
      <c r="T2135" s="11" t="str">
        <f t="shared" si="203"/>
        <v>Check</v>
      </c>
      <c r="U2135" s="12">
        <v>45944</v>
      </c>
      <c r="V2135" s="10">
        <v>325</v>
      </c>
      <c r="W2135" s="10" t="str">
        <f t="shared" si="201"/>
        <v>N/A</v>
      </c>
      <c r="X2135" t="s">
        <v>450</v>
      </c>
      <c r="Y2135" t="s">
        <v>28</v>
      </c>
      <c r="Z2135">
        <v>100237</v>
      </c>
      <c r="AA2135" t="s">
        <v>3094</v>
      </c>
      <c r="AB2135" t="s">
        <v>524</v>
      </c>
      <c r="AC2135" s="9">
        <v>2</v>
      </c>
      <c r="AD2135" s="9" t="str">
        <f t="shared" si="202"/>
        <v>N/A</v>
      </c>
      <c r="AE2135" s="11" t="e">
        <f t="shared" si="204"/>
        <v>#VALUE!</v>
      </c>
    </row>
    <row r="2136" spans="1:31" x14ac:dyDescent="0.3">
      <c r="A2136">
        <v>2</v>
      </c>
      <c r="B2136">
        <v>4961047</v>
      </c>
      <c r="C2136" t="s">
        <v>167</v>
      </c>
      <c r="D2136">
        <v>1241713</v>
      </c>
      <c r="E2136" t="s">
        <v>614</v>
      </c>
      <c r="F2136" t="s">
        <v>19</v>
      </c>
      <c r="G2136" t="s">
        <v>2997</v>
      </c>
      <c r="H2136" t="s">
        <v>2998</v>
      </c>
      <c r="I2136" t="s">
        <v>3449</v>
      </c>
      <c r="J2136">
        <v>51159239981</v>
      </c>
      <c r="K2136" t="s">
        <v>3203</v>
      </c>
      <c r="L2136" t="s">
        <v>4699</v>
      </c>
      <c r="M2136">
        <v>1210</v>
      </c>
      <c r="N2136" s="10">
        <v>21</v>
      </c>
      <c r="O2136" s="10">
        <f t="shared" si="200"/>
        <v>25410</v>
      </c>
      <c r="P2136" s="10">
        <v>0</v>
      </c>
      <c r="Q2136" s="10">
        <v>0</v>
      </c>
      <c r="R2136" s="10">
        <f>IF(COUNTIF($J$2:J2136,J2136)=1,SUMIFS($O:$O,$J:$J,J2136)+SUMIFS($P:$P,$J:$J,J2136)+SUMIFS($Q:$Q,$J:$J,J2136),"")</f>
        <v>30570</v>
      </c>
      <c r="S2136" s="10">
        <v>30770.11</v>
      </c>
      <c r="T2136" s="11" t="str">
        <f t="shared" si="203"/>
        <v>Check</v>
      </c>
      <c r="U2136" s="12">
        <v>46175</v>
      </c>
      <c r="V2136" s="10">
        <v>25410</v>
      </c>
      <c r="W2136" s="10" t="str">
        <f t="shared" si="201"/>
        <v>Short Paid</v>
      </c>
      <c r="X2136" t="s">
        <v>455</v>
      </c>
      <c r="Y2136" t="s">
        <v>28</v>
      </c>
      <c r="Z2136">
        <v>100270</v>
      </c>
      <c r="AA2136" t="s">
        <v>464</v>
      </c>
      <c r="AB2136" t="s">
        <v>524</v>
      </c>
      <c r="AC2136" s="9">
        <v>2</v>
      </c>
      <c r="AD2136" s="9" t="str">
        <f t="shared" si="202"/>
        <v>Check</v>
      </c>
      <c r="AE2136" s="11">
        <f t="shared" si="204"/>
        <v>-200.11000000000058</v>
      </c>
    </row>
    <row r="2137" spans="1:31" x14ac:dyDescent="0.3">
      <c r="A2137">
        <v>2</v>
      </c>
      <c r="B2137">
        <v>4961047</v>
      </c>
      <c r="C2137" t="s">
        <v>167</v>
      </c>
      <c r="D2137">
        <v>1241713</v>
      </c>
      <c r="E2137" t="s">
        <v>614</v>
      </c>
      <c r="F2137" t="s">
        <v>19</v>
      </c>
      <c r="G2137" t="s">
        <v>2997</v>
      </c>
      <c r="H2137" t="s">
        <v>2998</v>
      </c>
      <c r="I2137" t="s">
        <v>3410</v>
      </c>
      <c r="J2137">
        <v>51159239981</v>
      </c>
      <c r="K2137" t="s">
        <v>3289</v>
      </c>
      <c r="L2137" t="s">
        <v>4700</v>
      </c>
      <c r="M2137">
        <v>2400</v>
      </c>
      <c r="N2137" s="10">
        <v>2.15</v>
      </c>
      <c r="O2137" s="10">
        <f t="shared" si="200"/>
        <v>5160</v>
      </c>
      <c r="P2137" s="10" t="s">
        <v>5006</v>
      </c>
      <c r="Q2137" s="10" t="s">
        <v>5006</v>
      </c>
      <c r="R2137" s="10" t="str">
        <f>IF(COUNTIF($J$2:J2137,J2137)=1,SUMIFS($O:$O,$J:$J,J2137)+SUMIFS($P:$P,$J:$J,J2137)+SUMIFS($Q:$Q,$J:$J,J2137),"")</f>
        <v/>
      </c>
      <c r="S2137" s="10" t="s">
        <v>5006</v>
      </c>
      <c r="T2137" s="11" t="str">
        <f t="shared" si="203"/>
        <v>Check</v>
      </c>
      <c r="U2137" s="12">
        <v>46175</v>
      </c>
      <c r="V2137" s="10">
        <v>25410</v>
      </c>
      <c r="W2137" s="10" t="str">
        <f t="shared" si="201"/>
        <v>N/A</v>
      </c>
      <c r="X2137" t="s">
        <v>455</v>
      </c>
      <c r="Y2137" t="s">
        <v>28</v>
      </c>
      <c r="Z2137">
        <v>100270</v>
      </c>
      <c r="AA2137" t="s">
        <v>464</v>
      </c>
      <c r="AB2137" t="s">
        <v>524</v>
      </c>
      <c r="AC2137" s="9">
        <v>2</v>
      </c>
      <c r="AD2137" s="9" t="str">
        <f t="shared" si="202"/>
        <v>N/A</v>
      </c>
      <c r="AE2137" s="11" t="e">
        <f t="shared" si="204"/>
        <v>#VALUE!</v>
      </c>
    </row>
    <row r="2138" spans="1:31" x14ac:dyDescent="0.3">
      <c r="A2138">
        <v>0</v>
      </c>
      <c r="B2138">
        <v>4981919</v>
      </c>
      <c r="C2138" t="s">
        <v>94</v>
      </c>
      <c r="D2138">
        <v>1424091</v>
      </c>
      <c r="E2138" t="s">
        <v>622</v>
      </c>
      <c r="F2138" t="s">
        <v>20</v>
      </c>
      <c r="G2138" t="s">
        <v>1936</v>
      </c>
      <c r="H2138" t="s">
        <v>1937</v>
      </c>
      <c r="I2138" t="s">
        <v>3175</v>
      </c>
      <c r="J2138">
        <v>51159248906</v>
      </c>
      <c r="K2138" t="s">
        <v>3429</v>
      </c>
      <c r="L2138" t="s">
        <v>4701</v>
      </c>
      <c r="M2138">
        <v>250</v>
      </c>
      <c r="N2138" s="10">
        <v>0.22</v>
      </c>
      <c r="O2138" s="10">
        <f t="shared" si="200"/>
        <v>55</v>
      </c>
      <c r="P2138" s="10">
        <v>0</v>
      </c>
      <c r="Q2138" s="10">
        <v>0</v>
      </c>
      <c r="R2138" s="10">
        <f>IF(COUNTIF($J$2:J2138,J2138)=1,SUMIFS($O:$O,$J:$J,J2138)+SUMIFS($P:$P,$J:$J,J2138)+SUMIFS($Q:$Q,$J:$J,J2138),"")</f>
        <v>3322</v>
      </c>
      <c r="S2138" s="10">
        <v>3534.95</v>
      </c>
      <c r="T2138" s="11" t="str">
        <f t="shared" si="203"/>
        <v>Check</v>
      </c>
      <c r="U2138" s="12">
        <v>46101</v>
      </c>
      <c r="V2138" s="10">
        <v>55</v>
      </c>
      <c r="W2138" s="10" t="str">
        <f t="shared" si="201"/>
        <v>Short Paid</v>
      </c>
      <c r="X2138" t="s">
        <v>450</v>
      </c>
      <c r="Y2138" t="s">
        <v>28</v>
      </c>
      <c r="Z2138">
        <v>100167</v>
      </c>
      <c r="AA2138" t="s">
        <v>499</v>
      </c>
      <c r="AB2138" t="s">
        <v>521</v>
      </c>
      <c r="AC2138" s="9">
        <v>2</v>
      </c>
      <c r="AD2138" s="9" t="str">
        <f t="shared" si="202"/>
        <v>Check</v>
      </c>
      <c r="AE2138" s="11">
        <f t="shared" si="204"/>
        <v>-212.94999999999982</v>
      </c>
    </row>
    <row r="2139" spans="1:31" x14ac:dyDescent="0.3">
      <c r="A2139">
        <v>0</v>
      </c>
      <c r="B2139">
        <v>4981919</v>
      </c>
      <c r="C2139" t="s">
        <v>94</v>
      </c>
      <c r="D2139">
        <v>1424091</v>
      </c>
      <c r="E2139" t="s">
        <v>622</v>
      </c>
      <c r="F2139" t="s">
        <v>20</v>
      </c>
      <c r="G2139" t="s">
        <v>1936</v>
      </c>
      <c r="H2139" t="s">
        <v>1937</v>
      </c>
      <c r="I2139" t="s">
        <v>3184</v>
      </c>
      <c r="J2139">
        <v>51159248906</v>
      </c>
      <c r="K2139" t="s">
        <v>3628</v>
      </c>
      <c r="L2139" t="s">
        <v>3627</v>
      </c>
      <c r="M2139">
        <v>300</v>
      </c>
      <c r="N2139" s="10">
        <v>10.89</v>
      </c>
      <c r="O2139" s="10">
        <f t="shared" si="200"/>
        <v>3267</v>
      </c>
      <c r="P2139" s="10" t="s">
        <v>5006</v>
      </c>
      <c r="Q2139" s="10" t="s">
        <v>5006</v>
      </c>
      <c r="R2139" s="10" t="str">
        <f>IF(COUNTIF($J$2:J2139,J2139)=1,SUMIFS($O:$O,$J:$J,J2139)+SUMIFS($P:$P,$J:$J,J2139)+SUMIFS($Q:$Q,$J:$J,J2139),"")</f>
        <v/>
      </c>
      <c r="S2139" s="10" t="s">
        <v>5006</v>
      </c>
      <c r="T2139" s="11" t="str">
        <f t="shared" si="203"/>
        <v>Check</v>
      </c>
      <c r="U2139" s="12">
        <v>46101</v>
      </c>
      <c r="V2139" s="10">
        <v>55</v>
      </c>
      <c r="W2139" s="10" t="str">
        <f t="shared" si="201"/>
        <v>N/A</v>
      </c>
      <c r="X2139" t="s">
        <v>450</v>
      </c>
      <c r="Y2139" t="s">
        <v>28</v>
      </c>
      <c r="Z2139">
        <v>100167</v>
      </c>
      <c r="AA2139" t="s">
        <v>499</v>
      </c>
      <c r="AB2139" t="s">
        <v>521</v>
      </c>
      <c r="AC2139" s="9">
        <v>2</v>
      </c>
      <c r="AD2139" s="9" t="str">
        <f t="shared" si="202"/>
        <v>N/A</v>
      </c>
      <c r="AE2139" s="11" t="e">
        <f t="shared" si="204"/>
        <v>#VALUE!</v>
      </c>
    </row>
    <row r="2140" spans="1:31" x14ac:dyDescent="0.3">
      <c r="A2140">
        <v>4</v>
      </c>
      <c r="B2140">
        <v>4937115</v>
      </c>
      <c r="C2140" t="s">
        <v>60</v>
      </c>
      <c r="D2140">
        <v>1130746</v>
      </c>
      <c r="E2140" t="s">
        <v>596</v>
      </c>
      <c r="F2140" t="s">
        <v>20</v>
      </c>
      <c r="G2140" t="s">
        <v>2955</v>
      </c>
      <c r="H2140" t="s">
        <v>1812</v>
      </c>
      <c r="I2140" t="s">
        <v>3169</v>
      </c>
      <c r="J2140">
        <v>51159258237</v>
      </c>
      <c r="K2140" t="s">
        <v>3209</v>
      </c>
      <c r="L2140" t="s">
        <v>3552</v>
      </c>
      <c r="M2140">
        <v>10000</v>
      </c>
      <c r="N2140" s="10">
        <v>1.506E-2</v>
      </c>
      <c r="O2140" s="10">
        <f t="shared" si="200"/>
        <v>150.6</v>
      </c>
      <c r="P2140" s="10">
        <v>0</v>
      </c>
      <c r="Q2140" s="10">
        <v>6581.45</v>
      </c>
      <c r="R2140" s="10">
        <f>IF(COUNTIF($J$2:J2140,J2140)=1,SUMIFS($O:$O,$J:$J,J2140)+SUMIFS($P:$P,$J:$J,J2140)+SUMIFS($Q:$Q,$J:$J,J2140),"")</f>
        <v>20587.73</v>
      </c>
      <c r="S2140" s="10">
        <v>20587.73</v>
      </c>
      <c r="T2140" s="11" t="str">
        <f t="shared" si="203"/>
        <v>Ok</v>
      </c>
      <c r="U2140" s="12">
        <v>46126</v>
      </c>
      <c r="V2140" s="10">
        <v>20437.13</v>
      </c>
      <c r="W2140" s="10" t="str">
        <f t="shared" si="201"/>
        <v>Short Paid</v>
      </c>
      <c r="X2140" t="s">
        <v>438</v>
      </c>
      <c r="Y2140" t="s">
        <v>28</v>
      </c>
      <c r="Z2140">
        <v>100153</v>
      </c>
      <c r="AA2140" t="s">
        <v>445</v>
      </c>
      <c r="AB2140" t="s">
        <v>521</v>
      </c>
      <c r="AC2140" s="9">
        <v>2</v>
      </c>
      <c r="AD2140" s="9" t="str">
        <f t="shared" si="202"/>
        <v>Ok</v>
      </c>
      <c r="AE2140" s="11">
        <f t="shared" si="204"/>
        <v>0</v>
      </c>
    </row>
    <row r="2141" spans="1:31" x14ac:dyDescent="0.3">
      <c r="A2141">
        <v>4</v>
      </c>
      <c r="B2141">
        <v>4937115</v>
      </c>
      <c r="C2141" t="s">
        <v>60</v>
      </c>
      <c r="D2141">
        <v>1130746</v>
      </c>
      <c r="E2141" t="s">
        <v>596</v>
      </c>
      <c r="F2141" t="s">
        <v>20</v>
      </c>
      <c r="G2141" t="s">
        <v>2955</v>
      </c>
      <c r="H2141" t="s">
        <v>1812</v>
      </c>
      <c r="I2141" t="s">
        <v>3381</v>
      </c>
      <c r="J2141">
        <v>51159258237</v>
      </c>
      <c r="K2141" t="s">
        <v>3168</v>
      </c>
      <c r="L2141" t="s">
        <v>4689</v>
      </c>
      <c r="M2141">
        <v>160</v>
      </c>
      <c r="N2141" s="10">
        <v>86.597999999999999</v>
      </c>
      <c r="O2141" s="10">
        <f t="shared" si="200"/>
        <v>13855.68</v>
      </c>
      <c r="P2141" s="10" t="s">
        <v>5006</v>
      </c>
      <c r="Q2141" s="10" t="s">
        <v>5006</v>
      </c>
      <c r="R2141" s="10" t="str">
        <f>IF(COUNTIF($J$2:J2141,J2141)=1,SUMIFS($O:$O,$J:$J,J2141)+SUMIFS($P:$P,$J:$J,J2141)+SUMIFS($Q:$Q,$J:$J,J2141),"")</f>
        <v/>
      </c>
      <c r="S2141" s="10" t="s">
        <v>5006</v>
      </c>
      <c r="T2141" s="11" t="str">
        <f t="shared" si="203"/>
        <v>Ok</v>
      </c>
      <c r="U2141" s="12">
        <v>46126</v>
      </c>
      <c r="V2141" s="10">
        <v>20437.13</v>
      </c>
      <c r="W2141" s="10" t="str">
        <f t="shared" si="201"/>
        <v>N/A</v>
      </c>
      <c r="X2141" t="s">
        <v>438</v>
      </c>
      <c r="Y2141" t="s">
        <v>28</v>
      </c>
      <c r="Z2141">
        <v>100153</v>
      </c>
      <c r="AA2141" t="s">
        <v>445</v>
      </c>
      <c r="AB2141" t="s">
        <v>521</v>
      </c>
      <c r="AC2141" s="9">
        <v>2</v>
      </c>
      <c r="AD2141" s="9" t="str">
        <f t="shared" si="202"/>
        <v>N/A</v>
      </c>
      <c r="AE2141" s="11" t="e">
        <f t="shared" si="204"/>
        <v>#VALUE!</v>
      </c>
    </row>
    <row r="2142" spans="1:31" x14ac:dyDescent="0.3">
      <c r="A2142">
        <v>8</v>
      </c>
      <c r="B2142">
        <v>4919026</v>
      </c>
      <c r="C2142" t="s">
        <v>220</v>
      </c>
      <c r="D2142">
        <v>1125734</v>
      </c>
      <c r="E2142" t="s">
        <v>532</v>
      </c>
      <c r="F2142" t="s">
        <v>18</v>
      </c>
      <c r="G2142" t="s">
        <v>1758</v>
      </c>
      <c r="H2142" t="s">
        <v>1759</v>
      </c>
      <c r="I2142" t="s">
        <v>3267</v>
      </c>
      <c r="J2142">
        <v>51159362082</v>
      </c>
      <c r="K2142" t="s">
        <v>3177</v>
      </c>
      <c r="L2142" t="s">
        <v>4702</v>
      </c>
      <c r="M2142">
        <v>20000</v>
      </c>
      <c r="N2142" s="10">
        <v>9.3999999999999997E-4</v>
      </c>
      <c r="O2142" s="10">
        <f t="shared" si="200"/>
        <v>18.8</v>
      </c>
      <c r="P2142" s="10">
        <v>0</v>
      </c>
      <c r="Q2142" s="10">
        <v>0</v>
      </c>
      <c r="R2142" s="10">
        <f>IF(COUNTIF($J$2:J2142,J2142)=1,SUMIFS($O:$O,$J:$J,J2142)+SUMIFS($P:$P,$J:$J,J2142)+SUMIFS($Q:$Q,$J:$J,J2142),"")</f>
        <v>1574.4</v>
      </c>
      <c r="S2142" s="10">
        <v>6813.48</v>
      </c>
      <c r="T2142" s="11" t="str">
        <f t="shared" si="203"/>
        <v>Check</v>
      </c>
      <c r="U2142" s="12">
        <v>46133</v>
      </c>
      <c r="V2142" s="10">
        <v>476.28</v>
      </c>
      <c r="W2142" s="10" t="str">
        <f t="shared" si="201"/>
        <v>Short Paid</v>
      </c>
      <c r="X2142" t="s">
        <v>470</v>
      </c>
      <c r="Y2142" t="s">
        <v>28</v>
      </c>
      <c r="Z2142">
        <v>100248</v>
      </c>
      <c r="AA2142" t="s">
        <v>3117</v>
      </c>
      <c r="AB2142" t="s">
        <v>523</v>
      </c>
      <c r="AC2142" s="9">
        <v>5</v>
      </c>
      <c r="AD2142" s="9" t="str">
        <f t="shared" si="202"/>
        <v>Check</v>
      </c>
      <c r="AE2142" s="11">
        <f t="shared" si="204"/>
        <v>-5239.08</v>
      </c>
    </row>
    <row r="2143" spans="1:31" x14ac:dyDescent="0.3">
      <c r="A2143">
        <v>8</v>
      </c>
      <c r="B2143">
        <v>4919026</v>
      </c>
      <c r="C2143" t="s">
        <v>220</v>
      </c>
      <c r="D2143">
        <v>1125734</v>
      </c>
      <c r="E2143" t="s">
        <v>532</v>
      </c>
      <c r="F2143" t="s">
        <v>18</v>
      </c>
      <c r="G2143" t="s">
        <v>1758</v>
      </c>
      <c r="H2143" t="s">
        <v>1759</v>
      </c>
      <c r="I2143" t="s">
        <v>3267</v>
      </c>
      <c r="J2143">
        <v>51159362082</v>
      </c>
      <c r="K2143" t="s">
        <v>3229</v>
      </c>
      <c r="L2143" t="s">
        <v>4514</v>
      </c>
      <c r="M2143">
        <v>4000</v>
      </c>
      <c r="N2143" s="10">
        <v>4.7999999999999996E-3</v>
      </c>
      <c r="O2143" s="10">
        <f t="shared" si="200"/>
        <v>19.2</v>
      </c>
      <c r="P2143" s="10" t="s">
        <v>5006</v>
      </c>
      <c r="Q2143" s="10" t="s">
        <v>5006</v>
      </c>
      <c r="R2143" s="10" t="str">
        <f>IF(COUNTIF($J$2:J2143,J2143)=1,SUMIFS($O:$O,$J:$J,J2143)+SUMIFS($P:$P,$J:$J,J2143)+SUMIFS($Q:$Q,$J:$J,J2143),"")</f>
        <v/>
      </c>
      <c r="S2143" s="10" t="s">
        <v>5006</v>
      </c>
      <c r="T2143" s="11" t="str">
        <f t="shared" si="203"/>
        <v>Check</v>
      </c>
      <c r="U2143" s="12">
        <v>46133</v>
      </c>
      <c r="V2143" s="10">
        <v>476.28</v>
      </c>
      <c r="W2143" s="10" t="str">
        <f t="shared" si="201"/>
        <v>N/A</v>
      </c>
      <c r="X2143" t="s">
        <v>470</v>
      </c>
      <c r="Y2143" t="s">
        <v>28</v>
      </c>
      <c r="Z2143">
        <v>100248</v>
      </c>
      <c r="AA2143" t="s">
        <v>3117</v>
      </c>
      <c r="AB2143" t="s">
        <v>523</v>
      </c>
      <c r="AC2143" s="9">
        <v>5</v>
      </c>
      <c r="AD2143" s="9" t="str">
        <f t="shared" si="202"/>
        <v>N/A</v>
      </c>
      <c r="AE2143" s="11" t="e">
        <f t="shared" si="204"/>
        <v>#VALUE!</v>
      </c>
    </row>
    <row r="2144" spans="1:31" x14ac:dyDescent="0.3">
      <c r="A2144">
        <v>8</v>
      </c>
      <c r="B2144">
        <v>4919026</v>
      </c>
      <c r="C2144" t="s">
        <v>220</v>
      </c>
      <c r="D2144">
        <v>1125734</v>
      </c>
      <c r="E2144" t="s">
        <v>532</v>
      </c>
      <c r="F2144" t="s">
        <v>18</v>
      </c>
      <c r="G2144" t="s">
        <v>1758</v>
      </c>
      <c r="H2144" t="s">
        <v>1759</v>
      </c>
      <c r="I2144" t="s">
        <v>3267</v>
      </c>
      <c r="J2144">
        <v>51159362082</v>
      </c>
      <c r="K2144" t="s">
        <v>3379</v>
      </c>
      <c r="L2144" t="s">
        <v>3461</v>
      </c>
      <c r="M2144">
        <v>50000</v>
      </c>
      <c r="N2144" s="10">
        <v>2.7E-2</v>
      </c>
      <c r="O2144" s="10">
        <f t="shared" si="200"/>
        <v>1350</v>
      </c>
      <c r="P2144" s="10" t="s">
        <v>5006</v>
      </c>
      <c r="Q2144" s="10" t="s">
        <v>5006</v>
      </c>
      <c r="R2144" s="10" t="str">
        <f>IF(COUNTIF($J$2:J2144,J2144)=1,SUMIFS($O:$O,$J:$J,J2144)+SUMIFS($P:$P,$J:$J,J2144)+SUMIFS($Q:$Q,$J:$J,J2144),"")</f>
        <v/>
      </c>
      <c r="S2144" s="10" t="s">
        <v>5006</v>
      </c>
      <c r="T2144" s="11" t="str">
        <f t="shared" si="203"/>
        <v>Check</v>
      </c>
      <c r="U2144" s="12">
        <v>46133</v>
      </c>
      <c r="V2144" s="10">
        <v>476.28</v>
      </c>
      <c r="W2144" s="10" t="str">
        <f t="shared" si="201"/>
        <v>N/A</v>
      </c>
      <c r="X2144" t="s">
        <v>470</v>
      </c>
      <c r="Y2144" t="s">
        <v>28</v>
      </c>
      <c r="Z2144">
        <v>100248</v>
      </c>
      <c r="AA2144" t="s">
        <v>3117</v>
      </c>
      <c r="AB2144" t="s">
        <v>523</v>
      </c>
      <c r="AC2144" s="9">
        <v>5</v>
      </c>
      <c r="AD2144" s="9" t="str">
        <f t="shared" si="202"/>
        <v>N/A</v>
      </c>
      <c r="AE2144" s="11" t="e">
        <f t="shared" si="204"/>
        <v>#VALUE!</v>
      </c>
    </row>
    <row r="2145" spans="1:31" x14ac:dyDescent="0.3">
      <c r="A2145">
        <v>8</v>
      </c>
      <c r="B2145">
        <v>4919026</v>
      </c>
      <c r="C2145" t="s">
        <v>220</v>
      </c>
      <c r="D2145">
        <v>1125734</v>
      </c>
      <c r="E2145" t="s">
        <v>532</v>
      </c>
      <c r="F2145" t="s">
        <v>18</v>
      </c>
      <c r="G2145" t="s">
        <v>1758</v>
      </c>
      <c r="H2145" t="s">
        <v>1759</v>
      </c>
      <c r="I2145" t="s">
        <v>3267</v>
      </c>
      <c r="J2145">
        <v>51159362082</v>
      </c>
      <c r="K2145" t="s">
        <v>3168</v>
      </c>
      <c r="L2145" t="s">
        <v>4615</v>
      </c>
      <c r="M2145">
        <v>12000</v>
      </c>
      <c r="N2145" s="10">
        <v>8.6E-3</v>
      </c>
      <c r="O2145" s="10">
        <f t="shared" si="200"/>
        <v>103.2</v>
      </c>
      <c r="P2145" s="10" t="s">
        <v>5006</v>
      </c>
      <c r="Q2145" s="10" t="s">
        <v>5006</v>
      </c>
      <c r="R2145" s="10" t="str">
        <f>IF(COUNTIF($J$2:J2145,J2145)=1,SUMIFS($O:$O,$J:$J,J2145)+SUMIFS($P:$P,$J:$J,J2145)+SUMIFS($Q:$Q,$J:$J,J2145),"")</f>
        <v/>
      </c>
      <c r="S2145" s="10" t="s">
        <v>5006</v>
      </c>
      <c r="T2145" s="11" t="str">
        <f t="shared" si="203"/>
        <v>Check</v>
      </c>
      <c r="U2145" s="12">
        <v>46133</v>
      </c>
      <c r="V2145" s="10">
        <v>476.28</v>
      </c>
      <c r="W2145" s="10" t="str">
        <f t="shared" si="201"/>
        <v>N/A</v>
      </c>
      <c r="X2145" t="s">
        <v>470</v>
      </c>
      <c r="Y2145" t="s">
        <v>28</v>
      </c>
      <c r="Z2145">
        <v>100248</v>
      </c>
      <c r="AA2145" t="s">
        <v>3117</v>
      </c>
      <c r="AB2145" t="s">
        <v>523</v>
      </c>
      <c r="AC2145" s="9">
        <v>5</v>
      </c>
      <c r="AD2145" s="9" t="str">
        <f t="shared" si="202"/>
        <v>N/A</v>
      </c>
      <c r="AE2145" s="11" t="e">
        <f t="shared" si="204"/>
        <v>#VALUE!</v>
      </c>
    </row>
    <row r="2146" spans="1:31" x14ac:dyDescent="0.3">
      <c r="A2146">
        <v>8</v>
      </c>
      <c r="B2146">
        <v>4919026</v>
      </c>
      <c r="C2146" t="s">
        <v>220</v>
      </c>
      <c r="D2146">
        <v>1125734</v>
      </c>
      <c r="E2146" t="s">
        <v>532</v>
      </c>
      <c r="F2146" t="s">
        <v>18</v>
      </c>
      <c r="G2146" t="s">
        <v>1758</v>
      </c>
      <c r="H2146" t="s">
        <v>1759</v>
      </c>
      <c r="I2146" t="s">
        <v>3267</v>
      </c>
      <c r="J2146">
        <v>51159362082</v>
      </c>
      <c r="K2146" t="s">
        <v>3479</v>
      </c>
      <c r="L2146" t="s">
        <v>3880</v>
      </c>
      <c r="M2146">
        <v>40000</v>
      </c>
      <c r="N2146" s="10">
        <v>2.0799999999999998E-3</v>
      </c>
      <c r="O2146" s="10">
        <f t="shared" si="200"/>
        <v>83.199999999999989</v>
      </c>
      <c r="P2146" s="10" t="s">
        <v>5006</v>
      </c>
      <c r="Q2146" s="10" t="s">
        <v>5006</v>
      </c>
      <c r="R2146" s="10" t="str">
        <f>IF(COUNTIF($J$2:J2146,J2146)=1,SUMIFS($O:$O,$J:$J,J2146)+SUMIFS($P:$P,$J:$J,J2146)+SUMIFS($Q:$Q,$J:$J,J2146),"")</f>
        <v/>
      </c>
      <c r="S2146" s="10" t="s">
        <v>5006</v>
      </c>
      <c r="T2146" s="11" t="str">
        <f t="shared" si="203"/>
        <v>Check</v>
      </c>
      <c r="U2146" s="12">
        <v>46133</v>
      </c>
      <c r="V2146" s="10">
        <v>476.28</v>
      </c>
      <c r="W2146" s="10" t="str">
        <f t="shared" si="201"/>
        <v>N/A</v>
      </c>
      <c r="X2146" t="s">
        <v>470</v>
      </c>
      <c r="Y2146" t="s">
        <v>28</v>
      </c>
      <c r="Z2146">
        <v>100248</v>
      </c>
      <c r="AA2146" t="s">
        <v>3117</v>
      </c>
      <c r="AB2146" t="s">
        <v>523</v>
      </c>
      <c r="AC2146" s="9">
        <v>5</v>
      </c>
      <c r="AD2146" s="9" t="str">
        <f t="shared" si="202"/>
        <v>N/A</v>
      </c>
      <c r="AE2146" s="11" t="e">
        <f t="shared" si="204"/>
        <v>#VALUE!</v>
      </c>
    </row>
    <row r="2147" spans="1:31" x14ac:dyDescent="0.3">
      <c r="A2147">
        <v>14</v>
      </c>
      <c r="B2147">
        <v>4890085</v>
      </c>
      <c r="C2147" t="s">
        <v>160</v>
      </c>
      <c r="D2147">
        <v>1262308</v>
      </c>
      <c r="E2147" t="s">
        <v>611</v>
      </c>
      <c r="F2147" t="s">
        <v>24</v>
      </c>
      <c r="G2147" t="s">
        <v>1704</v>
      </c>
      <c r="H2147" t="s">
        <v>1705</v>
      </c>
      <c r="I2147" t="s">
        <v>3181</v>
      </c>
      <c r="J2147">
        <v>51159431906</v>
      </c>
      <c r="K2147" t="s">
        <v>3375</v>
      </c>
      <c r="L2147" t="s">
        <v>3380</v>
      </c>
      <c r="M2147">
        <v>7500</v>
      </c>
      <c r="N2147" s="10">
        <v>0.27429999999999999</v>
      </c>
      <c r="O2147" s="10">
        <f t="shared" si="200"/>
        <v>2057.25</v>
      </c>
      <c r="P2147" s="10">
        <v>71.569999999999993</v>
      </c>
      <c r="Q2147" s="10">
        <v>185.05</v>
      </c>
      <c r="R2147" s="10">
        <f>IF(COUNTIF($J$2:J2147,J2147)=1,SUMIFS($O:$O,$J:$J,J2147)+SUMIFS($P:$P,$J:$J,J2147)+SUMIFS($Q:$Q,$J:$J,J2147),"")</f>
        <v>3336.2700000000004</v>
      </c>
      <c r="S2147" s="10">
        <v>3336.27</v>
      </c>
      <c r="T2147" s="11" t="str">
        <f t="shared" si="203"/>
        <v>Ok</v>
      </c>
      <c r="U2147" s="12">
        <v>46085</v>
      </c>
      <c r="V2147" s="10">
        <v>1093.97</v>
      </c>
      <c r="W2147" s="10" t="str">
        <f t="shared" si="201"/>
        <v>Short Paid</v>
      </c>
      <c r="X2147" t="s">
        <v>453</v>
      </c>
      <c r="Y2147" t="s">
        <v>40</v>
      </c>
      <c r="Z2147">
        <v>100104</v>
      </c>
      <c r="AA2147" t="s">
        <v>3077</v>
      </c>
      <c r="AB2147" t="s">
        <v>522</v>
      </c>
      <c r="AC2147" s="9">
        <v>2</v>
      </c>
      <c r="AD2147" s="9" t="str">
        <f t="shared" si="202"/>
        <v>Ok</v>
      </c>
      <c r="AE2147" s="11">
        <f t="shared" si="204"/>
        <v>0</v>
      </c>
    </row>
    <row r="2148" spans="1:31" x14ac:dyDescent="0.3">
      <c r="A2148">
        <v>14</v>
      </c>
      <c r="B2148">
        <v>4890085</v>
      </c>
      <c r="C2148" t="s">
        <v>160</v>
      </c>
      <c r="D2148">
        <v>1262308</v>
      </c>
      <c r="E2148" t="s">
        <v>611</v>
      </c>
      <c r="F2148" t="s">
        <v>24</v>
      </c>
      <c r="G2148" t="s">
        <v>1704</v>
      </c>
      <c r="H2148" t="s">
        <v>1705</v>
      </c>
      <c r="I2148" t="s">
        <v>3498</v>
      </c>
      <c r="J2148">
        <v>51159431906</v>
      </c>
      <c r="K2148" t="s">
        <v>3295</v>
      </c>
      <c r="L2148" t="s">
        <v>4703</v>
      </c>
      <c r="M2148">
        <v>3000</v>
      </c>
      <c r="N2148" s="10">
        <v>0.34079999999999999</v>
      </c>
      <c r="O2148" s="10">
        <f t="shared" si="200"/>
        <v>1022.4</v>
      </c>
      <c r="P2148" s="10" t="s">
        <v>5006</v>
      </c>
      <c r="Q2148" s="10" t="s">
        <v>5006</v>
      </c>
      <c r="R2148" s="10" t="str">
        <f>IF(COUNTIF($J$2:J2148,J2148)=1,SUMIFS($O:$O,$J:$J,J2148)+SUMIFS($P:$P,$J:$J,J2148)+SUMIFS($Q:$Q,$J:$J,J2148),"")</f>
        <v/>
      </c>
      <c r="S2148" s="10" t="s">
        <v>5006</v>
      </c>
      <c r="T2148" s="11" t="str">
        <f t="shared" si="203"/>
        <v>Ok</v>
      </c>
      <c r="U2148" s="12">
        <v>46085</v>
      </c>
      <c r="V2148" s="10">
        <v>1093.97</v>
      </c>
      <c r="W2148" s="10" t="str">
        <f t="shared" si="201"/>
        <v>N/A</v>
      </c>
      <c r="X2148" t="s">
        <v>453</v>
      </c>
      <c r="Y2148" t="s">
        <v>40</v>
      </c>
      <c r="Z2148">
        <v>100104</v>
      </c>
      <c r="AA2148" t="s">
        <v>3077</v>
      </c>
      <c r="AB2148" t="s">
        <v>522</v>
      </c>
      <c r="AC2148" s="9">
        <v>2</v>
      </c>
      <c r="AD2148" s="9" t="str">
        <f t="shared" si="202"/>
        <v>N/A</v>
      </c>
      <c r="AE2148" s="11" t="e">
        <f t="shared" si="204"/>
        <v>#VALUE!</v>
      </c>
    </row>
    <row r="2149" spans="1:31" x14ac:dyDescent="0.3">
      <c r="A2149">
        <v>2</v>
      </c>
      <c r="B2149">
        <v>4973848</v>
      </c>
      <c r="C2149" t="s">
        <v>56</v>
      </c>
      <c r="D2149">
        <v>1880594</v>
      </c>
      <c r="E2149" t="s">
        <v>397</v>
      </c>
      <c r="F2149" t="s">
        <v>24</v>
      </c>
      <c r="G2149" t="s">
        <v>1917</v>
      </c>
      <c r="H2149" t="s">
        <v>1918</v>
      </c>
      <c r="I2149" t="s">
        <v>3388</v>
      </c>
      <c r="J2149">
        <v>51159472835</v>
      </c>
      <c r="K2149" t="s">
        <v>3537</v>
      </c>
      <c r="L2149" t="s">
        <v>4704</v>
      </c>
      <c r="M2149">
        <v>70000</v>
      </c>
      <c r="N2149" s="10">
        <v>8.3499999999999998E-3</v>
      </c>
      <c r="O2149" s="10">
        <f t="shared" si="200"/>
        <v>584.5</v>
      </c>
      <c r="P2149" s="10">
        <v>0</v>
      </c>
      <c r="Q2149" s="10">
        <v>55.53</v>
      </c>
      <c r="R2149" s="10">
        <f>IF(COUNTIF($J$2:J2149,J2149)=1,SUMIFS($O:$O,$J:$J,J2149)+SUMIFS($P:$P,$J:$J,J2149)+SUMIFS($Q:$Q,$J:$J,J2149),"")</f>
        <v>15740.03</v>
      </c>
      <c r="S2149" s="10">
        <v>15740.03</v>
      </c>
      <c r="T2149" s="11" t="str">
        <f t="shared" si="203"/>
        <v>Ok</v>
      </c>
      <c r="U2149" s="12">
        <v>46156</v>
      </c>
      <c r="V2149" s="10">
        <v>584.5</v>
      </c>
      <c r="W2149" s="10" t="str">
        <f t="shared" si="201"/>
        <v>Short Paid</v>
      </c>
      <c r="X2149" t="s">
        <v>435</v>
      </c>
      <c r="Y2149" t="s">
        <v>40</v>
      </c>
      <c r="Z2149">
        <v>100181</v>
      </c>
      <c r="AA2149" t="s">
        <v>517</v>
      </c>
      <c r="AB2149" t="s">
        <v>522</v>
      </c>
      <c r="AC2149" s="9">
        <v>2</v>
      </c>
      <c r="AD2149" s="9" t="str">
        <f t="shared" si="202"/>
        <v>Ok</v>
      </c>
      <c r="AE2149" s="11">
        <f t="shared" si="204"/>
        <v>0</v>
      </c>
    </row>
    <row r="2150" spans="1:31" x14ac:dyDescent="0.3">
      <c r="A2150">
        <v>2</v>
      </c>
      <c r="B2150">
        <v>4973848</v>
      </c>
      <c r="C2150" t="s">
        <v>56</v>
      </c>
      <c r="D2150">
        <v>1880594</v>
      </c>
      <c r="E2150" t="s">
        <v>397</v>
      </c>
      <c r="F2150" t="s">
        <v>24</v>
      </c>
      <c r="G2150" t="s">
        <v>1917</v>
      </c>
      <c r="H2150" t="s">
        <v>1918</v>
      </c>
      <c r="I2150" t="s">
        <v>3376</v>
      </c>
      <c r="J2150">
        <v>51159472835</v>
      </c>
      <c r="K2150" t="s">
        <v>3183</v>
      </c>
      <c r="L2150" t="s">
        <v>4705</v>
      </c>
      <c r="M2150">
        <v>1</v>
      </c>
      <c r="N2150" s="10">
        <v>15100</v>
      </c>
      <c r="O2150" s="10">
        <f t="shared" si="200"/>
        <v>15100</v>
      </c>
      <c r="P2150" s="10" t="s">
        <v>5006</v>
      </c>
      <c r="Q2150" s="10" t="s">
        <v>5006</v>
      </c>
      <c r="R2150" s="10" t="str">
        <f>IF(COUNTIF($J$2:J2150,J2150)=1,SUMIFS($O:$O,$J:$J,J2150)+SUMIFS($P:$P,$J:$J,J2150)+SUMIFS($Q:$Q,$J:$J,J2150),"")</f>
        <v/>
      </c>
      <c r="S2150" s="10" t="s">
        <v>5006</v>
      </c>
      <c r="T2150" s="11" t="str">
        <f t="shared" si="203"/>
        <v>Ok</v>
      </c>
      <c r="U2150" s="12">
        <v>46156</v>
      </c>
      <c r="V2150" s="10">
        <v>584.5</v>
      </c>
      <c r="W2150" s="10" t="str">
        <f t="shared" si="201"/>
        <v>N/A</v>
      </c>
      <c r="X2150" t="s">
        <v>435</v>
      </c>
      <c r="Y2150" t="s">
        <v>40</v>
      </c>
      <c r="Z2150">
        <v>100181</v>
      </c>
      <c r="AA2150" t="s">
        <v>517</v>
      </c>
      <c r="AB2150" t="s">
        <v>522</v>
      </c>
      <c r="AC2150" s="9">
        <v>2</v>
      </c>
      <c r="AD2150" s="9" t="str">
        <f t="shared" si="202"/>
        <v>N/A</v>
      </c>
      <c r="AE2150" s="11" t="e">
        <f t="shared" si="204"/>
        <v>#VALUE!</v>
      </c>
    </row>
    <row r="2151" spans="1:31" x14ac:dyDescent="0.3">
      <c r="A2151">
        <v>10</v>
      </c>
      <c r="B2151">
        <v>4902051</v>
      </c>
      <c r="C2151" t="s">
        <v>56</v>
      </c>
      <c r="D2151">
        <v>1920383</v>
      </c>
      <c r="E2151" t="s">
        <v>739</v>
      </c>
      <c r="F2151" t="s">
        <v>24</v>
      </c>
      <c r="G2151" t="s">
        <v>2960</v>
      </c>
      <c r="H2151" t="s">
        <v>1733</v>
      </c>
      <c r="I2151" t="s">
        <v>3361</v>
      </c>
      <c r="J2151">
        <v>51159626793</v>
      </c>
      <c r="K2151" t="s">
        <v>3550</v>
      </c>
      <c r="L2151" t="s">
        <v>4706</v>
      </c>
      <c r="M2151">
        <v>60</v>
      </c>
      <c r="N2151" s="10">
        <v>104.648</v>
      </c>
      <c r="O2151" s="10">
        <f t="shared" si="200"/>
        <v>6278.88</v>
      </c>
      <c r="P2151" s="10">
        <v>0</v>
      </c>
      <c r="Q2151" s="10">
        <v>0</v>
      </c>
      <c r="R2151" s="10">
        <f>IF(COUNTIF($J$2:J2151,J2151)=1,SUMIFS($O:$O,$J:$J,J2151)+SUMIFS($P:$P,$J:$J,J2151)+SUMIFS($Q:$Q,$J:$J,J2151),"")</f>
        <v>7954.38</v>
      </c>
      <c r="S2151" s="10">
        <v>7954.38</v>
      </c>
      <c r="T2151" s="11" t="str">
        <f t="shared" si="203"/>
        <v>Ok</v>
      </c>
      <c r="U2151" s="12">
        <v>46140</v>
      </c>
      <c r="V2151" s="10">
        <v>1883.67</v>
      </c>
      <c r="W2151" s="10" t="str">
        <f t="shared" si="201"/>
        <v>Short Paid</v>
      </c>
      <c r="X2151" t="s">
        <v>435</v>
      </c>
      <c r="Y2151" t="s">
        <v>40</v>
      </c>
      <c r="Z2151">
        <v>100221</v>
      </c>
      <c r="AA2151" t="s">
        <v>518</v>
      </c>
      <c r="AB2151" t="s">
        <v>522</v>
      </c>
      <c r="AC2151" s="9">
        <v>2</v>
      </c>
      <c r="AD2151" s="9" t="str">
        <f t="shared" si="202"/>
        <v>Ok</v>
      </c>
      <c r="AE2151" s="11">
        <f t="shared" si="204"/>
        <v>0</v>
      </c>
    </row>
    <row r="2152" spans="1:31" x14ac:dyDescent="0.3">
      <c r="A2152">
        <v>10</v>
      </c>
      <c r="B2152">
        <v>4902051</v>
      </c>
      <c r="C2152" t="s">
        <v>56</v>
      </c>
      <c r="D2152">
        <v>1920383</v>
      </c>
      <c r="E2152" t="s">
        <v>739</v>
      </c>
      <c r="F2152" t="s">
        <v>24</v>
      </c>
      <c r="G2152" t="s">
        <v>2960</v>
      </c>
      <c r="H2152" t="s">
        <v>1733</v>
      </c>
      <c r="I2152" t="s">
        <v>3468</v>
      </c>
      <c r="J2152">
        <v>51159626793</v>
      </c>
      <c r="K2152" t="s">
        <v>3318</v>
      </c>
      <c r="L2152" t="s">
        <v>3317</v>
      </c>
      <c r="M2152">
        <v>15000</v>
      </c>
      <c r="N2152" s="10">
        <v>0.11169999999999999</v>
      </c>
      <c r="O2152" s="10">
        <f t="shared" si="200"/>
        <v>1675.5</v>
      </c>
      <c r="P2152" s="10" t="s">
        <v>5006</v>
      </c>
      <c r="Q2152" s="10" t="s">
        <v>5006</v>
      </c>
      <c r="R2152" s="10" t="str">
        <f>IF(COUNTIF($J$2:J2152,J2152)=1,SUMIFS($O:$O,$J:$J,J2152)+SUMIFS($P:$P,$J:$J,J2152)+SUMIFS($Q:$Q,$J:$J,J2152),"")</f>
        <v/>
      </c>
      <c r="S2152" s="10" t="s">
        <v>5006</v>
      </c>
      <c r="T2152" s="11" t="str">
        <f t="shared" si="203"/>
        <v>Ok</v>
      </c>
      <c r="U2152" s="12">
        <v>46140</v>
      </c>
      <c r="V2152" s="10">
        <v>1883.67</v>
      </c>
      <c r="W2152" s="10" t="str">
        <f t="shared" si="201"/>
        <v>N/A</v>
      </c>
      <c r="X2152" t="s">
        <v>435</v>
      </c>
      <c r="Y2152" t="s">
        <v>40</v>
      </c>
      <c r="Z2152">
        <v>100221</v>
      </c>
      <c r="AA2152" t="s">
        <v>518</v>
      </c>
      <c r="AB2152" t="s">
        <v>522</v>
      </c>
      <c r="AC2152" s="9">
        <v>2</v>
      </c>
      <c r="AD2152" s="9" t="str">
        <f t="shared" si="202"/>
        <v>N/A</v>
      </c>
      <c r="AE2152" s="11" t="e">
        <f t="shared" si="204"/>
        <v>#VALUE!</v>
      </c>
    </row>
    <row r="2153" spans="1:31" x14ac:dyDescent="0.3">
      <c r="A2153">
        <v>3</v>
      </c>
      <c r="B2153">
        <v>4956595</v>
      </c>
      <c r="C2153" t="s">
        <v>94</v>
      </c>
      <c r="D2153">
        <v>1199102</v>
      </c>
      <c r="E2153" t="s">
        <v>599</v>
      </c>
      <c r="F2153" t="s">
        <v>24</v>
      </c>
      <c r="G2153" t="s">
        <v>1853</v>
      </c>
      <c r="H2153" t="s">
        <v>1854</v>
      </c>
      <c r="I2153" t="s">
        <v>3236</v>
      </c>
      <c r="J2153">
        <v>51159757777</v>
      </c>
      <c r="K2153" t="s">
        <v>3351</v>
      </c>
      <c r="L2153" t="s">
        <v>4707</v>
      </c>
      <c r="M2153">
        <v>40500</v>
      </c>
      <c r="N2153" s="10">
        <v>1.7640999999999998</v>
      </c>
      <c r="O2153" s="10">
        <f t="shared" si="200"/>
        <v>71446.049999999988</v>
      </c>
      <c r="P2153" s="10">
        <v>0</v>
      </c>
      <c r="Q2153" s="10">
        <v>0</v>
      </c>
      <c r="R2153" s="10">
        <f>IF(COUNTIF($J$2:J2153,J2153)=1,SUMIFS($O:$O,$J:$J,J2153)+SUMIFS($P:$P,$J:$J,J2153)+SUMIFS($Q:$Q,$J:$J,J2153),"")</f>
        <v>74421.329999999987</v>
      </c>
      <c r="S2153" s="10">
        <v>74421.33</v>
      </c>
      <c r="T2153" s="11" t="str">
        <f t="shared" si="203"/>
        <v>Ok</v>
      </c>
      <c r="U2153" s="12">
        <v>45974</v>
      </c>
      <c r="V2153" s="10">
        <v>50450.91</v>
      </c>
      <c r="W2153" s="10" t="str">
        <f t="shared" si="201"/>
        <v>Short Paid</v>
      </c>
      <c r="X2153" t="s">
        <v>450</v>
      </c>
      <c r="Y2153" t="s">
        <v>40</v>
      </c>
      <c r="Z2153">
        <v>100267</v>
      </c>
      <c r="AA2153" t="s">
        <v>3134</v>
      </c>
      <c r="AB2153" t="s">
        <v>522</v>
      </c>
      <c r="AC2153" s="9">
        <v>2</v>
      </c>
      <c r="AD2153" s="9" t="str">
        <f t="shared" si="202"/>
        <v>Ok</v>
      </c>
      <c r="AE2153" s="11">
        <f t="shared" si="204"/>
        <v>0</v>
      </c>
    </row>
    <row r="2154" spans="1:31" x14ac:dyDescent="0.3">
      <c r="A2154">
        <v>3</v>
      </c>
      <c r="B2154">
        <v>4956595</v>
      </c>
      <c r="C2154" t="s">
        <v>94</v>
      </c>
      <c r="D2154">
        <v>1199102</v>
      </c>
      <c r="E2154" t="s">
        <v>599</v>
      </c>
      <c r="F2154" t="s">
        <v>24</v>
      </c>
      <c r="G2154" t="s">
        <v>1853</v>
      </c>
      <c r="H2154" t="s">
        <v>1854</v>
      </c>
      <c r="I2154" t="s">
        <v>3535</v>
      </c>
      <c r="J2154">
        <v>51159757777</v>
      </c>
      <c r="K2154" t="s">
        <v>3906</v>
      </c>
      <c r="L2154" t="s">
        <v>4708</v>
      </c>
      <c r="M2154">
        <v>12</v>
      </c>
      <c r="N2154" s="10">
        <v>247.94</v>
      </c>
      <c r="O2154" s="10">
        <f t="shared" si="200"/>
        <v>2975.2799999999997</v>
      </c>
      <c r="P2154" s="10" t="s">
        <v>5006</v>
      </c>
      <c r="Q2154" s="10" t="s">
        <v>5006</v>
      </c>
      <c r="R2154" s="10" t="str">
        <f>IF(COUNTIF($J$2:J2154,J2154)=1,SUMIFS($O:$O,$J:$J,J2154)+SUMIFS($P:$P,$J:$J,J2154)+SUMIFS($Q:$Q,$J:$J,J2154),"")</f>
        <v/>
      </c>
      <c r="S2154" s="10" t="s">
        <v>5006</v>
      </c>
      <c r="T2154" s="11" t="str">
        <f t="shared" si="203"/>
        <v>Ok</v>
      </c>
      <c r="U2154" s="12">
        <v>45974</v>
      </c>
      <c r="V2154" s="10">
        <v>50450.91</v>
      </c>
      <c r="W2154" s="10" t="str">
        <f t="shared" si="201"/>
        <v>N/A</v>
      </c>
      <c r="X2154" t="s">
        <v>450</v>
      </c>
      <c r="Y2154" t="s">
        <v>40</v>
      </c>
      <c r="Z2154">
        <v>100267</v>
      </c>
      <c r="AA2154" t="s">
        <v>3134</v>
      </c>
      <c r="AB2154" t="s">
        <v>522</v>
      </c>
      <c r="AC2154" s="9">
        <v>2</v>
      </c>
      <c r="AD2154" s="9" t="str">
        <f t="shared" si="202"/>
        <v>N/A</v>
      </c>
      <c r="AE2154" s="11" t="e">
        <f t="shared" si="204"/>
        <v>#VALUE!</v>
      </c>
    </row>
    <row r="2155" spans="1:31" x14ac:dyDescent="0.3">
      <c r="A2155">
        <v>13</v>
      </c>
      <c r="B2155">
        <v>4894816</v>
      </c>
      <c r="C2155" t="s">
        <v>160</v>
      </c>
      <c r="D2155">
        <v>1262308</v>
      </c>
      <c r="E2155" t="s">
        <v>611</v>
      </c>
      <c r="F2155" t="s">
        <v>24</v>
      </c>
      <c r="G2155" t="s">
        <v>2937</v>
      </c>
      <c r="H2155" t="s">
        <v>1721</v>
      </c>
      <c r="I2155" t="s">
        <v>3188</v>
      </c>
      <c r="J2155">
        <v>51159783839</v>
      </c>
      <c r="K2155" t="s">
        <v>3209</v>
      </c>
      <c r="L2155" t="s">
        <v>3871</v>
      </c>
      <c r="M2155">
        <v>20000</v>
      </c>
      <c r="N2155" s="10">
        <v>0.11720000000000001</v>
      </c>
      <c r="O2155" s="10">
        <f t="shared" si="200"/>
        <v>2344.0000000000005</v>
      </c>
      <c r="P2155" s="10">
        <v>501.65999999999997</v>
      </c>
      <c r="Q2155" s="10">
        <v>0</v>
      </c>
      <c r="R2155" s="10">
        <f>IF(COUNTIF($J$2:J2155,J2155)=1,SUMIFS($O:$O,$J:$J,J2155)+SUMIFS($P:$P,$J:$J,J2155)+SUMIFS($Q:$Q,$J:$J,J2155),"")</f>
        <v>7249.66</v>
      </c>
      <c r="S2155" s="10">
        <v>7249.66</v>
      </c>
      <c r="T2155" s="11" t="str">
        <f t="shared" si="203"/>
        <v>Ok</v>
      </c>
      <c r="U2155" s="12">
        <v>46086</v>
      </c>
      <c r="V2155" s="10">
        <v>880.28</v>
      </c>
      <c r="W2155" s="10" t="str">
        <f t="shared" si="201"/>
        <v>Short Paid</v>
      </c>
      <c r="X2155" t="s">
        <v>453</v>
      </c>
      <c r="Y2155" t="s">
        <v>40</v>
      </c>
      <c r="Z2155">
        <v>100144</v>
      </c>
      <c r="AA2155" t="s">
        <v>3076</v>
      </c>
      <c r="AB2155" t="s">
        <v>522</v>
      </c>
      <c r="AC2155" s="9">
        <v>2</v>
      </c>
      <c r="AD2155" s="9" t="str">
        <f t="shared" si="202"/>
        <v>Ok</v>
      </c>
      <c r="AE2155" s="11">
        <f t="shared" si="204"/>
        <v>0</v>
      </c>
    </row>
    <row r="2156" spans="1:31" x14ac:dyDescent="0.3">
      <c r="A2156">
        <v>13</v>
      </c>
      <c r="B2156">
        <v>4894816</v>
      </c>
      <c r="C2156" t="s">
        <v>160</v>
      </c>
      <c r="D2156">
        <v>1262308</v>
      </c>
      <c r="E2156" t="s">
        <v>611</v>
      </c>
      <c r="F2156" t="s">
        <v>24</v>
      </c>
      <c r="G2156" t="s">
        <v>2937</v>
      </c>
      <c r="H2156" t="s">
        <v>1721</v>
      </c>
      <c r="I2156" t="s">
        <v>3323</v>
      </c>
      <c r="J2156">
        <v>51159783839</v>
      </c>
      <c r="K2156" t="s">
        <v>3650</v>
      </c>
      <c r="L2156" t="s">
        <v>4119</v>
      </c>
      <c r="M2156">
        <v>200</v>
      </c>
      <c r="N2156" s="10">
        <v>22.02</v>
      </c>
      <c r="O2156" s="10">
        <f t="shared" si="200"/>
        <v>4404</v>
      </c>
      <c r="P2156" s="10" t="s">
        <v>5006</v>
      </c>
      <c r="Q2156" s="10" t="s">
        <v>5006</v>
      </c>
      <c r="R2156" s="10" t="str">
        <f>IF(COUNTIF($J$2:J2156,J2156)=1,SUMIFS($O:$O,$J:$J,J2156)+SUMIFS($P:$P,$J:$J,J2156)+SUMIFS($Q:$Q,$J:$J,J2156),"")</f>
        <v/>
      </c>
      <c r="S2156" s="10" t="s">
        <v>5006</v>
      </c>
      <c r="T2156" s="11" t="str">
        <f t="shared" si="203"/>
        <v>Ok</v>
      </c>
      <c r="U2156" s="12">
        <v>46086</v>
      </c>
      <c r="V2156" s="10">
        <v>880.28</v>
      </c>
      <c r="W2156" s="10" t="str">
        <f t="shared" si="201"/>
        <v>N/A</v>
      </c>
      <c r="X2156" t="s">
        <v>453</v>
      </c>
      <c r="Y2156" t="s">
        <v>40</v>
      </c>
      <c r="Z2156">
        <v>100144</v>
      </c>
      <c r="AA2156" t="s">
        <v>3076</v>
      </c>
      <c r="AB2156" t="s">
        <v>522</v>
      </c>
      <c r="AC2156" s="9">
        <v>2</v>
      </c>
      <c r="AD2156" s="9" t="str">
        <f t="shared" si="202"/>
        <v>N/A</v>
      </c>
      <c r="AE2156" s="11" t="e">
        <f t="shared" si="204"/>
        <v>#VALUE!</v>
      </c>
    </row>
    <row r="2157" spans="1:31" x14ac:dyDescent="0.3">
      <c r="A2157">
        <v>3</v>
      </c>
      <c r="B2157">
        <v>4951864</v>
      </c>
      <c r="C2157" t="s">
        <v>239</v>
      </c>
      <c r="D2157">
        <v>1085063</v>
      </c>
      <c r="E2157" t="s">
        <v>601</v>
      </c>
      <c r="F2157" t="s">
        <v>18</v>
      </c>
      <c r="G2157" t="s">
        <v>2973</v>
      </c>
      <c r="H2157" t="s">
        <v>1836</v>
      </c>
      <c r="I2157" t="s">
        <v>3331</v>
      </c>
      <c r="J2157">
        <v>51159893944</v>
      </c>
      <c r="K2157" t="s">
        <v>3630</v>
      </c>
      <c r="L2157" t="s">
        <v>4709</v>
      </c>
      <c r="M2157">
        <v>1500</v>
      </c>
      <c r="N2157" s="10">
        <v>1.1819999999999999</v>
      </c>
      <c r="O2157" s="10">
        <f t="shared" si="200"/>
        <v>1773</v>
      </c>
      <c r="P2157" s="10">
        <v>0</v>
      </c>
      <c r="Q2157" s="10">
        <v>590.41</v>
      </c>
      <c r="R2157" s="10">
        <f>IF(COUNTIF($J$2:J2157,J2157)=1,SUMIFS($O:$O,$J:$J,J2157)+SUMIFS($P:$P,$J:$J,J2157)+SUMIFS($Q:$Q,$J:$J,J2157),"")</f>
        <v>3443.41</v>
      </c>
      <c r="S2157" s="10">
        <v>3443.41</v>
      </c>
      <c r="T2157" s="11" t="str">
        <f t="shared" si="203"/>
        <v>Ok</v>
      </c>
      <c r="U2157" s="12">
        <v>46114</v>
      </c>
      <c r="V2157" s="10">
        <v>2363.41</v>
      </c>
      <c r="W2157" s="10" t="str">
        <f t="shared" si="201"/>
        <v>Short Paid</v>
      </c>
      <c r="X2157" t="s">
        <v>476</v>
      </c>
      <c r="Y2157" t="s">
        <v>28</v>
      </c>
      <c r="Z2157">
        <v>100205</v>
      </c>
      <c r="AA2157" t="s">
        <v>3075</v>
      </c>
      <c r="AB2157" t="s">
        <v>523</v>
      </c>
      <c r="AC2157" s="9">
        <v>2</v>
      </c>
      <c r="AD2157" s="9" t="str">
        <f t="shared" si="202"/>
        <v>Ok</v>
      </c>
      <c r="AE2157" s="11">
        <f t="shared" si="204"/>
        <v>0</v>
      </c>
    </row>
    <row r="2158" spans="1:31" x14ac:dyDescent="0.3">
      <c r="A2158">
        <v>3</v>
      </c>
      <c r="B2158">
        <v>4951864</v>
      </c>
      <c r="C2158" t="s">
        <v>239</v>
      </c>
      <c r="D2158">
        <v>1085063</v>
      </c>
      <c r="E2158" t="s">
        <v>601</v>
      </c>
      <c r="F2158" t="s">
        <v>18</v>
      </c>
      <c r="G2158" t="s">
        <v>2973</v>
      </c>
      <c r="H2158" t="s">
        <v>1836</v>
      </c>
      <c r="I2158" t="s">
        <v>3424</v>
      </c>
      <c r="J2158">
        <v>51159893944</v>
      </c>
      <c r="K2158" t="s">
        <v>3379</v>
      </c>
      <c r="L2158" t="s">
        <v>3461</v>
      </c>
      <c r="M2158">
        <v>40000</v>
      </c>
      <c r="N2158" s="10">
        <v>2.7E-2</v>
      </c>
      <c r="O2158" s="10">
        <f t="shared" si="200"/>
        <v>1080</v>
      </c>
      <c r="P2158" s="10" t="s">
        <v>5006</v>
      </c>
      <c r="Q2158" s="10" t="s">
        <v>5006</v>
      </c>
      <c r="R2158" s="10" t="str">
        <f>IF(COUNTIF($J$2:J2158,J2158)=1,SUMIFS($O:$O,$J:$J,J2158)+SUMIFS($P:$P,$J:$J,J2158)+SUMIFS($Q:$Q,$J:$J,J2158),"")</f>
        <v/>
      </c>
      <c r="S2158" s="10" t="s">
        <v>5006</v>
      </c>
      <c r="T2158" s="11" t="str">
        <f t="shared" si="203"/>
        <v>Ok</v>
      </c>
      <c r="U2158" s="12">
        <v>46114</v>
      </c>
      <c r="V2158" s="10">
        <v>2363.41</v>
      </c>
      <c r="W2158" s="10" t="str">
        <f t="shared" si="201"/>
        <v>N/A</v>
      </c>
      <c r="X2158" t="s">
        <v>476</v>
      </c>
      <c r="Y2158" t="s">
        <v>28</v>
      </c>
      <c r="Z2158">
        <v>100205</v>
      </c>
      <c r="AA2158" t="s">
        <v>3075</v>
      </c>
      <c r="AB2158" t="s">
        <v>523</v>
      </c>
      <c r="AC2158" s="9">
        <v>2</v>
      </c>
      <c r="AD2158" s="9" t="str">
        <f t="shared" si="202"/>
        <v>N/A</v>
      </c>
      <c r="AE2158" s="11" t="e">
        <f t="shared" si="204"/>
        <v>#VALUE!</v>
      </c>
    </row>
    <row r="2159" spans="1:31" x14ac:dyDescent="0.3">
      <c r="A2159">
        <v>232</v>
      </c>
      <c r="B2159">
        <v>4391037</v>
      </c>
      <c r="C2159" t="s">
        <v>239</v>
      </c>
      <c r="D2159">
        <v>1253414</v>
      </c>
      <c r="E2159" t="s">
        <v>4878</v>
      </c>
      <c r="F2159" t="s">
        <v>20</v>
      </c>
      <c r="G2159" t="s">
        <v>4710</v>
      </c>
      <c r="H2159" t="s">
        <v>4711</v>
      </c>
      <c r="I2159" t="s">
        <v>3494</v>
      </c>
      <c r="J2159">
        <v>51159958184</v>
      </c>
      <c r="K2159" t="s">
        <v>3314</v>
      </c>
      <c r="L2159" t="s">
        <v>4712</v>
      </c>
      <c r="M2159">
        <v>1000</v>
      </c>
      <c r="N2159" s="10">
        <v>0.11706999999999999</v>
      </c>
      <c r="O2159" s="10">
        <f t="shared" si="200"/>
        <v>117.07</v>
      </c>
      <c r="P2159" s="10">
        <v>0</v>
      </c>
      <c r="Q2159" s="10">
        <v>0</v>
      </c>
      <c r="R2159" s="10">
        <f>IF(COUNTIF($J$2:J2159,J2159)=1,SUMIFS($O:$O,$J:$J,J2159)+SUMIFS($P:$P,$J:$J,J2159)+SUMIFS($Q:$Q,$J:$J,J2159),"")</f>
        <v>568.96999999999991</v>
      </c>
      <c r="S2159" s="10">
        <v>673.97</v>
      </c>
      <c r="T2159" s="11" t="str">
        <f t="shared" si="203"/>
        <v>Check</v>
      </c>
      <c r="U2159" s="12">
        <v>45835</v>
      </c>
      <c r="V2159" s="10">
        <v>673.97</v>
      </c>
      <c r="W2159" s="10" t="str">
        <f t="shared" si="201"/>
        <v>Not Paid</v>
      </c>
      <c r="X2159" t="s">
        <v>476</v>
      </c>
      <c r="Y2159" t="s">
        <v>28</v>
      </c>
      <c r="Z2159">
        <v>100155</v>
      </c>
      <c r="AA2159" t="s">
        <v>3072</v>
      </c>
      <c r="AB2159" t="s">
        <v>521</v>
      </c>
      <c r="AC2159" s="9">
        <v>4</v>
      </c>
      <c r="AD2159" s="9" t="str">
        <f t="shared" si="202"/>
        <v>Check</v>
      </c>
      <c r="AE2159" s="11">
        <f t="shared" si="204"/>
        <v>-105.00000000000011</v>
      </c>
    </row>
    <row r="2160" spans="1:31" x14ac:dyDescent="0.3">
      <c r="A2160">
        <v>232</v>
      </c>
      <c r="B2160">
        <v>4391037</v>
      </c>
      <c r="C2160" t="s">
        <v>239</v>
      </c>
      <c r="D2160">
        <v>1253414</v>
      </c>
      <c r="E2160" t="s">
        <v>4878</v>
      </c>
      <c r="F2160" t="s">
        <v>20</v>
      </c>
      <c r="G2160" t="s">
        <v>4710</v>
      </c>
      <c r="H2160" t="s">
        <v>4711</v>
      </c>
      <c r="I2160" t="s">
        <v>3494</v>
      </c>
      <c r="J2160">
        <v>51159958184</v>
      </c>
      <c r="K2160" t="s">
        <v>3479</v>
      </c>
      <c r="L2160" t="s">
        <v>4713</v>
      </c>
      <c r="M2160">
        <v>100000</v>
      </c>
      <c r="N2160" s="10">
        <v>3.4099999999999998E-3</v>
      </c>
      <c r="O2160" s="10">
        <f t="shared" si="200"/>
        <v>341</v>
      </c>
      <c r="P2160" s="10" t="s">
        <v>5006</v>
      </c>
      <c r="Q2160" s="10" t="s">
        <v>5006</v>
      </c>
      <c r="R2160" s="10" t="str">
        <f>IF(COUNTIF($J$2:J2160,J2160)=1,SUMIFS($O:$O,$J:$J,J2160)+SUMIFS($P:$P,$J:$J,J2160)+SUMIFS($Q:$Q,$J:$J,J2160),"")</f>
        <v/>
      </c>
      <c r="S2160" s="10" t="s">
        <v>5006</v>
      </c>
      <c r="T2160" s="11" t="str">
        <f t="shared" si="203"/>
        <v>Check</v>
      </c>
      <c r="U2160" s="12">
        <v>45835</v>
      </c>
      <c r="V2160" s="10">
        <v>673.97</v>
      </c>
      <c r="W2160" s="10" t="str">
        <f t="shared" si="201"/>
        <v>N/A</v>
      </c>
      <c r="X2160" t="s">
        <v>476</v>
      </c>
      <c r="Y2160" t="s">
        <v>28</v>
      </c>
      <c r="Z2160">
        <v>100155</v>
      </c>
      <c r="AA2160" t="s">
        <v>3072</v>
      </c>
      <c r="AB2160" t="s">
        <v>521</v>
      </c>
      <c r="AC2160" s="9">
        <v>4</v>
      </c>
      <c r="AD2160" s="9" t="str">
        <f t="shared" si="202"/>
        <v>N/A</v>
      </c>
      <c r="AE2160" s="11" t="e">
        <f t="shared" si="204"/>
        <v>#VALUE!</v>
      </c>
    </row>
    <row r="2161" spans="1:31" x14ac:dyDescent="0.3">
      <c r="A2161">
        <v>232</v>
      </c>
      <c r="B2161">
        <v>4391037</v>
      </c>
      <c r="C2161" t="s">
        <v>239</v>
      </c>
      <c r="D2161">
        <v>1253414</v>
      </c>
      <c r="E2161" t="s">
        <v>4878</v>
      </c>
      <c r="F2161" t="s">
        <v>20</v>
      </c>
      <c r="G2161" t="s">
        <v>4710</v>
      </c>
      <c r="H2161" t="s">
        <v>4711</v>
      </c>
      <c r="I2161" t="s">
        <v>3494</v>
      </c>
      <c r="J2161">
        <v>51159958184</v>
      </c>
      <c r="K2161" t="s">
        <v>3209</v>
      </c>
      <c r="L2161" t="s">
        <v>4714</v>
      </c>
      <c r="M2161">
        <v>10000</v>
      </c>
      <c r="N2161" s="10">
        <v>1.0500000000000001E-2</v>
      </c>
      <c r="O2161" s="10">
        <f t="shared" si="200"/>
        <v>105</v>
      </c>
      <c r="P2161" s="10" t="s">
        <v>5006</v>
      </c>
      <c r="Q2161" s="10" t="s">
        <v>5006</v>
      </c>
      <c r="R2161" s="10" t="str">
        <f>IF(COUNTIF($J$2:J2161,J2161)=1,SUMIFS($O:$O,$J:$J,J2161)+SUMIFS($P:$P,$J:$J,J2161)+SUMIFS($Q:$Q,$J:$J,J2161),"")</f>
        <v/>
      </c>
      <c r="S2161" s="10" t="s">
        <v>5006</v>
      </c>
      <c r="T2161" s="11" t="str">
        <f t="shared" si="203"/>
        <v>Check</v>
      </c>
      <c r="U2161" s="12">
        <v>45835</v>
      </c>
      <c r="V2161" s="10">
        <v>673.97</v>
      </c>
      <c r="W2161" s="10" t="str">
        <f t="shared" si="201"/>
        <v>N/A</v>
      </c>
      <c r="X2161" t="s">
        <v>476</v>
      </c>
      <c r="Y2161" t="s">
        <v>28</v>
      </c>
      <c r="Z2161">
        <v>100155</v>
      </c>
      <c r="AA2161" t="s">
        <v>3072</v>
      </c>
      <c r="AB2161" t="s">
        <v>521</v>
      </c>
      <c r="AC2161" s="9">
        <v>4</v>
      </c>
      <c r="AD2161" s="9" t="str">
        <f t="shared" si="202"/>
        <v>N/A</v>
      </c>
      <c r="AE2161" s="11" t="e">
        <f t="shared" si="204"/>
        <v>#VALUE!</v>
      </c>
    </row>
    <row r="2162" spans="1:31" x14ac:dyDescent="0.3">
      <c r="A2162">
        <v>232</v>
      </c>
      <c r="B2162">
        <v>4391037</v>
      </c>
      <c r="C2162" t="s">
        <v>239</v>
      </c>
      <c r="D2162">
        <v>1253414</v>
      </c>
      <c r="E2162" t="s">
        <v>4878</v>
      </c>
      <c r="F2162" t="s">
        <v>20</v>
      </c>
      <c r="G2162" t="s">
        <v>4710</v>
      </c>
      <c r="H2162" t="s">
        <v>4711</v>
      </c>
      <c r="I2162" t="s">
        <v>3494</v>
      </c>
      <c r="J2162">
        <v>51159958184</v>
      </c>
      <c r="K2162" t="s">
        <v>3241</v>
      </c>
      <c r="L2162" t="s">
        <v>4715</v>
      </c>
      <c r="M2162">
        <v>5000</v>
      </c>
      <c r="N2162" s="10">
        <v>1.1800000000000001E-3</v>
      </c>
      <c r="O2162" s="10">
        <f t="shared" si="200"/>
        <v>5.9</v>
      </c>
      <c r="P2162" s="10" t="s">
        <v>5006</v>
      </c>
      <c r="Q2162" s="10" t="s">
        <v>5006</v>
      </c>
      <c r="R2162" s="10" t="str">
        <f>IF(COUNTIF($J$2:J2162,J2162)=1,SUMIFS($O:$O,$J:$J,J2162)+SUMIFS($P:$P,$J:$J,J2162)+SUMIFS($Q:$Q,$J:$J,J2162),"")</f>
        <v/>
      </c>
      <c r="S2162" s="10" t="s">
        <v>5006</v>
      </c>
      <c r="T2162" s="11" t="str">
        <f t="shared" si="203"/>
        <v>Check</v>
      </c>
      <c r="U2162" s="12">
        <v>45835</v>
      </c>
      <c r="V2162" s="10">
        <v>673.97</v>
      </c>
      <c r="W2162" s="10" t="str">
        <f t="shared" si="201"/>
        <v>N/A</v>
      </c>
      <c r="X2162" t="s">
        <v>476</v>
      </c>
      <c r="Y2162" t="s">
        <v>28</v>
      </c>
      <c r="Z2162">
        <v>100155</v>
      </c>
      <c r="AA2162" t="s">
        <v>3072</v>
      </c>
      <c r="AB2162" t="s">
        <v>521</v>
      </c>
      <c r="AC2162" s="9">
        <v>4</v>
      </c>
      <c r="AD2162" s="9" t="str">
        <f t="shared" si="202"/>
        <v>N/A</v>
      </c>
      <c r="AE2162" s="11" t="e">
        <f t="shared" si="204"/>
        <v>#VALUE!</v>
      </c>
    </row>
    <row r="2163" spans="1:31" x14ac:dyDescent="0.3">
      <c r="A2163">
        <v>3</v>
      </c>
      <c r="B2163">
        <v>4952420</v>
      </c>
      <c r="C2163" t="s">
        <v>239</v>
      </c>
      <c r="D2163">
        <v>1085063</v>
      </c>
      <c r="E2163" t="s">
        <v>601</v>
      </c>
      <c r="F2163" t="s">
        <v>47</v>
      </c>
      <c r="G2163" t="s">
        <v>2970</v>
      </c>
      <c r="H2163" t="s">
        <v>1839</v>
      </c>
      <c r="I2163" t="s">
        <v>3263</v>
      </c>
      <c r="J2163">
        <v>51159990022</v>
      </c>
      <c r="K2163" t="s">
        <v>3389</v>
      </c>
      <c r="L2163" t="s">
        <v>4716</v>
      </c>
      <c r="M2163">
        <v>4000</v>
      </c>
      <c r="N2163" s="10">
        <v>0.33200000000000002</v>
      </c>
      <c r="O2163" s="10">
        <f t="shared" si="200"/>
        <v>1328</v>
      </c>
      <c r="P2163" s="10">
        <v>0</v>
      </c>
      <c r="Q2163" s="10">
        <v>883.12</v>
      </c>
      <c r="R2163" s="10">
        <f>IF(COUNTIF($J$2:J2163,J2163)=1,SUMIFS($O:$O,$J:$J,J2163)+SUMIFS($P:$P,$J:$J,J2163)+SUMIFS($Q:$Q,$J:$J,J2163),"")</f>
        <v>2611.12</v>
      </c>
      <c r="S2163" s="10">
        <v>2611.12</v>
      </c>
      <c r="T2163" s="11" t="str">
        <f t="shared" si="203"/>
        <v>Ok</v>
      </c>
      <c r="U2163" s="12">
        <v>46106</v>
      </c>
      <c r="V2163" s="10">
        <v>2211.12</v>
      </c>
      <c r="W2163" s="10" t="str">
        <f t="shared" si="201"/>
        <v>Short Paid</v>
      </c>
      <c r="X2163" t="s">
        <v>476</v>
      </c>
      <c r="Y2163" t="s">
        <v>28</v>
      </c>
      <c r="Z2163">
        <v>100245</v>
      </c>
      <c r="AA2163" t="s">
        <v>507</v>
      </c>
      <c r="AB2163" t="s">
        <v>3039</v>
      </c>
      <c r="AC2163" s="9">
        <v>2</v>
      </c>
      <c r="AD2163" s="9" t="str">
        <f t="shared" si="202"/>
        <v>Ok</v>
      </c>
      <c r="AE2163" s="11">
        <f t="shared" si="204"/>
        <v>0</v>
      </c>
    </row>
    <row r="2164" spans="1:31" x14ac:dyDescent="0.3">
      <c r="A2164">
        <v>3</v>
      </c>
      <c r="B2164">
        <v>4952420</v>
      </c>
      <c r="C2164" t="s">
        <v>239</v>
      </c>
      <c r="D2164">
        <v>1085063</v>
      </c>
      <c r="E2164" t="s">
        <v>601</v>
      </c>
      <c r="F2164" t="s">
        <v>47</v>
      </c>
      <c r="G2164" t="s">
        <v>2970</v>
      </c>
      <c r="H2164" t="s">
        <v>1839</v>
      </c>
      <c r="I2164" t="s">
        <v>3249</v>
      </c>
      <c r="J2164">
        <v>51159990022</v>
      </c>
      <c r="K2164" t="s">
        <v>3209</v>
      </c>
      <c r="L2164" t="s">
        <v>4717</v>
      </c>
      <c r="M2164">
        <v>80000</v>
      </c>
      <c r="N2164" s="10">
        <v>5.0000000000000001E-3</v>
      </c>
      <c r="O2164" s="10">
        <f t="shared" si="200"/>
        <v>400</v>
      </c>
      <c r="P2164" s="10" t="s">
        <v>5006</v>
      </c>
      <c r="Q2164" s="10" t="s">
        <v>5006</v>
      </c>
      <c r="R2164" s="10" t="str">
        <f>IF(COUNTIF($J$2:J2164,J2164)=1,SUMIFS($O:$O,$J:$J,J2164)+SUMIFS($P:$P,$J:$J,J2164)+SUMIFS($Q:$Q,$J:$J,J2164),"")</f>
        <v/>
      </c>
      <c r="S2164" s="10" t="s">
        <v>5006</v>
      </c>
      <c r="T2164" s="11" t="str">
        <f t="shared" si="203"/>
        <v>Ok</v>
      </c>
      <c r="U2164" s="12">
        <v>46106</v>
      </c>
      <c r="V2164" s="10">
        <v>2211.12</v>
      </c>
      <c r="W2164" s="10" t="str">
        <f t="shared" si="201"/>
        <v>N/A</v>
      </c>
      <c r="X2164" t="s">
        <v>476</v>
      </c>
      <c r="Y2164" t="s">
        <v>28</v>
      </c>
      <c r="Z2164">
        <v>100245</v>
      </c>
      <c r="AA2164" t="s">
        <v>507</v>
      </c>
      <c r="AB2164" t="s">
        <v>3039</v>
      </c>
      <c r="AC2164" s="9">
        <v>2</v>
      </c>
      <c r="AD2164" s="9" t="str">
        <f t="shared" si="202"/>
        <v>N/A</v>
      </c>
      <c r="AE2164" s="11" t="e">
        <f t="shared" si="204"/>
        <v>#VALUE!</v>
      </c>
    </row>
    <row r="2165" spans="1:31" x14ac:dyDescent="0.3">
      <c r="A2165">
        <v>7</v>
      </c>
      <c r="B2165">
        <v>4929879</v>
      </c>
      <c r="C2165" t="s">
        <v>94</v>
      </c>
      <c r="D2165">
        <v>1449770</v>
      </c>
      <c r="E2165" t="s">
        <v>560</v>
      </c>
      <c r="F2165" t="s">
        <v>47</v>
      </c>
      <c r="G2165" t="s">
        <v>2934</v>
      </c>
      <c r="H2165" t="s">
        <v>1788</v>
      </c>
      <c r="I2165" t="s">
        <v>3467</v>
      </c>
      <c r="J2165">
        <v>51160068563</v>
      </c>
      <c r="K2165" t="s">
        <v>3537</v>
      </c>
      <c r="L2165" t="s">
        <v>3728</v>
      </c>
      <c r="M2165">
        <v>2000</v>
      </c>
      <c r="N2165" s="10">
        <v>0.29099999999999998</v>
      </c>
      <c r="O2165" s="10">
        <f t="shared" si="200"/>
        <v>582</v>
      </c>
      <c r="P2165" s="10">
        <v>0</v>
      </c>
      <c r="Q2165" s="10">
        <v>55.29</v>
      </c>
      <c r="R2165" s="10">
        <f>IF(COUNTIF($J$2:J2165,J2165)=1,SUMIFS($O:$O,$J:$J,J2165)+SUMIFS($P:$P,$J:$J,J2165)+SUMIFS($Q:$Q,$J:$J,J2165),"")</f>
        <v>1151.1299999999999</v>
      </c>
      <c r="S2165" s="10">
        <v>1151.1300000000001</v>
      </c>
      <c r="T2165" s="11" t="str">
        <f t="shared" si="203"/>
        <v>Ok</v>
      </c>
      <c r="U2165" s="12">
        <v>46140</v>
      </c>
      <c r="V2165" s="10">
        <v>637.29</v>
      </c>
      <c r="W2165" s="10" t="str">
        <f t="shared" si="201"/>
        <v>Short Paid</v>
      </c>
      <c r="X2165" t="s">
        <v>450</v>
      </c>
      <c r="Y2165" t="s">
        <v>28</v>
      </c>
      <c r="Z2165">
        <v>100237</v>
      </c>
      <c r="AA2165" t="s">
        <v>3094</v>
      </c>
      <c r="AB2165" t="s">
        <v>3039</v>
      </c>
      <c r="AC2165" s="9">
        <v>2</v>
      </c>
      <c r="AD2165" s="9" t="str">
        <f t="shared" si="202"/>
        <v>Ok</v>
      </c>
      <c r="AE2165" s="11">
        <f t="shared" si="204"/>
        <v>0</v>
      </c>
    </row>
    <row r="2166" spans="1:31" x14ac:dyDescent="0.3">
      <c r="A2166">
        <v>7</v>
      </c>
      <c r="B2166">
        <v>4929879</v>
      </c>
      <c r="C2166" t="s">
        <v>94</v>
      </c>
      <c r="D2166">
        <v>1449770</v>
      </c>
      <c r="E2166" t="s">
        <v>560</v>
      </c>
      <c r="F2166" t="s">
        <v>47</v>
      </c>
      <c r="G2166" t="s">
        <v>2934</v>
      </c>
      <c r="H2166" t="s">
        <v>1788</v>
      </c>
      <c r="I2166" t="s">
        <v>3326</v>
      </c>
      <c r="J2166">
        <v>51160068563</v>
      </c>
      <c r="K2166" t="s">
        <v>3177</v>
      </c>
      <c r="L2166" t="s">
        <v>3667</v>
      </c>
      <c r="M2166">
        <v>12000</v>
      </c>
      <c r="N2166" s="10">
        <v>4.2819999999999997E-2</v>
      </c>
      <c r="O2166" s="10">
        <f t="shared" si="200"/>
        <v>513.83999999999992</v>
      </c>
      <c r="P2166" s="10" t="s">
        <v>5006</v>
      </c>
      <c r="Q2166" s="10" t="s">
        <v>5006</v>
      </c>
      <c r="R2166" s="10" t="str">
        <f>IF(COUNTIF($J$2:J2166,J2166)=1,SUMIFS($O:$O,$J:$J,J2166)+SUMIFS($P:$P,$J:$J,J2166)+SUMIFS($Q:$Q,$J:$J,J2166),"")</f>
        <v/>
      </c>
      <c r="S2166" s="10" t="s">
        <v>5006</v>
      </c>
      <c r="T2166" s="11" t="str">
        <f t="shared" si="203"/>
        <v>Ok</v>
      </c>
      <c r="U2166" s="12">
        <v>46140</v>
      </c>
      <c r="V2166" s="10">
        <v>637.29</v>
      </c>
      <c r="W2166" s="10" t="str">
        <f t="shared" si="201"/>
        <v>N/A</v>
      </c>
      <c r="X2166" t="s">
        <v>450</v>
      </c>
      <c r="Y2166" t="s">
        <v>28</v>
      </c>
      <c r="Z2166">
        <v>100237</v>
      </c>
      <c r="AA2166" t="s">
        <v>3094</v>
      </c>
      <c r="AB2166" t="s">
        <v>3039</v>
      </c>
      <c r="AC2166" s="9">
        <v>2</v>
      </c>
      <c r="AD2166" s="9" t="str">
        <f t="shared" si="202"/>
        <v>N/A</v>
      </c>
      <c r="AE2166" s="11" t="e">
        <f t="shared" si="204"/>
        <v>#VALUE!</v>
      </c>
    </row>
    <row r="2167" spans="1:31" x14ac:dyDescent="0.3">
      <c r="A2167">
        <v>247</v>
      </c>
      <c r="B2167">
        <v>4385098</v>
      </c>
      <c r="C2167" t="s">
        <v>60</v>
      </c>
      <c r="D2167">
        <v>1588891</v>
      </c>
      <c r="E2167" t="s">
        <v>61</v>
      </c>
      <c r="F2167" t="s">
        <v>18</v>
      </c>
      <c r="G2167" t="s">
        <v>4718</v>
      </c>
      <c r="H2167" t="s">
        <v>4719</v>
      </c>
      <c r="I2167" t="s">
        <v>3188</v>
      </c>
      <c r="J2167">
        <v>51160165354</v>
      </c>
      <c r="K2167" t="s">
        <v>3177</v>
      </c>
      <c r="L2167" t="s">
        <v>4702</v>
      </c>
      <c r="M2167">
        <v>10000</v>
      </c>
      <c r="N2167" s="10">
        <v>9.3999999999999997E-4</v>
      </c>
      <c r="O2167" s="10">
        <f t="shared" si="200"/>
        <v>9.4</v>
      </c>
      <c r="P2167" s="10">
        <v>0</v>
      </c>
      <c r="Q2167" s="10">
        <v>0</v>
      </c>
      <c r="R2167" s="10">
        <f>IF(COUNTIF($J$2:J2167,J2167)=1,SUMIFS($O:$O,$J:$J,J2167)+SUMIFS($P:$P,$J:$J,J2167)+SUMIFS($Q:$Q,$J:$J,J2167),"")</f>
        <v>2685.28</v>
      </c>
      <c r="S2167" s="10">
        <v>2975.28</v>
      </c>
      <c r="T2167" s="11" t="str">
        <f t="shared" si="203"/>
        <v>Check</v>
      </c>
      <c r="U2167" s="12">
        <v>45785</v>
      </c>
      <c r="V2167" s="10">
        <v>184</v>
      </c>
      <c r="W2167" s="10" t="str">
        <f t="shared" si="201"/>
        <v>Short Paid</v>
      </c>
      <c r="X2167" t="s">
        <v>438</v>
      </c>
      <c r="Y2167" t="s">
        <v>28</v>
      </c>
      <c r="Z2167">
        <v>100153</v>
      </c>
      <c r="AA2167" t="s">
        <v>445</v>
      </c>
      <c r="AB2167" t="s">
        <v>523</v>
      </c>
      <c r="AC2167" s="9">
        <v>3</v>
      </c>
      <c r="AD2167" s="9" t="str">
        <f t="shared" si="202"/>
        <v>Check</v>
      </c>
      <c r="AE2167" s="11">
        <f t="shared" si="204"/>
        <v>-290</v>
      </c>
    </row>
    <row r="2168" spans="1:31" x14ac:dyDescent="0.3">
      <c r="A2168">
        <v>247</v>
      </c>
      <c r="B2168">
        <v>4385098</v>
      </c>
      <c r="C2168" t="s">
        <v>60</v>
      </c>
      <c r="D2168">
        <v>1588891</v>
      </c>
      <c r="E2168" t="s">
        <v>61</v>
      </c>
      <c r="F2168" t="s">
        <v>18</v>
      </c>
      <c r="G2168" t="s">
        <v>4718</v>
      </c>
      <c r="H2168" t="s">
        <v>4719</v>
      </c>
      <c r="I2168" t="s">
        <v>3188</v>
      </c>
      <c r="J2168">
        <v>51160165354</v>
      </c>
      <c r="K2168" t="s">
        <v>3266</v>
      </c>
      <c r="L2168" t="s">
        <v>3893</v>
      </c>
      <c r="M2168">
        <v>1944</v>
      </c>
      <c r="N2168" s="10">
        <v>1.27</v>
      </c>
      <c r="O2168" s="10">
        <f t="shared" si="200"/>
        <v>2468.88</v>
      </c>
      <c r="P2168" s="10" t="s">
        <v>5006</v>
      </c>
      <c r="Q2168" s="10" t="s">
        <v>5006</v>
      </c>
      <c r="R2168" s="10" t="str">
        <f>IF(COUNTIF($J$2:J2168,J2168)=1,SUMIFS($O:$O,$J:$J,J2168)+SUMIFS($P:$P,$J:$J,J2168)+SUMIFS($Q:$Q,$J:$J,J2168),"")</f>
        <v/>
      </c>
      <c r="S2168" s="10" t="s">
        <v>5006</v>
      </c>
      <c r="T2168" s="11" t="str">
        <f t="shared" si="203"/>
        <v>Check</v>
      </c>
      <c r="U2168" s="12">
        <v>45785</v>
      </c>
      <c r="V2168" s="10">
        <v>184</v>
      </c>
      <c r="W2168" s="10" t="str">
        <f t="shared" si="201"/>
        <v>N/A</v>
      </c>
      <c r="X2168" t="s">
        <v>438</v>
      </c>
      <c r="Y2168" t="s">
        <v>28</v>
      </c>
      <c r="Z2168">
        <v>100153</v>
      </c>
      <c r="AA2168" t="s">
        <v>445</v>
      </c>
      <c r="AB2168" t="s">
        <v>523</v>
      </c>
      <c r="AC2168" s="9">
        <v>3</v>
      </c>
      <c r="AD2168" s="9" t="str">
        <f t="shared" si="202"/>
        <v>N/A</v>
      </c>
      <c r="AE2168" s="11" t="e">
        <f t="shared" si="204"/>
        <v>#VALUE!</v>
      </c>
    </row>
    <row r="2169" spans="1:31" x14ac:dyDescent="0.3">
      <c r="A2169">
        <v>247</v>
      </c>
      <c r="B2169">
        <v>4385098</v>
      </c>
      <c r="C2169" t="s">
        <v>60</v>
      </c>
      <c r="D2169">
        <v>1588891</v>
      </c>
      <c r="E2169" t="s">
        <v>61</v>
      </c>
      <c r="F2169" t="s">
        <v>18</v>
      </c>
      <c r="G2169" t="s">
        <v>4718</v>
      </c>
      <c r="H2169" t="s">
        <v>4719</v>
      </c>
      <c r="I2169" t="s">
        <v>3188</v>
      </c>
      <c r="J2169">
        <v>51160165354</v>
      </c>
      <c r="K2169" t="s">
        <v>3207</v>
      </c>
      <c r="L2169" t="s">
        <v>3724</v>
      </c>
      <c r="M2169">
        <v>9000</v>
      </c>
      <c r="N2169" s="10">
        <v>2.3E-2</v>
      </c>
      <c r="O2169" s="10">
        <f t="shared" si="200"/>
        <v>207</v>
      </c>
      <c r="P2169" s="10" t="s">
        <v>5006</v>
      </c>
      <c r="Q2169" s="10" t="s">
        <v>5006</v>
      </c>
      <c r="R2169" s="10" t="str">
        <f>IF(COUNTIF($J$2:J2169,J2169)=1,SUMIFS($O:$O,$J:$J,J2169)+SUMIFS($P:$P,$J:$J,J2169)+SUMIFS($Q:$Q,$J:$J,J2169),"")</f>
        <v/>
      </c>
      <c r="S2169" s="10" t="s">
        <v>5006</v>
      </c>
      <c r="T2169" s="11" t="str">
        <f t="shared" si="203"/>
        <v>Check</v>
      </c>
      <c r="U2169" s="12">
        <v>45785</v>
      </c>
      <c r="V2169" s="10">
        <v>184</v>
      </c>
      <c r="W2169" s="10" t="str">
        <f t="shared" si="201"/>
        <v>N/A</v>
      </c>
      <c r="X2169" t="s">
        <v>438</v>
      </c>
      <c r="Y2169" t="s">
        <v>28</v>
      </c>
      <c r="Z2169">
        <v>100153</v>
      </c>
      <c r="AA2169" t="s">
        <v>445</v>
      </c>
      <c r="AB2169" t="s">
        <v>523</v>
      </c>
      <c r="AC2169" s="9">
        <v>3</v>
      </c>
      <c r="AD2169" s="9" t="str">
        <f t="shared" si="202"/>
        <v>N/A</v>
      </c>
      <c r="AE2169" s="11" t="e">
        <f t="shared" si="204"/>
        <v>#VALUE!</v>
      </c>
    </row>
    <row r="2170" spans="1:31" x14ac:dyDescent="0.3">
      <c r="A2170">
        <v>8</v>
      </c>
      <c r="B2170">
        <v>4911234</v>
      </c>
      <c r="C2170" t="s">
        <v>167</v>
      </c>
      <c r="D2170">
        <v>1462348</v>
      </c>
      <c r="E2170" t="s">
        <v>394</v>
      </c>
      <c r="F2170" t="s">
        <v>17</v>
      </c>
      <c r="G2170" t="s">
        <v>4912</v>
      </c>
      <c r="H2170" t="s">
        <v>1746</v>
      </c>
      <c r="I2170" t="s">
        <v>3263</v>
      </c>
      <c r="J2170">
        <v>51160184490</v>
      </c>
      <c r="K2170" t="s">
        <v>3165</v>
      </c>
      <c r="L2170" t="s">
        <v>4720</v>
      </c>
      <c r="M2170">
        <v>1</v>
      </c>
      <c r="N2170" s="10">
        <v>221.54</v>
      </c>
      <c r="O2170" s="10">
        <f t="shared" si="200"/>
        <v>221.54</v>
      </c>
      <c r="P2170" s="10">
        <v>0</v>
      </c>
      <c r="Q2170" s="10" t="s">
        <v>5006</v>
      </c>
      <c r="R2170" s="10">
        <f>IF(COUNTIF($J$2:J2170,J2170)=1,SUMIFS($O:$O,$J:$J,J2170)+SUMIFS($P:$P,$J:$J,J2170)+SUMIFS($Q:$Q,$J:$J,J2170),"")</f>
        <v>10637.420000000002</v>
      </c>
      <c r="S2170" s="10">
        <v>14206.19</v>
      </c>
      <c r="T2170" s="11" t="str">
        <f t="shared" si="203"/>
        <v>Check</v>
      </c>
      <c r="U2170" s="12">
        <v>46183</v>
      </c>
      <c r="V2170" s="10">
        <v>3056.6</v>
      </c>
      <c r="W2170" s="10" t="str">
        <f t="shared" si="201"/>
        <v>Short Paid</v>
      </c>
      <c r="X2170" t="s">
        <v>455</v>
      </c>
      <c r="Y2170" t="s">
        <v>436</v>
      </c>
      <c r="Z2170">
        <v>100210</v>
      </c>
      <c r="AA2170" t="s">
        <v>3074</v>
      </c>
      <c r="AB2170" t="s">
        <v>528</v>
      </c>
      <c r="AC2170" s="9">
        <v>3</v>
      </c>
      <c r="AD2170" s="9" t="str">
        <f t="shared" si="202"/>
        <v>Check</v>
      </c>
      <c r="AE2170" s="11">
        <f t="shared" si="204"/>
        <v>-3568.7699999999986</v>
      </c>
    </row>
    <row r="2171" spans="1:31" x14ac:dyDescent="0.3">
      <c r="A2171">
        <v>8</v>
      </c>
      <c r="B2171">
        <v>4911234</v>
      </c>
      <c r="C2171" t="s">
        <v>167</v>
      </c>
      <c r="D2171">
        <v>1462348</v>
      </c>
      <c r="E2171" t="s">
        <v>394</v>
      </c>
      <c r="F2171" t="s">
        <v>17</v>
      </c>
      <c r="G2171" t="s">
        <v>4912</v>
      </c>
      <c r="H2171" t="s">
        <v>1746</v>
      </c>
      <c r="I2171" t="s">
        <v>3263</v>
      </c>
      <c r="J2171">
        <v>51160184490</v>
      </c>
      <c r="K2171" t="s">
        <v>3165</v>
      </c>
      <c r="L2171" t="s">
        <v>4457</v>
      </c>
      <c r="M2171">
        <v>3</v>
      </c>
      <c r="N2171" s="10">
        <v>2772.92</v>
      </c>
      <c r="O2171" s="10">
        <f t="shared" si="200"/>
        <v>8318.76</v>
      </c>
      <c r="P2171" s="10" t="s">
        <v>5006</v>
      </c>
      <c r="Q2171" s="10" t="s">
        <v>5006</v>
      </c>
      <c r="R2171" s="10" t="str">
        <f>IF(COUNTIF($J$2:J2171,J2171)=1,SUMIFS($O:$O,$J:$J,J2171)+SUMIFS($P:$P,$J:$J,J2171)+SUMIFS($Q:$Q,$J:$J,J2171),"")</f>
        <v/>
      </c>
      <c r="S2171" s="10" t="s">
        <v>5006</v>
      </c>
      <c r="T2171" s="11" t="str">
        <f t="shared" si="203"/>
        <v>Check</v>
      </c>
      <c r="U2171" s="12">
        <v>46183</v>
      </c>
      <c r="V2171" s="10">
        <v>3056.6</v>
      </c>
      <c r="W2171" s="10" t="str">
        <f t="shared" si="201"/>
        <v>N/A</v>
      </c>
      <c r="X2171" t="s">
        <v>455</v>
      </c>
      <c r="Y2171" t="s">
        <v>436</v>
      </c>
      <c r="Z2171">
        <v>100210</v>
      </c>
      <c r="AA2171" t="s">
        <v>3074</v>
      </c>
      <c r="AB2171" t="s">
        <v>528</v>
      </c>
      <c r="AC2171" s="9">
        <v>3</v>
      </c>
      <c r="AD2171" s="9" t="str">
        <f t="shared" si="202"/>
        <v>N/A</v>
      </c>
      <c r="AE2171" s="11" t="e">
        <f t="shared" si="204"/>
        <v>#VALUE!</v>
      </c>
    </row>
    <row r="2172" spans="1:31" x14ac:dyDescent="0.3">
      <c r="A2172">
        <v>8</v>
      </c>
      <c r="B2172">
        <v>4911234</v>
      </c>
      <c r="C2172" t="s">
        <v>167</v>
      </c>
      <c r="D2172">
        <v>1462348</v>
      </c>
      <c r="E2172" t="s">
        <v>394</v>
      </c>
      <c r="F2172" t="s">
        <v>17</v>
      </c>
      <c r="G2172" t="s">
        <v>4912</v>
      </c>
      <c r="H2172" t="s">
        <v>1746</v>
      </c>
      <c r="I2172" t="s">
        <v>3263</v>
      </c>
      <c r="J2172">
        <v>51160184490</v>
      </c>
      <c r="K2172" t="s">
        <v>3165</v>
      </c>
      <c r="L2172" t="s">
        <v>4721</v>
      </c>
      <c r="M2172">
        <v>2</v>
      </c>
      <c r="N2172" s="10">
        <v>1048.56</v>
      </c>
      <c r="O2172" s="10">
        <f t="shared" si="200"/>
        <v>2097.12</v>
      </c>
      <c r="P2172" s="10" t="s">
        <v>5006</v>
      </c>
      <c r="Q2172" s="10" t="s">
        <v>5006</v>
      </c>
      <c r="R2172" s="10" t="str">
        <f>IF(COUNTIF($J$2:J2172,J2172)=1,SUMIFS($O:$O,$J:$J,J2172)+SUMIFS($P:$P,$J:$J,J2172)+SUMIFS($Q:$Q,$J:$J,J2172),"")</f>
        <v/>
      </c>
      <c r="S2172" s="10" t="s">
        <v>5006</v>
      </c>
      <c r="T2172" s="11" t="str">
        <f t="shared" si="203"/>
        <v>Check</v>
      </c>
      <c r="U2172" s="12">
        <v>46183</v>
      </c>
      <c r="V2172" s="10">
        <v>3056.6</v>
      </c>
      <c r="W2172" s="10" t="str">
        <f t="shared" si="201"/>
        <v>N/A</v>
      </c>
      <c r="X2172" t="s">
        <v>455</v>
      </c>
      <c r="Y2172" t="s">
        <v>436</v>
      </c>
      <c r="Z2172">
        <v>100210</v>
      </c>
      <c r="AA2172" t="s">
        <v>3074</v>
      </c>
      <c r="AB2172" t="s">
        <v>528</v>
      </c>
      <c r="AC2172" s="9">
        <v>3</v>
      </c>
      <c r="AD2172" s="9" t="str">
        <f t="shared" si="202"/>
        <v>N/A</v>
      </c>
      <c r="AE2172" s="11" t="e">
        <f t="shared" si="204"/>
        <v>#VALUE!</v>
      </c>
    </row>
    <row r="2173" spans="1:31" x14ac:dyDescent="0.3">
      <c r="A2173">
        <v>0</v>
      </c>
      <c r="B2173">
        <v>4980249</v>
      </c>
      <c r="C2173" t="s">
        <v>239</v>
      </c>
      <c r="D2173">
        <v>1053549</v>
      </c>
      <c r="E2173" t="s">
        <v>536</v>
      </c>
      <c r="F2173" t="s">
        <v>24</v>
      </c>
      <c r="G2173" t="s">
        <v>1928</v>
      </c>
      <c r="H2173" t="s">
        <v>1929</v>
      </c>
      <c r="I2173" t="s">
        <v>3329</v>
      </c>
      <c r="J2173">
        <v>51160210892</v>
      </c>
      <c r="K2173" t="s">
        <v>3177</v>
      </c>
      <c r="L2173" t="s">
        <v>4722</v>
      </c>
      <c r="M2173">
        <v>200000</v>
      </c>
      <c r="N2173" s="10">
        <v>1.9E-3</v>
      </c>
      <c r="O2173" s="10">
        <f t="shared" si="200"/>
        <v>380</v>
      </c>
      <c r="P2173" s="10">
        <v>0</v>
      </c>
      <c r="Q2173" s="10">
        <v>0</v>
      </c>
      <c r="R2173" s="10">
        <f>IF(COUNTIF($J$2:J2173,J2173)=1,SUMIFS($O:$O,$J:$J,J2173)+SUMIFS($P:$P,$J:$J,J2173)+SUMIFS($Q:$Q,$J:$J,J2173),"")</f>
        <v>5831.6</v>
      </c>
      <c r="S2173" s="10">
        <v>5831.6</v>
      </c>
      <c r="T2173" s="11" t="str">
        <f t="shared" si="203"/>
        <v>Ok</v>
      </c>
      <c r="U2173" s="12">
        <v>46036</v>
      </c>
      <c r="V2173" s="10">
        <v>480</v>
      </c>
      <c r="W2173" s="10" t="str">
        <f t="shared" si="201"/>
        <v>Short Paid</v>
      </c>
      <c r="X2173" t="s">
        <v>476</v>
      </c>
      <c r="Y2173" t="s">
        <v>40</v>
      </c>
      <c r="Z2173">
        <v>100145</v>
      </c>
      <c r="AA2173" t="s">
        <v>3093</v>
      </c>
      <c r="AB2173" t="s">
        <v>522</v>
      </c>
      <c r="AC2173" s="9">
        <v>4</v>
      </c>
      <c r="AD2173" s="9" t="str">
        <f t="shared" si="202"/>
        <v>Ok</v>
      </c>
      <c r="AE2173" s="11">
        <f t="shared" si="204"/>
        <v>0</v>
      </c>
    </row>
    <row r="2174" spans="1:31" x14ac:dyDescent="0.3">
      <c r="A2174">
        <v>0</v>
      </c>
      <c r="B2174">
        <v>4980249</v>
      </c>
      <c r="C2174" t="s">
        <v>239</v>
      </c>
      <c r="D2174">
        <v>1053549</v>
      </c>
      <c r="E2174" t="s">
        <v>536</v>
      </c>
      <c r="F2174" t="s">
        <v>24</v>
      </c>
      <c r="G2174" t="s">
        <v>1928</v>
      </c>
      <c r="H2174" t="s">
        <v>1929</v>
      </c>
      <c r="I2174" t="s">
        <v>3329</v>
      </c>
      <c r="J2174">
        <v>51160210892</v>
      </c>
      <c r="K2174" t="s">
        <v>3229</v>
      </c>
      <c r="L2174" t="s">
        <v>4723</v>
      </c>
      <c r="M2174">
        <v>48000</v>
      </c>
      <c r="N2174" s="10">
        <v>1.4200000000000001E-2</v>
      </c>
      <c r="O2174" s="10">
        <f t="shared" si="200"/>
        <v>681.6</v>
      </c>
      <c r="P2174" s="10" t="s">
        <v>5006</v>
      </c>
      <c r="Q2174" s="10" t="s">
        <v>5006</v>
      </c>
      <c r="R2174" s="10" t="str">
        <f>IF(COUNTIF($J$2:J2174,J2174)=1,SUMIFS($O:$O,$J:$J,J2174)+SUMIFS($P:$P,$J:$J,J2174)+SUMIFS($Q:$Q,$J:$J,J2174),"")</f>
        <v/>
      </c>
      <c r="S2174" s="10" t="s">
        <v>5006</v>
      </c>
      <c r="T2174" s="11" t="str">
        <f t="shared" si="203"/>
        <v>Ok</v>
      </c>
      <c r="U2174" s="12">
        <v>46036</v>
      </c>
      <c r="V2174" s="10">
        <v>480</v>
      </c>
      <c r="W2174" s="10" t="str">
        <f t="shared" si="201"/>
        <v>N/A</v>
      </c>
      <c r="X2174" t="s">
        <v>476</v>
      </c>
      <c r="Y2174" t="s">
        <v>40</v>
      </c>
      <c r="Z2174">
        <v>100145</v>
      </c>
      <c r="AA2174" t="s">
        <v>3093</v>
      </c>
      <c r="AB2174" t="s">
        <v>522</v>
      </c>
      <c r="AC2174" s="9">
        <v>4</v>
      </c>
      <c r="AD2174" s="9" t="str">
        <f t="shared" si="202"/>
        <v>N/A</v>
      </c>
      <c r="AE2174" s="11" t="e">
        <f t="shared" si="204"/>
        <v>#VALUE!</v>
      </c>
    </row>
    <row r="2175" spans="1:31" x14ac:dyDescent="0.3">
      <c r="A2175">
        <v>0</v>
      </c>
      <c r="B2175">
        <v>4980249</v>
      </c>
      <c r="C2175" t="s">
        <v>239</v>
      </c>
      <c r="D2175">
        <v>1053549</v>
      </c>
      <c r="E2175" t="s">
        <v>536</v>
      </c>
      <c r="F2175" t="s">
        <v>24</v>
      </c>
      <c r="G2175" t="s">
        <v>1928</v>
      </c>
      <c r="H2175" t="s">
        <v>1929</v>
      </c>
      <c r="I2175" t="s">
        <v>3329</v>
      </c>
      <c r="J2175">
        <v>51160210892</v>
      </c>
      <c r="K2175" t="s">
        <v>3374</v>
      </c>
      <c r="L2175" t="s">
        <v>4724</v>
      </c>
      <c r="M2175">
        <v>2400</v>
      </c>
      <c r="N2175" s="10">
        <v>0.2</v>
      </c>
      <c r="O2175" s="10">
        <f t="shared" si="200"/>
        <v>480</v>
      </c>
      <c r="P2175" s="10" t="s">
        <v>5006</v>
      </c>
      <c r="Q2175" s="10" t="s">
        <v>5006</v>
      </c>
      <c r="R2175" s="10" t="str">
        <f>IF(COUNTIF($J$2:J2175,J2175)=1,SUMIFS($O:$O,$J:$J,J2175)+SUMIFS($P:$P,$J:$J,J2175)+SUMIFS($Q:$Q,$J:$J,J2175),"")</f>
        <v/>
      </c>
      <c r="S2175" s="10" t="s">
        <v>5006</v>
      </c>
      <c r="T2175" s="11" t="str">
        <f t="shared" si="203"/>
        <v>Ok</v>
      </c>
      <c r="U2175" s="12">
        <v>46036</v>
      </c>
      <c r="V2175" s="10">
        <v>480</v>
      </c>
      <c r="W2175" s="10" t="str">
        <f t="shared" si="201"/>
        <v>N/A</v>
      </c>
      <c r="X2175" t="s">
        <v>476</v>
      </c>
      <c r="Y2175" t="s">
        <v>40</v>
      </c>
      <c r="Z2175">
        <v>100145</v>
      </c>
      <c r="AA2175" t="s">
        <v>3093</v>
      </c>
      <c r="AB2175" t="s">
        <v>522</v>
      </c>
      <c r="AC2175" s="9">
        <v>4</v>
      </c>
      <c r="AD2175" s="9" t="str">
        <f t="shared" si="202"/>
        <v>N/A</v>
      </c>
      <c r="AE2175" s="11" t="e">
        <f t="shared" si="204"/>
        <v>#VALUE!</v>
      </c>
    </row>
    <row r="2176" spans="1:31" x14ac:dyDescent="0.3">
      <c r="A2176">
        <v>0</v>
      </c>
      <c r="B2176">
        <v>4980249</v>
      </c>
      <c r="C2176" t="s">
        <v>239</v>
      </c>
      <c r="D2176">
        <v>1053549</v>
      </c>
      <c r="E2176" t="s">
        <v>536</v>
      </c>
      <c r="F2176" t="s">
        <v>24</v>
      </c>
      <c r="G2176" t="s">
        <v>1928</v>
      </c>
      <c r="H2176" t="s">
        <v>1929</v>
      </c>
      <c r="I2176" t="s">
        <v>3381</v>
      </c>
      <c r="J2176">
        <v>51160210892</v>
      </c>
      <c r="K2176" t="s">
        <v>3479</v>
      </c>
      <c r="L2176" t="s">
        <v>4725</v>
      </c>
      <c r="M2176">
        <v>60000</v>
      </c>
      <c r="N2176" s="10">
        <v>7.1499999999999994E-2</v>
      </c>
      <c r="O2176" s="10">
        <f t="shared" si="200"/>
        <v>4290</v>
      </c>
      <c r="P2176" s="10" t="s">
        <v>5006</v>
      </c>
      <c r="Q2176" s="10" t="s">
        <v>5006</v>
      </c>
      <c r="R2176" s="10" t="str">
        <f>IF(COUNTIF($J$2:J2176,J2176)=1,SUMIFS($O:$O,$J:$J,J2176)+SUMIFS($P:$P,$J:$J,J2176)+SUMIFS($Q:$Q,$J:$J,J2176),"")</f>
        <v/>
      </c>
      <c r="S2176" s="10" t="s">
        <v>5006</v>
      </c>
      <c r="T2176" s="11" t="str">
        <f t="shared" si="203"/>
        <v>Ok</v>
      </c>
      <c r="U2176" s="12">
        <v>46036</v>
      </c>
      <c r="V2176" s="10">
        <v>480</v>
      </c>
      <c r="W2176" s="10" t="str">
        <f t="shared" si="201"/>
        <v>N/A</v>
      </c>
      <c r="X2176" t="s">
        <v>476</v>
      </c>
      <c r="Y2176" t="s">
        <v>40</v>
      </c>
      <c r="Z2176">
        <v>100145</v>
      </c>
      <c r="AA2176" t="s">
        <v>3093</v>
      </c>
      <c r="AB2176" t="s">
        <v>522</v>
      </c>
      <c r="AC2176" s="9">
        <v>4</v>
      </c>
      <c r="AD2176" s="9" t="str">
        <f t="shared" si="202"/>
        <v>N/A</v>
      </c>
      <c r="AE2176" s="11" t="e">
        <f t="shared" si="204"/>
        <v>#VALUE!</v>
      </c>
    </row>
    <row r="2177" spans="1:31" x14ac:dyDescent="0.3">
      <c r="A2177">
        <v>9</v>
      </c>
      <c r="B2177">
        <v>4909565</v>
      </c>
      <c r="C2177" t="s">
        <v>239</v>
      </c>
      <c r="D2177">
        <v>1334402</v>
      </c>
      <c r="E2177" t="s">
        <v>607</v>
      </c>
      <c r="F2177" t="s">
        <v>24</v>
      </c>
      <c r="G2177" t="s">
        <v>1749</v>
      </c>
      <c r="H2177" t="s">
        <v>1750</v>
      </c>
      <c r="I2177" t="s">
        <v>3263</v>
      </c>
      <c r="J2177">
        <v>51160216386</v>
      </c>
      <c r="K2177" t="s">
        <v>3209</v>
      </c>
      <c r="L2177" t="s">
        <v>4726</v>
      </c>
      <c r="M2177">
        <v>5000</v>
      </c>
      <c r="N2177" s="10">
        <v>0.14799999999999999</v>
      </c>
      <c r="O2177" s="10">
        <f t="shared" si="200"/>
        <v>740</v>
      </c>
      <c r="P2177" s="10">
        <v>0</v>
      </c>
      <c r="Q2177" s="10">
        <v>0</v>
      </c>
      <c r="R2177" s="10">
        <f>IF(COUNTIF($J$2:J2177,J2177)=1,SUMIFS($O:$O,$J:$J,J2177)+SUMIFS($P:$P,$J:$J,J2177)+SUMIFS($Q:$Q,$J:$J,J2177),"")</f>
        <v>1512.8000000000002</v>
      </c>
      <c r="S2177" s="10">
        <v>1512.8</v>
      </c>
      <c r="T2177" s="11" t="str">
        <f t="shared" si="203"/>
        <v>Ok</v>
      </c>
      <c r="U2177" s="12">
        <v>46066</v>
      </c>
      <c r="V2177" s="10">
        <v>71.22</v>
      </c>
      <c r="W2177" s="10" t="str">
        <f t="shared" si="201"/>
        <v>Short Paid</v>
      </c>
      <c r="X2177" t="s">
        <v>476</v>
      </c>
      <c r="Y2177" t="s">
        <v>40</v>
      </c>
      <c r="Z2177">
        <v>100145</v>
      </c>
      <c r="AA2177" t="s">
        <v>3093</v>
      </c>
      <c r="AB2177" t="s">
        <v>522</v>
      </c>
      <c r="AC2177" s="9">
        <v>2</v>
      </c>
      <c r="AD2177" s="9" t="str">
        <f t="shared" si="202"/>
        <v>Ok</v>
      </c>
      <c r="AE2177" s="11">
        <f t="shared" si="204"/>
        <v>0</v>
      </c>
    </row>
    <row r="2178" spans="1:31" x14ac:dyDescent="0.3">
      <c r="A2178">
        <v>9</v>
      </c>
      <c r="B2178">
        <v>4909565</v>
      </c>
      <c r="C2178" t="s">
        <v>239</v>
      </c>
      <c r="D2178">
        <v>1334402</v>
      </c>
      <c r="E2178" t="s">
        <v>607</v>
      </c>
      <c r="F2178" t="s">
        <v>24</v>
      </c>
      <c r="G2178" t="s">
        <v>1749</v>
      </c>
      <c r="H2178" t="s">
        <v>1750</v>
      </c>
      <c r="I2178" t="s">
        <v>3331</v>
      </c>
      <c r="J2178">
        <v>51160216386</v>
      </c>
      <c r="K2178" t="s">
        <v>3479</v>
      </c>
      <c r="L2178" t="s">
        <v>3478</v>
      </c>
      <c r="M2178">
        <v>40000</v>
      </c>
      <c r="N2178" s="10">
        <v>1.932E-2</v>
      </c>
      <c r="O2178" s="10">
        <f t="shared" ref="O2178:O2241" si="205">M2178*N2178</f>
        <v>772.80000000000007</v>
      </c>
      <c r="P2178" s="10" t="s">
        <v>5006</v>
      </c>
      <c r="Q2178" s="10" t="s">
        <v>5006</v>
      </c>
      <c r="R2178" s="10" t="str">
        <f>IF(COUNTIF($J$2:J2178,J2178)=1,SUMIFS($O:$O,$J:$J,J2178)+SUMIFS($P:$P,$J:$J,J2178)+SUMIFS($Q:$Q,$J:$J,J2178),"")</f>
        <v/>
      </c>
      <c r="S2178" s="10" t="s">
        <v>5006</v>
      </c>
      <c r="T2178" s="11" t="str">
        <f t="shared" si="203"/>
        <v>Ok</v>
      </c>
      <c r="U2178" s="12">
        <v>46066</v>
      </c>
      <c r="V2178" s="10">
        <v>71.22</v>
      </c>
      <c r="W2178" s="10" t="str">
        <f t="shared" ref="W2178:W2241" si="206">IF(OR(S2178="",V2178=""),"N/A",IF(S2178&lt;&gt;V2178,"Short Paid","Not Paid"))</f>
        <v>N/A</v>
      </c>
      <c r="X2178" t="s">
        <v>476</v>
      </c>
      <c r="Y2178" t="s">
        <v>40</v>
      </c>
      <c r="Z2178">
        <v>100145</v>
      </c>
      <c r="AA2178" t="s">
        <v>3093</v>
      </c>
      <c r="AB2178" t="s">
        <v>522</v>
      </c>
      <c r="AC2178" s="9">
        <v>2</v>
      </c>
      <c r="AD2178" s="9" t="str">
        <f t="shared" ref="AD2178:AD2241" si="207">IF(AND(R2178="",S2178=""),"N/A",IF(R2178=S2178,"Ok","Check"))</f>
        <v>N/A</v>
      </c>
      <c r="AE2178" s="11" t="e">
        <f t="shared" si="204"/>
        <v>#VALUE!</v>
      </c>
    </row>
    <row r="2179" spans="1:31" x14ac:dyDescent="0.3">
      <c r="A2179">
        <v>9</v>
      </c>
      <c r="B2179">
        <v>4909008</v>
      </c>
      <c r="C2179" t="s">
        <v>239</v>
      </c>
      <c r="D2179">
        <v>1575619</v>
      </c>
      <c r="E2179" t="s">
        <v>741</v>
      </c>
      <c r="F2179" t="s">
        <v>19</v>
      </c>
      <c r="G2179" t="s">
        <v>1736</v>
      </c>
      <c r="H2179" t="s">
        <v>1737</v>
      </c>
      <c r="I2179" t="s">
        <v>3419</v>
      </c>
      <c r="J2179">
        <v>51160227048</v>
      </c>
      <c r="K2179" t="s">
        <v>3638</v>
      </c>
      <c r="L2179" t="s">
        <v>4727</v>
      </c>
      <c r="M2179">
        <v>50</v>
      </c>
      <c r="N2179" s="10">
        <v>435</v>
      </c>
      <c r="O2179" s="10">
        <f t="shared" si="205"/>
        <v>21750</v>
      </c>
      <c r="P2179" s="10">
        <v>0</v>
      </c>
      <c r="Q2179" s="10">
        <v>0</v>
      </c>
      <c r="R2179" s="10">
        <f>IF(COUNTIF($J$2:J2179,J2179)=1,SUMIFS($O:$O,$J:$J,J2179)+SUMIFS($P:$P,$J:$J,J2179)+SUMIFS($Q:$Q,$J:$J,J2179),"")</f>
        <v>48653.399999999994</v>
      </c>
      <c r="S2179" s="10">
        <v>48755</v>
      </c>
      <c r="T2179" s="11" t="str">
        <f t="shared" ref="T2179:T2242" si="208">IFERROR(INDEX(AD:AD,MATCH(J2179,J:J,0)),"")</f>
        <v>Check</v>
      </c>
      <c r="U2179" s="12">
        <v>43242</v>
      </c>
      <c r="V2179" s="10">
        <v>8265</v>
      </c>
      <c r="W2179" s="10" t="str">
        <f t="shared" si="206"/>
        <v>Short Paid</v>
      </c>
      <c r="X2179" t="s">
        <v>476</v>
      </c>
      <c r="Y2179" t="s">
        <v>28</v>
      </c>
      <c r="Z2179">
        <v>100125</v>
      </c>
      <c r="AA2179" t="s">
        <v>477</v>
      </c>
      <c r="AB2179" t="s">
        <v>524</v>
      </c>
      <c r="AC2179" s="9">
        <v>8</v>
      </c>
      <c r="AD2179" s="9" t="str">
        <f t="shared" si="207"/>
        <v>Check</v>
      </c>
      <c r="AE2179" s="11">
        <f t="shared" si="204"/>
        <v>-101.60000000000582</v>
      </c>
    </row>
    <row r="2180" spans="1:31" x14ac:dyDescent="0.3">
      <c r="A2180">
        <v>9</v>
      </c>
      <c r="B2180">
        <v>4909008</v>
      </c>
      <c r="C2180" t="s">
        <v>239</v>
      </c>
      <c r="D2180">
        <v>1575619</v>
      </c>
      <c r="E2180" t="s">
        <v>741</v>
      </c>
      <c r="F2180" t="s">
        <v>19</v>
      </c>
      <c r="G2180" t="s">
        <v>1736</v>
      </c>
      <c r="H2180" t="s">
        <v>1737</v>
      </c>
      <c r="I2180" t="s">
        <v>3505</v>
      </c>
      <c r="J2180">
        <v>51160227048</v>
      </c>
      <c r="K2180" t="s">
        <v>3177</v>
      </c>
      <c r="L2180" t="s">
        <v>4275</v>
      </c>
      <c r="M2180">
        <v>8000</v>
      </c>
      <c r="N2180" s="10">
        <v>1.6999999999999999E-3</v>
      </c>
      <c r="O2180" s="10">
        <f t="shared" si="205"/>
        <v>13.6</v>
      </c>
      <c r="P2180" s="10" t="s">
        <v>5006</v>
      </c>
      <c r="Q2180" s="10" t="s">
        <v>5006</v>
      </c>
      <c r="R2180" s="10" t="str">
        <f>IF(COUNTIF($J$2:J2180,J2180)=1,SUMIFS($O:$O,$J:$J,J2180)+SUMIFS($P:$P,$J:$J,J2180)+SUMIFS($Q:$Q,$J:$J,J2180),"")</f>
        <v/>
      </c>
      <c r="S2180" s="10" t="s">
        <v>5006</v>
      </c>
      <c r="T2180" s="11" t="str">
        <f t="shared" si="208"/>
        <v>Check</v>
      </c>
      <c r="U2180" s="12">
        <v>43242</v>
      </c>
      <c r="V2180" s="10">
        <v>8265</v>
      </c>
      <c r="W2180" s="10" t="str">
        <f t="shared" si="206"/>
        <v>N/A</v>
      </c>
      <c r="X2180" t="s">
        <v>476</v>
      </c>
      <c r="Y2180" t="s">
        <v>28</v>
      </c>
      <c r="Z2180">
        <v>100125</v>
      </c>
      <c r="AA2180" t="s">
        <v>477</v>
      </c>
      <c r="AB2180" t="s">
        <v>524</v>
      </c>
      <c r="AC2180" s="9">
        <v>8</v>
      </c>
      <c r="AD2180" s="9" t="str">
        <f t="shared" si="207"/>
        <v>N/A</v>
      </c>
      <c r="AE2180" s="11" t="e">
        <f t="shared" si="204"/>
        <v>#VALUE!</v>
      </c>
    </row>
    <row r="2181" spans="1:31" x14ac:dyDescent="0.3">
      <c r="A2181">
        <v>9</v>
      </c>
      <c r="B2181">
        <v>4909008</v>
      </c>
      <c r="C2181" t="s">
        <v>239</v>
      </c>
      <c r="D2181">
        <v>1575619</v>
      </c>
      <c r="E2181" t="s">
        <v>741</v>
      </c>
      <c r="F2181" t="s">
        <v>19</v>
      </c>
      <c r="G2181" t="s">
        <v>1736</v>
      </c>
      <c r="H2181" t="s">
        <v>1737</v>
      </c>
      <c r="I2181" t="s">
        <v>3505</v>
      </c>
      <c r="J2181">
        <v>51160227048</v>
      </c>
      <c r="K2181" t="s">
        <v>3216</v>
      </c>
      <c r="L2181" t="s">
        <v>3215</v>
      </c>
      <c r="M2181">
        <v>34000</v>
      </c>
      <c r="N2181" s="10">
        <v>1.8700000000000001E-2</v>
      </c>
      <c r="O2181" s="10">
        <f t="shared" si="205"/>
        <v>635.80000000000007</v>
      </c>
      <c r="P2181" s="10" t="s">
        <v>5006</v>
      </c>
      <c r="Q2181" s="10" t="s">
        <v>5006</v>
      </c>
      <c r="R2181" s="10" t="str">
        <f>IF(COUNTIF($J$2:J2181,J2181)=1,SUMIFS($O:$O,$J:$J,J2181)+SUMIFS($P:$P,$J:$J,J2181)+SUMIFS($Q:$Q,$J:$J,J2181),"")</f>
        <v/>
      </c>
      <c r="S2181" s="10" t="s">
        <v>5006</v>
      </c>
      <c r="T2181" s="11" t="str">
        <f t="shared" si="208"/>
        <v>Check</v>
      </c>
      <c r="U2181" s="12">
        <v>43242</v>
      </c>
      <c r="V2181" s="10">
        <v>8265</v>
      </c>
      <c r="W2181" s="10" t="str">
        <f t="shared" si="206"/>
        <v>N/A</v>
      </c>
      <c r="X2181" t="s">
        <v>476</v>
      </c>
      <c r="Y2181" t="s">
        <v>28</v>
      </c>
      <c r="Z2181">
        <v>100125</v>
      </c>
      <c r="AA2181" t="s">
        <v>477</v>
      </c>
      <c r="AB2181" t="s">
        <v>524</v>
      </c>
      <c r="AC2181" s="9">
        <v>8</v>
      </c>
      <c r="AD2181" s="9" t="str">
        <f t="shared" si="207"/>
        <v>N/A</v>
      </c>
      <c r="AE2181" s="11" t="e">
        <f t="shared" si="204"/>
        <v>#VALUE!</v>
      </c>
    </row>
    <row r="2182" spans="1:31" x14ac:dyDescent="0.3">
      <c r="A2182">
        <v>9</v>
      </c>
      <c r="B2182">
        <v>4909008</v>
      </c>
      <c r="C2182" t="s">
        <v>239</v>
      </c>
      <c r="D2182">
        <v>1575619</v>
      </c>
      <c r="E2182" t="s">
        <v>741</v>
      </c>
      <c r="F2182" t="s">
        <v>19</v>
      </c>
      <c r="G2182" t="s">
        <v>1736</v>
      </c>
      <c r="H2182" t="s">
        <v>1737</v>
      </c>
      <c r="I2182" t="s">
        <v>3505</v>
      </c>
      <c r="J2182">
        <v>51160227048</v>
      </c>
      <c r="K2182" t="s">
        <v>3168</v>
      </c>
      <c r="L2182" t="s">
        <v>4615</v>
      </c>
      <c r="M2182">
        <v>9000</v>
      </c>
      <c r="N2182" s="10">
        <v>8.6E-3</v>
      </c>
      <c r="O2182" s="10">
        <f t="shared" si="205"/>
        <v>77.400000000000006</v>
      </c>
      <c r="P2182" s="10" t="s">
        <v>5006</v>
      </c>
      <c r="Q2182" s="10" t="s">
        <v>5006</v>
      </c>
      <c r="R2182" s="10" t="str">
        <f>IF(COUNTIF($J$2:J2182,J2182)=1,SUMIFS($O:$O,$J:$J,J2182)+SUMIFS($P:$P,$J:$J,J2182)+SUMIFS($Q:$Q,$J:$J,J2182),"")</f>
        <v/>
      </c>
      <c r="S2182" s="10" t="s">
        <v>5006</v>
      </c>
      <c r="T2182" s="11" t="str">
        <f t="shared" si="208"/>
        <v>Check</v>
      </c>
      <c r="U2182" s="12">
        <v>43242</v>
      </c>
      <c r="V2182" s="10">
        <v>8265</v>
      </c>
      <c r="W2182" s="10" t="str">
        <f t="shared" si="206"/>
        <v>N/A</v>
      </c>
      <c r="X2182" t="s">
        <v>476</v>
      </c>
      <c r="Y2182" t="s">
        <v>28</v>
      </c>
      <c r="Z2182">
        <v>100125</v>
      </c>
      <c r="AA2182" t="s">
        <v>477</v>
      </c>
      <c r="AB2182" t="s">
        <v>524</v>
      </c>
      <c r="AC2182" s="9">
        <v>8</v>
      </c>
      <c r="AD2182" s="9" t="str">
        <f t="shared" si="207"/>
        <v>N/A</v>
      </c>
      <c r="AE2182" s="11" t="e">
        <f t="shared" si="204"/>
        <v>#VALUE!</v>
      </c>
    </row>
    <row r="2183" spans="1:31" x14ac:dyDescent="0.3">
      <c r="A2183">
        <v>9</v>
      </c>
      <c r="B2183">
        <v>4909008</v>
      </c>
      <c r="C2183" t="s">
        <v>239</v>
      </c>
      <c r="D2183">
        <v>1575619</v>
      </c>
      <c r="E2183" t="s">
        <v>741</v>
      </c>
      <c r="F2183" t="s">
        <v>19</v>
      </c>
      <c r="G2183" t="s">
        <v>1736</v>
      </c>
      <c r="H2183" t="s">
        <v>1737</v>
      </c>
      <c r="I2183" t="s">
        <v>3505</v>
      </c>
      <c r="J2183">
        <v>51160227048</v>
      </c>
      <c r="K2183" t="s">
        <v>3488</v>
      </c>
      <c r="L2183" t="s">
        <v>3721</v>
      </c>
      <c r="M2183">
        <v>46800</v>
      </c>
      <c r="N2183" s="10">
        <v>0.48799999999999999</v>
      </c>
      <c r="O2183" s="10">
        <f t="shared" si="205"/>
        <v>22838.399999999998</v>
      </c>
      <c r="P2183" s="10" t="s">
        <v>5006</v>
      </c>
      <c r="Q2183" s="10" t="s">
        <v>5006</v>
      </c>
      <c r="R2183" s="10" t="str">
        <f>IF(COUNTIF($J$2:J2183,J2183)=1,SUMIFS($O:$O,$J:$J,J2183)+SUMIFS($P:$P,$J:$J,J2183)+SUMIFS($Q:$Q,$J:$J,J2183),"")</f>
        <v/>
      </c>
      <c r="S2183" s="10" t="s">
        <v>5006</v>
      </c>
      <c r="T2183" s="11" t="str">
        <f t="shared" si="208"/>
        <v>Check</v>
      </c>
      <c r="U2183" s="12">
        <v>43242</v>
      </c>
      <c r="V2183" s="10">
        <v>8265</v>
      </c>
      <c r="W2183" s="10" t="str">
        <f t="shared" si="206"/>
        <v>N/A</v>
      </c>
      <c r="X2183" t="s">
        <v>476</v>
      </c>
      <c r="Y2183" t="s">
        <v>28</v>
      </c>
      <c r="Z2183">
        <v>100125</v>
      </c>
      <c r="AA2183" t="s">
        <v>477</v>
      </c>
      <c r="AB2183" t="s">
        <v>524</v>
      </c>
      <c r="AC2183" s="9">
        <v>8</v>
      </c>
      <c r="AD2183" s="9" t="str">
        <f t="shared" si="207"/>
        <v>N/A</v>
      </c>
      <c r="AE2183" s="11" t="e">
        <f t="shared" ref="AE2183:AE2246" si="209">R2183-S2183</f>
        <v>#VALUE!</v>
      </c>
    </row>
    <row r="2184" spans="1:31" x14ac:dyDescent="0.3">
      <c r="A2184">
        <v>9</v>
      </c>
      <c r="B2184">
        <v>4909008</v>
      </c>
      <c r="C2184" t="s">
        <v>239</v>
      </c>
      <c r="D2184">
        <v>1575619</v>
      </c>
      <c r="E2184" t="s">
        <v>741</v>
      </c>
      <c r="F2184" t="s">
        <v>19</v>
      </c>
      <c r="G2184" t="s">
        <v>1736</v>
      </c>
      <c r="H2184" t="s">
        <v>1737</v>
      </c>
      <c r="I2184" t="s">
        <v>3505</v>
      </c>
      <c r="J2184">
        <v>51160227048</v>
      </c>
      <c r="K2184" t="s">
        <v>3479</v>
      </c>
      <c r="L2184" t="s">
        <v>3880</v>
      </c>
      <c r="M2184">
        <v>40000</v>
      </c>
      <c r="N2184" s="10">
        <v>2.0799999999999998E-3</v>
      </c>
      <c r="O2184" s="10">
        <f t="shared" si="205"/>
        <v>83.199999999999989</v>
      </c>
      <c r="P2184" s="10" t="s">
        <v>5006</v>
      </c>
      <c r="Q2184" s="10" t="s">
        <v>5006</v>
      </c>
      <c r="R2184" s="10" t="str">
        <f>IF(COUNTIF($J$2:J2184,J2184)=1,SUMIFS($O:$O,$J:$J,J2184)+SUMIFS($P:$P,$J:$J,J2184)+SUMIFS($Q:$Q,$J:$J,J2184),"")</f>
        <v/>
      </c>
      <c r="S2184" s="10" t="s">
        <v>5006</v>
      </c>
      <c r="T2184" s="11" t="str">
        <f t="shared" si="208"/>
        <v>Check</v>
      </c>
      <c r="U2184" s="12">
        <v>43242</v>
      </c>
      <c r="V2184" s="10">
        <v>8265</v>
      </c>
      <c r="W2184" s="10" t="str">
        <f t="shared" si="206"/>
        <v>N/A</v>
      </c>
      <c r="X2184" t="s">
        <v>476</v>
      </c>
      <c r="Y2184" t="s">
        <v>28</v>
      </c>
      <c r="Z2184">
        <v>100125</v>
      </c>
      <c r="AA2184" t="s">
        <v>477</v>
      </c>
      <c r="AB2184" t="s">
        <v>524</v>
      </c>
      <c r="AC2184" s="9">
        <v>8</v>
      </c>
      <c r="AD2184" s="9" t="str">
        <f t="shared" si="207"/>
        <v>N/A</v>
      </c>
      <c r="AE2184" s="11" t="e">
        <f t="shared" si="209"/>
        <v>#VALUE!</v>
      </c>
    </row>
    <row r="2185" spans="1:31" x14ac:dyDescent="0.3">
      <c r="A2185">
        <v>9</v>
      </c>
      <c r="B2185">
        <v>4909008</v>
      </c>
      <c r="C2185" t="s">
        <v>239</v>
      </c>
      <c r="D2185">
        <v>1575619</v>
      </c>
      <c r="E2185" t="s">
        <v>741</v>
      </c>
      <c r="F2185" t="s">
        <v>19</v>
      </c>
      <c r="G2185" t="s">
        <v>1736</v>
      </c>
      <c r="H2185" t="s">
        <v>1737</v>
      </c>
      <c r="I2185" t="s">
        <v>3505</v>
      </c>
      <c r="J2185">
        <v>51160227048</v>
      </c>
      <c r="K2185" t="s">
        <v>3207</v>
      </c>
      <c r="L2185" t="s">
        <v>3724</v>
      </c>
      <c r="M2185">
        <v>15000</v>
      </c>
      <c r="N2185" s="10">
        <v>2.3E-2</v>
      </c>
      <c r="O2185" s="10">
        <f t="shared" si="205"/>
        <v>345</v>
      </c>
      <c r="P2185" s="10" t="s">
        <v>5006</v>
      </c>
      <c r="Q2185" s="10" t="s">
        <v>5006</v>
      </c>
      <c r="R2185" s="10" t="str">
        <f>IF(COUNTIF($J$2:J2185,J2185)=1,SUMIFS($O:$O,$J:$J,J2185)+SUMIFS($P:$P,$J:$J,J2185)+SUMIFS($Q:$Q,$J:$J,J2185),"")</f>
        <v/>
      </c>
      <c r="S2185" s="10" t="s">
        <v>5006</v>
      </c>
      <c r="T2185" s="11" t="str">
        <f t="shared" si="208"/>
        <v>Check</v>
      </c>
      <c r="U2185" s="12">
        <v>43242</v>
      </c>
      <c r="V2185" s="10">
        <v>8265</v>
      </c>
      <c r="W2185" s="10" t="str">
        <f t="shared" si="206"/>
        <v>N/A</v>
      </c>
      <c r="X2185" t="s">
        <v>476</v>
      </c>
      <c r="Y2185" t="s">
        <v>28</v>
      </c>
      <c r="Z2185">
        <v>100125</v>
      </c>
      <c r="AA2185" t="s">
        <v>477</v>
      </c>
      <c r="AB2185" t="s">
        <v>524</v>
      </c>
      <c r="AC2185" s="9">
        <v>8</v>
      </c>
      <c r="AD2185" s="9" t="str">
        <f t="shared" si="207"/>
        <v>N/A</v>
      </c>
      <c r="AE2185" s="11" t="e">
        <f t="shared" si="209"/>
        <v>#VALUE!</v>
      </c>
    </row>
    <row r="2186" spans="1:31" x14ac:dyDescent="0.3">
      <c r="A2186">
        <v>9</v>
      </c>
      <c r="B2186">
        <v>4909008</v>
      </c>
      <c r="C2186" t="s">
        <v>239</v>
      </c>
      <c r="D2186">
        <v>1575619</v>
      </c>
      <c r="E2186" t="s">
        <v>741</v>
      </c>
      <c r="F2186" t="s">
        <v>19</v>
      </c>
      <c r="G2186" t="s">
        <v>1736</v>
      </c>
      <c r="H2186" t="s">
        <v>1737</v>
      </c>
      <c r="I2186" t="s">
        <v>3505</v>
      </c>
      <c r="J2186">
        <v>51160227048</v>
      </c>
      <c r="K2186" t="s">
        <v>3207</v>
      </c>
      <c r="L2186" t="s">
        <v>3870</v>
      </c>
      <c r="M2186">
        <v>100000</v>
      </c>
      <c r="N2186" s="10">
        <v>2.9100000000000001E-2</v>
      </c>
      <c r="O2186" s="10">
        <f t="shared" si="205"/>
        <v>2910</v>
      </c>
      <c r="P2186" s="10" t="s">
        <v>5006</v>
      </c>
      <c r="Q2186" s="10" t="s">
        <v>5006</v>
      </c>
      <c r="R2186" s="10" t="str">
        <f>IF(COUNTIF($J$2:J2186,J2186)=1,SUMIFS($O:$O,$J:$J,J2186)+SUMIFS($P:$P,$J:$J,J2186)+SUMIFS($Q:$Q,$J:$J,J2186),"")</f>
        <v/>
      </c>
      <c r="S2186" s="10" t="s">
        <v>5006</v>
      </c>
      <c r="T2186" s="11" t="str">
        <f t="shared" si="208"/>
        <v>Check</v>
      </c>
      <c r="U2186" s="12">
        <v>43242</v>
      </c>
      <c r="V2186" s="10">
        <v>8265</v>
      </c>
      <c r="W2186" s="10" t="str">
        <f t="shared" si="206"/>
        <v>N/A</v>
      </c>
      <c r="X2186" t="s">
        <v>476</v>
      </c>
      <c r="Y2186" t="s">
        <v>28</v>
      </c>
      <c r="Z2186">
        <v>100125</v>
      </c>
      <c r="AA2186" t="s">
        <v>477</v>
      </c>
      <c r="AB2186" t="s">
        <v>524</v>
      </c>
      <c r="AC2186" s="9">
        <v>8</v>
      </c>
      <c r="AD2186" s="9" t="str">
        <f t="shared" si="207"/>
        <v>N/A</v>
      </c>
      <c r="AE2186" s="11" t="e">
        <f t="shared" si="209"/>
        <v>#VALUE!</v>
      </c>
    </row>
    <row r="2187" spans="1:31" x14ac:dyDescent="0.3">
      <c r="A2187">
        <v>0</v>
      </c>
      <c r="B2187">
        <v>4979971</v>
      </c>
      <c r="C2187" t="s">
        <v>160</v>
      </c>
      <c r="D2187">
        <v>1262308</v>
      </c>
      <c r="E2187" t="s">
        <v>611</v>
      </c>
      <c r="F2187" t="s">
        <v>24</v>
      </c>
      <c r="G2187" t="s">
        <v>1926</v>
      </c>
      <c r="H2187" t="s">
        <v>1927</v>
      </c>
      <c r="I2187" t="s">
        <v>3181</v>
      </c>
      <c r="J2187">
        <v>51160265053</v>
      </c>
      <c r="K2187" t="s">
        <v>3295</v>
      </c>
      <c r="L2187" t="s">
        <v>4728</v>
      </c>
      <c r="M2187">
        <v>25</v>
      </c>
      <c r="N2187" s="10">
        <v>15.96</v>
      </c>
      <c r="O2187" s="10">
        <f t="shared" si="205"/>
        <v>399</v>
      </c>
      <c r="P2187" s="10">
        <v>0</v>
      </c>
      <c r="Q2187" s="10">
        <v>15.16</v>
      </c>
      <c r="R2187" s="10">
        <f>IF(COUNTIF($J$2:J2187,J2187)=1,SUMIFS($O:$O,$J:$J,J2187)+SUMIFS($P:$P,$J:$J,J2187)+SUMIFS($Q:$Q,$J:$J,J2187),"")</f>
        <v>573.76</v>
      </c>
      <c r="S2187" s="10">
        <v>573.76</v>
      </c>
      <c r="T2187" s="11" t="str">
        <f t="shared" si="208"/>
        <v>Ok</v>
      </c>
      <c r="U2187" s="12">
        <v>46144</v>
      </c>
      <c r="V2187" s="10">
        <v>159.6</v>
      </c>
      <c r="W2187" s="10" t="str">
        <f t="shared" si="206"/>
        <v>Short Paid</v>
      </c>
      <c r="X2187" t="s">
        <v>453</v>
      </c>
      <c r="Y2187" t="s">
        <v>40</v>
      </c>
      <c r="Z2187">
        <v>100144</v>
      </c>
      <c r="AA2187" t="s">
        <v>3076</v>
      </c>
      <c r="AB2187" t="s">
        <v>522</v>
      </c>
      <c r="AC2187" s="9">
        <v>2</v>
      </c>
      <c r="AD2187" s="9" t="str">
        <f t="shared" si="207"/>
        <v>Ok</v>
      </c>
      <c r="AE2187" s="11">
        <f t="shared" si="209"/>
        <v>0</v>
      </c>
    </row>
    <row r="2188" spans="1:31" x14ac:dyDescent="0.3">
      <c r="A2188">
        <v>0</v>
      </c>
      <c r="B2188">
        <v>4979971</v>
      </c>
      <c r="C2188" t="s">
        <v>160</v>
      </c>
      <c r="D2188">
        <v>1262308</v>
      </c>
      <c r="E2188" t="s">
        <v>611</v>
      </c>
      <c r="F2188" t="s">
        <v>24</v>
      </c>
      <c r="G2188" t="s">
        <v>1926</v>
      </c>
      <c r="H2188" t="s">
        <v>1927</v>
      </c>
      <c r="I2188" t="s">
        <v>3399</v>
      </c>
      <c r="J2188">
        <v>51160265053</v>
      </c>
      <c r="K2188" t="s">
        <v>3229</v>
      </c>
      <c r="L2188" t="s">
        <v>4729</v>
      </c>
      <c r="M2188">
        <v>12000</v>
      </c>
      <c r="N2188" s="10">
        <v>1.3299999999999999E-2</v>
      </c>
      <c r="O2188" s="10">
        <f t="shared" si="205"/>
        <v>159.6</v>
      </c>
      <c r="P2188" s="10" t="s">
        <v>5006</v>
      </c>
      <c r="Q2188" s="10" t="s">
        <v>5006</v>
      </c>
      <c r="R2188" s="10" t="str">
        <f>IF(COUNTIF($J$2:J2188,J2188)=1,SUMIFS($O:$O,$J:$J,J2188)+SUMIFS($P:$P,$J:$J,J2188)+SUMIFS($Q:$Q,$J:$J,J2188),"")</f>
        <v/>
      </c>
      <c r="S2188" s="10" t="s">
        <v>5006</v>
      </c>
      <c r="T2188" s="11" t="str">
        <f t="shared" si="208"/>
        <v>Ok</v>
      </c>
      <c r="U2188" s="12">
        <v>46144</v>
      </c>
      <c r="V2188" s="10">
        <v>159.6</v>
      </c>
      <c r="W2188" s="10" t="str">
        <f t="shared" si="206"/>
        <v>N/A</v>
      </c>
      <c r="X2188" t="s">
        <v>453</v>
      </c>
      <c r="Y2188" t="s">
        <v>40</v>
      </c>
      <c r="Z2188">
        <v>100144</v>
      </c>
      <c r="AA2188" t="s">
        <v>3076</v>
      </c>
      <c r="AB2188" t="s">
        <v>522</v>
      </c>
      <c r="AC2188" s="9">
        <v>2</v>
      </c>
      <c r="AD2188" s="9" t="str">
        <f t="shared" si="207"/>
        <v>N/A</v>
      </c>
      <c r="AE2188" s="11" t="e">
        <f t="shared" si="209"/>
        <v>#VALUE!</v>
      </c>
    </row>
    <row r="2189" spans="1:31" x14ac:dyDescent="0.3">
      <c r="A2189">
        <v>3</v>
      </c>
      <c r="B2189">
        <v>4953812</v>
      </c>
      <c r="C2189" t="s">
        <v>160</v>
      </c>
      <c r="D2189">
        <v>1422097</v>
      </c>
      <c r="E2189" t="s">
        <v>388</v>
      </c>
      <c r="F2189" t="s">
        <v>19</v>
      </c>
      <c r="G2189" t="s">
        <v>1844</v>
      </c>
      <c r="H2189" t="s">
        <v>1845</v>
      </c>
      <c r="I2189" t="s">
        <v>3419</v>
      </c>
      <c r="J2189">
        <v>51160297887</v>
      </c>
      <c r="K2189" t="s">
        <v>3226</v>
      </c>
      <c r="L2189" t="s">
        <v>3225</v>
      </c>
      <c r="M2189">
        <v>1000</v>
      </c>
      <c r="N2189" s="10">
        <v>1.41882</v>
      </c>
      <c r="O2189" s="10">
        <f t="shared" si="205"/>
        <v>1418.82</v>
      </c>
      <c r="P2189" s="10">
        <v>0</v>
      </c>
      <c r="Q2189" s="10">
        <v>0</v>
      </c>
      <c r="R2189" s="10">
        <f>IF(COUNTIF($J$2:J2189,J2189)=1,SUMIFS($O:$O,$J:$J,J2189)+SUMIFS($P:$P,$J:$J,J2189)+SUMIFS($Q:$Q,$J:$J,J2189),"")</f>
        <v>4495.0422399999998</v>
      </c>
      <c r="S2189" s="10">
        <v>4495.04</v>
      </c>
      <c r="T2189" s="11" t="str">
        <f t="shared" si="208"/>
        <v>Check</v>
      </c>
      <c r="U2189" s="12">
        <v>46127</v>
      </c>
      <c r="V2189" s="10">
        <v>3076.22</v>
      </c>
      <c r="W2189" s="10" t="str">
        <f t="shared" si="206"/>
        <v>Short Paid</v>
      </c>
      <c r="X2189" t="s">
        <v>453</v>
      </c>
      <c r="Y2189" t="s">
        <v>28</v>
      </c>
      <c r="Z2189">
        <v>100154</v>
      </c>
      <c r="AA2189" t="s">
        <v>480</v>
      </c>
      <c r="AB2189" t="s">
        <v>524</v>
      </c>
      <c r="AC2189" s="9">
        <v>2</v>
      </c>
      <c r="AD2189" s="9" t="str">
        <f t="shared" si="207"/>
        <v>Check</v>
      </c>
      <c r="AE2189" s="11">
        <f t="shared" si="209"/>
        <v>2.2399999998015119E-3</v>
      </c>
    </row>
    <row r="2190" spans="1:31" x14ac:dyDescent="0.3">
      <c r="A2190">
        <v>3</v>
      </c>
      <c r="B2190">
        <v>4953812</v>
      </c>
      <c r="C2190" t="s">
        <v>160</v>
      </c>
      <c r="D2190">
        <v>1422097</v>
      </c>
      <c r="E2190" t="s">
        <v>388</v>
      </c>
      <c r="F2190" t="s">
        <v>19</v>
      </c>
      <c r="G2190" t="s">
        <v>1844</v>
      </c>
      <c r="H2190" t="s">
        <v>1845</v>
      </c>
      <c r="I2190" t="s">
        <v>3357</v>
      </c>
      <c r="J2190">
        <v>51160297887</v>
      </c>
      <c r="K2190" t="s">
        <v>3550</v>
      </c>
      <c r="L2190" t="s">
        <v>4730</v>
      </c>
      <c r="M2190">
        <v>14</v>
      </c>
      <c r="N2190" s="10">
        <v>219.73016000000001</v>
      </c>
      <c r="O2190" s="10">
        <f t="shared" si="205"/>
        <v>3076.2222400000001</v>
      </c>
      <c r="P2190" s="10" t="s">
        <v>5006</v>
      </c>
      <c r="Q2190" s="10" t="s">
        <v>5006</v>
      </c>
      <c r="R2190" s="10" t="str">
        <f>IF(COUNTIF($J$2:J2190,J2190)=1,SUMIFS($O:$O,$J:$J,J2190)+SUMIFS($P:$P,$J:$J,J2190)+SUMIFS($Q:$Q,$J:$J,J2190),"")</f>
        <v/>
      </c>
      <c r="S2190" s="10" t="s">
        <v>5006</v>
      </c>
      <c r="T2190" s="11" t="str">
        <f t="shared" si="208"/>
        <v>Check</v>
      </c>
      <c r="U2190" s="12">
        <v>46127</v>
      </c>
      <c r="V2190" s="10">
        <v>3076.22</v>
      </c>
      <c r="W2190" s="10" t="str">
        <f t="shared" si="206"/>
        <v>N/A</v>
      </c>
      <c r="X2190" t="s">
        <v>453</v>
      </c>
      <c r="Y2190" t="s">
        <v>28</v>
      </c>
      <c r="Z2190">
        <v>100154</v>
      </c>
      <c r="AA2190" t="s">
        <v>480</v>
      </c>
      <c r="AB2190" t="s">
        <v>524</v>
      </c>
      <c r="AC2190" s="9">
        <v>2</v>
      </c>
      <c r="AD2190" s="9" t="str">
        <f t="shared" si="207"/>
        <v>N/A</v>
      </c>
      <c r="AE2190" s="11" t="e">
        <f t="shared" si="209"/>
        <v>#VALUE!</v>
      </c>
    </row>
    <row r="2191" spans="1:31" x14ac:dyDescent="0.3">
      <c r="A2191">
        <v>3</v>
      </c>
      <c r="B2191">
        <v>4953534</v>
      </c>
      <c r="C2191" t="s">
        <v>160</v>
      </c>
      <c r="D2191">
        <v>1422097</v>
      </c>
      <c r="E2191" t="s">
        <v>388</v>
      </c>
      <c r="F2191" t="s">
        <v>19</v>
      </c>
      <c r="G2191" t="s">
        <v>1842</v>
      </c>
      <c r="H2191" t="s">
        <v>1843</v>
      </c>
      <c r="I2191" t="s">
        <v>3399</v>
      </c>
      <c r="J2191">
        <v>51160297898</v>
      </c>
      <c r="K2191" t="s">
        <v>3338</v>
      </c>
      <c r="L2191" t="s">
        <v>4731</v>
      </c>
      <c r="M2191">
        <v>21</v>
      </c>
      <c r="N2191" s="10">
        <v>8.4499999999999993</v>
      </c>
      <c r="O2191" s="10">
        <f t="shared" si="205"/>
        <v>177.45</v>
      </c>
      <c r="P2191" s="10">
        <v>0</v>
      </c>
      <c r="Q2191" s="10">
        <v>11534.4</v>
      </c>
      <c r="R2191" s="10">
        <f>IF(COUNTIF($J$2:J2191,J2191)=1,SUMIFS($O:$O,$J:$J,J2191)+SUMIFS($P:$P,$J:$J,J2191)+SUMIFS($Q:$Q,$J:$J,J2191),"")</f>
        <v>44111.85</v>
      </c>
      <c r="S2191" s="10">
        <v>44111.85</v>
      </c>
      <c r="T2191" s="11" t="str">
        <f t="shared" si="208"/>
        <v>Ok</v>
      </c>
      <c r="U2191" s="12">
        <v>46120</v>
      </c>
      <c r="V2191" s="10">
        <v>177.45</v>
      </c>
      <c r="W2191" s="10" t="str">
        <f t="shared" si="206"/>
        <v>Short Paid</v>
      </c>
      <c r="X2191" t="s">
        <v>453</v>
      </c>
      <c r="Y2191" t="s">
        <v>28</v>
      </c>
      <c r="Z2191">
        <v>100124</v>
      </c>
      <c r="AA2191" t="s">
        <v>486</v>
      </c>
      <c r="AB2191" t="s">
        <v>524</v>
      </c>
      <c r="AC2191" s="9">
        <v>2</v>
      </c>
      <c r="AD2191" s="9" t="str">
        <f t="shared" si="207"/>
        <v>Ok</v>
      </c>
      <c r="AE2191" s="11">
        <f t="shared" si="209"/>
        <v>0</v>
      </c>
    </row>
    <row r="2192" spans="1:31" x14ac:dyDescent="0.3">
      <c r="A2192">
        <v>3</v>
      </c>
      <c r="B2192">
        <v>4953534</v>
      </c>
      <c r="C2192" t="s">
        <v>160</v>
      </c>
      <c r="D2192">
        <v>1422097</v>
      </c>
      <c r="E2192" t="s">
        <v>388</v>
      </c>
      <c r="F2192" t="s">
        <v>19</v>
      </c>
      <c r="G2192" t="s">
        <v>1842</v>
      </c>
      <c r="H2192" t="s">
        <v>1843</v>
      </c>
      <c r="I2192" t="s">
        <v>3446</v>
      </c>
      <c r="J2192">
        <v>51160297898</v>
      </c>
      <c r="K2192" t="s">
        <v>3266</v>
      </c>
      <c r="L2192" t="s">
        <v>4732</v>
      </c>
      <c r="M2192">
        <v>10800</v>
      </c>
      <c r="N2192" s="10">
        <v>3</v>
      </c>
      <c r="O2192" s="10">
        <f t="shared" si="205"/>
        <v>32400</v>
      </c>
      <c r="P2192" s="10" t="s">
        <v>5006</v>
      </c>
      <c r="Q2192" s="10" t="s">
        <v>5006</v>
      </c>
      <c r="R2192" s="10" t="str">
        <f>IF(COUNTIF($J$2:J2192,J2192)=1,SUMIFS($O:$O,$J:$J,J2192)+SUMIFS($P:$P,$J:$J,J2192)+SUMIFS($Q:$Q,$J:$J,J2192),"")</f>
        <v/>
      </c>
      <c r="S2192" s="10" t="s">
        <v>5006</v>
      </c>
      <c r="T2192" s="11" t="str">
        <f t="shared" si="208"/>
        <v>Ok</v>
      </c>
      <c r="U2192" s="12">
        <v>46120</v>
      </c>
      <c r="V2192" s="10">
        <v>177.45</v>
      </c>
      <c r="W2192" s="10" t="str">
        <f t="shared" si="206"/>
        <v>N/A</v>
      </c>
      <c r="X2192" t="s">
        <v>453</v>
      </c>
      <c r="Y2192" t="s">
        <v>28</v>
      </c>
      <c r="Z2192">
        <v>100124</v>
      </c>
      <c r="AA2192" t="s">
        <v>486</v>
      </c>
      <c r="AB2192" t="s">
        <v>524</v>
      </c>
      <c r="AC2192" s="9">
        <v>2</v>
      </c>
      <c r="AD2192" s="9" t="str">
        <f t="shared" si="207"/>
        <v>N/A</v>
      </c>
      <c r="AE2192" s="11" t="e">
        <f t="shared" si="209"/>
        <v>#VALUE!</v>
      </c>
    </row>
    <row r="2193" spans="1:31" x14ac:dyDescent="0.3">
      <c r="A2193">
        <v>4</v>
      </c>
      <c r="B2193">
        <v>4937950</v>
      </c>
      <c r="C2193" t="s">
        <v>94</v>
      </c>
      <c r="D2193">
        <v>1830445</v>
      </c>
      <c r="E2193" t="s">
        <v>95</v>
      </c>
      <c r="F2193" t="s">
        <v>19</v>
      </c>
      <c r="G2193" t="s">
        <v>1816</v>
      </c>
      <c r="H2193" t="s">
        <v>1817</v>
      </c>
      <c r="I2193" t="s">
        <v>3166</v>
      </c>
      <c r="J2193">
        <v>51160407184</v>
      </c>
      <c r="K2193" t="s">
        <v>3745</v>
      </c>
      <c r="L2193" t="s">
        <v>4733</v>
      </c>
      <c r="M2193">
        <v>1</v>
      </c>
      <c r="N2193" s="10">
        <v>3000</v>
      </c>
      <c r="O2193" s="10">
        <f t="shared" si="205"/>
        <v>3000</v>
      </c>
      <c r="P2193" s="10">
        <v>0</v>
      </c>
      <c r="Q2193" s="10">
        <v>0</v>
      </c>
      <c r="R2193" s="10">
        <f>IF(COUNTIF($J$2:J2193,J2193)=1,SUMIFS($O:$O,$J:$J,J2193)+SUMIFS($P:$P,$J:$J,J2193)+SUMIFS($Q:$Q,$J:$J,J2193),"")</f>
        <v>19275</v>
      </c>
      <c r="S2193" s="10">
        <v>19275</v>
      </c>
      <c r="T2193" s="11" t="str">
        <f t="shared" si="208"/>
        <v>Ok</v>
      </c>
      <c r="U2193" s="12">
        <v>46098</v>
      </c>
      <c r="V2193" s="10">
        <v>3000</v>
      </c>
      <c r="W2193" s="10" t="str">
        <f t="shared" si="206"/>
        <v>Short Paid</v>
      </c>
      <c r="X2193" t="s">
        <v>450</v>
      </c>
      <c r="Y2193" t="s">
        <v>28</v>
      </c>
      <c r="Z2193">
        <v>100207</v>
      </c>
      <c r="AA2193" t="s">
        <v>519</v>
      </c>
      <c r="AB2193" t="s">
        <v>524</v>
      </c>
      <c r="AC2193" s="9">
        <v>2</v>
      </c>
      <c r="AD2193" s="9" t="str">
        <f t="shared" si="207"/>
        <v>Ok</v>
      </c>
      <c r="AE2193" s="11">
        <f t="shared" si="209"/>
        <v>0</v>
      </c>
    </row>
    <row r="2194" spans="1:31" x14ac:dyDescent="0.3">
      <c r="A2194">
        <v>4</v>
      </c>
      <c r="B2194">
        <v>4937950</v>
      </c>
      <c r="C2194" t="s">
        <v>94</v>
      </c>
      <c r="D2194">
        <v>1830445</v>
      </c>
      <c r="E2194" t="s">
        <v>95</v>
      </c>
      <c r="F2194" t="s">
        <v>19</v>
      </c>
      <c r="G2194" t="s">
        <v>1816</v>
      </c>
      <c r="H2194" t="s">
        <v>1817</v>
      </c>
      <c r="I2194" t="s">
        <v>3166</v>
      </c>
      <c r="J2194">
        <v>51160407184</v>
      </c>
      <c r="K2194" t="s">
        <v>3168</v>
      </c>
      <c r="L2194" t="s">
        <v>4734</v>
      </c>
      <c r="M2194">
        <v>186000</v>
      </c>
      <c r="N2194" s="10">
        <v>8.7499999999999994E-2</v>
      </c>
      <c r="O2194" s="10">
        <f t="shared" si="205"/>
        <v>16274.999999999998</v>
      </c>
      <c r="P2194" s="10" t="s">
        <v>5006</v>
      </c>
      <c r="Q2194" s="10" t="s">
        <v>5006</v>
      </c>
      <c r="R2194" s="10" t="str">
        <f>IF(COUNTIF($J$2:J2194,J2194)=1,SUMIFS($O:$O,$J:$J,J2194)+SUMIFS($P:$P,$J:$J,J2194)+SUMIFS($Q:$Q,$J:$J,J2194),"")</f>
        <v/>
      </c>
      <c r="S2194" s="10" t="s">
        <v>5006</v>
      </c>
      <c r="T2194" s="11" t="str">
        <f t="shared" si="208"/>
        <v>Ok</v>
      </c>
      <c r="U2194" s="12">
        <v>46098</v>
      </c>
      <c r="V2194" s="10">
        <v>3000</v>
      </c>
      <c r="W2194" s="10" t="str">
        <f t="shared" si="206"/>
        <v>N/A</v>
      </c>
      <c r="X2194" t="s">
        <v>450</v>
      </c>
      <c r="Y2194" t="s">
        <v>28</v>
      </c>
      <c r="Z2194">
        <v>100207</v>
      </c>
      <c r="AA2194" t="s">
        <v>519</v>
      </c>
      <c r="AB2194" t="s">
        <v>524</v>
      </c>
      <c r="AC2194" s="9">
        <v>2</v>
      </c>
      <c r="AD2194" s="9" t="str">
        <f t="shared" si="207"/>
        <v>N/A</v>
      </c>
      <c r="AE2194" s="11" t="e">
        <f t="shared" si="209"/>
        <v>#VALUE!</v>
      </c>
    </row>
    <row r="2195" spans="1:31" x14ac:dyDescent="0.3">
      <c r="A2195">
        <v>4</v>
      </c>
      <c r="B2195">
        <v>4937671</v>
      </c>
      <c r="C2195" t="s">
        <v>94</v>
      </c>
      <c r="D2195">
        <v>1830445</v>
      </c>
      <c r="E2195" t="s">
        <v>95</v>
      </c>
      <c r="F2195" t="s">
        <v>19</v>
      </c>
      <c r="G2195" t="s">
        <v>1814</v>
      </c>
      <c r="H2195" t="s">
        <v>1815</v>
      </c>
      <c r="I2195" t="s">
        <v>3273</v>
      </c>
      <c r="J2195">
        <v>51160407205</v>
      </c>
      <c r="K2195" t="s">
        <v>3745</v>
      </c>
      <c r="L2195" t="s">
        <v>4735</v>
      </c>
      <c r="M2195">
        <v>1</v>
      </c>
      <c r="N2195" s="10">
        <v>3000</v>
      </c>
      <c r="O2195" s="10">
        <f t="shared" si="205"/>
        <v>3000</v>
      </c>
      <c r="P2195" s="10">
        <v>0</v>
      </c>
      <c r="Q2195" s="10">
        <v>0</v>
      </c>
      <c r="R2195" s="10">
        <f>IF(COUNTIF($J$2:J2195,J2195)=1,SUMIFS($O:$O,$J:$J,J2195)+SUMIFS($P:$P,$J:$J,J2195)+SUMIFS($Q:$Q,$J:$J,J2195),"")</f>
        <v>3527.6</v>
      </c>
      <c r="S2195" s="10">
        <v>3527.6</v>
      </c>
      <c r="T2195" s="11" t="str">
        <f t="shared" si="208"/>
        <v>Ok</v>
      </c>
      <c r="U2195" s="12">
        <v>46006</v>
      </c>
      <c r="V2195" s="10">
        <v>3000</v>
      </c>
      <c r="W2195" s="10" t="str">
        <f t="shared" si="206"/>
        <v>Short Paid</v>
      </c>
      <c r="X2195" t="s">
        <v>450</v>
      </c>
      <c r="Y2195" t="s">
        <v>28</v>
      </c>
      <c r="Z2195">
        <v>100197</v>
      </c>
      <c r="AA2195" t="s">
        <v>493</v>
      </c>
      <c r="AB2195" t="s">
        <v>524</v>
      </c>
      <c r="AC2195" s="9">
        <v>2</v>
      </c>
      <c r="AD2195" s="9" t="str">
        <f t="shared" si="207"/>
        <v>Ok</v>
      </c>
      <c r="AE2195" s="11">
        <f t="shared" si="209"/>
        <v>0</v>
      </c>
    </row>
    <row r="2196" spans="1:31" x14ac:dyDescent="0.3">
      <c r="A2196">
        <v>4</v>
      </c>
      <c r="B2196">
        <v>4937671</v>
      </c>
      <c r="C2196" t="s">
        <v>94</v>
      </c>
      <c r="D2196">
        <v>1830445</v>
      </c>
      <c r="E2196" t="s">
        <v>95</v>
      </c>
      <c r="F2196" t="s">
        <v>19</v>
      </c>
      <c r="G2196" t="s">
        <v>1814</v>
      </c>
      <c r="H2196" t="s">
        <v>1815</v>
      </c>
      <c r="I2196" t="s">
        <v>3485</v>
      </c>
      <c r="J2196">
        <v>51160407205</v>
      </c>
      <c r="K2196" t="s">
        <v>3314</v>
      </c>
      <c r="L2196" t="s">
        <v>3503</v>
      </c>
      <c r="M2196">
        <v>20000</v>
      </c>
      <c r="N2196" s="10">
        <v>2.6380000000000001E-2</v>
      </c>
      <c r="O2196" s="10">
        <f t="shared" si="205"/>
        <v>527.6</v>
      </c>
      <c r="P2196" s="10" t="s">
        <v>5006</v>
      </c>
      <c r="Q2196" s="10" t="s">
        <v>5006</v>
      </c>
      <c r="R2196" s="10" t="str">
        <f>IF(COUNTIF($J$2:J2196,J2196)=1,SUMIFS($O:$O,$J:$J,J2196)+SUMIFS($P:$P,$J:$J,J2196)+SUMIFS($Q:$Q,$J:$J,J2196),"")</f>
        <v/>
      </c>
      <c r="S2196" s="10" t="s">
        <v>5006</v>
      </c>
      <c r="T2196" s="11" t="str">
        <f t="shared" si="208"/>
        <v>Ok</v>
      </c>
      <c r="U2196" s="12">
        <v>46006</v>
      </c>
      <c r="V2196" s="10">
        <v>3000</v>
      </c>
      <c r="W2196" s="10" t="str">
        <f t="shared" si="206"/>
        <v>N/A</v>
      </c>
      <c r="X2196" t="s">
        <v>450</v>
      </c>
      <c r="Y2196" t="s">
        <v>28</v>
      </c>
      <c r="Z2196">
        <v>100197</v>
      </c>
      <c r="AA2196" t="s">
        <v>493</v>
      </c>
      <c r="AB2196" t="s">
        <v>524</v>
      </c>
      <c r="AC2196" s="9">
        <v>2</v>
      </c>
      <c r="AD2196" s="9" t="str">
        <f t="shared" si="207"/>
        <v>N/A</v>
      </c>
      <c r="AE2196" s="11" t="e">
        <f t="shared" si="209"/>
        <v>#VALUE!</v>
      </c>
    </row>
    <row r="2197" spans="1:31" x14ac:dyDescent="0.3">
      <c r="A2197">
        <v>2</v>
      </c>
      <c r="B2197">
        <v>4968283</v>
      </c>
      <c r="C2197" t="s">
        <v>94</v>
      </c>
      <c r="D2197">
        <v>1208231</v>
      </c>
      <c r="E2197" t="s">
        <v>288</v>
      </c>
      <c r="F2197" t="s">
        <v>49</v>
      </c>
      <c r="G2197" t="s">
        <v>1896</v>
      </c>
      <c r="H2197" t="s">
        <v>1897</v>
      </c>
      <c r="I2197" t="s">
        <v>3221</v>
      </c>
      <c r="J2197">
        <v>51160431205</v>
      </c>
      <c r="K2197" t="s">
        <v>3630</v>
      </c>
      <c r="L2197" t="s">
        <v>3629</v>
      </c>
      <c r="M2197">
        <v>2459</v>
      </c>
      <c r="N2197" s="10">
        <v>8.9249999999999996E-2</v>
      </c>
      <c r="O2197" s="10">
        <f t="shared" si="205"/>
        <v>219.46574999999999</v>
      </c>
      <c r="P2197" s="10">
        <v>30.419999999999998</v>
      </c>
      <c r="Q2197" s="10">
        <v>0</v>
      </c>
      <c r="R2197" s="10">
        <f>IF(COUNTIF($J$2:J2197,J2197)=1,SUMIFS($O:$O,$J:$J,J2197)+SUMIFS($P:$P,$J:$J,J2197)+SUMIFS($Q:$Q,$J:$J,J2197),"")</f>
        <v>330.28575000000001</v>
      </c>
      <c r="S2197" s="10">
        <v>330.28999999999996</v>
      </c>
      <c r="T2197" s="11" t="str">
        <f t="shared" si="208"/>
        <v>Check</v>
      </c>
      <c r="U2197" s="12">
        <v>46099</v>
      </c>
      <c r="V2197" s="10">
        <v>19.97</v>
      </c>
      <c r="W2197" s="10" t="str">
        <f t="shared" si="206"/>
        <v>Short Paid</v>
      </c>
      <c r="X2197" t="s">
        <v>450</v>
      </c>
      <c r="Y2197" t="s">
        <v>29</v>
      </c>
      <c r="Z2197">
        <v>100297</v>
      </c>
      <c r="AA2197" t="s">
        <v>3119</v>
      </c>
      <c r="AB2197" t="s">
        <v>3041</v>
      </c>
      <c r="AC2197" s="9">
        <v>2</v>
      </c>
      <c r="AD2197" s="9" t="str">
        <f t="shared" si="207"/>
        <v>Check</v>
      </c>
      <c r="AE2197" s="11">
        <f t="shared" si="209"/>
        <v>-4.2499999999563443E-3</v>
      </c>
    </row>
    <row r="2198" spans="1:31" x14ac:dyDescent="0.3">
      <c r="A2198">
        <v>2</v>
      </c>
      <c r="B2198">
        <v>4968283</v>
      </c>
      <c r="C2198" t="s">
        <v>94</v>
      </c>
      <c r="D2198">
        <v>1208231</v>
      </c>
      <c r="E2198" t="s">
        <v>288</v>
      </c>
      <c r="F2198" t="s">
        <v>49</v>
      </c>
      <c r="G2198" t="s">
        <v>1896</v>
      </c>
      <c r="H2198" t="s">
        <v>1897</v>
      </c>
      <c r="I2198" t="s">
        <v>3467</v>
      </c>
      <c r="J2198">
        <v>51160431205</v>
      </c>
      <c r="K2198" t="s">
        <v>3401</v>
      </c>
      <c r="L2198" t="s">
        <v>4736</v>
      </c>
      <c r="M2198">
        <v>201</v>
      </c>
      <c r="N2198" s="10">
        <v>0.4</v>
      </c>
      <c r="O2198" s="10">
        <f t="shared" si="205"/>
        <v>80.400000000000006</v>
      </c>
      <c r="P2198" s="10" t="s">
        <v>5006</v>
      </c>
      <c r="Q2198" s="10" t="s">
        <v>5006</v>
      </c>
      <c r="R2198" s="10" t="str">
        <f>IF(COUNTIF($J$2:J2198,J2198)=1,SUMIFS($O:$O,$J:$J,J2198)+SUMIFS($P:$P,$J:$J,J2198)+SUMIFS($Q:$Q,$J:$J,J2198),"")</f>
        <v/>
      </c>
      <c r="S2198" s="10" t="s">
        <v>5006</v>
      </c>
      <c r="T2198" s="11" t="str">
        <f t="shared" si="208"/>
        <v>Check</v>
      </c>
      <c r="U2198" s="12">
        <v>46099</v>
      </c>
      <c r="V2198" s="10">
        <v>19.97</v>
      </c>
      <c r="W2198" s="10" t="str">
        <f t="shared" si="206"/>
        <v>N/A</v>
      </c>
      <c r="X2198" t="s">
        <v>450</v>
      </c>
      <c r="Y2198" t="s">
        <v>29</v>
      </c>
      <c r="Z2198">
        <v>100297</v>
      </c>
      <c r="AA2198" t="s">
        <v>3119</v>
      </c>
      <c r="AB2198" t="s">
        <v>3041</v>
      </c>
      <c r="AC2198" s="9">
        <v>2</v>
      </c>
      <c r="AD2198" s="9" t="str">
        <f t="shared" si="207"/>
        <v>N/A</v>
      </c>
      <c r="AE2198" s="11" t="e">
        <f t="shared" si="209"/>
        <v>#VALUE!</v>
      </c>
    </row>
    <row r="2199" spans="1:31" x14ac:dyDescent="0.3">
      <c r="A2199">
        <v>2</v>
      </c>
      <c r="B2199">
        <v>4972179</v>
      </c>
      <c r="C2199" t="s">
        <v>56</v>
      </c>
      <c r="D2199">
        <v>1880594</v>
      </c>
      <c r="E2199" t="s">
        <v>397</v>
      </c>
      <c r="F2199" t="s">
        <v>24</v>
      </c>
      <c r="G2199" t="s">
        <v>2989</v>
      </c>
      <c r="H2199" t="s">
        <v>1914</v>
      </c>
      <c r="I2199" t="s">
        <v>3200</v>
      </c>
      <c r="J2199">
        <v>51160445841</v>
      </c>
      <c r="K2199" t="s">
        <v>3266</v>
      </c>
      <c r="L2199" t="s">
        <v>4737</v>
      </c>
      <c r="M2199">
        <v>2</v>
      </c>
      <c r="N2199" s="10">
        <v>140.86000000000001</v>
      </c>
      <c r="O2199" s="10">
        <f t="shared" si="205"/>
        <v>281.72000000000003</v>
      </c>
      <c r="P2199" s="10">
        <v>0</v>
      </c>
      <c r="Q2199" s="10">
        <v>180.26999999999998</v>
      </c>
      <c r="R2199" s="10">
        <f>IF(COUNTIF($J$2:J2199,J2199)=1,SUMIFS($O:$O,$J:$J,J2199)+SUMIFS($P:$P,$J:$J,J2199)+SUMIFS($Q:$Q,$J:$J,J2199),"")</f>
        <v>947.99</v>
      </c>
      <c r="S2199" s="10">
        <v>1229.71</v>
      </c>
      <c r="T2199" s="11" t="str">
        <f t="shared" si="208"/>
        <v>Check</v>
      </c>
      <c r="U2199" s="12">
        <v>46139</v>
      </c>
      <c r="V2199" s="10">
        <v>486</v>
      </c>
      <c r="W2199" s="10" t="str">
        <f t="shared" si="206"/>
        <v>Short Paid</v>
      </c>
      <c r="X2199" t="s">
        <v>435</v>
      </c>
      <c r="Y2199" t="s">
        <v>40</v>
      </c>
      <c r="Z2199">
        <v>100141</v>
      </c>
      <c r="AA2199" t="s">
        <v>440</v>
      </c>
      <c r="AB2199" t="s">
        <v>522</v>
      </c>
      <c r="AC2199" s="9">
        <v>2</v>
      </c>
      <c r="AD2199" s="9" t="str">
        <f t="shared" si="207"/>
        <v>Check</v>
      </c>
      <c r="AE2199" s="11">
        <f t="shared" si="209"/>
        <v>-281.72000000000003</v>
      </c>
    </row>
    <row r="2200" spans="1:31" x14ac:dyDescent="0.3">
      <c r="A2200">
        <v>2</v>
      </c>
      <c r="B2200">
        <v>4972179</v>
      </c>
      <c r="C2200" t="s">
        <v>56</v>
      </c>
      <c r="D2200">
        <v>1880594</v>
      </c>
      <c r="E2200" t="s">
        <v>397</v>
      </c>
      <c r="F2200" t="s">
        <v>24</v>
      </c>
      <c r="G2200" t="s">
        <v>2989</v>
      </c>
      <c r="H2200" t="s">
        <v>1914</v>
      </c>
      <c r="I2200" t="s">
        <v>3172</v>
      </c>
      <c r="J2200">
        <v>51160445841</v>
      </c>
      <c r="K2200" t="s">
        <v>3203</v>
      </c>
      <c r="L2200" t="s">
        <v>4738</v>
      </c>
      <c r="M2200">
        <v>4000</v>
      </c>
      <c r="N2200" s="10">
        <v>0.1215</v>
      </c>
      <c r="O2200" s="10">
        <f t="shared" si="205"/>
        <v>486</v>
      </c>
      <c r="P2200" s="10" t="s">
        <v>5006</v>
      </c>
      <c r="Q2200" s="10" t="s">
        <v>5006</v>
      </c>
      <c r="R2200" s="10" t="str">
        <f>IF(COUNTIF($J$2:J2200,J2200)=1,SUMIFS($O:$O,$J:$J,J2200)+SUMIFS($P:$P,$J:$J,J2200)+SUMIFS($Q:$Q,$J:$J,J2200),"")</f>
        <v/>
      </c>
      <c r="S2200" s="10" t="s">
        <v>5006</v>
      </c>
      <c r="T2200" s="11" t="str">
        <f t="shared" si="208"/>
        <v>Check</v>
      </c>
      <c r="U2200" s="12">
        <v>46139</v>
      </c>
      <c r="V2200" s="10">
        <v>486</v>
      </c>
      <c r="W2200" s="10" t="str">
        <f t="shared" si="206"/>
        <v>N/A</v>
      </c>
      <c r="X2200" t="s">
        <v>435</v>
      </c>
      <c r="Y2200" t="s">
        <v>40</v>
      </c>
      <c r="Z2200">
        <v>100141</v>
      </c>
      <c r="AA2200" t="s">
        <v>440</v>
      </c>
      <c r="AB2200" t="s">
        <v>522</v>
      </c>
      <c r="AC2200" s="9">
        <v>2</v>
      </c>
      <c r="AD2200" s="9" t="str">
        <f t="shared" si="207"/>
        <v>N/A</v>
      </c>
      <c r="AE2200" s="11" t="e">
        <f t="shared" si="209"/>
        <v>#VALUE!</v>
      </c>
    </row>
    <row r="2201" spans="1:31" x14ac:dyDescent="0.3">
      <c r="A2201">
        <v>4</v>
      </c>
      <c r="B2201">
        <v>4944072</v>
      </c>
      <c r="C2201" t="s">
        <v>94</v>
      </c>
      <c r="D2201">
        <v>1292196</v>
      </c>
      <c r="E2201" t="s">
        <v>593</v>
      </c>
      <c r="F2201" t="s">
        <v>25</v>
      </c>
      <c r="G2201" t="s">
        <v>1826</v>
      </c>
      <c r="H2201" t="s">
        <v>1827</v>
      </c>
      <c r="I2201" t="s">
        <v>3298</v>
      </c>
      <c r="J2201">
        <v>51160450242</v>
      </c>
      <c r="K2201" t="s">
        <v>4740</v>
      </c>
      <c r="L2201" t="s">
        <v>4739</v>
      </c>
      <c r="M2201">
        <v>1</v>
      </c>
      <c r="N2201" s="10">
        <v>732.75</v>
      </c>
      <c r="O2201" s="10">
        <f t="shared" si="205"/>
        <v>732.75</v>
      </c>
      <c r="P2201" s="10">
        <v>162.78</v>
      </c>
      <c r="Q2201" s="10" t="s">
        <v>5006</v>
      </c>
      <c r="R2201" s="10">
        <f>IF(COUNTIF($J$2:J2201,J2201)=1,SUMIFS($O:$O,$J:$J,J2201)+SUMIFS($P:$P,$J:$J,J2201)+SUMIFS($Q:$Q,$J:$J,J2201),"")</f>
        <v>1982.53</v>
      </c>
      <c r="S2201" s="10">
        <v>1982.53</v>
      </c>
      <c r="T2201" s="11" t="str">
        <f t="shared" si="208"/>
        <v>Ok</v>
      </c>
      <c r="U2201" s="12">
        <v>45846</v>
      </c>
      <c r="V2201" s="10">
        <v>732.75</v>
      </c>
      <c r="W2201" s="10" t="str">
        <f t="shared" si="206"/>
        <v>Short Paid</v>
      </c>
      <c r="X2201" t="s">
        <v>450</v>
      </c>
      <c r="Y2201" t="s">
        <v>28</v>
      </c>
      <c r="Z2201">
        <v>100247</v>
      </c>
      <c r="AA2201" t="s">
        <v>452</v>
      </c>
      <c r="AB2201" t="s">
        <v>525</v>
      </c>
      <c r="AC2201" s="9">
        <v>2</v>
      </c>
      <c r="AD2201" s="9" t="str">
        <f t="shared" si="207"/>
        <v>Ok</v>
      </c>
      <c r="AE2201" s="11">
        <f t="shared" si="209"/>
        <v>0</v>
      </c>
    </row>
    <row r="2202" spans="1:31" x14ac:dyDescent="0.3">
      <c r="A2202">
        <v>4</v>
      </c>
      <c r="B2202">
        <v>4944072</v>
      </c>
      <c r="C2202" t="s">
        <v>94</v>
      </c>
      <c r="D2202">
        <v>1292196</v>
      </c>
      <c r="E2202" t="s">
        <v>593</v>
      </c>
      <c r="F2202" t="s">
        <v>25</v>
      </c>
      <c r="G2202" t="s">
        <v>1826</v>
      </c>
      <c r="H2202" t="s">
        <v>1827</v>
      </c>
      <c r="I2202" t="s">
        <v>3303</v>
      </c>
      <c r="J2202">
        <v>51160450242</v>
      </c>
      <c r="K2202" t="s">
        <v>3401</v>
      </c>
      <c r="L2202" t="s">
        <v>4741</v>
      </c>
      <c r="M2202">
        <v>100</v>
      </c>
      <c r="N2202" s="10">
        <v>10.87</v>
      </c>
      <c r="O2202" s="10">
        <f t="shared" si="205"/>
        <v>1087</v>
      </c>
      <c r="P2202" s="10" t="s">
        <v>5006</v>
      </c>
      <c r="Q2202" s="10" t="s">
        <v>5006</v>
      </c>
      <c r="R2202" s="10" t="str">
        <f>IF(COUNTIF($J$2:J2202,J2202)=1,SUMIFS($O:$O,$J:$J,J2202)+SUMIFS($P:$P,$J:$J,J2202)+SUMIFS($Q:$Q,$J:$J,J2202),"")</f>
        <v/>
      </c>
      <c r="S2202" s="10" t="s">
        <v>5006</v>
      </c>
      <c r="T2202" s="11" t="str">
        <f t="shared" si="208"/>
        <v>Ok</v>
      </c>
      <c r="U2202" s="12">
        <v>45846</v>
      </c>
      <c r="V2202" s="10">
        <v>732.75</v>
      </c>
      <c r="W2202" s="10" t="str">
        <f t="shared" si="206"/>
        <v>N/A</v>
      </c>
      <c r="X2202" t="s">
        <v>450</v>
      </c>
      <c r="Y2202" t="s">
        <v>28</v>
      </c>
      <c r="Z2202">
        <v>100247</v>
      </c>
      <c r="AA2202" t="s">
        <v>452</v>
      </c>
      <c r="AB2202" t="s">
        <v>525</v>
      </c>
      <c r="AC2202" s="9">
        <v>2</v>
      </c>
      <c r="AD2202" s="9" t="str">
        <f t="shared" si="207"/>
        <v>N/A</v>
      </c>
      <c r="AE2202" s="11" t="e">
        <f t="shared" si="209"/>
        <v>#VALUE!</v>
      </c>
    </row>
    <row r="2203" spans="1:31" x14ac:dyDescent="0.3">
      <c r="A2203">
        <v>0</v>
      </c>
      <c r="B2203">
        <v>4981084</v>
      </c>
      <c r="C2203" t="s">
        <v>38</v>
      </c>
      <c r="D2203">
        <v>1173725</v>
      </c>
      <c r="E2203" t="s">
        <v>625</v>
      </c>
      <c r="F2203" t="s">
        <v>24</v>
      </c>
      <c r="G2203" t="s">
        <v>1932</v>
      </c>
      <c r="H2203" t="s">
        <v>1933</v>
      </c>
      <c r="I2203" t="s">
        <v>3419</v>
      </c>
      <c r="J2203">
        <v>51160471959</v>
      </c>
      <c r="K2203" t="s">
        <v>3928</v>
      </c>
      <c r="L2203" t="s">
        <v>4742</v>
      </c>
      <c r="M2203">
        <v>480</v>
      </c>
      <c r="N2203" s="10">
        <v>9.0129999999999999</v>
      </c>
      <c r="O2203" s="10">
        <f t="shared" si="205"/>
        <v>4326.24</v>
      </c>
      <c r="P2203" s="10">
        <v>0</v>
      </c>
      <c r="Q2203" s="10">
        <v>0</v>
      </c>
      <c r="R2203" s="10">
        <f>IF(COUNTIF($J$2:J2203,J2203)=1,SUMIFS($O:$O,$J:$J,J2203)+SUMIFS($P:$P,$J:$J,J2203)+SUMIFS($Q:$Q,$J:$J,J2203),"")</f>
        <v>9841.89</v>
      </c>
      <c r="S2203" s="10">
        <v>9841.89</v>
      </c>
      <c r="T2203" s="11" t="str">
        <f t="shared" si="208"/>
        <v>Ok</v>
      </c>
      <c r="U2203" s="12">
        <v>46150</v>
      </c>
      <c r="V2203" s="10">
        <v>3785.45</v>
      </c>
      <c r="W2203" s="10" t="str">
        <f t="shared" si="206"/>
        <v>Short Paid</v>
      </c>
      <c r="X2203" t="s">
        <v>474</v>
      </c>
      <c r="Y2203" t="s">
        <v>40</v>
      </c>
      <c r="Z2203">
        <v>100269</v>
      </c>
      <c r="AA2203" t="s">
        <v>3152</v>
      </c>
      <c r="AB2203" t="s">
        <v>522</v>
      </c>
      <c r="AC2203" s="9">
        <v>2</v>
      </c>
      <c r="AD2203" s="9" t="str">
        <f t="shared" si="207"/>
        <v>Ok</v>
      </c>
      <c r="AE2203" s="11">
        <f t="shared" si="209"/>
        <v>0</v>
      </c>
    </row>
    <row r="2204" spans="1:31" x14ac:dyDescent="0.3">
      <c r="A2204">
        <v>0</v>
      </c>
      <c r="B2204">
        <v>4981084</v>
      </c>
      <c r="C2204" t="s">
        <v>38</v>
      </c>
      <c r="D2204">
        <v>1173725</v>
      </c>
      <c r="E2204" t="s">
        <v>625</v>
      </c>
      <c r="F2204" t="s">
        <v>24</v>
      </c>
      <c r="G2204" t="s">
        <v>1932</v>
      </c>
      <c r="H2204" t="s">
        <v>1933</v>
      </c>
      <c r="I2204" t="s">
        <v>3327</v>
      </c>
      <c r="J2204">
        <v>51160471959</v>
      </c>
      <c r="K2204" s="12">
        <v>36586</v>
      </c>
      <c r="L2204" t="s">
        <v>4743</v>
      </c>
      <c r="M2204">
        <v>1</v>
      </c>
      <c r="N2204" s="10">
        <v>5515.65</v>
      </c>
      <c r="O2204" s="10">
        <f t="shared" si="205"/>
        <v>5515.65</v>
      </c>
      <c r="P2204" s="10" t="s">
        <v>5006</v>
      </c>
      <c r="Q2204" s="10" t="s">
        <v>5006</v>
      </c>
      <c r="R2204" s="10" t="str">
        <f>IF(COUNTIF($J$2:J2204,J2204)=1,SUMIFS($O:$O,$J:$J,J2204)+SUMIFS($P:$P,$J:$J,J2204)+SUMIFS($Q:$Q,$J:$J,J2204),"")</f>
        <v/>
      </c>
      <c r="S2204" s="10" t="s">
        <v>5006</v>
      </c>
      <c r="T2204" s="11" t="str">
        <f t="shared" si="208"/>
        <v>Ok</v>
      </c>
      <c r="U2204" s="12">
        <v>46150</v>
      </c>
      <c r="V2204" s="10">
        <v>3785.45</v>
      </c>
      <c r="W2204" s="10" t="str">
        <f t="shared" si="206"/>
        <v>N/A</v>
      </c>
      <c r="X2204" t="s">
        <v>474</v>
      </c>
      <c r="Y2204" t="s">
        <v>40</v>
      </c>
      <c r="Z2204">
        <v>100269</v>
      </c>
      <c r="AA2204" t="s">
        <v>3152</v>
      </c>
      <c r="AB2204" t="s">
        <v>522</v>
      </c>
      <c r="AC2204" s="9">
        <v>2</v>
      </c>
      <c r="AD2204" s="9" t="str">
        <f t="shared" si="207"/>
        <v>N/A</v>
      </c>
      <c r="AE2204" s="11" t="e">
        <f t="shared" si="209"/>
        <v>#VALUE!</v>
      </c>
    </row>
    <row r="2205" spans="1:31" x14ac:dyDescent="0.3">
      <c r="A2205">
        <v>0</v>
      </c>
      <c r="B2205">
        <v>4982475</v>
      </c>
      <c r="C2205" t="s">
        <v>160</v>
      </c>
      <c r="D2205">
        <v>1709146</v>
      </c>
      <c r="E2205" t="s">
        <v>624</v>
      </c>
      <c r="F2205" t="s">
        <v>18</v>
      </c>
      <c r="G2205" t="s">
        <v>3027</v>
      </c>
      <c r="H2205" t="s">
        <v>1940</v>
      </c>
      <c r="I2205" t="s">
        <v>3247</v>
      </c>
      <c r="J2205">
        <v>51160474624</v>
      </c>
      <c r="K2205" t="s">
        <v>3229</v>
      </c>
      <c r="L2205" t="s">
        <v>4744</v>
      </c>
      <c r="M2205">
        <v>500</v>
      </c>
      <c r="N2205" s="10">
        <v>4.2300000000000004</v>
      </c>
      <c r="O2205" s="10">
        <f t="shared" si="205"/>
        <v>2115</v>
      </c>
      <c r="P2205" s="10">
        <v>0</v>
      </c>
      <c r="Q2205" s="10">
        <v>0</v>
      </c>
      <c r="R2205" s="10">
        <f>IF(COUNTIF($J$2:J2205,J2205)=1,SUMIFS($O:$O,$J:$J,J2205)+SUMIFS($P:$P,$J:$J,J2205)+SUMIFS($Q:$Q,$J:$J,J2205),"")</f>
        <v>11215</v>
      </c>
      <c r="S2205" s="10">
        <v>11215</v>
      </c>
      <c r="T2205" s="11" t="str">
        <f t="shared" si="208"/>
        <v>Ok</v>
      </c>
      <c r="U2205" s="12">
        <v>46133</v>
      </c>
      <c r="V2205" s="10">
        <v>9100</v>
      </c>
      <c r="W2205" s="10" t="str">
        <f t="shared" si="206"/>
        <v>Short Paid</v>
      </c>
      <c r="X2205" t="s">
        <v>453</v>
      </c>
      <c r="Y2205" t="s">
        <v>28</v>
      </c>
      <c r="Z2205">
        <v>100204</v>
      </c>
      <c r="AA2205" t="s">
        <v>500</v>
      </c>
      <c r="AB2205" t="s">
        <v>523</v>
      </c>
      <c r="AC2205" s="9">
        <v>2</v>
      </c>
      <c r="AD2205" s="9" t="str">
        <f t="shared" si="207"/>
        <v>Ok</v>
      </c>
      <c r="AE2205" s="11">
        <f t="shared" si="209"/>
        <v>0</v>
      </c>
    </row>
    <row r="2206" spans="1:31" x14ac:dyDescent="0.3">
      <c r="A2206">
        <v>0</v>
      </c>
      <c r="B2206">
        <v>4982475</v>
      </c>
      <c r="C2206" t="s">
        <v>160</v>
      </c>
      <c r="D2206">
        <v>1709146</v>
      </c>
      <c r="E2206" t="s">
        <v>624</v>
      </c>
      <c r="F2206" t="s">
        <v>18</v>
      </c>
      <c r="G2206" t="s">
        <v>3027</v>
      </c>
      <c r="H2206" t="s">
        <v>1940</v>
      </c>
      <c r="I2206" t="s">
        <v>3323</v>
      </c>
      <c r="J2206">
        <v>51160474624</v>
      </c>
      <c r="K2206" t="s">
        <v>3351</v>
      </c>
      <c r="L2206" t="s">
        <v>4745</v>
      </c>
      <c r="M2206">
        <v>5000</v>
      </c>
      <c r="N2206" s="10">
        <v>1.82</v>
      </c>
      <c r="O2206" s="10">
        <f t="shared" si="205"/>
        <v>9100</v>
      </c>
      <c r="P2206" s="10" t="s">
        <v>5006</v>
      </c>
      <c r="Q2206" s="10" t="s">
        <v>5006</v>
      </c>
      <c r="R2206" s="10" t="str">
        <f>IF(COUNTIF($J$2:J2206,J2206)=1,SUMIFS($O:$O,$J:$J,J2206)+SUMIFS($P:$P,$J:$J,J2206)+SUMIFS($Q:$Q,$J:$J,J2206),"")</f>
        <v/>
      </c>
      <c r="S2206" s="10" t="s">
        <v>5006</v>
      </c>
      <c r="T2206" s="11" t="str">
        <f t="shared" si="208"/>
        <v>Ok</v>
      </c>
      <c r="U2206" s="12">
        <v>46133</v>
      </c>
      <c r="V2206" s="10">
        <v>9100</v>
      </c>
      <c r="W2206" s="10" t="str">
        <f t="shared" si="206"/>
        <v>N/A</v>
      </c>
      <c r="X2206" t="s">
        <v>453</v>
      </c>
      <c r="Y2206" t="s">
        <v>28</v>
      </c>
      <c r="Z2206">
        <v>100204</v>
      </c>
      <c r="AA2206" t="s">
        <v>500</v>
      </c>
      <c r="AB2206" t="s">
        <v>523</v>
      </c>
      <c r="AC2206" s="9">
        <v>2</v>
      </c>
      <c r="AD2206" s="9" t="str">
        <f t="shared" si="207"/>
        <v>N/A</v>
      </c>
      <c r="AE2206" s="11" t="e">
        <f t="shared" si="209"/>
        <v>#VALUE!</v>
      </c>
    </row>
    <row r="2207" spans="1:31" x14ac:dyDescent="0.3">
      <c r="A2207">
        <v>2</v>
      </c>
      <c r="B2207">
        <v>4969396</v>
      </c>
      <c r="C2207" t="s">
        <v>94</v>
      </c>
      <c r="D2207">
        <v>1208231</v>
      </c>
      <c r="E2207" t="s">
        <v>288</v>
      </c>
      <c r="F2207" t="s">
        <v>49</v>
      </c>
      <c r="G2207" t="s">
        <v>1900</v>
      </c>
      <c r="H2207" t="s">
        <v>1901</v>
      </c>
      <c r="I2207" t="s">
        <v>3198</v>
      </c>
      <c r="J2207">
        <v>51160560311</v>
      </c>
      <c r="K2207" t="s">
        <v>3630</v>
      </c>
      <c r="L2207" t="s">
        <v>3629</v>
      </c>
      <c r="M2207">
        <v>3000</v>
      </c>
      <c r="N2207" s="10">
        <v>8.9249999999999996E-2</v>
      </c>
      <c r="O2207" s="10">
        <f t="shared" si="205"/>
        <v>267.75</v>
      </c>
      <c r="P2207" s="10">
        <v>24.37</v>
      </c>
      <c r="Q2207" s="10">
        <v>0</v>
      </c>
      <c r="R2207" s="10">
        <f>IF(COUNTIF($J$2:J2207,J2207)=1,SUMIFS($O:$O,$J:$J,J2207)+SUMIFS($P:$P,$J:$J,J2207)+SUMIFS($Q:$Q,$J:$J,J2207),"")</f>
        <v>664.52</v>
      </c>
      <c r="S2207" s="10">
        <v>664.52</v>
      </c>
      <c r="T2207" s="11" t="str">
        <f t="shared" si="208"/>
        <v>Ok</v>
      </c>
      <c r="U2207" s="12">
        <v>46099</v>
      </c>
      <c r="V2207" s="10">
        <v>24.37</v>
      </c>
      <c r="W2207" s="10" t="str">
        <f t="shared" si="206"/>
        <v>Short Paid</v>
      </c>
      <c r="X2207" t="s">
        <v>450</v>
      </c>
      <c r="Y2207" t="s">
        <v>29</v>
      </c>
      <c r="Z2207">
        <v>100297</v>
      </c>
      <c r="AA2207" t="s">
        <v>3119</v>
      </c>
      <c r="AB2207" t="s">
        <v>3041</v>
      </c>
      <c r="AC2207" s="9">
        <v>2</v>
      </c>
      <c r="AD2207" s="9" t="str">
        <f t="shared" si="207"/>
        <v>Ok</v>
      </c>
      <c r="AE2207" s="11">
        <f t="shared" si="209"/>
        <v>0</v>
      </c>
    </row>
    <row r="2208" spans="1:31" x14ac:dyDescent="0.3">
      <c r="A2208">
        <v>2</v>
      </c>
      <c r="B2208">
        <v>4969396</v>
      </c>
      <c r="C2208" t="s">
        <v>94</v>
      </c>
      <c r="D2208">
        <v>1208231</v>
      </c>
      <c r="E2208" t="s">
        <v>288</v>
      </c>
      <c r="F2208" t="s">
        <v>49</v>
      </c>
      <c r="G2208" t="s">
        <v>1900</v>
      </c>
      <c r="H2208" t="s">
        <v>1901</v>
      </c>
      <c r="I2208" t="s">
        <v>3325</v>
      </c>
      <c r="J2208">
        <v>51160560311</v>
      </c>
      <c r="K2208" t="s">
        <v>3209</v>
      </c>
      <c r="L2208" t="s">
        <v>3235</v>
      </c>
      <c r="M2208">
        <v>35000</v>
      </c>
      <c r="N2208" s="10">
        <v>1.064E-2</v>
      </c>
      <c r="O2208" s="10">
        <f t="shared" si="205"/>
        <v>372.4</v>
      </c>
      <c r="P2208" s="10" t="s">
        <v>5006</v>
      </c>
      <c r="Q2208" s="10" t="s">
        <v>5006</v>
      </c>
      <c r="R2208" s="10" t="str">
        <f>IF(COUNTIF($J$2:J2208,J2208)=1,SUMIFS($O:$O,$J:$J,J2208)+SUMIFS($P:$P,$J:$J,J2208)+SUMIFS($Q:$Q,$J:$J,J2208),"")</f>
        <v/>
      </c>
      <c r="S2208" s="10" t="s">
        <v>5006</v>
      </c>
      <c r="T2208" s="11" t="str">
        <f t="shared" si="208"/>
        <v>Ok</v>
      </c>
      <c r="U2208" s="12">
        <v>46099</v>
      </c>
      <c r="V2208" s="10">
        <v>24.37</v>
      </c>
      <c r="W2208" s="10" t="str">
        <f t="shared" si="206"/>
        <v>N/A</v>
      </c>
      <c r="X2208" t="s">
        <v>450</v>
      </c>
      <c r="Y2208" t="s">
        <v>29</v>
      </c>
      <c r="Z2208">
        <v>100297</v>
      </c>
      <c r="AA2208" t="s">
        <v>3119</v>
      </c>
      <c r="AB2208" t="s">
        <v>3041</v>
      </c>
      <c r="AC2208" s="9">
        <v>2</v>
      </c>
      <c r="AD2208" s="9" t="str">
        <f t="shared" si="207"/>
        <v>N/A</v>
      </c>
      <c r="AE2208" s="11" t="e">
        <f t="shared" si="209"/>
        <v>#VALUE!</v>
      </c>
    </row>
    <row r="2209" spans="1:31" x14ac:dyDescent="0.3">
      <c r="A2209">
        <v>121</v>
      </c>
      <c r="B2209">
        <v>4436411</v>
      </c>
      <c r="C2209" t="s">
        <v>160</v>
      </c>
      <c r="D2209">
        <v>1116250</v>
      </c>
      <c r="E2209" t="s">
        <v>557</v>
      </c>
      <c r="F2209" t="s">
        <v>20</v>
      </c>
      <c r="G2209" t="s">
        <v>2369</v>
      </c>
      <c r="H2209" t="s">
        <v>2370</v>
      </c>
      <c r="I2209" t="s">
        <v>3485</v>
      </c>
      <c r="J2209">
        <v>51160562050</v>
      </c>
      <c r="K2209" t="s">
        <v>3379</v>
      </c>
      <c r="L2209" t="s">
        <v>4450</v>
      </c>
      <c r="M2209">
        <v>10000</v>
      </c>
      <c r="N2209" s="10">
        <v>2.7299999999999998E-3</v>
      </c>
      <c r="O2209" s="10">
        <f t="shared" si="205"/>
        <v>27.299999999999997</v>
      </c>
      <c r="P2209" s="10">
        <v>0</v>
      </c>
      <c r="Q2209" s="10">
        <v>130.79999999999998</v>
      </c>
      <c r="R2209" s="10">
        <f>IF(COUNTIF($J$2:J2209,J2209)=1,SUMIFS($O:$O,$J:$J,J2209)+SUMIFS($P:$P,$J:$J,J2209)+SUMIFS($Q:$Q,$J:$J,J2209),"")</f>
        <v>1688.12</v>
      </c>
      <c r="S2209" s="10">
        <v>1789.42</v>
      </c>
      <c r="T2209" s="11" t="str">
        <f t="shared" si="208"/>
        <v>Check</v>
      </c>
      <c r="U2209" s="12">
        <v>45987</v>
      </c>
      <c r="V2209" s="10">
        <v>1789.42</v>
      </c>
      <c r="W2209" s="10" t="str">
        <f t="shared" si="206"/>
        <v>Not Paid</v>
      </c>
      <c r="X2209" t="s">
        <v>453</v>
      </c>
      <c r="Y2209" t="s">
        <v>28</v>
      </c>
      <c r="Z2209">
        <v>100234</v>
      </c>
      <c r="AA2209" t="s">
        <v>502</v>
      </c>
      <c r="AB2209" t="s">
        <v>521</v>
      </c>
      <c r="AC2209" s="9">
        <v>4</v>
      </c>
      <c r="AD2209" s="9" t="str">
        <f t="shared" si="207"/>
        <v>Check</v>
      </c>
      <c r="AE2209" s="11">
        <f t="shared" si="209"/>
        <v>-101.30000000000018</v>
      </c>
    </row>
    <row r="2210" spans="1:31" x14ac:dyDescent="0.3">
      <c r="A2210">
        <v>121</v>
      </c>
      <c r="B2210">
        <v>4436411</v>
      </c>
      <c r="C2210" t="s">
        <v>160</v>
      </c>
      <c r="D2210">
        <v>1116250</v>
      </c>
      <c r="E2210" t="s">
        <v>557</v>
      </c>
      <c r="F2210" t="s">
        <v>20</v>
      </c>
      <c r="G2210" t="s">
        <v>2369</v>
      </c>
      <c r="H2210" t="s">
        <v>2370</v>
      </c>
      <c r="I2210" t="s">
        <v>3485</v>
      </c>
      <c r="J2210">
        <v>51160562050</v>
      </c>
      <c r="K2210" t="s">
        <v>3379</v>
      </c>
      <c r="L2210" t="s">
        <v>4746</v>
      </c>
      <c r="M2210">
        <v>50000</v>
      </c>
      <c r="N2210" s="10">
        <v>4.0299999999999997E-3</v>
      </c>
      <c r="O2210" s="10">
        <f t="shared" si="205"/>
        <v>201.5</v>
      </c>
      <c r="P2210" s="10" t="s">
        <v>5006</v>
      </c>
      <c r="Q2210" s="10" t="s">
        <v>5006</v>
      </c>
      <c r="R2210" s="10" t="str">
        <f>IF(COUNTIF($J$2:J2210,J2210)=1,SUMIFS($O:$O,$J:$J,J2210)+SUMIFS($P:$P,$J:$J,J2210)+SUMIFS($Q:$Q,$J:$J,J2210),"")</f>
        <v/>
      </c>
      <c r="S2210" s="10" t="s">
        <v>5006</v>
      </c>
      <c r="T2210" s="11" t="str">
        <f t="shared" si="208"/>
        <v>Check</v>
      </c>
      <c r="U2210" s="12">
        <v>45987</v>
      </c>
      <c r="V2210" s="10">
        <v>1789.42</v>
      </c>
      <c r="W2210" s="10" t="str">
        <f t="shared" si="206"/>
        <v>N/A</v>
      </c>
      <c r="X2210" t="s">
        <v>453</v>
      </c>
      <c r="Y2210" t="s">
        <v>28</v>
      </c>
      <c r="Z2210">
        <v>100234</v>
      </c>
      <c r="AA2210" t="s">
        <v>502</v>
      </c>
      <c r="AB2210" t="s">
        <v>521</v>
      </c>
      <c r="AC2210" s="9">
        <v>4</v>
      </c>
      <c r="AD2210" s="9" t="str">
        <f t="shared" si="207"/>
        <v>N/A</v>
      </c>
      <c r="AE2210" s="11" t="e">
        <f t="shared" si="209"/>
        <v>#VALUE!</v>
      </c>
    </row>
    <row r="2211" spans="1:31" x14ac:dyDescent="0.3">
      <c r="A2211">
        <v>121</v>
      </c>
      <c r="B2211">
        <v>4436411</v>
      </c>
      <c r="C2211" t="s">
        <v>160</v>
      </c>
      <c r="D2211">
        <v>1116250</v>
      </c>
      <c r="E2211" t="s">
        <v>557</v>
      </c>
      <c r="F2211" t="s">
        <v>20</v>
      </c>
      <c r="G2211" t="s">
        <v>2369</v>
      </c>
      <c r="H2211" t="s">
        <v>2370</v>
      </c>
      <c r="I2211" t="s">
        <v>3485</v>
      </c>
      <c r="J2211">
        <v>51160562050</v>
      </c>
      <c r="K2211" t="s">
        <v>3379</v>
      </c>
      <c r="L2211" t="s">
        <v>4747</v>
      </c>
      <c r="M2211">
        <v>4000</v>
      </c>
      <c r="N2211" s="10">
        <v>2.623E-2</v>
      </c>
      <c r="O2211" s="10">
        <f t="shared" si="205"/>
        <v>104.92</v>
      </c>
      <c r="P2211" s="10" t="s">
        <v>5006</v>
      </c>
      <c r="Q2211" s="10" t="s">
        <v>5006</v>
      </c>
      <c r="R2211" s="10" t="str">
        <f>IF(COUNTIF($J$2:J2211,J2211)=1,SUMIFS($O:$O,$J:$J,J2211)+SUMIFS($P:$P,$J:$J,J2211)+SUMIFS($Q:$Q,$J:$J,J2211),"")</f>
        <v/>
      </c>
      <c r="S2211" s="10" t="s">
        <v>5006</v>
      </c>
      <c r="T2211" s="11" t="str">
        <f t="shared" si="208"/>
        <v>Check</v>
      </c>
      <c r="U2211" s="12">
        <v>45987</v>
      </c>
      <c r="V2211" s="10">
        <v>1789.42</v>
      </c>
      <c r="W2211" s="10" t="str">
        <f t="shared" si="206"/>
        <v>N/A</v>
      </c>
      <c r="X2211" t="s">
        <v>453</v>
      </c>
      <c r="Y2211" t="s">
        <v>28</v>
      </c>
      <c r="Z2211">
        <v>100234</v>
      </c>
      <c r="AA2211" t="s">
        <v>502</v>
      </c>
      <c r="AB2211" t="s">
        <v>521</v>
      </c>
      <c r="AC2211" s="9">
        <v>4</v>
      </c>
      <c r="AD2211" s="9" t="str">
        <f t="shared" si="207"/>
        <v>N/A</v>
      </c>
      <c r="AE2211" s="11" t="e">
        <f t="shared" si="209"/>
        <v>#VALUE!</v>
      </c>
    </row>
    <row r="2212" spans="1:31" x14ac:dyDescent="0.3">
      <c r="A2212">
        <v>121</v>
      </c>
      <c r="B2212">
        <v>4436411</v>
      </c>
      <c r="C2212" t="s">
        <v>160</v>
      </c>
      <c r="D2212">
        <v>1116250</v>
      </c>
      <c r="E2212" t="s">
        <v>557</v>
      </c>
      <c r="F2212" t="s">
        <v>20</v>
      </c>
      <c r="G2212" t="s">
        <v>2369</v>
      </c>
      <c r="H2212" t="s">
        <v>2370</v>
      </c>
      <c r="I2212" t="s">
        <v>3485</v>
      </c>
      <c r="J2212">
        <v>51160562050</v>
      </c>
      <c r="K2212" t="s">
        <v>3537</v>
      </c>
      <c r="L2212" t="s">
        <v>4748</v>
      </c>
      <c r="M2212">
        <v>2000</v>
      </c>
      <c r="N2212" s="10">
        <v>0.61180000000000001</v>
      </c>
      <c r="O2212" s="10">
        <f t="shared" si="205"/>
        <v>1223.5999999999999</v>
      </c>
      <c r="P2212" s="10" t="s">
        <v>5006</v>
      </c>
      <c r="Q2212" s="10" t="s">
        <v>5006</v>
      </c>
      <c r="R2212" s="10" t="str">
        <f>IF(COUNTIF($J$2:J2212,J2212)=1,SUMIFS($O:$O,$J:$J,J2212)+SUMIFS($P:$P,$J:$J,J2212)+SUMIFS($Q:$Q,$J:$J,J2212),"")</f>
        <v/>
      </c>
      <c r="S2212" s="10" t="s">
        <v>5006</v>
      </c>
      <c r="T2212" s="11" t="str">
        <f t="shared" si="208"/>
        <v>Check</v>
      </c>
      <c r="U2212" s="12">
        <v>45987</v>
      </c>
      <c r="V2212" s="10">
        <v>1789.42</v>
      </c>
      <c r="W2212" s="10" t="str">
        <f t="shared" si="206"/>
        <v>N/A</v>
      </c>
      <c r="X2212" t="s">
        <v>453</v>
      </c>
      <c r="Y2212" t="s">
        <v>28</v>
      </c>
      <c r="Z2212">
        <v>100234</v>
      </c>
      <c r="AA2212" t="s">
        <v>502</v>
      </c>
      <c r="AB2212" t="s">
        <v>521</v>
      </c>
      <c r="AC2212" s="9">
        <v>4</v>
      </c>
      <c r="AD2212" s="9" t="str">
        <f t="shared" si="207"/>
        <v>N/A</v>
      </c>
      <c r="AE2212" s="11" t="e">
        <f t="shared" si="209"/>
        <v>#VALUE!</v>
      </c>
    </row>
    <row r="2213" spans="1:31" x14ac:dyDescent="0.3">
      <c r="A2213">
        <v>2</v>
      </c>
      <c r="B2213">
        <v>4969118</v>
      </c>
      <c r="C2213" t="s">
        <v>94</v>
      </c>
      <c r="D2213">
        <v>1208231</v>
      </c>
      <c r="E2213" t="s">
        <v>288</v>
      </c>
      <c r="F2213" t="s">
        <v>49</v>
      </c>
      <c r="G2213" t="s">
        <v>1898</v>
      </c>
      <c r="H2213" t="s">
        <v>1899</v>
      </c>
      <c r="I2213" t="s">
        <v>3344</v>
      </c>
      <c r="J2213">
        <v>51160582912</v>
      </c>
      <c r="K2213" t="s">
        <v>3209</v>
      </c>
      <c r="L2213" t="s">
        <v>3235</v>
      </c>
      <c r="M2213">
        <v>25000</v>
      </c>
      <c r="N2213" s="10">
        <v>1.064E-2</v>
      </c>
      <c r="O2213" s="10">
        <f t="shared" si="205"/>
        <v>266</v>
      </c>
      <c r="P2213" s="10">
        <v>45.08</v>
      </c>
      <c r="Q2213" s="10">
        <v>0</v>
      </c>
      <c r="R2213" s="10">
        <f>IF(COUNTIF($J$2:J2213,J2213)=1,SUMIFS($O:$O,$J:$J,J2213)+SUMIFS($P:$P,$J:$J,J2213)+SUMIFS($Q:$Q,$J:$J,J2213),"")</f>
        <v>558.78000000000009</v>
      </c>
      <c r="S2213" s="10">
        <v>806.48</v>
      </c>
      <c r="T2213" s="11" t="str">
        <f t="shared" si="208"/>
        <v>Check</v>
      </c>
      <c r="U2213" s="12">
        <v>46099</v>
      </c>
      <c r="V2213" s="10">
        <v>45.08</v>
      </c>
      <c r="W2213" s="10" t="str">
        <f t="shared" si="206"/>
        <v>Short Paid</v>
      </c>
      <c r="X2213" t="s">
        <v>450</v>
      </c>
      <c r="Y2213" t="s">
        <v>29</v>
      </c>
      <c r="Z2213">
        <v>100297</v>
      </c>
      <c r="AA2213" t="s">
        <v>3119</v>
      </c>
      <c r="AB2213" t="s">
        <v>3041</v>
      </c>
      <c r="AC2213" s="9">
        <v>2</v>
      </c>
      <c r="AD2213" s="9" t="str">
        <f t="shared" si="207"/>
        <v>Check</v>
      </c>
      <c r="AE2213" s="11">
        <f t="shared" si="209"/>
        <v>-247.69999999999993</v>
      </c>
    </row>
    <row r="2214" spans="1:31" x14ac:dyDescent="0.3">
      <c r="A2214">
        <v>2</v>
      </c>
      <c r="B2214">
        <v>4969118</v>
      </c>
      <c r="C2214" t="s">
        <v>94</v>
      </c>
      <c r="D2214">
        <v>1208231</v>
      </c>
      <c r="E2214" t="s">
        <v>288</v>
      </c>
      <c r="F2214" t="s">
        <v>49</v>
      </c>
      <c r="G2214" t="s">
        <v>1898</v>
      </c>
      <c r="H2214" t="s">
        <v>1899</v>
      </c>
      <c r="I2214" t="s">
        <v>3524</v>
      </c>
      <c r="J2214">
        <v>51160582912</v>
      </c>
      <c r="K2214" t="s">
        <v>3203</v>
      </c>
      <c r="L2214" t="s">
        <v>4749</v>
      </c>
      <c r="M2214">
        <v>1000</v>
      </c>
      <c r="N2214" s="10">
        <v>0.2477</v>
      </c>
      <c r="O2214" s="10">
        <f t="shared" si="205"/>
        <v>247.70000000000002</v>
      </c>
      <c r="P2214" s="10" t="s">
        <v>5006</v>
      </c>
      <c r="Q2214" s="10" t="s">
        <v>5006</v>
      </c>
      <c r="R2214" s="10" t="str">
        <f>IF(COUNTIF($J$2:J2214,J2214)=1,SUMIFS($O:$O,$J:$J,J2214)+SUMIFS($P:$P,$J:$J,J2214)+SUMIFS($Q:$Q,$J:$J,J2214),"")</f>
        <v/>
      </c>
      <c r="S2214" s="10" t="s">
        <v>5006</v>
      </c>
      <c r="T2214" s="11" t="str">
        <f t="shared" si="208"/>
        <v>Check</v>
      </c>
      <c r="U2214" s="12">
        <v>46099</v>
      </c>
      <c r="V2214" s="10">
        <v>45.08</v>
      </c>
      <c r="W2214" s="10" t="str">
        <f t="shared" si="206"/>
        <v>N/A</v>
      </c>
      <c r="X2214" t="s">
        <v>450</v>
      </c>
      <c r="Y2214" t="s">
        <v>29</v>
      </c>
      <c r="Z2214">
        <v>100297</v>
      </c>
      <c r="AA2214" t="s">
        <v>3119</v>
      </c>
      <c r="AB2214" t="s">
        <v>3041</v>
      </c>
      <c r="AC2214" s="9">
        <v>2</v>
      </c>
      <c r="AD2214" s="9" t="str">
        <f t="shared" si="207"/>
        <v>N/A</v>
      </c>
      <c r="AE2214" s="11" t="e">
        <f t="shared" si="209"/>
        <v>#VALUE!</v>
      </c>
    </row>
    <row r="2215" spans="1:31" x14ac:dyDescent="0.3">
      <c r="A2215">
        <v>1</v>
      </c>
      <c r="B2215">
        <v>4976631</v>
      </c>
      <c r="C2215" t="s">
        <v>220</v>
      </c>
      <c r="D2215">
        <v>1469829</v>
      </c>
      <c r="E2215" t="s">
        <v>224</v>
      </c>
      <c r="F2215" t="s">
        <v>19</v>
      </c>
      <c r="G2215" t="s">
        <v>1921</v>
      </c>
      <c r="H2215" t="s">
        <v>1922</v>
      </c>
      <c r="I2215" t="s">
        <v>3441</v>
      </c>
      <c r="J2215">
        <v>51160694635</v>
      </c>
      <c r="K2215" t="s">
        <v>3209</v>
      </c>
      <c r="L2215" t="s">
        <v>4750</v>
      </c>
      <c r="M2215">
        <v>1</v>
      </c>
      <c r="N2215" s="10">
        <v>300</v>
      </c>
      <c r="O2215" s="10">
        <f t="shared" si="205"/>
        <v>300</v>
      </c>
      <c r="P2215" s="10">
        <v>0</v>
      </c>
      <c r="Q2215" s="10">
        <v>91.87</v>
      </c>
      <c r="R2215" s="10">
        <f>IF(COUNTIF($J$2:J2215,J2215)=1,SUMIFS($O:$O,$J:$J,J2215)+SUMIFS($P:$P,$J:$J,J2215)+SUMIFS($Q:$Q,$J:$J,J2215),"")</f>
        <v>1358.87</v>
      </c>
      <c r="S2215" s="10">
        <v>4256.57</v>
      </c>
      <c r="T2215" s="11" t="str">
        <f t="shared" si="208"/>
        <v>Check</v>
      </c>
      <c r="U2215" s="12">
        <v>46140</v>
      </c>
      <c r="V2215" s="10">
        <v>600</v>
      </c>
      <c r="W2215" s="10" t="str">
        <f t="shared" si="206"/>
        <v>Short Paid</v>
      </c>
      <c r="X2215" t="s">
        <v>470</v>
      </c>
      <c r="Y2215" t="s">
        <v>28</v>
      </c>
      <c r="Z2215">
        <v>100198</v>
      </c>
      <c r="AA2215" t="s">
        <v>473</v>
      </c>
      <c r="AB2215" t="s">
        <v>524</v>
      </c>
      <c r="AC2215" s="9">
        <v>2</v>
      </c>
      <c r="AD2215" s="9" t="str">
        <f t="shared" si="207"/>
        <v>Check</v>
      </c>
      <c r="AE2215" s="11">
        <f t="shared" si="209"/>
        <v>-2897.7</v>
      </c>
    </row>
    <row r="2216" spans="1:31" x14ac:dyDescent="0.3">
      <c r="A2216">
        <v>1</v>
      </c>
      <c r="B2216">
        <v>4976631</v>
      </c>
      <c r="C2216" t="s">
        <v>220</v>
      </c>
      <c r="D2216">
        <v>1469829</v>
      </c>
      <c r="E2216" t="s">
        <v>224</v>
      </c>
      <c r="F2216" t="s">
        <v>19</v>
      </c>
      <c r="G2216" t="s">
        <v>1921</v>
      </c>
      <c r="H2216" t="s">
        <v>1922</v>
      </c>
      <c r="I2216" t="s">
        <v>3441</v>
      </c>
      <c r="J2216">
        <v>51160694635</v>
      </c>
      <c r="K2216" t="s">
        <v>3209</v>
      </c>
      <c r="L2216" t="s">
        <v>4751</v>
      </c>
      <c r="M2216">
        <v>100</v>
      </c>
      <c r="N2216" s="10">
        <v>9.67</v>
      </c>
      <c r="O2216" s="10">
        <f t="shared" si="205"/>
        <v>967</v>
      </c>
      <c r="P2216" s="10" t="s">
        <v>5006</v>
      </c>
      <c r="Q2216" s="10" t="s">
        <v>5006</v>
      </c>
      <c r="R2216" s="10" t="str">
        <f>IF(COUNTIF($J$2:J2216,J2216)=1,SUMIFS($O:$O,$J:$J,J2216)+SUMIFS($P:$P,$J:$J,J2216)+SUMIFS($Q:$Q,$J:$J,J2216),"")</f>
        <v/>
      </c>
      <c r="S2216" s="10" t="s">
        <v>5006</v>
      </c>
      <c r="T2216" s="11" t="str">
        <f t="shared" si="208"/>
        <v>Check</v>
      </c>
      <c r="U2216" s="12">
        <v>46140</v>
      </c>
      <c r="V2216" s="10">
        <v>600</v>
      </c>
      <c r="W2216" s="10" t="str">
        <f t="shared" si="206"/>
        <v>N/A</v>
      </c>
      <c r="X2216" t="s">
        <v>470</v>
      </c>
      <c r="Y2216" t="s">
        <v>28</v>
      </c>
      <c r="Z2216">
        <v>100198</v>
      </c>
      <c r="AA2216" t="s">
        <v>473</v>
      </c>
      <c r="AB2216" t="s">
        <v>524</v>
      </c>
      <c r="AC2216" s="9">
        <v>2</v>
      </c>
      <c r="AD2216" s="9" t="str">
        <f t="shared" si="207"/>
        <v>N/A</v>
      </c>
      <c r="AE2216" s="11" t="e">
        <f t="shared" si="209"/>
        <v>#VALUE!</v>
      </c>
    </row>
    <row r="2217" spans="1:31" x14ac:dyDescent="0.3">
      <c r="A2217">
        <v>232</v>
      </c>
      <c r="B2217">
        <v>4390297</v>
      </c>
      <c r="C2217" t="s">
        <v>60</v>
      </c>
      <c r="D2217">
        <v>1588891</v>
      </c>
      <c r="E2217" t="s">
        <v>61</v>
      </c>
      <c r="F2217" t="s">
        <v>18</v>
      </c>
      <c r="G2217" t="s">
        <v>4752</v>
      </c>
      <c r="H2217" t="s">
        <v>4753</v>
      </c>
      <c r="I2217" t="s">
        <v>3513</v>
      </c>
      <c r="J2217">
        <v>51160700953</v>
      </c>
      <c r="K2217" t="s">
        <v>3177</v>
      </c>
      <c r="L2217" t="s">
        <v>3891</v>
      </c>
      <c r="M2217">
        <v>10000</v>
      </c>
      <c r="N2217" s="10">
        <v>1.4500000000000001E-2</v>
      </c>
      <c r="O2217" s="10">
        <f t="shared" si="205"/>
        <v>145</v>
      </c>
      <c r="P2217" s="10">
        <v>0</v>
      </c>
      <c r="Q2217" s="10">
        <v>0</v>
      </c>
      <c r="R2217" s="10">
        <f>IF(COUNTIF($J$2:J2217,J2217)=1,SUMIFS($O:$O,$J:$J,J2217)+SUMIFS($P:$P,$J:$J,J2217)+SUMIFS($Q:$Q,$J:$J,J2217),"")</f>
        <v>5488.76</v>
      </c>
      <c r="S2217" s="10">
        <v>5866.56</v>
      </c>
      <c r="T2217" s="11" t="str">
        <f t="shared" si="208"/>
        <v>Check</v>
      </c>
      <c r="U2217" s="12">
        <v>45804</v>
      </c>
      <c r="V2217" s="10">
        <v>184</v>
      </c>
      <c r="W2217" s="10" t="str">
        <f t="shared" si="206"/>
        <v>Short Paid</v>
      </c>
      <c r="X2217" t="s">
        <v>438</v>
      </c>
      <c r="Y2217" t="s">
        <v>28</v>
      </c>
      <c r="Z2217">
        <v>100163</v>
      </c>
      <c r="AA2217" t="s">
        <v>443</v>
      </c>
      <c r="AB2217" t="s">
        <v>523</v>
      </c>
      <c r="AC2217" s="9">
        <v>5</v>
      </c>
      <c r="AD2217" s="9" t="str">
        <f t="shared" si="207"/>
        <v>Check</v>
      </c>
      <c r="AE2217" s="11">
        <f t="shared" si="209"/>
        <v>-377.80000000000018</v>
      </c>
    </row>
    <row r="2218" spans="1:31" x14ac:dyDescent="0.3">
      <c r="A2218">
        <v>232</v>
      </c>
      <c r="B2218">
        <v>4390297</v>
      </c>
      <c r="C2218" t="s">
        <v>60</v>
      </c>
      <c r="D2218">
        <v>1588891</v>
      </c>
      <c r="E2218" t="s">
        <v>61</v>
      </c>
      <c r="F2218" t="s">
        <v>18</v>
      </c>
      <c r="G2218" t="s">
        <v>4752</v>
      </c>
      <c r="H2218" t="s">
        <v>4753</v>
      </c>
      <c r="I2218" t="s">
        <v>3513</v>
      </c>
      <c r="J2218">
        <v>51160700953</v>
      </c>
      <c r="K2218" t="s">
        <v>3177</v>
      </c>
      <c r="L2218" t="s">
        <v>4275</v>
      </c>
      <c r="M2218">
        <v>8000</v>
      </c>
      <c r="N2218" s="10">
        <v>1.6999999999999999E-3</v>
      </c>
      <c r="O2218" s="10">
        <f t="shared" si="205"/>
        <v>13.6</v>
      </c>
      <c r="P2218" s="10" t="s">
        <v>5006</v>
      </c>
      <c r="Q2218" s="10" t="s">
        <v>5006</v>
      </c>
      <c r="R2218" s="10" t="str">
        <f>IF(COUNTIF($J$2:J2218,J2218)=1,SUMIFS($O:$O,$J:$J,J2218)+SUMIFS($P:$P,$J:$J,J2218)+SUMIFS($Q:$Q,$J:$J,J2218),"")</f>
        <v/>
      </c>
      <c r="S2218" s="10" t="s">
        <v>5006</v>
      </c>
      <c r="T2218" s="11" t="str">
        <f t="shared" si="208"/>
        <v>Check</v>
      </c>
      <c r="U2218" s="12">
        <v>45804</v>
      </c>
      <c r="V2218" s="10">
        <v>184</v>
      </c>
      <c r="W2218" s="10" t="str">
        <f t="shared" si="206"/>
        <v>N/A</v>
      </c>
      <c r="X2218" t="s">
        <v>438</v>
      </c>
      <c r="Y2218" t="s">
        <v>28</v>
      </c>
      <c r="Z2218">
        <v>100163</v>
      </c>
      <c r="AA2218" t="s">
        <v>443</v>
      </c>
      <c r="AB2218" t="s">
        <v>523</v>
      </c>
      <c r="AC2218" s="9">
        <v>5</v>
      </c>
      <c r="AD2218" s="9" t="str">
        <f t="shared" si="207"/>
        <v>N/A</v>
      </c>
      <c r="AE2218" s="11" t="e">
        <f t="shared" si="209"/>
        <v>#VALUE!</v>
      </c>
    </row>
    <row r="2219" spans="1:31" x14ac:dyDescent="0.3">
      <c r="A2219">
        <v>232</v>
      </c>
      <c r="B2219">
        <v>4390297</v>
      </c>
      <c r="C2219" t="s">
        <v>60</v>
      </c>
      <c r="D2219">
        <v>1588891</v>
      </c>
      <c r="E2219" t="s">
        <v>61</v>
      </c>
      <c r="F2219" t="s">
        <v>18</v>
      </c>
      <c r="G2219" t="s">
        <v>4752</v>
      </c>
      <c r="H2219" t="s">
        <v>4753</v>
      </c>
      <c r="I2219" t="s">
        <v>3513</v>
      </c>
      <c r="J2219">
        <v>51160700953</v>
      </c>
      <c r="K2219" t="s">
        <v>3266</v>
      </c>
      <c r="L2219" t="s">
        <v>3893</v>
      </c>
      <c r="M2219">
        <v>3888</v>
      </c>
      <c r="N2219" s="10">
        <v>1.27</v>
      </c>
      <c r="O2219" s="10">
        <f t="shared" si="205"/>
        <v>4937.76</v>
      </c>
      <c r="P2219" s="10" t="s">
        <v>5006</v>
      </c>
      <c r="Q2219" s="10" t="s">
        <v>5006</v>
      </c>
      <c r="R2219" s="10" t="str">
        <f>IF(COUNTIF($J$2:J2219,J2219)=1,SUMIFS($O:$O,$J:$J,J2219)+SUMIFS($P:$P,$J:$J,J2219)+SUMIFS($Q:$Q,$J:$J,J2219),"")</f>
        <v/>
      </c>
      <c r="S2219" s="10" t="s">
        <v>5006</v>
      </c>
      <c r="T2219" s="11" t="str">
        <f t="shared" si="208"/>
        <v>Check</v>
      </c>
      <c r="U2219" s="12">
        <v>45804</v>
      </c>
      <c r="V2219" s="10">
        <v>184</v>
      </c>
      <c r="W2219" s="10" t="str">
        <f t="shared" si="206"/>
        <v>N/A</v>
      </c>
      <c r="X2219" t="s">
        <v>438</v>
      </c>
      <c r="Y2219" t="s">
        <v>28</v>
      </c>
      <c r="Z2219">
        <v>100163</v>
      </c>
      <c r="AA2219" t="s">
        <v>443</v>
      </c>
      <c r="AB2219" t="s">
        <v>523</v>
      </c>
      <c r="AC2219" s="9">
        <v>5</v>
      </c>
      <c r="AD2219" s="9" t="str">
        <f t="shared" si="207"/>
        <v>N/A</v>
      </c>
      <c r="AE2219" s="11" t="e">
        <f t="shared" si="209"/>
        <v>#VALUE!</v>
      </c>
    </row>
    <row r="2220" spans="1:31" x14ac:dyDescent="0.3">
      <c r="A2220">
        <v>232</v>
      </c>
      <c r="B2220">
        <v>4390297</v>
      </c>
      <c r="C2220" t="s">
        <v>60</v>
      </c>
      <c r="D2220">
        <v>1588891</v>
      </c>
      <c r="E2220" t="s">
        <v>61</v>
      </c>
      <c r="F2220" t="s">
        <v>18</v>
      </c>
      <c r="G2220" t="s">
        <v>4752</v>
      </c>
      <c r="H2220" t="s">
        <v>4753</v>
      </c>
      <c r="I2220" t="s">
        <v>3513</v>
      </c>
      <c r="J2220">
        <v>51160700953</v>
      </c>
      <c r="K2220" t="s">
        <v>3379</v>
      </c>
      <c r="L2220" t="s">
        <v>4754</v>
      </c>
      <c r="M2220">
        <v>4000</v>
      </c>
      <c r="N2220" s="10">
        <v>2.9100000000000001E-2</v>
      </c>
      <c r="O2220" s="10">
        <f t="shared" si="205"/>
        <v>116.4</v>
      </c>
      <c r="P2220" s="10" t="s">
        <v>5006</v>
      </c>
      <c r="Q2220" s="10" t="s">
        <v>5006</v>
      </c>
      <c r="R2220" s="10" t="str">
        <f>IF(COUNTIF($J$2:J2220,J2220)=1,SUMIFS($O:$O,$J:$J,J2220)+SUMIFS($P:$P,$J:$J,J2220)+SUMIFS($Q:$Q,$J:$J,J2220),"")</f>
        <v/>
      </c>
      <c r="S2220" s="10" t="s">
        <v>5006</v>
      </c>
      <c r="T2220" s="11" t="str">
        <f t="shared" si="208"/>
        <v>Check</v>
      </c>
      <c r="U2220" s="12">
        <v>45804</v>
      </c>
      <c r="V2220" s="10">
        <v>184</v>
      </c>
      <c r="W2220" s="10" t="str">
        <f t="shared" si="206"/>
        <v>N/A</v>
      </c>
      <c r="X2220" t="s">
        <v>438</v>
      </c>
      <c r="Y2220" t="s">
        <v>28</v>
      </c>
      <c r="Z2220">
        <v>100163</v>
      </c>
      <c r="AA2220" t="s">
        <v>443</v>
      </c>
      <c r="AB2220" t="s">
        <v>523</v>
      </c>
      <c r="AC2220" s="9">
        <v>5</v>
      </c>
      <c r="AD2220" s="9" t="str">
        <f t="shared" si="207"/>
        <v>N/A</v>
      </c>
      <c r="AE2220" s="11" t="e">
        <f t="shared" si="209"/>
        <v>#VALUE!</v>
      </c>
    </row>
    <row r="2221" spans="1:31" x14ac:dyDescent="0.3">
      <c r="A2221">
        <v>232</v>
      </c>
      <c r="B2221">
        <v>4390297</v>
      </c>
      <c r="C2221" t="s">
        <v>60</v>
      </c>
      <c r="D2221">
        <v>1588891</v>
      </c>
      <c r="E2221" t="s">
        <v>61</v>
      </c>
      <c r="F2221" t="s">
        <v>18</v>
      </c>
      <c r="G2221" t="s">
        <v>4752</v>
      </c>
      <c r="H2221" t="s">
        <v>4753</v>
      </c>
      <c r="I2221" t="s">
        <v>3513</v>
      </c>
      <c r="J2221">
        <v>51160700953</v>
      </c>
      <c r="K2221" t="s">
        <v>3207</v>
      </c>
      <c r="L2221" t="s">
        <v>3724</v>
      </c>
      <c r="M2221">
        <v>12000</v>
      </c>
      <c r="N2221" s="10">
        <v>2.3E-2</v>
      </c>
      <c r="O2221" s="10">
        <f t="shared" si="205"/>
        <v>276</v>
      </c>
      <c r="P2221" s="10" t="s">
        <v>5006</v>
      </c>
      <c r="Q2221" s="10" t="s">
        <v>5006</v>
      </c>
      <c r="R2221" s="10" t="str">
        <f>IF(COUNTIF($J$2:J2221,J2221)=1,SUMIFS($O:$O,$J:$J,J2221)+SUMIFS($P:$P,$J:$J,J2221)+SUMIFS($Q:$Q,$J:$J,J2221),"")</f>
        <v/>
      </c>
      <c r="S2221" s="10" t="s">
        <v>5006</v>
      </c>
      <c r="T2221" s="11" t="str">
        <f t="shared" si="208"/>
        <v>Check</v>
      </c>
      <c r="U2221" s="12">
        <v>45804</v>
      </c>
      <c r="V2221" s="10">
        <v>184</v>
      </c>
      <c r="W2221" s="10" t="str">
        <f t="shared" si="206"/>
        <v>N/A</v>
      </c>
      <c r="X2221" t="s">
        <v>438</v>
      </c>
      <c r="Y2221" t="s">
        <v>28</v>
      </c>
      <c r="Z2221">
        <v>100163</v>
      </c>
      <c r="AA2221" t="s">
        <v>443</v>
      </c>
      <c r="AB2221" t="s">
        <v>523</v>
      </c>
      <c r="AC2221" s="9">
        <v>5</v>
      </c>
      <c r="AD2221" s="9" t="str">
        <f t="shared" si="207"/>
        <v>N/A</v>
      </c>
      <c r="AE2221" s="11" t="e">
        <f t="shared" si="209"/>
        <v>#VALUE!</v>
      </c>
    </row>
    <row r="2222" spans="1:31" x14ac:dyDescent="0.3">
      <c r="A2222">
        <v>4</v>
      </c>
      <c r="B2222">
        <v>4943515</v>
      </c>
      <c r="C2222" t="s">
        <v>94</v>
      </c>
      <c r="D2222">
        <v>1292196</v>
      </c>
      <c r="E2222" t="s">
        <v>593</v>
      </c>
      <c r="F2222" t="s">
        <v>25</v>
      </c>
      <c r="G2222" t="s">
        <v>2956</v>
      </c>
      <c r="H2222" t="s">
        <v>1824</v>
      </c>
      <c r="I2222" t="s">
        <v>3263</v>
      </c>
      <c r="J2222">
        <v>51160813064</v>
      </c>
      <c r="K2222" t="s">
        <v>3266</v>
      </c>
      <c r="L2222" t="s">
        <v>3632</v>
      </c>
      <c r="M2222">
        <v>8400</v>
      </c>
      <c r="N2222" s="10">
        <v>0.37885999999999997</v>
      </c>
      <c r="O2222" s="10">
        <f t="shared" si="205"/>
        <v>3182.424</v>
      </c>
      <c r="P2222" s="10">
        <v>23.310000000000002</v>
      </c>
      <c r="Q2222" s="10">
        <v>0</v>
      </c>
      <c r="R2222" s="10">
        <f>IF(COUNTIF($J$2:J2222,J2222)=1,SUMIFS($O:$O,$J:$J,J2222)+SUMIFS($P:$P,$J:$J,J2222)+SUMIFS($Q:$Q,$J:$J,J2222),"")</f>
        <v>3414.8939999999998</v>
      </c>
      <c r="S2222" s="10">
        <v>3444.79</v>
      </c>
      <c r="T2222" s="11" t="str">
        <f t="shared" si="208"/>
        <v>Check</v>
      </c>
      <c r="U2222" s="12">
        <v>45421</v>
      </c>
      <c r="V2222" s="10">
        <v>262.37</v>
      </c>
      <c r="W2222" s="10" t="str">
        <f t="shared" si="206"/>
        <v>Short Paid</v>
      </c>
      <c r="X2222" t="s">
        <v>450</v>
      </c>
      <c r="Y2222" t="s">
        <v>28</v>
      </c>
      <c r="Z2222">
        <v>100207</v>
      </c>
      <c r="AA2222" t="s">
        <v>519</v>
      </c>
      <c r="AB2222" t="s">
        <v>525</v>
      </c>
      <c r="AC2222" s="9">
        <v>2</v>
      </c>
      <c r="AD2222" s="9" t="str">
        <f t="shared" si="207"/>
        <v>Check</v>
      </c>
      <c r="AE2222" s="11">
        <f t="shared" si="209"/>
        <v>-29.896000000000186</v>
      </c>
    </row>
    <row r="2223" spans="1:31" x14ac:dyDescent="0.3">
      <c r="A2223">
        <v>4</v>
      </c>
      <c r="B2223">
        <v>4943515</v>
      </c>
      <c r="C2223" t="s">
        <v>94</v>
      </c>
      <c r="D2223">
        <v>1292196</v>
      </c>
      <c r="E2223" t="s">
        <v>593</v>
      </c>
      <c r="F2223" t="s">
        <v>25</v>
      </c>
      <c r="G2223" t="s">
        <v>2956</v>
      </c>
      <c r="H2223" t="s">
        <v>1824</v>
      </c>
      <c r="I2223" t="s">
        <v>3477</v>
      </c>
      <c r="J2223">
        <v>51160813064</v>
      </c>
      <c r="K2223" t="s">
        <v>3183</v>
      </c>
      <c r="L2223" t="s">
        <v>4755</v>
      </c>
      <c r="M2223">
        <v>3</v>
      </c>
      <c r="N2223" s="10">
        <v>69.72</v>
      </c>
      <c r="O2223" s="10">
        <f t="shared" si="205"/>
        <v>209.16</v>
      </c>
      <c r="P2223" s="10" t="s">
        <v>5006</v>
      </c>
      <c r="Q2223" s="10" t="s">
        <v>5006</v>
      </c>
      <c r="R2223" s="10" t="str">
        <f>IF(COUNTIF($J$2:J2223,J2223)=1,SUMIFS($O:$O,$J:$J,J2223)+SUMIFS($P:$P,$J:$J,J2223)+SUMIFS($Q:$Q,$J:$J,J2223),"")</f>
        <v/>
      </c>
      <c r="S2223" s="10" t="s">
        <v>5006</v>
      </c>
      <c r="T2223" s="11" t="str">
        <f t="shared" si="208"/>
        <v>Check</v>
      </c>
      <c r="U2223" s="12">
        <v>45421</v>
      </c>
      <c r="V2223" s="10">
        <v>262.37</v>
      </c>
      <c r="W2223" s="10" t="str">
        <f t="shared" si="206"/>
        <v>N/A</v>
      </c>
      <c r="X2223" t="s">
        <v>450</v>
      </c>
      <c r="Y2223" t="s">
        <v>28</v>
      </c>
      <c r="Z2223">
        <v>100207</v>
      </c>
      <c r="AA2223" t="s">
        <v>519</v>
      </c>
      <c r="AB2223" t="s">
        <v>525</v>
      </c>
      <c r="AC2223" s="9">
        <v>2</v>
      </c>
      <c r="AD2223" s="9" t="str">
        <f t="shared" si="207"/>
        <v>N/A</v>
      </c>
      <c r="AE2223" s="11" t="e">
        <f t="shared" si="209"/>
        <v>#VALUE!</v>
      </c>
    </row>
    <row r="2224" spans="1:31" x14ac:dyDescent="0.3">
      <c r="A2224">
        <v>0</v>
      </c>
      <c r="B2224">
        <v>4983310</v>
      </c>
      <c r="C2224" t="s">
        <v>220</v>
      </c>
      <c r="D2224">
        <v>1410876</v>
      </c>
      <c r="E2224" t="s">
        <v>621</v>
      </c>
      <c r="F2224" t="s">
        <v>20</v>
      </c>
      <c r="G2224" t="s">
        <v>3022</v>
      </c>
      <c r="H2224" t="s">
        <v>1930</v>
      </c>
      <c r="I2224" t="s">
        <v>3227</v>
      </c>
      <c r="J2224">
        <v>51160861401</v>
      </c>
      <c r="K2224" t="s">
        <v>3207</v>
      </c>
      <c r="L2224" t="s">
        <v>4756</v>
      </c>
      <c r="M2224">
        <v>10000</v>
      </c>
      <c r="N2224" s="10">
        <v>7.9799999999999992E-3</v>
      </c>
      <c r="O2224" s="10">
        <f t="shared" si="205"/>
        <v>79.8</v>
      </c>
      <c r="P2224" s="10">
        <v>0</v>
      </c>
      <c r="Q2224" s="10">
        <v>160.55000000000001</v>
      </c>
      <c r="R2224" s="10">
        <f>IF(COUNTIF($J$2:J2224,J2224)=1,SUMIFS($O:$O,$J:$J,J2224)+SUMIFS($P:$P,$J:$J,J2224)+SUMIFS($Q:$Q,$J:$J,J2224),"")</f>
        <v>1930.35</v>
      </c>
      <c r="S2224" s="10">
        <v>2455.3500000000004</v>
      </c>
      <c r="T2224" s="11" t="str">
        <f t="shared" si="208"/>
        <v>Check</v>
      </c>
      <c r="U2224" s="12">
        <v>45729</v>
      </c>
      <c r="V2224" s="10">
        <v>79.8</v>
      </c>
      <c r="W2224" s="10" t="str">
        <f t="shared" si="206"/>
        <v>Short Paid</v>
      </c>
      <c r="X2224" t="s">
        <v>470</v>
      </c>
      <c r="Y2224" t="s">
        <v>28</v>
      </c>
      <c r="Z2224">
        <v>100278</v>
      </c>
      <c r="AA2224" t="s">
        <v>3114</v>
      </c>
      <c r="AB2224" t="s">
        <v>521</v>
      </c>
      <c r="AC2224" s="9">
        <v>2</v>
      </c>
      <c r="AD2224" s="9" t="str">
        <f t="shared" si="207"/>
        <v>Check</v>
      </c>
      <c r="AE2224" s="11">
        <f t="shared" si="209"/>
        <v>-525.00000000000045</v>
      </c>
    </row>
    <row r="2225" spans="1:31" x14ac:dyDescent="0.3">
      <c r="A2225">
        <v>0</v>
      </c>
      <c r="B2225">
        <v>4983310</v>
      </c>
      <c r="C2225" t="s">
        <v>220</v>
      </c>
      <c r="D2225">
        <v>1410876</v>
      </c>
      <c r="E2225" t="s">
        <v>621</v>
      </c>
      <c r="F2225" t="s">
        <v>20</v>
      </c>
      <c r="G2225" t="s">
        <v>3022</v>
      </c>
      <c r="H2225" t="s">
        <v>1930</v>
      </c>
      <c r="I2225" t="s">
        <v>3213</v>
      </c>
      <c r="J2225">
        <v>51160861401</v>
      </c>
      <c r="K2225" t="s">
        <v>3320</v>
      </c>
      <c r="L2225" t="s">
        <v>4757</v>
      </c>
      <c r="M2225">
        <v>1</v>
      </c>
      <c r="N2225" s="10">
        <v>1690</v>
      </c>
      <c r="O2225" s="10">
        <f t="shared" si="205"/>
        <v>1690</v>
      </c>
      <c r="P2225" s="10" t="s">
        <v>5006</v>
      </c>
      <c r="Q2225" s="10" t="s">
        <v>5006</v>
      </c>
      <c r="R2225" s="10" t="str">
        <f>IF(COUNTIF($J$2:J2225,J2225)=1,SUMIFS($O:$O,$J:$J,J2225)+SUMIFS($P:$P,$J:$J,J2225)+SUMIFS($Q:$Q,$J:$J,J2225),"")</f>
        <v/>
      </c>
      <c r="S2225" s="10" t="s">
        <v>5006</v>
      </c>
      <c r="T2225" s="11" t="str">
        <f t="shared" si="208"/>
        <v>Check</v>
      </c>
      <c r="U2225" s="12">
        <v>45729</v>
      </c>
      <c r="V2225" s="10">
        <v>79.8</v>
      </c>
      <c r="W2225" s="10" t="str">
        <f t="shared" si="206"/>
        <v>N/A</v>
      </c>
      <c r="X2225" t="s">
        <v>470</v>
      </c>
      <c r="Y2225" t="s">
        <v>28</v>
      </c>
      <c r="Z2225">
        <v>100278</v>
      </c>
      <c r="AA2225" t="s">
        <v>3114</v>
      </c>
      <c r="AB2225" t="s">
        <v>521</v>
      </c>
      <c r="AC2225" s="9">
        <v>2</v>
      </c>
      <c r="AD2225" s="9" t="str">
        <f t="shared" si="207"/>
        <v>N/A</v>
      </c>
      <c r="AE2225" s="11" t="e">
        <f t="shared" si="209"/>
        <v>#VALUE!</v>
      </c>
    </row>
    <row r="2226" spans="1:31" x14ac:dyDescent="0.3">
      <c r="A2226">
        <v>247</v>
      </c>
      <c r="B2226">
        <v>4384418</v>
      </c>
      <c r="C2226" t="s">
        <v>239</v>
      </c>
      <c r="D2226">
        <v>1043711</v>
      </c>
      <c r="E2226" t="s">
        <v>539</v>
      </c>
      <c r="F2226" t="s">
        <v>18</v>
      </c>
      <c r="G2226" t="s">
        <v>1938</v>
      </c>
      <c r="H2226" t="s">
        <v>1939</v>
      </c>
      <c r="I2226" t="s">
        <v>3221</v>
      </c>
      <c r="J2226">
        <v>51160861448</v>
      </c>
      <c r="K2226" t="s">
        <v>3661</v>
      </c>
      <c r="L2226" t="s">
        <v>4758</v>
      </c>
      <c r="M2226">
        <v>8000</v>
      </c>
      <c r="N2226" s="10">
        <v>0.33539999999999998</v>
      </c>
      <c r="O2226" s="10">
        <f t="shared" si="205"/>
        <v>2683.2</v>
      </c>
      <c r="P2226" s="10">
        <v>171.16</v>
      </c>
      <c r="Q2226" s="10">
        <v>546.55999999999995</v>
      </c>
      <c r="R2226" s="10">
        <f>IF(COUNTIF($J$2:J2226,J2226)=1,SUMIFS($O:$O,$J:$J,J2226)+SUMIFS($P:$P,$J:$J,J2226)+SUMIFS($Q:$Q,$J:$J,J2226),"")</f>
        <v>3594.3199999999997</v>
      </c>
      <c r="S2226" s="10">
        <v>3594.32</v>
      </c>
      <c r="T2226" s="11" t="str">
        <f t="shared" si="208"/>
        <v>Ok</v>
      </c>
      <c r="U2226" s="12">
        <v>45859</v>
      </c>
      <c r="V2226" s="10">
        <v>965.01</v>
      </c>
      <c r="W2226" s="10" t="str">
        <f t="shared" si="206"/>
        <v>Short Paid</v>
      </c>
      <c r="X2226" t="s">
        <v>476</v>
      </c>
      <c r="Y2226" t="s">
        <v>28</v>
      </c>
      <c r="Z2226">
        <v>100275</v>
      </c>
      <c r="AA2226" t="s">
        <v>492</v>
      </c>
      <c r="AB2226" t="s">
        <v>523</v>
      </c>
      <c r="AC2226" s="9">
        <v>2</v>
      </c>
      <c r="AD2226" s="9" t="str">
        <f t="shared" si="207"/>
        <v>Ok</v>
      </c>
      <c r="AE2226" s="11">
        <f t="shared" si="209"/>
        <v>0</v>
      </c>
    </row>
    <row r="2227" spans="1:31" x14ac:dyDescent="0.3">
      <c r="A2227">
        <v>247</v>
      </c>
      <c r="B2227">
        <v>4384418</v>
      </c>
      <c r="C2227" t="s">
        <v>239</v>
      </c>
      <c r="D2227">
        <v>1043711</v>
      </c>
      <c r="E2227" t="s">
        <v>539</v>
      </c>
      <c r="F2227" t="s">
        <v>18</v>
      </c>
      <c r="G2227" t="s">
        <v>1938</v>
      </c>
      <c r="H2227" t="s">
        <v>1939</v>
      </c>
      <c r="I2227" t="s">
        <v>3221</v>
      </c>
      <c r="J2227">
        <v>51160861448</v>
      </c>
      <c r="K2227" t="s">
        <v>3379</v>
      </c>
      <c r="L2227" t="s">
        <v>4759</v>
      </c>
      <c r="M2227">
        <v>1000</v>
      </c>
      <c r="N2227" s="10">
        <v>0.19339999999999999</v>
      </c>
      <c r="O2227" s="10">
        <f t="shared" si="205"/>
        <v>193.39999999999998</v>
      </c>
      <c r="P2227" s="10" t="s">
        <v>5006</v>
      </c>
      <c r="Q2227" s="10" t="s">
        <v>5006</v>
      </c>
      <c r="R2227" s="10" t="str">
        <f>IF(COUNTIF($J$2:J2227,J2227)=1,SUMIFS($O:$O,$J:$J,J2227)+SUMIFS($P:$P,$J:$J,J2227)+SUMIFS($Q:$Q,$J:$J,J2227),"")</f>
        <v/>
      </c>
      <c r="S2227" s="10" t="s">
        <v>5006</v>
      </c>
      <c r="T2227" s="11" t="str">
        <f t="shared" si="208"/>
        <v>Ok</v>
      </c>
      <c r="U2227" s="12">
        <v>45859</v>
      </c>
      <c r="V2227" s="10">
        <v>965.01</v>
      </c>
      <c r="W2227" s="10" t="str">
        <f t="shared" si="206"/>
        <v>N/A</v>
      </c>
      <c r="X2227" t="s">
        <v>476</v>
      </c>
      <c r="Y2227" t="s">
        <v>28</v>
      </c>
      <c r="Z2227">
        <v>100275</v>
      </c>
      <c r="AA2227" t="s">
        <v>492</v>
      </c>
      <c r="AB2227" t="s">
        <v>523</v>
      </c>
      <c r="AC2227" s="9">
        <v>2</v>
      </c>
      <c r="AD2227" s="9" t="str">
        <f t="shared" si="207"/>
        <v>N/A</v>
      </c>
      <c r="AE2227" s="11" t="e">
        <f t="shared" si="209"/>
        <v>#VALUE!</v>
      </c>
    </row>
    <row r="2228" spans="1:31" x14ac:dyDescent="0.3">
      <c r="A2228">
        <v>4</v>
      </c>
      <c r="B2228">
        <v>4939898</v>
      </c>
      <c r="C2228" t="s">
        <v>217</v>
      </c>
      <c r="D2228">
        <v>1518030</v>
      </c>
      <c r="E2228" t="s">
        <v>562</v>
      </c>
      <c r="F2228" t="s">
        <v>18</v>
      </c>
      <c r="G2228" t="s">
        <v>1822</v>
      </c>
      <c r="H2228" t="s">
        <v>1823</v>
      </c>
      <c r="I2228" t="s">
        <v>3342</v>
      </c>
      <c r="J2228">
        <v>51160871477</v>
      </c>
      <c r="K2228" t="s">
        <v>3165</v>
      </c>
      <c r="L2228" t="s">
        <v>4057</v>
      </c>
      <c r="M2228">
        <v>11</v>
      </c>
      <c r="N2228" s="10">
        <v>146.15</v>
      </c>
      <c r="O2228" s="10">
        <f t="shared" si="205"/>
        <v>1607.65</v>
      </c>
      <c r="P2228" s="10">
        <v>0</v>
      </c>
      <c r="Q2228" s="10">
        <v>0</v>
      </c>
      <c r="R2228" s="10">
        <f>IF(COUNTIF($J$2:J2228,J2228)=1,SUMIFS($O:$O,$J:$J,J2228)+SUMIFS($P:$P,$J:$J,J2228)+SUMIFS($Q:$Q,$J:$J,J2228),"")</f>
        <v>2808.8500000000004</v>
      </c>
      <c r="S2228" s="10">
        <v>4270.3500000000004</v>
      </c>
      <c r="T2228" s="11" t="str">
        <f t="shared" si="208"/>
        <v>Check</v>
      </c>
      <c r="U2228" s="12">
        <v>46100</v>
      </c>
      <c r="V2228" s="10">
        <v>1201.2</v>
      </c>
      <c r="W2228" s="10" t="str">
        <f t="shared" si="206"/>
        <v>Short Paid</v>
      </c>
      <c r="X2228" t="s">
        <v>468</v>
      </c>
      <c r="Y2228" t="s">
        <v>28</v>
      </c>
      <c r="Z2228">
        <v>100156</v>
      </c>
      <c r="AA2228" t="s">
        <v>3112</v>
      </c>
      <c r="AB2228" t="s">
        <v>523</v>
      </c>
      <c r="AC2228" s="9">
        <v>2</v>
      </c>
      <c r="AD2228" s="9" t="str">
        <f t="shared" si="207"/>
        <v>Check</v>
      </c>
      <c r="AE2228" s="11">
        <f t="shared" si="209"/>
        <v>-1461.5</v>
      </c>
    </row>
    <row r="2229" spans="1:31" x14ac:dyDescent="0.3">
      <c r="A2229">
        <v>4</v>
      </c>
      <c r="B2229">
        <v>4939898</v>
      </c>
      <c r="C2229" t="s">
        <v>217</v>
      </c>
      <c r="D2229">
        <v>1518030</v>
      </c>
      <c r="E2229" t="s">
        <v>562</v>
      </c>
      <c r="F2229" t="s">
        <v>18</v>
      </c>
      <c r="G2229" t="s">
        <v>1822</v>
      </c>
      <c r="H2229" t="s">
        <v>1823</v>
      </c>
      <c r="I2229" t="s">
        <v>3331</v>
      </c>
      <c r="J2229">
        <v>51160871477</v>
      </c>
      <c r="K2229" t="s">
        <v>3351</v>
      </c>
      <c r="L2229" t="s">
        <v>3615</v>
      </c>
      <c r="M2229">
        <v>6000</v>
      </c>
      <c r="N2229" s="10">
        <v>0.20019999999999999</v>
      </c>
      <c r="O2229" s="10">
        <f t="shared" si="205"/>
        <v>1201.2</v>
      </c>
      <c r="P2229" s="10" t="s">
        <v>5006</v>
      </c>
      <c r="Q2229" s="10" t="s">
        <v>5006</v>
      </c>
      <c r="R2229" s="10" t="str">
        <f>IF(COUNTIF($J$2:J2229,J2229)=1,SUMIFS($O:$O,$J:$J,J2229)+SUMIFS($P:$P,$J:$J,J2229)+SUMIFS($Q:$Q,$J:$J,J2229),"")</f>
        <v/>
      </c>
      <c r="S2229" s="10" t="s">
        <v>5006</v>
      </c>
      <c r="T2229" s="11" t="str">
        <f t="shared" si="208"/>
        <v>Check</v>
      </c>
      <c r="U2229" s="12">
        <v>46100</v>
      </c>
      <c r="V2229" s="10">
        <v>1201.2</v>
      </c>
      <c r="W2229" s="10" t="str">
        <f t="shared" si="206"/>
        <v>N/A</v>
      </c>
      <c r="X2229" t="s">
        <v>468</v>
      </c>
      <c r="Y2229" t="s">
        <v>28</v>
      </c>
      <c r="Z2229">
        <v>100156</v>
      </c>
      <c r="AA2229" t="s">
        <v>3112</v>
      </c>
      <c r="AB2229" t="s">
        <v>523</v>
      </c>
      <c r="AC2229" s="9">
        <v>2</v>
      </c>
      <c r="AD2229" s="9" t="str">
        <f t="shared" si="207"/>
        <v>N/A</v>
      </c>
      <c r="AE2229" s="11" t="e">
        <f t="shared" si="209"/>
        <v>#VALUE!</v>
      </c>
    </row>
    <row r="2230" spans="1:31" x14ac:dyDescent="0.3">
      <c r="A2230">
        <v>4</v>
      </c>
      <c r="B2230">
        <v>4939619</v>
      </c>
      <c r="C2230" t="s">
        <v>217</v>
      </c>
      <c r="D2230">
        <v>1518030</v>
      </c>
      <c r="E2230" t="s">
        <v>562</v>
      </c>
      <c r="F2230" t="s">
        <v>18</v>
      </c>
      <c r="G2230" t="s">
        <v>1807</v>
      </c>
      <c r="H2230" t="s">
        <v>1808</v>
      </c>
      <c r="I2230" t="s">
        <v>3172</v>
      </c>
      <c r="J2230">
        <v>51160871488</v>
      </c>
      <c r="K2230" t="s">
        <v>3318</v>
      </c>
      <c r="L2230" t="s">
        <v>4760</v>
      </c>
      <c r="M2230">
        <v>15</v>
      </c>
      <c r="N2230" s="10">
        <v>93.96</v>
      </c>
      <c r="O2230" s="10">
        <f t="shared" si="205"/>
        <v>1409.3999999999999</v>
      </c>
      <c r="P2230" s="10">
        <v>0</v>
      </c>
      <c r="Q2230" s="10">
        <v>178.52</v>
      </c>
      <c r="R2230" s="10">
        <f>IF(COUNTIF($J$2:J2230,J2230)=1,SUMIFS($O:$O,$J:$J,J2230)+SUMIFS($P:$P,$J:$J,J2230)+SUMIFS($Q:$Q,$J:$J,J2230),"")</f>
        <v>10967.119999999999</v>
      </c>
      <c r="S2230" s="10">
        <v>10967.12</v>
      </c>
      <c r="T2230" s="11" t="str">
        <f t="shared" si="208"/>
        <v>Ok</v>
      </c>
      <c r="U2230" s="12">
        <v>46080</v>
      </c>
      <c r="V2230" s="10">
        <v>114</v>
      </c>
      <c r="W2230" s="10" t="str">
        <f t="shared" si="206"/>
        <v>Short Paid</v>
      </c>
      <c r="X2230" t="s">
        <v>468</v>
      </c>
      <c r="Y2230" t="s">
        <v>28</v>
      </c>
      <c r="Z2230">
        <v>100126</v>
      </c>
      <c r="AA2230" t="s">
        <v>3123</v>
      </c>
      <c r="AB2230" t="s">
        <v>523</v>
      </c>
      <c r="AC2230" s="9">
        <v>3</v>
      </c>
      <c r="AD2230" s="9" t="str">
        <f t="shared" si="207"/>
        <v>Ok</v>
      </c>
      <c r="AE2230" s="11">
        <f t="shared" si="209"/>
        <v>0</v>
      </c>
    </row>
    <row r="2231" spans="1:31" x14ac:dyDescent="0.3">
      <c r="A2231">
        <v>4</v>
      </c>
      <c r="B2231">
        <v>4939619</v>
      </c>
      <c r="C2231" t="s">
        <v>217</v>
      </c>
      <c r="D2231">
        <v>1518030</v>
      </c>
      <c r="E2231" t="s">
        <v>562</v>
      </c>
      <c r="F2231" t="s">
        <v>18</v>
      </c>
      <c r="G2231" t="s">
        <v>1807</v>
      </c>
      <c r="H2231" t="s">
        <v>1808</v>
      </c>
      <c r="I2231" t="s">
        <v>3172</v>
      </c>
      <c r="J2231">
        <v>51160871488</v>
      </c>
      <c r="K2231" t="s">
        <v>3318</v>
      </c>
      <c r="L2231" t="s">
        <v>4761</v>
      </c>
      <c r="M2231">
        <v>1</v>
      </c>
      <c r="N2231" s="10">
        <v>7500</v>
      </c>
      <c r="O2231" s="10">
        <f t="shared" si="205"/>
        <v>7500</v>
      </c>
      <c r="P2231" s="10" t="s">
        <v>5006</v>
      </c>
      <c r="Q2231" s="10" t="s">
        <v>5006</v>
      </c>
      <c r="R2231" s="10" t="str">
        <f>IF(COUNTIF($J$2:J2231,J2231)=1,SUMIFS($O:$O,$J:$J,J2231)+SUMIFS($P:$P,$J:$J,J2231)+SUMIFS($Q:$Q,$J:$J,J2231),"")</f>
        <v/>
      </c>
      <c r="S2231" s="10" t="s">
        <v>5006</v>
      </c>
      <c r="T2231" s="11" t="str">
        <f t="shared" si="208"/>
        <v>Ok</v>
      </c>
      <c r="U2231" s="12">
        <v>46080</v>
      </c>
      <c r="V2231" s="10">
        <v>114</v>
      </c>
      <c r="W2231" s="10" t="str">
        <f t="shared" si="206"/>
        <v>N/A</v>
      </c>
      <c r="X2231" t="s">
        <v>468</v>
      </c>
      <c r="Y2231" t="s">
        <v>28</v>
      </c>
      <c r="Z2231">
        <v>100126</v>
      </c>
      <c r="AA2231" t="s">
        <v>3123</v>
      </c>
      <c r="AB2231" t="s">
        <v>523</v>
      </c>
      <c r="AC2231" s="9">
        <v>3</v>
      </c>
      <c r="AD2231" s="9" t="str">
        <f t="shared" si="207"/>
        <v>N/A</v>
      </c>
      <c r="AE2231" s="11" t="e">
        <f t="shared" si="209"/>
        <v>#VALUE!</v>
      </c>
    </row>
    <row r="2232" spans="1:31" x14ac:dyDescent="0.3">
      <c r="A2232">
        <v>4</v>
      </c>
      <c r="B2232">
        <v>4939619</v>
      </c>
      <c r="C2232" t="s">
        <v>217</v>
      </c>
      <c r="D2232">
        <v>1518030</v>
      </c>
      <c r="E2232" t="s">
        <v>562</v>
      </c>
      <c r="F2232" t="s">
        <v>18</v>
      </c>
      <c r="G2232" t="s">
        <v>1807</v>
      </c>
      <c r="H2232" t="s">
        <v>1808</v>
      </c>
      <c r="I2232" t="s">
        <v>3172</v>
      </c>
      <c r="J2232">
        <v>51160871488</v>
      </c>
      <c r="K2232" t="s">
        <v>3318</v>
      </c>
      <c r="L2232" t="s">
        <v>4762</v>
      </c>
      <c r="M2232">
        <v>20</v>
      </c>
      <c r="N2232" s="10">
        <v>93.96</v>
      </c>
      <c r="O2232" s="10">
        <f t="shared" si="205"/>
        <v>1879.1999999999998</v>
      </c>
      <c r="P2232" s="10" t="s">
        <v>5006</v>
      </c>
      <c r="Q2232" s="10" t="s">
        <v>5006</v>
      </c>
      <c r="R2232" s="10" t="str">
        <f>IF(COUNTIF($J$2:J2232,J2232)=1,SUMIFS($O:$O,$J:$J,J2232)+SUMIFS($P:$P,$J:$J,J2232)+SUMIFS($Q:$Q,$J:$J,J2232),"")</f>
        <v/>
      </c>
      <c r="S2232" s="10" t="s">
        <v>5006</v>
      </c>
      <c r="T2232" s="11" t="str">
        <f t="shared" si="208"/>
        <v>Ok</v>
      </c>
      <c r="U2232" s="12">
        <v>46080</v>
      </c>
      <c r="V2232" s="10">
        <v>114</v>
      </c>
      <c r="W2232" s="10" t="str">
        <f t="shared" si="206"/>
        <v>N/A</v>
      </c>
      <c r="X2232" t="s">
        <v>468</v>
      </c>
      <c r="Y2232" t="s">
        <v>28</v>
      </c>
      <c r="Z2232">
        <v>100126</v>
      </c>
      <c r="AA2232" t="s">
        <v>3123</v>
      </c>
      <c r="AB2232" t="s">
        <v>523</v>
      </c>
      <c r="AC2232" s="9">
        <v>3</v>
      </c>
      <c r="AD2232" s="9" t="str">
        <f t="shared" si="207"/>
        <v>N/A</v>
      </c>
      <c r="AE2232" s="11" t="e">
        <f t="shared" si="209"/>
        <v>#VALUE!</v>
      </c>
    </row>
    <row r="2233" spans="1:31" x14ac:dyDescent="0.3">
      <c r="A2233">
        <v>3</v>
      </c>
      <c r="B2233">
        <v>4952142</v>
      </c>
      <c r="C2233" t="s">
        <v>239</v>
      </c>
      <c r="D2233">
        <v>1085063</v>
      </c>
      <c r="E2233" t="s">
        <v>601</v>
      </c>
      <c r="F2233" t="s">
        <v>47</v>
      </c>
      <c r="G2233" t="s">
        <v>1837</v>
      </c>
      <c r="H2233" t="s">
        <v>1838</v>
      </c>
      <c r="I2233" t="s">
        <v>3411</v>
      </c>
      <c r="J2233">
        <v>51160891203</v>
      </c>
      <c r="K2233" t="s">
        <v>3289</v>
      </c>
      <c r="L2233" t="s">
        <v>4763</v>
      </c>
      <c r="M2233">
        <v>2000</v>
      </c>
      <c r="N2233" s="10">
        <v>0.39300000000000002</v>
      </c>
      <c r="O2233" s="10">
        <f t="shared" si="205"/>
        <v>786</v>
      </c>
      <c r="P2233" s="10">
        <v>0</v>
      </c>
      <c r="Q2233" s="10">
        <v>448.02</v>
      </c>
      <c r="R2233" s="10">
        <f>IF(COUNTIF($J$2:J2233,J2233)=1,SUMIFS($O:$O,$J:$J,J2233)+SUMIFS($P:$P,$J:$J,J2233)+SUMIFS($Q:$Q,$J:$J,J2233),"")</f>
        <v>8215.02</v>
      </c>
      <c r="S2233" s="10">
        <v>8215.02</v>
      </c>
      <c r="T2233" s="11" t="str">
        <f t="shared" si="208"/>
        <v>Ok</v>
      </c>
      <c r="U2233" s="12">
        <v>46087</v>
      </c>
      <c r="V2233" s="10">
        <v>1234.02</v>
      </c>
      <c r="W2233" s="10" t="str">
        <f t="shared" si="206"/>
        <v>Short Paid</v>
      </c>
      <c r="X2233" t="s">
        <v>476</v>
      </c>
      <c r="Y2233" t="s">
        <v>28</v>
      </c>
      <c r="Z2233">
        <v>100235</v>
      </c>
      <c r="AA2233" t="s">
        <v>509</v>
      </c>
      <c r="AB2233" t="s">
        <v>3039</v>
      </c>
      <c r="AC2233" s="9">
        <v>2</v>
      </c>
      <c r="AD2233" s="9" t="str">
        <f t="shared" si="207"/>
        <v>Ok</v>
      </c>
      <c r="AE2233" s="11">
        <f t="shared" si="209"/>
        <v>0</v>
      </c>
    </row>
    <row r="2234" spans="1:31" x14ac:dyDescent="0.3">
      <c r="A2234">
        <v>3</v>
      </c>
      <c r="B2234">
        <v>4952142</v>
      </c>
      <c r="C2234" t="s">
        <v>239</v>
      </c>
      <c r="D2234">
        <v>1085063</v>
      </c>
      <c r="E2234" t="s">
        <v>601</v>
      </c>
      <c r="F2234" t="s">
        <v>47</v>
      </c>
      <c r="G2234" t="s">
        <v>1837</v>
      </c>
      <c r="H2234" t="s">
        <v>1838</v>
      </c>
      <c r="I2234" t="s">
        <v>3390</v>
      </c>
      <c r="J2234">
        <v>51160891203</v>
      </c>
      <c r="K2234" t="s">
        <v>3532</v>
      </c>
      <c r="L2234" t="s">
        <v>3534</v>
      </c>
      <c r="M2234">
        <v>39000</v>
      </c>
      <c r="N2234" s="10">
        <v>0.17899999999999999</v>
      </c>
      <c r="O2234" s="10">
        <f t="shared" si="205"/>
        <v>6981</v>
      </c>
      <c r="P2234" s="10" t="s">
        <v>5006</v>
      </c>
      <c r="Q2234" s="10" t="s">
        <v>5006</v>
      </c>
      <c r="R2234" s="10" t="str">
        <f>IF(COUNTIF($J$2:J2234,J2234)=1,SUMIFS($O:$O,$J:$J,J2234)+SUMIFS($P:$P,$J:$J,J2234)+SUMIFS($Q:$Q,$J:$J,J2234),"")</f>
        <v/>
      </c>
      <c r="S2234" s="10" t="s">
        <v>5006</v>
      </c>
      <c r="T2234" s="11" t="str">
        <f t="shared" si="208"/>
        <v>Ok</v>
      </c>
      <c r="U2234" s="12">
        <v>46087</v>
      </c>
      <c r="V2234" s="10">
        <v>1234.02</v>
      </c>
      <c r="W2234" s="10" t="str">
        <f t="shared" si="206"/>
        <v>N/A</v>
      </c>
      <c r="X2234" t="s">
        <v>476</v>
      </c>
      <c r="Y2234" t="s">
        <v>28</v>
      </c>
      <c r="Z2234">
        <v>100235</v>
      </c>
      <c r="AA2234" t="s">
        <v>509</v>
      </c>
      <c r="AB2234" t="s">
        <v>3039</v>
      </c>
      <c r="AC2234" s="9">
        <v>2</v>
      </c>
      <c r="AD2234" s="9" t="str">
        <f t="shared" si="207"/>
        <v>N/A</v>
      </c>
      <c r="AE2234" s="11" t="e">
        <f t="shared" si="209"/>
        <v>#VALUE!</v>
      </c>
    </row>
    <row r="2235" spans="1:31" x14ac:dyDescent="0.3">
      <c r="A2235">
        <v>114</v>
      </c>
      <c r="B2235">
        <v>4438381</v>
      </c>
      <c r="C2235" t="s">
        <v>220</v>
      </c>
      <c r="D2235">
        <v>1469829</v>
      </c>
      <c r="E2235" t="s">
        <v>224</v>
      </c>
      <c r="F2235" t="s">
        <v>47</v>
      </c>
      <c r="G2235" t="s">
        <v>2423</v>
      </c>
      <c r="H2235" t="s">
        <v>2424</v>
      </c>
      <c r="I2235" t="s">
        <v>3412</v>
      </c>
      <c r="J2235">
        <v>51160972988</v>
      </c>
      <c r="K2235" t="s">
        <v>3259</v>
      </c>
      <c r="L2235" t="s">
        <v>4764</v>
      </c>
      <c r="M2235">
        <v>10</v>
      </c>
      <c r="N2235" s="10">
        <v>83.42</v>
      </c>
      <c r="O2235" s="10">
        <f t="shared" si="205"/>
        <v>834.2</v>
      </c>
      <c r="P2235" s="10">
        <v>0</v>
      </c>
      <c r="Q2235" s="10">
        <v>263.99</v>
      </c>
      <c r="R2235" s="10">
        <f>IF(COUNTIF($J$2:J2235,J2235)=1,SUMIFS($O:$O,$J:$J,J2235)+SUMIFS($P:$P,$J:$J,J2235)+SUMIFS($Q:$Q,$J:$J,J2235),"")</f>
        <v>1373.19</v>
      </c>
      <c r="S2235" s="10">
        <v>1373.19</v>
      </c>
      <c r="T2235" s="11" t="str">
        <f t="shared" si="208"/>
        <v>Ok</v>
      </c>
      <c r="U2235" s="12">
        <v>46060</v>
      </c>
      <c r="V2235" s="10">
        <v>65.45</v>
      </c>
      <c r="W2235" s="10" t="str">
        <f t="shared" si="206"/>
        <v>Short Paid</v>
      </c>
      <c r="X2235" t="s">
        <v>470</v>
      </c>
      <c r="Y2235" t="s">
        <v>28</v>
      </c>
      <c r="Z2235">
        <v>100278</v>
      </c>
      <c r="AA2235" t="s">
        <v>3114</v>
      </c>
      <c r="AB2235" t="s">
        <v>3039</v>
      </c>
      <c r="AC2235" s="9">
        <v>2</v>
      </c>
      <c r="AD2235" s="9" t="str">
        <f t="shared" si="207"/>
        <v>Ok</v>
      </c>
      <c r="AE2235" s="11">
        <f t="shared" si="209"/>
        <v>0</v>
      </c>
    </row>
    <row r="2236" spans="1:31" x14ac:dyDescent="0.3">
      <c r="A2236">
        <v>114</v>
      </c>
      <c r="B2236">
        <v>4438381</v>
      </c>
      <c r="C2236" t="s">
        <v>220</v>
      </c>
      <c r="D2236">
        <v>1469829</v>
      </c>
      <c r="E2236" t="s">
        <v>224</v>
      </c>
      <c r="F2236" t="s">
        <v>47</v>
      </c>
      <c r="G2236" t="s">
        <v>2423</v>
      </c>
      <c r="H2236" t="s">
        <v>2424</v>
      </c>
      <c r="I2236" t="s">
        <v>3412</v>
      </c>
      <c r="J2236">
        <v>51160972988</v>
      </c>
      <c r="K2236" t="s">
        <v>3259</v>
      </c>
      <c r="L2236" t="s">
        <v>4765</v>
      </c>
      <c r="M2236">
        <v>1</v>
      </c>
      <c r="N2236" s="10">
        <v>275</v>
      </c>
      <c r="O2236" s="10">
        <f t="shared" si="205"/>
        <v>275</v>
      </c>
      <c r="P2236" s="10" t="s">
        <v>5006</v>
      </c>
      <c r="Q2236" s="10" t="s">
        <v>5006</v>
      </c>
      <c r="R2236" s="10" t="str">
        <f>IF(COUNTIF($J$2:J2236,J2236)=1,SUMIFS($O:$O,$J:$J,J2236)+SUMIFS($P:$P,$J:$J,J2236)+SUMIFS($Q:$Q,$J:$J,J2236),"")</f>
        <v/>
      </c>
      <c r="S2236" s="10" t="s">
        <v>5006</v>
      </c>
      <c r="T2236" s="11" t="str">
        <f t="shared" si="208"/>
        <v>Ok</v>
      </c>
      <c r="U2236" s="12">
        <v>46060</v>
      </c>
      <c r="V2236" s="10">
        <v>65.45</v>
      </c>
      <c r="W2236" s="10" t="str">
        <f t="shared" si="206"/>
        <v>N/A</v>
      </c>
      <c r="X2236" t="s">
        <v>470</v>
      </c>
      <c r="Y2236" t="s">
        <v>28</v>
      </c>
      <c r="Z2236">
        <v>100278</v>
      </c>
      <c r="AA2236" t="s">
        <v>3114</v>
      </c>
      <c r="AB2236" t="s">
        <v>3039</v>
      </c>
      <c r="AC2236" s="9">
        <v>2</v>
      </c>
      <c r="AD2236" s="9" t="str">
        <f t="shared" si="207"/>
        <v>N/A</v>
      </c>
      <c r="AE2236" s="11" t="e">
        <f t="shared" si="209"/>
        <v>#VALUE!</v>
      </c>
    </row>
    <row r="2237" spans="1:31" x14ac:dyDescent="0.3">
      <c r="A2237">
        <v>1</v>
      </c>
      <c r="B2237">
        <v>4978023</v>
      </c>
      <c r="C2237" t="s">
        <v>60</v>
      </c>
      <c r="D2237">
        <v>1450489</v>
      </c>
      <c r="E2237" t="s">
        <v>619</v>
      </c>
      <c r="F2237" t="s">
        <v>24</v>
      </c>
      <c r="G2237" t="s">
        <v>3018</v>
      </c>
      <c r="H2237" t="s">
        <v>1924</v>
      </c>
      <c r="I2237" t="s">
        <v>3485</v>
      </c>
      <c r="J2237">
        <v>51161062640</v>
      </c>
      <c r="K2237" t="s">
        <v>3244</v>
      </c>
      <c r="L2237" t="s">
        <v>3243</v>
      </c>
      <c r="M2237">
        <v>43</v>
      </c>
      <c r="N2237" s="10">
        <v>175</v>
      </c>
      <c r="O2237" s="10">
        <f t="shared" si="205"/>
        <v>7525</v>
      </c>
      <c r="P2237" s="10">
        <v>0</v>
      </c>
      <c r="Q2237" s="10">
        <v>0</v>
      </c>
      <c r="R2237" s="10">
        <f>IF(COUNTIF($J$2:J2237,J2237)=1,SUMIFS($O:$O,$J:$J,J2237)+SUMIFS($P:$P,$J:$J,J2237)+SUMIFS($Q:$Q,$J:$J,J2237),"")</f>
        <v>9505.4500000000007</v>
      </c>
      <c r="S2237" s="10">
        <v>9505.4500000000007</v>
      </c>
      <c r="T2237" s="11" t="str">
        <f t="shared" si="208"/>
        <v>Ok</v>
      </c>
      <c r="U2237" s="12">
        <v>46113</v>
      </c>
      <c r="V2237" s="10">
        <v>1276.29</v>
      </c>
      <c r="W2237" s="10" t="str">
        <f t="shared" si="206"/>
        <v>Short Paid</v>
      </c>
      <c r="X2237" t="s">
        <v>438</v>
      </c>
      <c r="Y2237" t="s">
        <v>40</v>
      </c>
      <c r="Z2237">
        <v>100143</v>
      </c>
      <c r="AA2237" t="s">
        <v>463</v>
      </c>
      <c r="AB2237" t="s">
        <v>522</v>
      </c>
      <c r="AC2237" s="9">
        <v>2</v>
      </c>
      <c r="AD2237" s="9" t="str">
        <f t="shared" si="207"/>
        <v>Ok</v>
      </c>
      <c r="AE2237" s="11">
        <f t="shared" si="209"/>
        <v>0</v>
      </c>
    </row>
    <row r="2238" spans="1:31" x14ac:dyDescent="0.3">
      <c r="A2238">
        <v>1</v>
      </c>
      <c r="B2238">
        <v>4978023</v>
      </c>
      <c r="C2238" t="s">
        <v>60</v>
      </c>
      <c r="D2238">
        <v>1450489</v>
      </c>
      <c r="E2238" t="s">
        <v>619</v>
      </c>
      <c r="F2238" t="s">
        <v>24</v>
      </c>
      <c r="G2238" t="s">
        <v>3018</v>
      </c>
      <c r="H2238" t="s">
        <v>1924</v>
      </c>
      <c r="I2238" t="s">
        <v>3419</v>
      </c>
      <c r="J2238">
        <v>51161062640</v>
      </c>
      <c r="K2238" t="s">
        <v>4767</v>
      </c>
      <c r="L2238" t="s">
        <v>4766</v>
      </c>
      <c r="M2238">
        <v>135</v>
      </c>
      <c r="N2238" s="10">
        <v>14.67</v>
      </c>
      <c r="O2238" s="10">
        <f t="shared" si="205"/>
        <v>1980.45</v>
      </c>
      <c r="P2238" s="10" t="s">
        <v>5006</v>
      </c>
      <c r="Q2238" s="10" t="s">
        <v>5006</v>
      </c>
      <c r="R2238" s="10" t="str">
        <f>IF(COUNTIF($J$2:J2238,J2238)=1,SUMIFS($O:$O,$J:$J,J2238)+SUMIFS($P:$P,$J:$J,J2238)+SUMIFS($Q:$Q,$J:$J,J2238),"")</f>
        <v/>
      </c>
      <c r="S2238" s="10" t="s">
        <v>5006</v>
      </c>
      <c r="T2238" s="11" t="str">
        <f t="shared" si="208"/>
        <v>Ok</v>
      </c>
      <c r="U2238" s="12">
        <v>46113</v>
      </c>
      <c r="V2238" s="10">
        <v>1276.29</v>
      </c>
      <c r="W2238" s="10" t="str">
        <f t="shared" si="206"/>
        <v>N/A</v>
      </c>
      <c r="X2238" t="s">
        <v>438</v>
      </c>
      <c r="Y2238" t="s">
        <v>40</v>
      </c>
      <c r="Z2238">
        <v>100143</v>
      </c>
      <c r="AA2238" t="s">
        <v>463</v>
      </c>
      <c r="AB2238" t="s">
        <v>522</v>
      </c>
      <c r="AC2238" s="9">
        <v>2</v>
      </c>
      <c r="AD2238" s="9" t="str">
        <f t="shared" si="207"/>
        <v>N/A</v>
      </c>
      <c r="AE2238" s="11" t="e">
        <f t="shared" si="209"/>
        <v>#VALUE!</v>
      </c>
    </row>
    <row r="2239" spans="1:31" x14ac:dyDescent="0.3">
      <c r="A2239">
        <v>2</v>
      </c>
      <c r="B2239">
        <v>4964108</v>
      </c>
      <c r="C2239" t="s">
        <v>239</v>
      </c>
      <c r="D2239">
        <v>1065029</v>
      </c>
      <c r="E2239" t="s">
        <v>616</v>
      </c>
      <c r="F2239" t="s">
        <v>24</v>
      </c>
      <c r="G2239" t="s">
        <v>1861</v>
      </c>
      <c r="H2239" t="s">
        <v>1862</v>
      </c>
      <c r="I2239" t="s">
        <v>3350</v>
      </c>
      <c r="J2239">
        <v>51161091560</v>
      </c>
      <c r="K2239" t="s">
        <v>3266</v>
      </c>
      <c r="L2239" t="s">
        <v>3688</v>
      </c>
      <c r="M2239">
        <v>3240</v>
      </c>
      <c r="N2239" s="10">
        <v>0.44429999999999997</v>
      </c>
      <c r="O2239" s="10">
        <f t="shared" si="205"/>
        <v>1439.5319999999999</v>
      </c>
      <c r="P2239" s="10">
        <v>0</v>
      </c>
      <c r="Q2239" s="10">
        <v>342.61</v>
      </c>
      <c r="R2239" s="10">
        <f>IF(COUNTIF($J$2:J2239,J2239)=1,SUMIFS($O:$O,$J:$J,J2239)+SUMIFS($P:$P,$J:$J,J2239)+SUMIFS($Q:$Q,$J:$J,J2239),"")</f>
        <v>5702.6804000000002</v>
      </c>
      <c r="S2239" s="10">
        <v>5702.68</v>
      </c>
      <c r="T2239" s="11" t="str">
        <f t="shared" si="208"/>
        <v>Check</v>
      </c>
      <c r="U2239" s="12">
        <v>46122</v>
      </c>
      <c r="V2239" s="10">
        <v>1984.91</v>
      </c>
      <c r="W2239" s="10" t="str">
        <f t="shared" si="206"/>
        <v>Short Paid</v>
      </c>
      <c r="X2239" t="s">
        <v>476</v>
      </c>
      <c r="Y2239" t="s">
        <v>40</v>
      </c>
      <c r="Z2239">
        <v>100145</v>
      </c>
      <c r="AA2239" t="s">
        <v>3093</v>
      </c>
      <c r="AB2239" t="s">
        <v>522</v>
      </c>
      <c r="AC2239" s="9">
        <v>9</v>
      </c>
      <c r="AD2239" s="9" t="str">
        <f t="shared" si="207"/>
        <v>Check</v>
      </c>
      <c r="AE2239" s="11">
        <f t="shared" si="209"/>
        <v>3.9999999989959178E-4</v>
      </c>
    </row>
    <row r="2240" spans="1:31" x14ac:dyDescent="0.3">
      <c r="A2240">
        <v>2</v>
      </c>
      <c r="B2240">
        <v>4964108</v>
      </c>
      <c r="C2240" t="s">
        <v>239</v>
      </c>
      <c r="D2240">
        <v>1065029</v>
      </c>
      <c r="E2240" t="s">
        <v>616</v>
      </c>
      <c r="F2240" t="s">
        <v>24</v>
      </c>
      <c r="G2240" t="s">
        <v>1861</v>
      </c>
      <c r="H2240" t="s">
        <v>1862</v>
      </c>
      <c r="I2240" t="s">
        <v>3236</v>
      </c>
      <c r="J2240">
        <v>51161091560</v>
      </c>
      <c r="K2240" t="s">
        <v>3370</v>
      </c>
      <c r="L2240" t="s">
        <v>4768</v>
      </c>
      <c r="M2240">
        <v>5000</v>
      </c>
      <c r="N2240" s="10">
        <v>5.0160000000000003E-2</v>
      </c>
      <c r="O2240" s="10">
        <f t="shared" si="205"/>
        <v>250.8</v>
      </c>
      <c r="P2240" s="10" t="s">
        <v>5006</v>
      </c>
      <c r="Q2240" s="10" t="s">
        <v>5006</v>
      </c>
      <c r="R2240" s="10" t="str">
        <f>IF(COUNTIF($J$2:J2240,J2240)=1,SUMIFS($O:$O,$J:$J,J2240)+SUMIFS($P:$P,$J:$J,J2240)+SUMIFS($Q:$Q,$J:$J,J2240),"")</f>
        <v/>
      </c>
      <c r="S2240" s="10" t="s">
        <v>5006</v>
      </c>
      <c r="T2240" s="11" t="str">
        <f t="shared" si="208"/>
        <v>Check</v>
      </c>
      <c r="U2240" s="12">
        <v>46122</v>
      </c>
      <c r="V2240" s="10">
        <v>1984.91</v>
      </c>
      <c r="W2240" s="10" t="str">
        <f t="shared" si="206"/>
        <v>N/A</v>
      </c>
      <c r="X2240" t="s">
        <v>476</v>
      </c>
      <c r="Y2240" t="s">
        <v>40</v>
      </c>
      <c r="Z2240">
        <v>100145</v>
      </c>
      <c r="AA2240" t="s">
        <v>3093</v>
      </c>
      <c r="AB2240" t="s">
        <v>522</v>
      </c>
      <c r="AC2240" s="9">
        <v>9</v>
      </c>
      <c r="AD2240" s="9" t="str">
        <f t="shared" si="207"/>
        <v>N/A</v>
      </c>
      <c r="AE2240" s="11" t="e">
        <f t="shared" si="209"/>
        <v>#VALUE!</v>
      </c>
    </row>
    <row r="2241" spans="1:31" x14ac:dyDescent="0.3">
      <c r="A2241">
        <v>2</v>
      </c>
      <c r="B2241">
        <v>4964108</v>
      </c>
      <c r="C2241" t="s">
        <v>239</v>
      </c>
      <c r="D2241">
        <v>1065029</v>
      </c>
      <c r="E2241" t="s">
        <v>616</v>
      </c>
      <c r="F2241" t="s">
        <v>24</v>
      </c>
      <c r="G2241" t="s">
        <v>1861</v>
      </c>
      <c r="H2241" t="s">
        <v>1862</v>
      </c>
      <c r="I2241" t="s">
        <v>3236</v>
      </c>
      <c r="J2241">
        <v>51161091560</v>
      </c>
      <c r="K2241" t="s">
        <v>3289</v>
      </c>
      <c r="L2241" t="s">
        <v>4769</v>
      </c>
      <c r="M2241">
        <v>2000</v>
      </c>
      <c r="N2241" s="10">
        <v>0.23830000000000001</v>
      </c>
      <c r="O2241" s="10">
        <f t="shared" si="205"/>
        <v>476.6</v>
      </c>
      <c r="P2241" s="10" t="s">
        <v>5006</v>
      </c>
      <c r="Q2241" s="10" t="s">
        <v>5006</v>
      </c>
      <c r="R2241" s="10" t="str">
        <f>IF(COUNTIF($J$2:J2241,J2241)=1,SUMIFS($O:$O,$J:$J,J2241)+SUMIFS($P:$P,$J:$J,J2241)+SUMIFS($Q:$Q,$J:$J,J2241),"")</f>
        <v/>
      </c>
      <c r="S2241" s="10" t="s">
        <v>5006</v>
      </c>
      <c r="T2241" s="11" t="str">
        <f t="shared" si="208"/>
        <v>Check</v>
      </c>
      <c r="U2241" s="12">
        <v>46122</v>
      </c>
      <c r="V2241" s="10">
        <v>1984.91</v>
      </c>
      <c r="W2241" s="10" t="str">
        <f t="shared" si="206"/>
        <v>N/A</v>
      </c>
      <c r="X2241" t="s">
        <v>476</v>
      </c>
      <c r="Y2241" t="s">
        <v>40</v>
      </c>
      <c r="Z2241">
        <v>100145</v>
      </c>
      <c r="AA2241" t="s">
        <v>3093</v>
      </c>
      <c r="AB2241" t="s">
        <v>522</v>
      </c>
      <c r="AC2241" s="9">
        <v>9</v>
      </c>
      <c r="AD2241" s="9" t="str">
        <f t="shared" si="207"/>
        <v>N/A</v>
      </c>
      <c r="AE2241" s="11" t="e">
        <f t="shared" si="209"/>
        <v>#VALUE!</v>
      </c>
    </row>
    <row r="2242" spans="1:31" x14ac:dyDescent="0.3">
      <c r="A2242">
        <v>2</v>
      </c>
      <c r="B2242">
        <v>4964108</v>
      </c>
      <c r="C2242" t="s">
        <v>239</v>
      </c>
      <c r="D2242">
        <v>1065029</v>
      </c>
      <c r="E2242" t="s">
        <v>616</v>
      </c>
      <c r="F2242" t="s">
        <v>24</v>
      </c>
      <c r="G2242" t="s">
        <v>1861</v>
      </c>
      <c r="H2242" t="s">
        <v>1862</v>
      </c>
      <c r="I2242" t="s">
        <v>3236</v>
      </c>
      <c r="J2242">
        <v>51161091560</v>
      </c>
      <c r="K2242" t="s">
        <v>3266</v>
      </c>
      <c r="L2242" t="s">
        <v>4770</v>
      </c>
      <c r="M2242">
        <v>2244</v>
      </c>
      <c r="N2242" s="10">
        <v>0.82450000000000001</v>
      </c>
      <c r="O2242" s="10">
        <f t="shared" ref="O2242:O2305" si="210">M2242*N2242</f>
        <v>1850.1780000000001</v>
      </c>
      <c r="P2242" s="10" t="s">
        <v>5006</v>
      </c>
      <c r="Q2242" s="10" t="s">
        <v>5006</v>
      </c>
      <c r="R2242" s="10" t="str">
        <f>IF(COUNTIF($J$2:J2242,J2242)=1,SUMIFS($O:$O,$J:$J,J2242)+SUMIFS($P:$P,$J:$J,J2242)+SUMIFS($Q:$Q,$J:$J,J2242),"")</f>
        <v/>
      </c>
      <c r="S2242" s="10" t="s">
        <v>5006</v>
      </c>
      <c r="T2242" s="11" t="str">
        <f t="shared" si="208"/>
        <v>Check</v>
      </c>
      <c r="U2242" s="12">
        <v>46122</v>
      </c>
      <c r="V2242" s="10">
        <v>1984.91</v>
      </c>
      <c r="W2242" s="10" t="str">
        <f t="shared" ref="W2242:W2305" si="211">IF(OR(S2242="",V2242=""),"N/A",IF(S2242&lt;&gt;V2242,"Short Paid","Not Paid"))</f>
        <v>N/A</v>
      </c>
      <c r="X2242" t="s">
        <v>476</v>
      </c>
      <c r="Y2242" t="s">
        <v>40</v>
      </c>
      <c r="Z2242">
        <v>100145</v>
      </c>
      <c r="AA2242" t="s">
        <v>3093</v>
      </c>
      <c r="AB2242" t="s">
        <v>522</v>
      </c>
      <c r="AC2242" s="9">
        <v>9</v>
      </c>
      <c r="AD2242" s="9" t="str">
        <f t="shared" ref="AD2242:AD2305" si="212">IF(AND(R2242="",S2242=""),"N/A",IF(R2242=S2242,"Ok","Check"))</f>
        <v>N/A</v>
      </c>
      <c r="AE2242" s="11" t="e">
        <f t="shared" si="209"/>
        <v>#VALUE!</v>
      </c>
    </row>
    <row r="2243" spans="1:31" x14ac:dyDescent="0.3">
      <c r="A2243">
        <v>2</v>
      </c>
      <c r="B2243">
        <v>4964108</v>
      </c>
      <c r="C2243" t="s">
        <v>239</v>
      </c>
      <c r="D2243">
        <v>1065029</v>
      </c>
      <c r="E2243" t="s">
        <v>616</v>
      </c>
      <c r="F2243" t="s">
        <v>24</v>
      </c>
      <c r="G2243" t="s">
        <v>1861</v>
      </c>
      <c r="H2243" t="s">
        <v>1862</v>
      </c>
      <c r="I2243" t="s">
        <v>3236</v>
      </c>
      <c r="J2243">
        <v>51161091560</v>
      </c>
      <c r="K2243" t="s">
        <v>3379</v>
      </c>
      <c r="L2243" t="s">
        <v>4771</v>
      </c>
      <c r="M2243">
        <v>31</v>
      </c>
      <c r="N2243" s="10">
        <v>4.3460000000000001</v>
      </c>
      <c r="O2243" s="10">
        <f t="shared" si="210"/>
        <v>134.726</v>
      </c>
      <c r="P2243" s="10" t="s">
        <v>5006</v>
      </c>
      <c r="Q2243" s="10" t="s">
        <v>5006</v>
      </c>
      <c r="R2243" s="10" t="str">
        <f>IF(COUNTIF($J$2:J2243,J2243)=1,SUMIFS($O:$O,$J:$J,J2243)+SUMIFS($P:$P,$J:$J,J2243)+SUMIFS($Q:$Q,$J:$J,J2243),"")</f>
        <v/>
      </c>
      <c r="S2243" s="10" t="s">
        <v>5006</v>
      </c>
      <c r="T2243" s="11" t="str">
        <f t="shared" ref="T2243:T2306" si="213">IFERROR(INDEX(AD:AD,MATCH(J2243,J:J,0)),"")</f>
        <v>Check</v>
      </c>
      <c r="U2243" s="12">
        <v>46122</v>
      </c>
      <c r="V2243" s="10">
        <v>1984.91</v>
      </c>
      <c r="W2243" s="10" t="str">
        <f t="shared" si="211"/>
        <v>N/A</v>
      </c>
      <c r="X2243" t="s">
        <v>476</v>
      </c>
      <c r="Y2243" t="s">
        <v>40</v>
      </c>
      <c r="Z2243">
        <v>100145</v>
      </c>
      <c r="AA2243" t="s">
        <v>3093</v>
      </c>
      <c r="AB2243" t="s">
        <v>522</v>
      </c>
      <c r="AC2243" s="9">
        <v>9</v>
      </c>
      <c r="AD2243" s="9" t="str">
        <f t="shared" si="212"/>
        <v>N/A</v>
      </c>
      <c r="AE2243" s="11" t="e">
        <f t="shared" si="209"/>
        <v>#VALUE!</v>
      </c>
    </row>
    <row r="2244" spans="1:31" x14ac:dyDescent="0.3">
      <c r="A2244">
        <v>2</v>
      </c>
      <c r="B2244">
        <v>4964108</v>
      </c>
      <c r="C2244" t="s">
        <v>239</v>
      </c>
      <c r="D2244">
        <v>1065029</v>
      </c>
      <c r="E2244" t="s">
        <v>616</v>
      </c>
      <c r="F2244" t="s">
        <v>24</v>
      </c>
      <c r="G2244" t="s">
        <v>1861</v>
      </c>
      <c r="H2244" t="s">
        <v>1862</v>
      </c>
      <c r="I2244" t="s">
        <v>3236</v>
      </c>
      <c r="J2244">
        <v>51161091560</v>
      </c>
      <c r="K2244" t="s">
        <v>3168</v>
      </c>
      <c r="L2244" t="s">
        <v>4772</v>
      </c>
      <c r="M2244">
        <v>6000</v>
      </c>
      <c r="N2244" s="10">
        <v>7.4799999999999997E-3</v>
      </c>
      <c r="O2244" s="10">
        <f t="shared" si="210"/>
        <v>44.879999999999995</v>
      </c>
      <c r="P2244" s="10" t="s">
        <v>5006</v>
      </c>
      <c r="Q2244" s="10" t="s">
        <v>5006</v>
      </c>
      <c r="R2244" s="10" t="str">
        <f>IF(COUNTIF($J$2:J2244,J2244)=1,SUMIFS($O:$O,$J:$J,J2244)+SUMIFS($P:$P,$J:$J,J2244)+SUMIFS($Q:$Q,$J:$J,J2244),"")</f>
        <v/>
      </c>
      <c r="S2244" s="10" t="s">
        <v>5006</v>
      </c>
      <c r="T2244" s="11" t="str">
        <f t="shared" si="213"/>
        <v>Check</v>
      </c>
      <c r="U2244" s="12">
        <v>46122</v>
      </c>
      <c r="V2244" s="10">
        <v>1984.91</v>
      </c>
      <c r="W2244" s="10" t="str">
        <f t="shared" si="211"/>
        <v>N/A</v>
      </c>
      <c r="X2244" t="s">
        <v>476</v>
      </c>
      <c r="Y2244" t="s">
        <v>40</v>
      </c>
      <c r="Z2244">
        <v>100145</v>
      </c>
      <c r="AA2244" t="s">
        <v>3093</v>
      </c>
      <c r="AB2244" t="s">
        <v>522</v>
      </c>
      <c r="AC2244" s="9">
        <v>9</v>
      </c>
      <c r="AD2244" s="9" t="str">
        <f t="shared" si="212"/>
        <v>N/A</v>
      </c>
      <c r="AE2244" s="11" t="e">
        <f t="shared" si="209"/>
        <v>#VALUE!</v>
      </c>
    </row>
    <row r="2245" spans="1:31" x14ac:dyDescent="0.3">
      <c r="A2245">
        <v>2</v>
      </c>
      <c r="B2245">
        <v>4964108</v>
      </c>
      <c r="C2245" t="s">
        <v>239</v>
      </c>
      <c r="D2245">
        <v>1065029</v>
      </c>
      <c r="E2245" t="s">
        <v>616</v>
      </c>
      <c r="F2245" t="s">
        <v>24</v>
      </c>
      <c r="G2245" t="s">
        <v>1861</v>
      </c>
      <c r="H2245" t="s">
        <v>1862</v>
      </c>
      <c r="I2245" t="s">
        <v>3236</v>
      </c>
      <c r="J2245">
        <v>51161091560</v>
      </c>
      <c r="K2245" t="s">
        <v>3168</v>
      </c>
      <c r="L2245" t="s">
        <v>4773</v>
      </c>
      <c r="M2245">
        <v>3000</v>
      </c>
      <c r="N2245" s="10">
        <v>9.0600000000000003E-3</v>
      </c>
      <c r="O2245" s="10">
        <f t="shared" si="210"/>
        <v>27.18</v>
      </c>
      <c r="P2245" s="10" t="s">
        <v>5006</v>
      </c>
      <c r="Q2245" s="10" t="s">
        <v>5006</v>
      </c>
      <c r="R2245" s="10" t="str">
        <f>IF(COUNTIF($J$2:J2245,J2245)=1,SUMIFS($O:$O,$J:$J,J2245)+SUMIFS($P:$P,$J:$J,J2245)+SUMIFS($Q:$Q,$J:$J,J2245),"")</f>
        <v/>
      </c>
      <c r="S2245" s="10" t="s">
        <v>5006</v>
      </c>
      <c r="T2245" s="11" t="str">
        <f t="shared" si="213"/>
        <v>Check</v>
      </c>
      <c r="U2245" s="12">
        <v>46122</v>
      </c>
      <c r="V2245" s="10">
        <v>1984.91</v>
      </c>
      <c r="W2245" s="10" t="str">
        <f t="shared" si="211"/>
        <v>N/A</v>
      </c>
      <c r="X2245" t="s">
        <v>476</v>
      </c>
      <c r="Y2245" t="s">
        <v>40</v>
      </c>
      <c r="Z2245">
        <v>100145</v>
      </c>
      <c r="AA2245" t="s">
        <v>3093</v>
      </c>
      <c r="AB2245" t="s">
        <v>522</v>
      </c>
      <c r="AC2245" s="9">
        <v>9</v>
      </c>
      <c r="AD2245" s="9" t="str">
        <f t="shared" si="212"/>
        <v>N/A</v>
      </c>
      <c r="AE2245" s="11" t="e">
        <f t="shared" si="209"/>
        <v>#VALUE!</v>
      </c>
    </row>
    <row r="2246" spans="1:31" x14ac:dyDescent="0.3">
      <c r="A2246">
        <v>2</v>
      </c>
      <c r="B2246">
        <v>4964108</v>
      </c>
      <c r="C2246" t="s">
        <v>239</v>
      </c>
      <c r="D2246">
        <v>1065029</v>
      </c>
      <c r="E2246" t="s">
        <v>616</v>
      </c>
      <c r="F2246" t="s">
        <v>24</v>
      </c>
      <c r="G2246" t="s">
        <v>1861</v>
      </c>
      <c r="H2246" t="s">
        <v>1862</v>
      </c>
      <c r="I2246" t="s">
        <v>3236</v>
      </c>
      <c r="J2246">
        <v>51161091560</v>
      </c>
      <c r="K2246" t="s">
        <v>3375</v>
      </c>
      <c r="L2246" t="s">
        <v>4774</v>
      </c>
      <c r="M2246">
        <v>1032</v>
      </c>
      <c r="N2246" s="10">
        <v>0.88419999999999999</v>
      </c>
      <c r="O2246" s="10">
        <f t="shared" si="210"/>
        <v>912.49440000000004</v>
      </c>
      <c r="P2246" s="10" t="s">
        <v>5006</v>
      </c>
      <c r="Q2246" s="10" t="s">
        <v>5006</v>
      </c>
      <c r="R2246" s="10" t="str">
        <f>IF(COUNTIF($J$2:J2246,J2246)=1,SUMIFS($O:$O,$J:$J,J2246)+SUMIFS($P:$P,$J:$J,J2246)+SUMIFS($Q:$Q,$J:$J,J2246),"")</f>
        <v/>
      </c>
      <c r="S2246" s="10" t="s">
        <v>5006</v>
      </c>
      <c r="T2246" s="11" t="str">
        <f t="shared" si="213"/>
        <v>Check</v>
      </c>
      <c r="U2246" s="12">
        <v>46122</v>
      </c>
      <c r="V2246" s="10">
        <v>1984.91</v>
      </c>
      <c r="W2246" s="10" t="str">
        <f t="shared" si="211"/>
        <v>N/A</v>
      </c>
      <c r="X2246" t="s">
        <v>476</v>
      </c>
      <c r="Y2246" t="s">
        <v>40</v>
      </c>
      <c r="Z2246">
        <v>100145</v>
      </c>
      <c r="AA2246" t="s">
        <v>3093</v>
      </c>
      <c r="AB2246" t="s">
        <v>522</v>
      </c>
      <c r="AC2246" s="9">
        <v>9</v>
      </c>
      <c r="AD2246" s="9" t="str">
        <f t="shared" si="212"/>
        <v>N/A</v>
      </c>
      <c r="AE2246" s="11" t="e">
        <f t="shared" si="209"/>
        <v>#VALUE!</v>
      </c>
    </row>
    <row r="2247" spans="1:31" x14ac:dyDescent="0.3">
      <c r="A2247">
        <v>2</v>
      </c>
      <c r="B2247">
        <v>4964108</v>
      </c>
      <c r="C2247" t="s">
        <v>239</v>
      </c>
      <c r="D2247">
        <v>1065029</v>
      </c>
      <c r="E2247" t="s">
        <v>616</v>
      </c>
      <c r="F2247" t="s">
        <v>24</v>
      </c>
      <c r="G2247" t="s">
        <v>1861</v>
      </c>
      <c r="H2247" t="s">
        <v>1862</v>
      </c>
      <c r="I2247" t="s">
        <v>3236</v>
      </c>
      <c r="J2247">
        <v>51161091560</v>
      </c>
      <c r="K2247" t="s">
        <v>3241</v>
      </c>
      <c r="L2247" t="s">
        <v>4775</v>
      </c>
      <c r="M2247">
        <v>32000</v>
      </c>
      <c r="N2247" s="10">
        <v>6.9899999999999997E-3</v>
      </c>
      <c r="O2247" s="10">
        <f t="shared" si="210"/>
        <v>223.67999999999998</v>
      </c>
      <c r="P2247" s="10" t="s">
        <v>5006</v>
      </c>
      <c r="Q2247" s="10" t="s">
        <v>5006</v>
      </c>
      <c r="R2247" s="10" t="str">
        <f>IF(COUNTIF($J$2:J2247,J2247)=1,SUMIFS($O:$O,$J:$J,J2247)+SUMIFS($P:$P,$J:$J,J2247)+SUMIFS($Q:$Q,$J:$J,J2247),"")</f>
        <v/>
      </c>
      <c r="S2247" s="10" t="s">
        <v>5006</v>
      </c>
      <c r="T2247" s="11" t="str">
        <f t="shared" si="213"/>
        <v>Check</v>
      </c>
      <c r="U2247" s="12">
        <v>46122</v>
      </c>
      <c r="V2247" s="10">
        <v>1984.91</v>
      </c>
      <c r="W2247" s="10" t="str">
        <f t="shared" si="211"/>
        <v>N/A</v>
      </c>
      <c r="X2247" t="s">
        <v>476</v>
      </c>
      <c r="Y2247" t="s">
        <v>40</v>
      </c>
      <c r="Z2247">
        <v>100145</v>
      </c>
      <c r="AA2247" t="s">
        <v>3093</v>
      </c>
      <c r="AB2247" t="s">
        <v>522</v>
      </c>
      <c r="AC2247" s="9">
        <v>9</v>
      </c>
      <c r="AD2247" s="9" t="str">
        <f t="shared" si="212"/>
        <v>N/A</v>
      </c>
      <c r="AE2247" s="11" t="e">
        <f t="shared" ref="AE2247:AE2310" si="214">R2247-S2247</f>
        <v>#VALUE!</v>
      </c>
    </row>
    <row r="2248" spans="1:31" x14ac:dyDescent="0.3">
      <c r="A2248">
        <v>2</v>
      </c>
      <c r="B2248">
        <v>4962439</v>
      </c>
      <c r="C2248" t="s">
        <v>220</v>
      </c>
      <c r="D2248">
        <v>1490546</v>
      </c>
      <c r="E2248" t="s">
        <v>609</v>
      </c>
      <c r="F2248" t="s">
        <v>24</v>
      </c>
      <c r="G2248" t="s">
        <v>1865</v>
      </c>
      <c r="H2248" t="s">
        <v>1866</v>
      </c>
      <c r="I2248" t="s">
        <v>3451</v>
      </c>
      <c r="J2248">
        <v>51161237246</v>
      </c>
      <c r="K2248" t="s">
        <v>3266</v>
      </c>
      <c r="L2248" t="s">
        <v>3683</v>
      </c>
      <c r="M2248">
        <v>10080</v>
      </c>
      <c r="N2248" s="10">
        <v>0.35560000000000003</v>
      </c>
      <c r="O2248" s="10">
        <f t="shared" si="210"/>
        <v>3584.4480000000003</v>
      </c>
      <c r="P2248" s="10">
        <v>0</v>
      </c>
      <c r="Q2248" s="10">
        <v>1874.67</v>
      </c>
      <c r="R2248" s="10">
        <f>IF(COUNTIF($J$2:J2248,J2248)=1,SUMIFS($O:$O,$J:$J,J2248)+SUMIFS($P:$P,$J:$J,J2248)+SUMIFS($Q:$Q,$J:$J,J2248),"")</f>
        <v>6158.1980000000003</v>
      </c>
      <c r="S2248" s="10">
        <v>6158.2</v>
      </c>
      <c r="T2248" s="11" t="str">
        <f t="shared" si="213"/>
        <v>Check</v>
      </c>
      <c r="U2248" s="12">
        <v>46140</v>
      </c>
      <c r="V2248" s="10">
        <v>188.08</v>
      </c>
      <c r="W2248" s="10" t="str">
        <f t="shared" si="211"/>
        <v>Short Paid</v>
      </c>
      <c r="X2248" t="s">
        <v>470</v>
      </c>
      <c r="Y2248" t="s">
        <v>40</v>
      </c>
      <c r="Z2248">
        <v>100188</v>
      </c>
      <c r="AA2248" t="s">
        <v>3102</v>
      </c>
      <c r="AB2248" t="s">
        <v>522</v>
      </c>
      <c r="AC2248" s="9">
        <v>4</v>
      </c>
      <c r="AD2248" s="9" t="str">
        <f t="shared" si="212"/>
        <v>Check</v>
      </c>
      <c r="AE2248" s="11">
        <f t="shared" si="214"/>
        <v>-1.9999999994979589E-3</v>
      </c>
    </row>
    <row r="2249" spans="1:31" x14ac:dyDescent="0.3">
      <c r="A2249">
        <v>2</v>
      </c>
      <c r="B2249">
        <v>4962439</v>
      </c>
      <c r="C2249" t="s">
        <v>220</v>
      </c>
      <c r="D2249">
        <v>1490546</v>
      </c>
      <c r="E2249" t="s">
        <v>609</v>
      </c>
      <c r="F2249" t="s">
        <v>24</v>
      </c>
      <c r="G2249" t="s">
        <v>1865</v>
      </c>
      <c r="H2249" t="s">
        <v>1866</v>
      </c>
      <c r="I2249" t="s">
        <v>3347</v>
      </c>
      <c r="J2249">
        <v>51161237246</v>
      </c>
      <c r="K2249" t="s">
        <v>3229</v>
      </c>
      <c r="L2249" t="s">
        <v>4776</v>
      </c>
      <c r="M2249">
        <v>20</v>
      </c>
      <c r="N2249" s="10">
        <v>8.3539999999999992</v>
      </c>
      <c r="O2249" s="10">
        <f t="shared" si="210"/>
        <v>167.07999999999998</v>
      </c>
      <c r="P2249" s="10" t="s">
        <v>5006</v>
      </c>
      <c r="Q2249" s="10" t="s">
        <v>5006</v>
      </c>
      <c r="R2249" s="10" t="str">
        <f>IF(COUNTIF($J$2:J2249,J2249)=1,SUMIFS($O:$O,$J:$J,J2249)+SUMIFS($P:$P,$J:$J,J2249)+SUMIFS($Q:$Q,$J:$J,J2249),"")</f>
        <v/>
      </c>
      <c r="S2249" s="10" t="s">
        <v>5006</v>
      </c>
      <c r="T2249" s="11" t="str">
        <f t="shared" si="213"/>
        <v>Check</v>
      </c>
      <c r="U2249" s="12">
        <v>46140</v>
      </c>
      <c r="V2249" s="10">
        <v>188.08</v>
      </c>
      <c r="W2249" s="10" t="str">
        <f t="shared" si="211"/>
        <v>N/A</v>
      </c>
      <c r="X2249" t="s">
        <v>470</v>
      </c>
      <c r="Y2249" t="s">
        <v>40</v>
      </c>
      <c r="Z2249">
        <v>100188</v>
      </c>
      <c r="AA2249" t="s">
        <v>3102</v>
      </c>
      <c r="AB2249" t="s">
        <v>522</v>
      </c>
      <c r="AC2249" s="9">
        <v>4</v>
      </c>
      <c r="AD2249" s="9" t="str">
        <f t="shared" si="212"/>
        <v>N/A</v>
      </c>
      <c r="AE2249" s="11" t="e">
        <f t="shared" si="214"/>
        <v>#VALUE!</v>
      </c>
    </row>
    <row r="2250" spans="1:31" x14ac:dyDescent="0.3">
      <c r="A2250">
        <v>2</v>
      </c>
      <c r="B2250">
        <v>4962439</v>
      </c>
      <c r="C2250" t="s">
        <v>220</v>
      </c>
      <c r="D2250">
        <v>1490546</v>
      </c>
      <c r="E2250" t="s">
        <v>609</v>
      </c>
      <c r="F2250" t="s">
        <v>24</v>
      </c>
      <c r="G2250" t="s">
        <v>1865</v>
      </c>
      <c r="H2250" t="s">
        <v>1866</v>
      </c>
      <c r="I2250" t="s">
        <v>3347</v>
      </c>
      <c r="J2250">
        <v>51161237246</v>
      </c>
      <c r="K2250" t="s">
        <v>3168</v>
      </c>
      <c r="L2250" t="s">
        <v>4777</v>
      </c>
      <c r="M2250">
        <v>50</v>
      </c>
      <c r="N2250" s="10">
        <v>0.42</v>
      </c>
      <c r="O2250" s="10">
        <f t="shared" si="210"/>
        <v>21</v>
      </c>
      <c r="P2250" s="10" t="s">
        <v>5006</v>
      </c>
      <c r="Q2250" s="10" t="s">
        <v>5006</v>
      </c>
      <c r="R2250" s="10" t="str">
        <f>IF(COUNTIF($J$2:J2250,J2250)=1,SUMIFS($O:$O,$J:$J,J2250)+SUMIFS($P:$P,$J:$J,J2250)+SUMIFS($Q:$Q,$J:$J,J2250),"")</f>
        <v/>
      </c>
      <c r="S2250" s="10" t="s">
        <v>5006</v>
      </c>
      <c r="T2250" s="11" t="str">
        <f t="shared" si="213"/>
        <v>Check</v>
      </c>
      <c r="U2250" s="12">
        <v>46140</v>
      </c>
      <c r="V2250" s="10">
        <v>188.08</v>
      </c>
      <c r="W2250" s="10" t="str">
        <f t="shared" si="211"/>
        <v>N/A</v>
      </c>
      <c r="X2250" t="s">
        <v>470</v>
      </c>
      <c r="Y2250" t="s">
        <v>40</v>
      </c>
      <c r="Z2250">
        <v>100188</v>
      </c>
      <c r="AA2250" t="s">
        <v>3102</v>
      </c>
      <c r="AB2250" t="s">
        <v>522</v>
      </c>
      <c r="AC2250" s="9">
        <v>4</v>
      </c>
      <c r="AD2250" s="9" t="str">
        <f t="shared" si="212"/>
        <v>N/A</v>
      </c>
      <c r="AE2250" s="11" t="e">
        <f t="shared" si="214"/>
        <v>#VALUE!</v>
      </c>
    </row>
    <row r="2251" spans="1:31" x14ac:dyDescent="0.3">
      <c r="A2251">
        <v>2</v>
      </c>
      <c r="B2251">
        <v>4962439</v>
      </c>
      <c r="C2251" t="s">
        <v>220</v>
      </c>
      <c r="D2251">
        <v>1490546</v>
      </c>
      <c r="E2251" t="s">
        <v>609</v>
      </c>
      <c r="F2251" t="s">
        <v>24</v>
      </c>
      <c r="G2251" t="s">
        <v>1865</v>
      </c>
      <c r="H2251" t="s">
        <v>1866</v>
      </c>
      <c r="I2251" t="s">
        <v>3347</v>
      </c>
      <c r="J2251">
        <v>51161237246</v>
      </c>
      <c r="K2251" t="s">
        <v>3203</v>
      </c>
      <c r="L2251" t="s">
        <v>4778</v>
      </c>
      <c r="M2251">
        <v>100</v>
      </c>
      <c r="N2251" s="10">
        <v>5.1100000000000003</v>
      </c>
      <c r="O2251" s="10">
        <f t="shared" si="210"/>
        <v>511.00000000000006</v>
      </c>
      <c r="P2251" s="10" t="s">
        <v>5006</v>
      </c>
      <c r="Q2251" s="10" t="s">
        <v>5006</v>
      </c>
      <c r="R2251" s="10" t="str">
        <f>IF(COUNTIF($J$2:J2251,J2251)=1,SUMIFS($O:$O,$J:$J,J2251)+SUMIFS($P:$P,$J:$J,J2251)+SUMIFS($Q:$Q,$J:$J,J2251),"")</f>
        <v/>
      </c>
      <c r="S2251" s="10" t="s">
        <v>5006</v>
      </c>
      <c r="T2251" s="11" t="str">
        <f t="shared" si="213"/>
        <v>Check</v>
      </c>
      <c r="U2251" s="12">
        <v>46140</v>
      </c>
      <c r="V2251" s="10">
        <v>188.08</v>
      </c>
      <c r="W2251" s="10" t="str">
        <f t="shared" si="211"/>
        <v>N/A</v>
      </c>
      <c r="X2251" t="s">
        <v>470</v>
      </c>
      <c r="Y2251" t="s">
        <v>40</v>
      </c>
      <c r="Z2251">
        <v>100188</v>
      </c>
      <c r="AA2251" t="s">
        <v>3102</v>
      </c>
      <c r="AB2251" t="s">
        <v>522</v>
      </c>
      <c r="AC2251" s="9">
        <v>4</v>
      </c>
      <c r="AD2251" s="9" t="str">
        <f t="shared" si="212"/>
        <v>N/A</v>
      </c>
      <c r="AE2251" s="11" t="e">
        <f t="shared" si="214"/>
        <v>#VALUE!</v>
      </c>
    </row>
    <row r="2252" spans="1:31" x14ac:dyDescent="0.3">
      <c r="A2252">
        <v>2</v>
      </c>
      <c r="B2252">
        <v>4962160</v>
      </c>
      <c r="C2252" t="s">
        <v>94</v>
      </c>
      <c r="D2252">
        <v>1509682</v>
      </c>
      <c r="E2252" t="s">
        <v>608</v>
      </c>
      <c r="F2252" t="s">
        <v>24</v>
      </c>
      <c r="G2252" t="s">
        <v>1867</v>
      </c>
      <c r="H2252" t="s">
        <v>1868</v>
      </c>
      <c r="I2252" t="s">
        <v>3467</v>
      </c>
      <c r="J2252">
        <v>51161237277</v>
      </c>
      <c r="K2252" t="s">
        <v>4780</v>
      </c>
      <c r="L2252" t="s">
        <v>4779</v>
      </c>
      <c r="M2252">
        <v>40</v>
      </c>
      <c r="N2252" s="10">
        <v>17.68</v>
      </c>
      <c r="O2252" s="10">
        <f t="shared" si="210"/>
        <v>707.2</v>
      </c>
      <c r="P2252" s="10">
        <v>70.97</v>
      </c>
      <c r="Q2252" s="10">
        <v>436.12</v>
      </c>
      <c r="R2252" s="10">
        <f>IF(COUNTIF($J$2:J2252,J2252)=1,SUMIFS($O:$O,$J:$J,J2252)+SUMIFS($P:$P,$J:$J,J2252)+SUMIFS($Q:$Q,$J:$J,J2252),"")</f>
        <v>1726.3540000000003</v>
      </c>
      <c r="S2252" s="10">
        <v>1726.35</v>
      </c>
      <c r="T2252" s="11" t="str">
        <f t="shared" si="213"/>
        <v>Check</v>
      </c>
      <c r="U2252" s="12">
        <v>46129</v>
      </c>
      <c r="V2252" s="10">
        <v>711.73</v>
      </c>
      <c r="W2252" s="10" t="str">
        <f t="shared" si="211"/>
        <v>Short Paid</v>
      </c>
      <c r="X2252" t="s">
        <v>450</v>
      </c>
      <c r="Y2252" t="s">
        <v>40</v>
      </c>
      <c r="Z2252">
        <v>100107</v>
      </c>
      <c r="AA2252" t="s">
        <v>3137</v>
      </c>
      <c r="AB2252" t="s">
        <v>522</v>
      </c>
      <c r="AC2252" s="9">
        <v>2</v>
      </c>
      <c r="AD2252" s="9" t="str">
        <f t="shared" si="212"/>
        <v>Check</v>
      </c>
      <c r="AE2252" s="11">
        <f t="shared" si="214"/>
        <v>4.0000000003601599E-3</v>
      </c>
    </row>
    <row r="2253" spans="1:31" x14ac:dyDescent="0.3">
      <c r="A2253">
        <v>2</v>
      </c>
      <c r="B2253">
        <v>4962160</v>
      </c>
      <c r="C2253" t="s">
        <v>94</v>
      </c>
      <c r="D2253">
        <v>1509682</v>
      </c>
      <c r="E2253" t="s">
        <v>608</v>
      </c>
      <c r="F2253" t="s">
        <v>24</v>
      </c>
      <c r="G2253" t="s">
        <v>1867</v>
      </c>
      <c r="H2253" t="s">
        <v>1868</v>
      </c>
      <c r="I2253" t="s">
        <v>3411</v>
      </c>
      <c r="J2253">
        <v>51161237277</v>
      </c>
      <c r="K2253" t="s">
        <v>3266</v>
      </c>
      <c r="L2253" t="s">
        <v>3683</v>
      </c>
      <c r="M2253">
        <v>1440</v>
      </c>
      <c r="N2253" s="10">
        <v>0.35560000000000003</v>
      </c>
      <c r="O2253" s="10">
        <f t="shared" si="210"/>
        <v>512.06400000000008</v>
      </c>
      <c r="P2253" s="10" t="s">
        <v>5006</v>
      </c>
      <c r="Q2253" s="10" t="s">
        <v>5006</v>
      </c>
      <c r="R2253" s="10" t="str">
        <f>IF(COUNTIF($J$2:J2253,J2253)=1,SUMIFS($O:$O,$J:$J,J2253)+SUMIFS($P:$P,$J:$J,J2253)+SUMIFS($Q:$Q,$J:$J,J2253),"")</f>
        <v/>
      </c>
      <c r="S2253" s="10" t="s">
        <v>5006</v>
      </c>
      <c r="T2253" s="11" t="str">
        <f t="shared" si="213"/>
        <v>Check</v>
      </c>
      <c r="U2253" s="12">
        <v>46129</v>
      </c>
      <c r="V2253" s="10">
        <v>711.73</v>
      </c>
      <c r="W2253" s="10" t="str">
        <f t="shared" si="211"/>
        <v>N/A</v>
      </c>
      <c r="X2253" t="s">
        <v>450</v>
      </c>
      <c r="Y2253" t="s">
        <v>40</v>
      </c>
      <c r="Z2253">
        <v>100107</v>
      </c>
      <c r="AA2253" t="s">
        <v>3137</v>
      </c>
      <c r="AB2253" t="s">
        <v>522</v>
      </c>
      <c r="AC2253" s="9">
        <v>2</v>
      </c>
      <c r="AD2253" s="9" t="str">
        <f t="shared" si="212"/>
        <v>N/A</v>
      </c>
      <c r="AE2253" s="11" t="e">
        <f t="shared" si="214"/>
        <v>#VALUE!</v>
      </c>
    </row>
    <row r="2254" spans="1:31" x14ac:dyDescent="0.3">
      <c r="A2254">
        <v>3</v>
      </c>
      <c r="B2254">
        <v>4957708</v>
      </c>
      <c r="C2254" t="s">
        <v>240</v>
      </c>
      <c r="D2254">
        <v>1276402</v>
      </c>
      <c r="E2254" t="s">
        <v>540</v>
      </c>
      <c r="F2254" t="s">
        <v>27</v>
      </c>
      <c r="G2254" t="s">
        <v>2963</v>
      </c>
      <c r="H2254" t="s">
        <v>1875</v>
      </c>
      <c r="I2254" t="s">
        <v>3253</v>
      </c>
      <c r="J2254">
        <v>51161274633</v>
      </c>
      <c r="K2254" t="s">
        <v>3252</v>
      </c>
      <c r="L2254" t="s">
        <v>4781</v>
      </c>
      <c r="M2254">
        <v>135000</v>
      </c>
      <c r="N2254" s="10">
        <v>4.1000000000000003E-3</v>
      </c>
      <c r="O2254" s="10">
        <f t="shared" si="210"/>
        <v>553.5</v>
      </c>
      <c r="P2254" s="10">
        <v>71.959999999999994</v>
      </c>
      <c r="Q2254" s="10">
        <v>0</v>
      </c>
      <c r="R2254" s="10">
        <f>IF(COUNTIF($J$2:J2254,J2254)=1,SUMIFS($O:$O,$J:$J,J2254)+SUMIFS($P:$P,$J:$J,J2254)+SUMIFS($Q:$Q,$J:$J,J2254),"")</f>
        <v>781.46</v>
      </c>
      <c r="S2254" s="10">
        <v>781.46</v>
      </c>
      <c r="T2254" s="11" t="str">
        <f t="shared" si="213"/>
        <v>Ok</v>
      </c>
      <c r="U2254" s="12">
        <v>45678</v>
      </c>
      <c r="V2254" s="10">
        <v>156</v>
      </c>
      <c r="W2254" s="10" t="str">
        <f t="shared" si="211"/>
        <v>Short Paid</v>
      </c>
      <c r="X2254" t="s">
        <v>478</v>
      </c>
      <c r="Y2254" t="s">
        <v>436</v>
      </c>
      <c r="Z2254">
        <v>100172</v>
      </c>
      <c r="AA2254" t="s">
        <v>3157</v>
      </c>
      <c r="AB2254" t="s">
        <v>3034</v>
      </c>
      <c r="AC2254" s="9">
        <v>2</v>
      </c>
      <c r="AD2254" s="9" t="str">
        <f t="shared" si="212"/>
        <v>Ok</v>
      </c>
      <c r="AE2254" s="11">
        <f t="shared" si="214"/>
        <v>0</v>
      </c>
    </row>
    <row r="2255" spans="1:31" x14ac:dyDescent="0.3">
      <c r="A2255">
        <v>3</v>
      </c>
      <c r="B2255">
        <v>4957708</v>
      </c>
      <c r="C2255" t="s">
        <v>240</v>
      </c>
      <c r="D2255">
        <v>1276402</v>
      </c>
      <c r="E2255" t="s">
        <v>540</v>
      </c>
      <c r="F2255" t="s">
        <v>27</v>
      </c>
      <c r="G2255" t="s">
        <v>2963</v>
      </c>
      <c r="H2255" t="s">
        <v>1875</v>
      </c>
      <c r="I2255" t="s">
        <v>3462</v>
      </c>
      <c r="J2255">
        <v>51161274633</v>
      </c>
      <c r="K2255" t="s">
        <v>3902</v>
      </c>
      <c r="L2255" t="s">
        <v>3901</v>
      </c>
      <c r="M2255">
        <v>6</v>
      </c>
      <c r="N2255" s="10">
        <v>26</v>
      </c>
      <c r="O2255" s="10">
        <f t="shared" si="210"/>
        <v>156</v>
      </c>
      <c r="P2255" s="10" t="s">
        <v>5006</v>
      </c>
      <c r="Q2255" s="10" t="s">
        <v>5006</v>
      </c>
      <c r="R2255" s="10" t="str">
        <f>IF(COUNTIF($J$2:J2255,J2255)=1,SUMIFS($O:$O,$J:$J,J2255)+SUMIFS($P:$P,$J:$J,J2255)+SUMIFS($Q:$Q,$J:$J,J2255),"")</f>
        <v/>
      </c>
      <c r="S2255" s="10" t="s">
        <v>5006</v>
      </c>
      <c r="T2255" s="11" t="str">
        <f t="shared" si="213"/>
        <v>Ok</v>
      </c>
      <c r="U2255" s="12">
        <v>45678</v>
      </c>
      <c r="V2255" s="10">
        <v>156</v>
      </c>
      <c r="W2255" s="10" t="str">
        <f t="shared" si="211"/>
        <v>N/A</v>
      </c>
      <c r="X2255" t="s">
        <v>478</v>
      </c>
      <c r="Y2255" t="s">
        <v>436</v>
      </c>
      <c r="Z2255">
        <v>100172</v>
      </c>
      <c r="AA2255" t="s">
        <v>3157</v>
      </c>
      <c r="AB2255" t="s">
        <v>3034</v>
      </c>
      <c r="AC2255" s="9">
        <v>2</v>
      </c>
      <c r="AD2255" s="9" t="str">
        <f t="shared" si="212"/>
        <v>N/A</v>
      </c>
      <c r="AE2255" s="11" t="e">
        <f t="shared" si="214"/>
        <v>#VALUE!</v>
      </c>
    </row>
    <row r="2256" spans="1:31" x14ac:dyDescent="0.3">
      <c r="A2256">
        <v>2</v>
      </c>
      <c r="B2256">
        <v>4971622</v>
      </c>
      <c r="C2256" t="s">
        <v>56</v>
      </c>
      <c r="D2256">
        <v>1880594</v>
      </c>
      <c r="E2256" t="s">
        <v>397</v>
      </c>
      <c r="F2256" t="s">
        <v>24</v>
      </c>
      <c r="G2256" t="s">
        <v>2990</v>
      </c>
      <c r="H2256" t="s">
        <v>1911</v>
      </c>
      <c r="I2256" t="s">
        <v>3462</v>
      </c>
      <c r="J2256">
        <v>51161376973</v>
      </c>
      <c r="K2256" t="s">
        <v>3370</v>
      </c>
      <c r="L2256" t="s">
        <v>4782</v>
      </c>
      <c r="M2256">
        <v>6000</v>
      </c>
      <c r="N2256" s="10">
        <v>1.6799999999999999E-2</v>
      </c>
      <c r="O2256" s="10">
        <f t="shared" si="210"/>
        <v>100.8</v>
      </c>
      <c r="P2256" s="10">
        <v>0</v>
      </c>
      <c r="Q2256" s="10">
        <v>514.52</v>
      </c>
      <c r="R2256" s="10">
        <f>IF(COUNTIF($J$2:J2256,J2256)=1,SUMIFS($O:$O,$J:$J,J2256)+SUMIFS($P:$P,$J:$J,J2256)+SUMIFS($Q:$Q,$J:$J,J2256),"")</f>
        <v>5527.3600000000006</v>
      </c>
      <c r="S2256" s="10">
        <v>5527.3600000000006</v>
      </c>
      <c r="T2256" s="11" t="str">
        <f t="shared" si="213"/>
        <v>Ok</v>
      </c>
      <c r="U2256" s="12">
        <v>46149</v>
      </c>
      <c r="V2256" s="10">
        <v>100.8</v>
      </c>
      <c r="W2256" s="10" t="str">
        <f t="shared" si="211"/>
        <v>Short Paid</v>
      </c>
      <c r="X2256" t="s">
        <v>435</v>
      </c>
      <c r="Y2256" t="s">
        <v>40</v>
      </c>
      <c r="Z2256">
        <v>100261</v>
      </c>
      <c r="AA2256" t="s">
        <v>3052</v>
      </c>
      <c r="AB2256" t="s">
        <v>522</v>
      </c>
      <c r="AC2256" s="9">
        <v>2</v>
      </c>
      <c r="AD2256" s="9" t="str">
        <f t="shared" si="212"/>
        <v>Ok</v>
      </c>
      <c r="AE2256" s="11">
        <f t="shared" si="214"/>
        <v>0</v>
      </c>
    </row>
    <row r="2257" spans="1:31" x14ac:dyDescent="0.3">
      <c r="A2257">
        <v>2</v>
      </c>
      <c r="B2257">
        <v>4971622</v>
      </c>
      <c r="C2257" t="s">
        <v>56</v>
      </c>
      <c r="D2257">
        <v>1880594</v>
      </c>
      <c r="E2257" t="s">
        <v>397</v>
      </c>
      <c r="F2257" t="s">
        <v>24</v>
      </c>
      <c r="G2257" t="s">
        <v>2990</v>
      </c>
      <c r="H2257" t="s">
        <v>1911</v>
      </c>
      <c r="I2257" t="s">
        <v>3188</v>
      </c>
      <c r="J2257">
        <v>51161376973</v>
      </c>
      <c r="K2257" t="s">
        <v>3661</v>
      </c>
      <c r="L2257" t="s">
        <v>3660</v>
      </c>
      <c r="M2257">
        <v>53</v>
      </c>
      <c r="N2257" s="10">
        <v>92.68</v>
      </c>
      <c r="O2257" s="10">
        <f t="shared" si="210"/>
        <v>4912.04</v>
      </c>
      <c r="P2257" s="10" t="s">
        <v>5006</v>
      </c>
      <c r="Q2257" s="10" t="s">
        <v>5006</v>
      </c>
      <c r="R2257" s="10" t="str">
        <f>IF(COUNTIF($J$2:J2257,J2257)=1,SUMIFS($O:$O,$J:$J,J2257)+SUMIFS($P:$P,$J:$J,J2257)+SUMIFS($Q:$Q,$J:$J,J2257),"")</f>
        <v/>
      </c>
      <c r="S2257" s="10" t="s">
        <v>5006</v>
      </c>
      <c r="T2257" s="11" t="str">
        <f t="shared" si="213"/>
        <v>Ok</v>
      </c>
      <c r="U2257" s="12">
        <v>46149</v>
      </c>
      <c r="V2257" s="10">
        <v>100.8</v>
      </c>
      <c r="W2257" s="10" t="str">
        <f t="shared" si="211"/>
        <v>N/A</v>
      </c>
      <c r="X2257" t="s">
        <v>435</v>
      </c>
      <c r="Y2257" t="s">
        <v>40</v>
      </c>
      <c r="Z2257">
        <v>100261</v>
      </c>
      <c r="AA2257" t="s">
        <v>3052</v>
      </c>
      <c r="AB2257" t="s">
        <v>522</v>
      </c>
      <c r="AC2257" s="9">
        <v>2</v>
      </c>
      <c r="AD2257" s="9" t="str">
        <f t="shared" si="212"/>
        <v>N/A</v>
      </c>
      <c r="AE2257" s="11" t="e">
        <f t="shared" si="214"/>
        <v>#VALUE!</v>
      </c>
    </row>
    <row r="2258" spans="1:31" x14ac:dyDescent="0.3">
      <c r="A2258">
        <v>2</v>
      </c>
      <c r="B2258">
        <v>4974405</v>
      </c>
      <c r="C2258" t="s">
        <v>56</v>
      </c>
      <c r="D2258">
        <v>1880594</v>
      </c>
      <c r="E2258" t="s">
        <v>397</v>
      </c>
      <c r="F2258" t="s">
        <v>24</v>
      </c>
      <c r="G2258" t="s">
        <v>1904</v>
      </c>
      <c r="H2258" t="s">
        <v>1905</v>
      </c>
      <c r="I2258" t="s">
        <v>3494</v>
      </c>
      <c r="J2258">
        <v>51161379163</v>
      </c>
      <c r="K2258" t="s">
        <v>4784</v>
      </c>
      <c r="L2258" t="s">
        <v>4783</v>
      </c>
      <c r="M2258">
        <v>3779</v>
      </c>
      <c r="N2258" s="10">
        <v>7.88</v>
      </c>
      <c r="O2258" s="10">
        <f t="shared" si="210"/>
        <v>29778.52</v>
      </c>
      <c r="P2258" s="10">
        <v>0</v>
      </c>
      <c r="Q2258" s="10">
        <v>167.63000000000002</v>
      </c>
      <c r="R2258" s="10">
        <f>IF(COUNTIF($J$2:J2258,J2258)=1,SUMIFS($O:$O,$J:$J,J2258)+SUMIFS($P:$P,$J:$J,J2258)+SUMIFS($Q:$Q,$J:$J,J2258),"")</f>
        <v>31710.6312</v>
      </c>
      <c r="S2258" s="10">
        <v>32235.65</v>
      </c>
      <c r="T2258" s="11" t="str">
        <f t="shared" si="213"/>
        <v>Check</v>
      </c>
      <c r="U2258" s="12">
        <v>46154</v>
      </c>
      <c r="V2258" s="10">
        <v>74.48</v>
      </c>
      <c r="W2258" s="10" t="str">
        <f t="shared" si="211"/>
        <v>Short Paid</v>
      </c>
      <c r="X2258" t="s">
        <v>435</v>
      </c>
      <c r="Y2258" t="s">
        <v>40</v>
      </c>
      <c r="Z2258">
        <v>100261</v>
      </c>
      <c r="AA2258" t="s">
        <v>3052</v>
      </c>
      <c r="AB2258" t="s">
        <v>522</v>
      </c>
      <c r="AC2258" s="9">
        <v>4</v>
      </c>
      <c r="AD2258" s="9" t="str">
        <f t="shared" si="212"/>
        <v>Check</v>
      </c>
      <c r="AE2258" s="11">
        <f t="shared" si="214"/>
        <v>-525.01880000000165</v>
      </c>
    </row>
    <row r="2259" spans="1:31" x14ac:dyDescent="0.3">
      <c r="A2259">
        <v>2</v>
      </c>
      <c r="B2259">
        <v>4974405</v>
      </c>
      <c r="C2259" t="s">
        <v>56</v>
      </c>
      <c r="D2259">
        <v>1880594</v>
      </c>
      <c r="E2259" t="s">
        <v>397</v>
      </c>
      <c r="F2259" t="s">
        <v>24</v>
      </c>
      <c r="G2259" t="s">
        <v>1904</v>
      </c>
      <c r="H2259" t="s">
        <v>1905</v>
      </c>
      <c r="I2259" t="s">
        <v>3494</v>
      </c>
      <c r="J2259">
        <v>51161379163</v>
      </c>
      <c r="K2259" t="s">
        <v>4784</v>
      </c>
      <c r="L2259" t="s">
        <v>4785</v>
      </c>
      <c r="M2259">
        <v>12</v>
      </c>
      <c r="N2259" s="10">
        <v>1E-4</v>
      </c>
      <c r="O2259" s="10">
        <f t="shared" si="210"/>
        <v>1.2000000000000001E-3</v>
      </c>
      <c r="P2259" s="10" t="s">
        <v>5006</v>
      </c>
      <c r="Q2259" s="10" t="s">
        <v>5006</v>
      </c>
      <c r="R2259" s="10" t="str">
        <f>IF(COUNTIF($J$2:J2259,J2259)=1,SUMIFS($O:$O,$J:$J,J2259)+SUMIFS($P:$P,$J:$J,J2259)+SUMIFS($Q:$Q,$J:$J,J2259),"")</f>
        <v/>
      </c>
      <c r="S2259" s="10" t="s">
        <v>5006</v>
      </c>
      <c r="T2259" s="11" t="str">
        <f t="shared" si="213"/>
        <v>Check</v>
      </c>
      <c r="U2259" s="12">
        <v>46154</v>
      </c>
      <c r="V2259" s="10">
        <v>74.48</v>
      </c>
      <c r="W2259" s="10" t="str">
        <f t="shared" si="211"/>
        <v>N/A</v>
      </c>
      <c r="X2259" t="s">
        <v>435</v>
      </c>
      <c r="Y2259" t="s">
        <v>40</v>
      </c>
      <c r="Z2259">
        <v>100261</v>
      </c>
      <c r="AA2259" t="s">
        <v>3052</v>
      </c>
      <c r="AB2259" t="s">
        <v>522</v>
      </c>
      <c r="AC2259" s="9">
        <v>4</v>
      </c>
      <c r="AD2259" s="9" t="str">
        <f t="shared" si="212"/>
        <v>N/A</v>
      </c>
      <c r="AE2259" s="11" t="e">
        <f t="shared" si="214"/>
        <v>#VALUE!</v>
      </c>
    </row>
    <row r="2260" spans="1:31" x14ac:dyDescent="0.3">
      <c r="A2260">
        <v>2</v>
      </c>
      <c r="B2260">
        <v>4974405</v>
      </c>
      <c r="C2260" t="s">
        <v>56</v>
      </c>
      <c r="D2260">
        <v>1880594</v>
      </c>
      <c r="E2260" t="s">
        <v>397</v>
      </c>
      <c r="F2260" t="s">
        <v>24</v>
      </c>
      <c r="G2260" t="s">
        <v>1904</v>
      </c>
      <c r="H2260" t="s">
        <v>1905</v>
      </c>
      <c r="I2260" t="s">
        <v>3494</v>
      </c>
      <c r="J2260">
        <v>51161379163</v>
      </c>
      <c r="K2260" t="s">
        <v>3320</v>
      </c>
      <c r="L2260" t="s">
        <v>4757</v>
      </c>
      <c r="M2260">
        <v>1</v>
      </c>
      <c r="N2260" s="10">
        <v>1690</v>
      </c>
      <c r="O2260" s="10">
        <f t="shared" si="210"/>
        <v>1690</v>
      </c>
      <c r="P2260" s="10" t="s">
        <v>5006</v>
      </c>
      <c r="Q2260" s="10" t="s">
        <v>5006</v>
      </c>
      <c r="R2260" s="10" t="str">
        <f>IF(COUNTIF($J$2:J2260,J2260)=1,SUMIFS($O:$O,$J:$J,J2260)+SUMIFS($P:$P,$J:$J,J2260)+SUMIFS($Q:$Q,$J:$J,J2260),"")</f>
        <v/>
      </c>
      <c r="S2260" s="10" t="s">
        <v>5006</v>
      </c>
      <c r="T2260" s="11" t="str">
        <f t="shared" si="213"/>
        <v>Check</v>
      </c>
      <c r="U2260" s="12">
        <v>46154</v>
      </c>
      <c r="V2260" s="10">
        <v>74.48</v>
      </c>
      <c r="W2260" s="10" t="str">
        <f t="shared" si="211"/>
        <v>N/A</v>
      </c>
      <c r="X2260" t="s">
        <v>435</v>
      </c>
      <c r="Y2260" t="s">
        <v>40</v>
      </c>
      <c r="Z2260">
        <v>100261</v>
      </c>
      <c r="AA2260" t="s">
        <v>3052</v>
      </c>
      <c r="AB2260" t="s">
        <v>522</v>
      </c>
      <c r="AC2260" s="9">
        <v>4</v>
      </c>
      <c r="AD2260" s="9" t="str">
        <f t="shared" si="212"/>
        <v>N/A</v>
      </c>
      <c r="AE2260" s="11" t="e">
        <f t="shared" si="214"/>
        <v>#VALUE!</v>
      </c>
    </row>
    <row r="2261" spans="1:31" x14ac:dyDescent="0.3">
      <c r="A2261">
        <v>2</v>
      </c>
      <c r="B2261">
        <v>4974405</v>
      </c>
      <c r="C2261" t="s">
        <v>56</v>
      </c>
      <c r="D2261">
        <v>1880594</v>
      </c>
      <c r="E2261" t="s">
        <v>397</v>
      </c>
      <c r="F2261" t="s">
        <v>24</v>
      </c>
      <c r="G2261" t="s">
        <v>1904</v>
      </c>
      <c r="H2261" t="s">
        <v>1905</v>
      </c>
      <c r="I2261" t="s">
        <v>3365</v>
      </c>
      <c r="J2261">
        <v>51161379163</v>
      </c>
      <c r="K2261" t="s">
        <v>3379</v>
      </c>
      <c r="L2261" t="s">
        <v>4786</v>
      </c>
      <c r="M2261">
        <v>4000</v>
      </c>
      <c r="N2261" s="10">
        <v>1.8620000000000001E-2</v>
      </c>
      <c r="O2261" s="10">
        <f t="shared" si="210"/>
        <v>74.48</v>
      </c>
      <c r="P2261" s="10" t="s">
        <v>5006</v>
      </c>
      <c r="Q2261" s="10" t="s">
        <v>5006</v>
      </c>
      <c r="R2261" s="10" t="str">
        <f>IF(COUNTIF($J$2:J2261,J2261)=1,SUMIFS($O:$O,$J:$J,J2261)+SUMIFS($P:$P,$J:$J,J2261)+SUMIFS($Q:$Q,$J:$J,J2261),"")</f>
        <v/>
      </c>
      <c r="S2261" s="10" t="s">
        <v>5006</v>
      </c>
      <c r="T2261" s="11" t="str">
        <f t="shared" si="213"/>
        <v>Check</v>
      </c>
      <c r="U2261" s="12">
        <v>46154</v>
      </c>
      <c r="V2261" s="10">
        <v>74.48</v>
      </c>
      <c r="W2261" s="10" t="str">
        <f t="shared" si="211"/>
        <v>N/A</v>
      </c>
      <c r="X2261" t="s">
        <v>435</v>
      </c>
      <c r="Y2261" t="s">
        <v>40</v>
      </c>
      <c r="Z2261">
        <v>100261</v>
      </c>
      <c r="AA2261" t="s">
        <v>3052</v>
      </c>
      <c r="AB2261" t="s">
        <v>522</v>
      </c>
      <c r="AC2261" s="9">
        <v>4</v>
      </c>
      <c r="AD2261" s="9" t="str">
        <f t="shared" si="212"/>
        <v>N/A</v>
      </c>
      <c r="AE2261" s="11" t="e">
        <f t="shared" si="214"/>
        <v>#VALUE!</v>
      </c>
    </row>
    <row r="2262" spans="1:31" x14ac:dyDescent="0.3">
      <c r="A2262">
        <v>2</v>
      </c>
      <c r="B2262">
        <v>4975518</v>
      </c>
      <c r="C2262" t="s">
        <v>56</v>
      </c>
      <c r="D2262">
        <v>1880594</v>
      </c>
      <c r="E2262" t="s">
        <v>397</v>
      </c>
      <c r="F2262" t="s">
        <v>24</v>
      </c>
      <c r="G2262" t="s">
        <v>1919</v>
      </c>
      <c r="H2262" t="s">
        <v>1920</v>
      </c>
      <c r="I2262" t="s">
        <v>3432</v>
      </c>
      <c r="J2262">
        <v>51161379179</v>
      </c>
      <c r="K2262" t="s">
        <v>3479</v>
      </c>
      <c r="L2262" t="s">
        <v>4787</v>
      </c>
      <c r="M2262">
        <v>26000</v>
      </c>
      <c r="N2262" s="10">
        <v>1.3860000000000001E-2</v>
      </c>
      <c r="O2262" s="10">
        <f t="shared" si="210"/>
        <v>360.36</v>
      </c>
      <c r="P2262" s="10">
        <v>0</v>
      </c>
      <c r="Q2262" s="10">
        <v>37.229999999999997</v>
      </c>
      <c r="R2262" s="10">
        <f>IF(COUNTIF($J$2:J2262,J2262)=1,SUMIFS($O:$O,$J:$J,J2262)+SUMIFS($P:$P,$J:$J,J2262)+SUMIFS($Q:$Q,$J:$J,J2262),"")</f>
        <v>406.59000000000003</v>
      </c>
      <c r="S2262" s="10">
        <v>428.19</v>
      </c>
      <c r="T2262" s="11" t="str">
        <f t="shared" si="213"/>
        <v>Check</v>
      </c>
      <c r="U2262" s="12">
        <v>46155</v>
      </c>
      <c r="V2262" s="10">
        <v>369.36</v>
      </c>
      <c r="W2262" s="10" t="str">
        <f t="shared" si="211"/>
        <v>Short Paid</v>
      </c>
      <c r="X2262" t="s">
        <v>435</v>
      </c>
      <c r="Y2262" t="s">
        <v>40</v>
      </c>
      <c r="Z2262">
        <v>100221</v>
      </c>
      <c r="AA2262" t="s">
        <v>518</v>
      </c>
      <c r="AB2262" t="s">
        <v>522</v>
      </c>
      <c r="AC2262" s="9">
        <v>2</v>
      </c>
      <c r="AD2262" s="9" t="str">
        <f t="shared" si="212"/>
        <v>Check</v>
      </c>
      <c r="AE2262" s="11">
        <f t="shared" si="214"/>
        <v>-21.599999999999966</v>
      </c>
    </row>
    <row r="2263" spans="1:31" x14ac:dyDescent="0.3">
      <c r="A2263">
        <v>2</v>
      </c>
      <c r="B2263">
        <v>4975518</v>
      </c>
      <c r="C2263" t="s">
        <v>56</v>
      </c>
      <c r="D2263">
        <v>1880594</v>
      </c>
      <c r="E2263" t="s">
        <v>397</v>
      </c>
      <c r="F2263" t="s">
        <v>24</v>
      </c>
      <c r="G2263" t="s">
        <v>1919</v>
      </c>
      <c r="H2263" t="s">
        <v>1920</v>
      </c>
      <c r="I2263" t="s">
        <v>3432</v>
      </c>
      <c r="J2263">
        <v>51161379179</v>
      </c>
      <c r="K2263" t="s">
        <v>3241</v>
      </c>
      <c r="L2263" t="s">
        <v>4788</v>
      </c>
      <c r="M2263">
        <v>5000</v>
      </c>
      <c r="N2263" s="10">
        <v>1.8E-3</v>
      </c>
      <c r="O2263" s="10">
        <f t="shared" si="210"/>
        <v>9</v>
      </c>
      <c r="P2263" s="10" t="s">
        <v>5006</v>
      </c>
      <c r="Q2263" s="10" t="s">
        <v>5006</v>
      </c>
      <c r="R2263" s="10" t="str">
        <f>IF(COUNTIF($J$2:J2263,J2263)=1,SUMIFS($O:$O,$J:$J,J2263)+SUMIFS($P:$P,$J:$J,J2263)+SUMIFS($Q:$Q,$J:$J,J2263),"")</f>
        <v/>
      </c>
      <c r="S2263" s="10" t="s">
        <v>5006</v>
      </c>
      <c r="T2263" s="11" t="str">
        <f t="shared" si="213"/>
        <v>Check</v>
      </c>
      <c r="U2263" s="12">
        <v>46155</v>
      </c>
      <c r="V2263" s="10">
        <v>369.36</v>
      </c>
      <c r="W2263" s="10" t="str">
        <f t="shared" si="211"/>
        <v>N/A</v>
      </c>
      <c r="X2263" t="s">
        <v>435</v>
      </c>
      <c r="Y2263" t="s">
        <v>40</v>
      </c>
      <c r="Z2263">
        <v>100221</v>
      </c>
      <c r="AA2263" t="s">
        <v>518</v>
      </c>
      <c r="AB2263" t="s">
        <v>522</v>
      </c>
      <c r="AC2263" s="9">
        <v>2</v>
      </c>
      <c r="AD2263" s="9" t="str">
        <f t="shared" si="212"/>
        <v>N/A</v>
      </c>
      <c r="AE2263" s="11" t="e">
        <f t="shared" si="214"/>
        <v>#VALUE!</v>
      </c>
    </row>
    <row r="2264" spans="1:31" x14ac:dyDescent="0.3">
      <c r="A2264">
        <v>0</v>
      </c>
      <c r="B2264">
        <v>4981362</v>
      </c>
      <c r="C2264" t="s">
        <v>167</v>
      </c>
      <c r="D2264">
        <v>1139721</v>
      </c>
      <c r="E2264" t="s">
        <v>547</v>
      </c>
      <c r="F2264" t="s">
        <v>24</v>
      </c>
      <c r="G2264" t="s">
        <v>3031</v>
      </c>
      <c r="H2264" t="s">
        <v>3032</v>
      </c>
      <c r="I2264" t="s">
        <v>3217</v>
      </c>
      <c r="J2264">
        <v>51161400098</v>
      </c>
      <c r="K2264" t="s">
        <v>3719</v>
      </c>
      <c r="L2264" t="s">
        <v>4789</v>
      </c>
      <c r="M2264">
        <v>900</v>
      </c>
      <c r="N2264" s="10">
        <v>13.48</v>
      </c>
      <c r="O2264" s="10">
        <f t="shared" si="210"/>
        <v>12132</v>
      </c>
      <c r="P2264" s="10">
        <v>0</v>
      </c>
      <c r="Q2264" s="10">
        <v>0</v>
      </c>
      <c r="R2264" s="10">
        <f>IF(COUNTIF($J$2:J2264,J2264)=1,SUMIFS($O:$O,$J:$J,J2264)+SUMIFS($P:$P,$J:$J,J2264)+SUMIFS($Q:$Q,$J:$J,J2264),"")</f>
        <v>12307</v>
      </c>
      <c r="S2264" s="10">
        <v>12307</v>
      </c>
      <c r="T2264" s="11" t="str">
        <f t="shared" si="213"/>
        <v>Ok</v>
      </c>
      <c r="U2264" s="12">
        <v>46093</v>
      </c>
      <c r="V2264" s="10">
        <v>175</v>
      </c>
      <c r="W2264" s="10" t="str">
        <f t="shared" si="211"/>
        <v>Short Paid</v>
      </c>
      <c r="X2264" t="s">
        <v>455</v>
      </c>
      <c r="Y2264" t="s">
        <v>40</v>
      </c>
      <c r="Z2264">
        <v>100220</v>
      </c>
      <c r="AA2264" t="s">
        <v>3051</v>
      </c>
      <c r="AB2264" t="s">
        <v>522</v>
      </c>
      <c r="AC2264" s="9">
        <v>2</v>
      </c>
      <c r="AD2264" s="9" t="str">
        <f t="shared" si="212"/>
        <v>Ok</v>
      </c>
      <c r="AE2264" s="11">
        <f t="shared" si="214"/>
        <v>0</v>
      </c>
    </row>
    <row r="2265" spans="1:31" x14ac:dyDescent="0.3">
      <c r="A2265">
        <v>0</v>
      </c>
      <c r="B2265">
        <v>4981362</v>
      </c>
      <c r="C2265" t="s">
        <v>167</v>
      </c>
      <c r="D2265">
        <v>1139721</v>
      </c>
      <c r="E2265" t="s">
        <v>547</v>
      </c>
      <c r="F2265" t="s">
        <v>24</v>
      </c>
      <c r="G2265" t="s">
        <v>3031</v>
      </c>
      <c r="H2265" t="s">
        <v>3032</v>
      </c>
      <c r="I2265" t="s">
        <v>3217</v>
      </c>
      <c r="J2265">
        <v>51161400098</v>
      </c>
      <c r="K2265" t="s">
        <v>3719</v>
      </c>
      <c r="L2265" t="s">
        <v>4790</v>
      </c>
      <c r="M2265">
        <v>1</v>
      </c>
      <c r="N2265" s="10">
        <v>175</v>
      </c>
      <c r="O2265" s="10">
        <f t="shared" si="210"/>
        <v>175</v>
      </c>
      <c r="P2265" s="10" t="s">
        <v>5006</v>
      </c>
      <c r="Q2265" s="10" t="s">
        <v>5006</v>
      </c>
      <c r="R2265" s="10" t="str">
        <f>IF(COUNTIF($J$2:J2265,J2265)=1,SUMIFS($O:$O,$J:$J,J2265)+SUMIFS($P:$P,$J:$J,J2265)+SUMIFS($Q:$Q,$J:$J,J2265),"")</f>
        <v/>
      </c>
      <c r="S2265" s="10" t="s">
        <v>5006</v>
      </c>
      <c r="T2265" s="11" t="str">
        <f t="shared" si="213"/>
        <v>Ok</v>
      </c>
      <c r="U2265" s="12">
        <v>46093</v>
      </c>
      <c r="V2265" s="10">
        <v>175</v>
      </c>
      <c r="W2265" s="10" t="str">
        <f t="shared" si="211"/>
        <v>N/A</v>
      </c>
      <c r="X2265" t="s">
        <v>455</v>
      </c>
      <c r="Y2265" t="s">
        <v>40</v>
      </c>
      <c r="Z2265">
        <v>100220</v>
      </c>
      <c r="AA2265" t="s">
        <v>3051</v>
      </c>
      <c r="AB2265" t="s">
        <v>522</v>
      </c>
      <c r="AC2265" s="9">
        <v>2</v>
      </c>
      <c r="AD2265" s="9" t="str">
        <f t="shared" si="212"/>
        <v>N/A</v>
      </c>
      <c r="AE2265" s="11" t="e">
        <f t="shared" si="214"/>
        <v>#VALUE!</v>
      </c>
    </row>
    <row r="2266" spans="1:31" x14ac:dyDescent="0.3">
      <c r="A2266">
        <v>232</v>
      </c>
      <c r="B2266">
        <v>4390698</v>
      </c>
      <c r="C2266" t="s">
        <v>38</v>
      </c>
      <c r="D2266">
        <v>1383202</v>
      </c>
      <c r="E2266" t="s">
        <v>541</v>
      </c>
      <c r="F2266" t="s">
        <v>20</v>
      </c>
      <c r="G2266" t="s">
        <v>1971</v>
      </c>
      <c r="H2266" t="s">
        <v>1972</v>
      </c>
      <c r="I2266" t="s">
        <v>3344</v>
      </c>
      <c r="J2266">
        <v>51161509697</v>
      </c>
      <c r="K2266" t="s">
        <v>3650</v>
      </c>
      <c r="L2266" t="s">
        <v>4791</v>
      </c>
      <c r="M2266">
        <v>259</v>
      </c>
      <c r="N2266" s="10">
        <v>97.36</v>
      </c>
      <c r="O2266" s="10">
        <f t="shared" si="210"/>
        <v>25216.240000000002</v>
      </c>
      <c r="P2266" s="10">
        <v>0</v>
      </c>
      <c r="Q2266" s="10">
        <v>89.25</v>
      </c>
      <c r="R2266" s="10">
        <f>IF(COUNTIF($J$2:J2266,J2266)=1,SUMIFS($O:$O,$J:$J,J2266)+SUMIFS($P:$P,$J:$J,J2266)+SUMIFS($Q:$Q,$J:$J,J2266),"")</f>
        <v>25680.49</v>
      </c>
      <c r="S2266" s="10">
        <v>25680.49</v>
      </c>
      <c r="T2266" s="11" t="str">
        <f t="shared" si="213"/>
        <v>Ok</v>
      </c>
      <c r="U2266" s="12">
        <v>45939</v>
      </c>
      <c r="V2266" s="10">
        <v>89.25</v>
      </c>
      <c r="W2266" s="10" t="str">
        <f t="shared" si="211"/>
        <v>Short Paid</v>
      </c>
      <c r="X2266" t="s">
        <v>474</v>
      </c>
      <c r="Y2266" t="s">
        <v>28</v>
      </c>
      <c r="Z2266">
        <v>100289</v>
      </c>
      <c r="AA2266" t="s">
        <v>475</v>
      </c>
      <c r="AB2266" t="s">
        <v>521</v>
      </c>
      <c r="AC2266" s="9">
        <v>2</v>
      </c>
      <c r="AD2266" s="9" t="str">
        <f t="shared" si="212"/>
        <v>Ok</v>
      </c>
      <c r="AE2266" s="11">
        <f t="shared" si="214"/>
        <v>0</v>
      </c>
    </row>
    <row r="2267" spans="1:31" x14ac:dyDescent="0.3">
      <c r="A2267">
        <v>232</v>
      </c>
      <c r="B2267">
        <v>4390698</v>
      </c>
      <c r="C2267" t="s">
        <v>38</v>
      </c>
      <c r="D2267">
        <v>1383202</v>
      </c>
      <c r="E2267" t="s">
        <v>541</v>
      </c>
      <c r="F2267" t="s">
        <v>20</v>
      </c>
      <c r="G2267" t="s">
        <v>1971</v>
      </c>
      <c r="H2267" t="s">
        <v>1972</v>
      </c>
      <c r="I2267" t="s">
        <v>3344</v>
      </c>
      <c r="J2267">
        <v>51161509697</v>
      </c>
      <c r="K2267" t="s">
        <v>3650</v>
      </c>
      <c r="L2267" t="s">
        <v>4792</v>
      </c>
      <c r="M2267">
        <v>1</v>
      </c>
      <c r="N2267" s="10">
        <v>375</v>
      </c>
      <c r="O2267" s="10">
        <f t="shared" si="210"/>
        <v>375</v>
      </c>
      <c r="P2267" s="10" t="s">
        <v>5006</v>
      </c>
      <c r="Q2267" s="10" t="s">
        <v>5006</v>
      </c>
      <c r="R2267" s="10" t="str">
        <f>IF(COUNTIF($J$2:J2267,J2267)=1,SUMIFS($O:$O,$J:$J,J2267)+SUMIFS($P:$P,$J:$J,J2267)+SUMIFS($Q:$Q,$J:$J,J2267),"")</f>
        <v/>
      </c>
      <c r="S2267" s="10" t="s">
        <v>5006</v>
      </c>
      <c r="T2267" s="11" t="str">
        <f t="shared" si="213"/>
        <v>Ok</v>
      </c>
      <c r="U2267" s="12">
        <v>45939</v>
      </c>
      <c r="V2267" s="10">
        <v>89.25</v>
      </c>
      <c r="W2267" s="10" t="str">
        <f t="shared" si="211"/>
        <v>N/A</v>
      </c>
      <c r="X2267" t="s">
        <v>474</v>
      </c>
      <c r="Y2267" t="s">
        <v>28</v>
      </c>
      <c r="Z2267">
        <v>100289</v>
      </c>
      <c r="AA2267" t="s">
        <v>475</v>
      </c>
      <c r="AB2267" t="s">
        <v>521</v>
      </c>
      <c r="AC2267" s="9">
        <v>2</v>
      </c>
      <c r="AD2267" s="9" t="str">
        <f t="shared" si="212"/>
        <v>N/A</v>
      </c>
      <c r="AE2267" s="11" t="e">
        <f t="shared" si="214"/>
        <v>#VALUE!</v>
      </c>
    </row>
    <row r="2268" spans="1:31" x14ac:dyDescent="0.3">
      <c r="A2268">
        <v>3</v>
      </c>
      <c r="B2268">
        <v>4956038</v>
      </c>
      <c r="C2268" t="s">
        <v>217</v>
      </c>
      <c r="D2268">
        <v>1150978</v>
      </c>
      <c r="E2268" t="s">
        <v>553</v>
      </c>
      <c r="F2268" t="s">
        <v>24</v>
      </c>
      <c r="G2268" t="s">
        <v>2966</v>
      </c>
      <c r="H2268" t="s">
        <v>2967</v>
      </c>
      <c r="I2268" t="s">
        <v>3316</v>
      </c>
      <c r="J2268">
        <v>51161510739</v>
      </c>
      <c r="K2268" t="s">
        <v>3168</v>
      </c>
      <c r="L2268" t="s">
        <v>4793</v>
      </c>
      <c r="M2268">
        <v>18000</v>
      </c>
      <c r="N2268" s="10">
        <v>7.6810000000000003E-2</v>
      </c>
      <c r="O2268" s="10">
        <f t="shared" si="210"/>
        <v>1382.5800000000002</v>
      </c>
      <c r="P2268" s="10">
        <v>382.40999999999997</v>
      </c>
      <c r="Q2268" s="10">
        <v>124.98</v>
      </c>
      <c r="R2268" s="10">
        <f>IF(COUNTIF($J$2:J2268,J2268)=1,SUMIFS($O:$O,$J:$J,J2268)+SUMIFS($P:$P,$J:$J,J2268)+SUMIFS($Q:$Q,$J:$J,J2268),"")</f>
        <v>2825.3700000000003</v>
      </c>
      <c r="S2268" s="10">
        <v>4106.7699999999995</v>
      </c>
      <c r="T2268" s="11" t="str">
        <f t="shared" si="213"/>
        <v>Check</v>
      </c>
      <c r="U2268" s="12">
        <v>46070</v>
      </c>
      <c r="V2268" s="10">
        <v>136.86000000000001</v>
      </c>
      <c r="W2268" s="10" t="str">
        <f t="shared" si="211"/>
        <v>Short Paid</v>
      </c>
      <c r="X2268" t="s">
        <v>468</v>
      </c>
      <c r="Y2268" t="s">
        <v>40</v>
      </c>
      <c r="Z2268">
        <v>100106</v>
      </c>
      <c r="AA2268" t="s">
        <v>3143</v>
      </c>
      <c r="AB2268" t="s">
        <v>522</v>
      </c>
      <c r="AC2268" s="9">
        <v>2</v>
      </c>
      <c r="AD2268" s="9" t="str">
        <f t="shared" si="212"/>
        <v>Check</v>
      </c>
      <c r="AE2268" s="11">
        <f t="shared" si="214"/>
        <v>-1281.3999999999992</v>
      </c>
    </row>
    <row r="2269" spans="1:31" x14ac:dyDescent="0.3">
      <c r="A2269">
        <v>3</v>
      </c>
      <c r="B2269">
        <v>4956038</v>
      </c>
      <c r="C2269" t="s">
        <v>217</v>
      </c>
      <c r="D2269">
        <v>1150978</v>
      </c>
      <c r="E2269" t="s">
        <v>553</v>
      </c>
      <c r="F2269" t="s">
        <v>24</v>
      </c>
      <c r="G2269" t="s">
        <v>2966</v>
      </c>
      <c r="H2269" t="s">
        <v>2967</v>
      </c>
      <c r="I2269" t="s">
        <v>3316</v>
      </c>
      <c r="J2269">
        <v>51161510739</v>
      </c>
      <c r="K2269" t="s">
        <v>3252</v>
      </c>
      <c r="L2269" t="s">
        <v>3748</v>
      </c>
      <c r="M2269">
        <v>6000</v>
      </c>
      <c r="N2269" s="10">
        <v>0.15590000000000001</v>
      </c>
      <c r="O2269" s="10">
        <f t="shared" si="210"/>
        <v>935.40000000000009</v>
      </c>
      <c r="P2269" s="10" t="s">
        <v>5006</v>
      </c>
      <c r="Q2269" s="10" t="s">
        <v>5006</v>
      </c>
      <c r="R2269" s="10" t="str">
        <f>IF(COUNTIF($J$2:J2269,J2269)=1,SUMIFS($O:$O,$J:$J,J2269)+SUMIFS($P:$P,$J:$J,J2269)+SUMIFS($Q:$Q,$J:$J,J2269),"")</f>
        <v/>
      </c>
      <c r="S2269" s="10" t="s">
        <v>5006</v>
      </c>
      <c r="T2269" s="11" t="str">
        <f t="shared" si="213"/>
        <v>Check</v>
      </c>
      <c r="U2269" s="12">
        <v>46070</v>
      </c>
      <c r="V2269" s="10">
        <v>136.86000000000001</v>
      </c>
      <c r="W2269" s="10" t="str">
        <f t="shared" si="211"/>
        <v>N/A</v>
      </c>
      <c r="X2269" t="s">
        <v>468</v>
      </c>
      <c r="Y2269" t="s">
        <v>40</v>
      </c>
      <c r="Z2269">
        <v>100106</v>
      </c>
      <c r="AA2269" t="s">
        <v>3143</v>
      </c>
      <c r="AB2269" t="s">
        <v>522</v>
      </c>
      <c r="AC2269" s="9">
        <v>2</v>
      </c>
      <c r="AD2269" s="9" t="str">
        <f t="shared" si="212"/>
        <v>N/A</v>
      </c>
      <c r="AE2269" s="11" t="e">
        <f t="shared" si="214"/>
        <v>#VALUE!</v>
      </c>
    </row>
    <row r="2270" spans="1:31" x14ac:dyDescent="0.3">
      <c r="A2270">
        <v>1</v>
      </c>
      <c r="B2270">
        <v>4978301</v>
      </c>
      <c r="C2270" t="s">
        <v>160</v>
      </c>
      <c r="D2270">
        <v>1440119</v>
      </c>
      <c r="E2270" t="s">
        <v>620</v>
      </c>
      <c r="F2270" t="s">
        <v>49</v>
      </c>
      <c r="G2270" t="s">
        <v>3019</v>
      </c>
      <c r="H2270" t="s">
        <v>1925</v>
      </c>
      <c r="I2270" t="s">
        <v>3256</v>
      </c>
      <c r="J2270">
        <v>51161586339</v>
      </c>
      <c r="K2270" t="s">
        <v>4795</v>
      </c>
      <c r="L2270" t="s">
        <v>4794</v>
      </c>
      <c r="M2270">
        <v>4</v>
      </c>
      <c r="N2270" s="10">
        <v>549327.08250000002</v>
      </c>
      <c r="O2270" s="10">
        <f t="shared" si="210"/>
        <v>2197308.33</v>
      </c>
      <c r="P2270" s="10">
        <v>21973.08</v>
      </c>
      <c r="Q2270" s="10" t="s">
        <v>5006</v>
      </c>
      <c r="R2270" s="10">
        <f>IF(COUNTIF($J$2:J2270,J2270)=1,SUMIFS($O:$O,$J:$J,J2270)+SUMIFS($P:$P,$J:$J,J2270)+SUMIFS($Q:$Q,$J:$J,J2270),"")</f>
        <v>2282105.0100000002</v>
      </c>
      <c r="S2270" s="10">
        <v>2282105.0100000002</v>
      </c>
      <c r="T2270" s="11" t="str">
        <f t="shared" si="213"/>
        <v>Ok</v>
      </c>
      <c r="U2270" s="12">
        <v>46160</v>
      </c>
      <c r="V2270" s="10">
        <v>21973.08</v>
      </c>
      <c r="W2270" s="10" t="str">
        <f t="shared" si="211"/>
        <v>Short Paid</v>
      </c>
      <c r="X2270" t="s">
        <v>453</v>
      </c>
      <c r="Y2270" t="s">
        <v>29</v>
      </c>
      <c r="Z2270">
        <v>100294</v>
      </c>
      <c r="AA2270" t="s">
        <v>3138</v>
      </c>
      <c r="AB2270" t="s">
        <v>3041</v>
      </c>
      <c r="AC2270" s="9">
        <v>2</v>
      </c>
      <c r="AD2270" s="9" t="str">
        <f t="shared" si="212"/>
        <v>Ok</v>
      </c>
      <c r="AE2270" s="11">
        <f t="shared" si="214"/>
        <v>0</v>
      </c>
    </row>
    <row r="2271" spans="1:31" x14ac:dyDescent="0.3">
      <c r="A2271">
        <v>1</v>
      </c>
      <c r="B2271">
        <v>4978301</v>
      </c>
      <c r="C2271" t="s">
        <v>160</v>
      </c>
      <c r="D2271">
        <v>1440119</v>
      </c>
      <c r="E2271" t="s">
        <v>620</v>
      </c>
      <c r="F2271" t="s">
        <v>49</v>
      </c>
      <c r="G2271" t="s">
        <v>3019</v>
      </c>
      <c r="H2271" t="s">
        <v>1925</v>
      </c>
      <c r="I2271" t="s">
        <v>3336</v>
      </c>
      <c r="J2271">
        <v>51161586339</v>
      </c>
      <c r="K2271" t="s">
        <v>3244</v>
      </c>
      <c r="L2271" t="s">
        <v>3587</v>
      </c>
      <c r="M2271">
        <v>1260</v>
      </c>
      <c r="N2271" s="10">
        <v>49.86</v>
      </c>
      <c r="O2271" s="10">
        <f t="shared" si="210"/>
        <v>62823.6</v>
      </c>
      <c r="P2271" s="10" t="s">
        <v>5006</v>
      </c>
      <c r="Q2271" s="10" t="s">
        <v>5006</v>
      </c>
      <c r="R2271" s="10" t="str">
        <f>IF(COUNTIF($J$2:J2271,J2271)=1,SUMIFS($O:$O,$J:$J,J2271)+SUMIFS($P:$P,$J:$J,J2271)+SUMIFS($Q:$Q,$J:$J,J2271),"")</f>
        <v/>
      </c>
      <c r="S2271" s="10" t="s">
        <v>5006</v>
      </c>
      <c r="T2271" s="11" t="str">
        <f t="shared" si="213"/>
        <v>Ok</v>
      </c>
      <c r="U2271" s="12">
        <v>46160</v>
      </c>
      <c r="V2271" s="10">
        <v>21973.08</v>
      </c>
      <c r="W2271" s="10" t="str">
        <f t="shared" si="211"/>
        <v>N/A</v>
      </c>
      <c r="X2271" t="s">
        <v>453</v>
      </c>
      <c r="Y2271" t="s">
        <v>29</v>
      </c>
      <c r="Z2271">
        <v>100294</v>
      </c>
      <c r="AA2271" t="s">
        <v>3138</v>
      </c>
      <c r="AB2271" t="s">
        <v>3041</v>
      </c>
      <c r="AC2271" s="9">
        <v>2</v>
      </c>
      <c r="AD2271" s="9" t="str">
        <f t="shared" si="212"/>
        <v>N/A</v>
      </c>
      <c r="AE2271" s="11" t="e">
        <f t="shared" si="214"/>
        <v>#VALUE!</v>
      </c>
    </row>
    <row r="2272" spans="1:31" x14ac:dyDescent="0.3">
      <c r="A2272">
        <v>2</v>
      </c>
      <c r="B2272">
        <v>4963830</v>
      </c>
      <c r="C2272" t="s">
        <v>220</v>
      </c>
      <c r="D2272">
        <v>1490546</v>
      </c>
      <c r="E2272" t="s">
        <v>609</v>
      </c>
      <c r="F2272" t="s">
        <v>24</v>
      </c>
      <c r="G2272" t="s">
        <v>1888</v>
      </c>
      <c r="H2272" t="s">
        <v>1889</v>
      </c>
      <c r="I2272" t="s">
        <v>3410</v>
      </c>
      <c r="J2272">
        <v>51161661931</v>
      </c>
      <c r="K2272" t="s">
        <v>3506</v>
      </c>
      <c r="L2272" t="s">
        <v>4796</v>
      </c>
      <c r="M2272">
        <v>600</v>
      </c>
      <c r="N2272" s="10">
        <v>10.69</v>
      </c>
      <c r="O2272" s="10">
        <f t="shared" si="210"/>
        <v>6414</v>
      </c>
      <c r="P2272" s="10">
        <v>0</v>
      </c>
      <c r="Q2272" s="10">
        <v>2992.38</v>
      </c>
      <c r="R2272" s="10">
        <f>IF(COUNTIF($J$2:J2272,J2272)=1,SUMIFS($O:$O,$J:$J,J2272)+SUMIFS($P:$P,$J:$J,J2272)+SUMIFS($Q:$Q,$J:$J,J2272),"")</f>
        <v>13081.560000000001</v>
      </c>
      <c r="S2272" s="10">
        <v>13081.56</v>
      </c>
      <c r="T2272" s="11" t="str">
        <f t="shared" si="213"/>
        <v>Ok</v>
      </c>
      <c r="U2272" s="12">
        <v>46143</v>
      </c>
      <c r="V2272" s="10">
        <v>6490.35</v>
      </c>
      <c r="W2272" s="10" t="str">
        <f t="shared" si="211"/>
        <v>Short Paid</v>
      </c>
      <c r="X2272" t="s">
        <v>470</v>
      </c>
      <c r="Y2272" t="s">
        <v>40</v>
      </c>
      <c r="Z2272">
        <v>100188</v>
      </c>
      <c r="AA2272" t="s">
        <v>3102</v>
      </c>
      <c r="AB2272" t="s">
        <v>522</v>
      </c>
      <c r="AC2272" s="9">
        <v>3</v>
      </c>
      <c r="AD2272" s="9" t="str">
        <f t="shared" si="212"/>
        <v>Ok</v>
      </c>
      <c r="AE2272" s="11">
        <f t="shared" si="214"/>
        <v>0</v>
      </c>
    </row>
    <row r="2273" spans="1:31" x14ac:dyDescent="0.3">
      <c r="A2273">
        <v>2</v>
      </c>
      <c r="B2273">
        <v>4963830</v>
      </c>
      <c r="C2273" t="s">
        <v>220</v>
      </c>
      <c r="D2273">
        <v>1490546</v>
      </c>
      <c r="E2273" t="s">
        <v>609</v>
      </c>
      <c r="F2273" t="s">
        <v>24</v>
      </c>
      <c r="G2273" t="s">
        <v>1888</v>
      </c>
      <c r="H2273" t="s">
        <v>1889</v>
      </c>
      <c r="I2273" t="s">
        <v>3410</v>
      </c>
      <c r="J2273">
        <v>51161661931</v>
      </c>
      <c r="K2273" t="s">
        <v>3168</v>
      </c>
      <c r="L2273" t="s">
        <v>4797</v>
      </c>
      <c r="M2273">
        <v>3000</v>
      </c>
      <c r="N2273" s="10">
        <v>2.545E-2</v>
      </c>
      <c r="O2273" s="10">
        <f t="shared" si="210"/>
        <v>76.349999999999994</v>
      </c>
      <c r="P2273" s="10" t="s">
        <v>5006</v>
      </c>
      <c r="Q2273" s="10" t="s">
        <v>5006</v>
      </c>
      <c r="R2273" s="10" t="str">
        <f>IF(COUNTIF($J$2:J2273,J2273)=1,SUMIFS($O:$O,$J:$J,J2273)+SUMIFS($P:$P,$J:$J,J2273)+SUMIFS($Q:$Q,$J:$J,J2273),"")</f>
        <v/>
      </c>
      <c r="S2273" s="10" t="s">
        <v>5006</v>
      </c>
      <c r="T2273" s="11" t="str">
        <f t="shared" si="213"/>
        <v>Ok</v>
      </c>
      <c r="U2273" s="12">
        <v>46143</v>
      </c>
      <c r="V2273" s="10">
        <v>6490.35</v>
      </c>
      <c r="W2273" s="10" t="str">
        <f t="shared" si="211"/>
        <v>N/A</v>
      </c>
      <c r="X2273" t="s">
        <v>470</v>
      </c>
      <c r="Y2273" t="s">
        <v>40</v>
      </c>
      <c r="Z2273">
        <v>100188</v>
      </c>
      <c r="AA2273" t="s">
        <v>3102</v>
      </c>
      <c r="AB2273" t="s">
        <v>522</v>
      </c>
      <c r="AC2273" s="9">
        <v>3</v>
      </c>
      <c r="AD2273" s="9" t="str">
        <f t="shared" si="212"/>
        <v>N/A</v>
      </c>
      <c r="AE2273" s="11" t="e">
        <f t="shared" si="214"/>
        <v>#VALUE!</v>
      </c>
    </row>
    <row r="2274" spans="1:31" x14ac:dyDescent="0.3">
      <c r="A2274">
        <v>2</v>
      </c>
      <c r="B2274">
        <v>4963830</v>
      </c>
      <c r="C2274" t="s">
        <v>220</v>
      </c>
      <c r="D2274">
        <v>1490546</v>
      </c>
      <c r="E2274" t="s">
        <v>609</v>
      </c>
      <c r="F2274" t="s">
        <v>24</v>
      </c>
      <c r="G2274" t="s">
        <v>1888</v>
      </c>
      <c r="H2274" t="s">
        <v>1889</v>
      </c>
      <c r="I2274" t="s">
        <v>3376</v>
      </c>
      <c r="J2274">
        <v>51161661931</v>
      </c>
      <c r="K2274" t="s">
        <v>3266</v>
      </c>
      <c r="L2274" t="s">
        <v>3688</v>
      </c>
      <c r="M2274">
        <v>8100</v>
      </c>
      <c r="N2274" s="10">
        <v>0.44429999999999997</v>
      </c>
      <c r="O2274" s="10">
        <f t="shared" si="210"/>
        <v>3598.83</v>
      </c>
      <c r="P2274" s="10" t="s">
        <v>5006</v>
      </c>
      <c r="Q2274" s="10" t="s">
        <v>5006</v>
      </c>
      <c r="R2274" s="10" t="str">
        <f>IF(COUNTIF($J$2:J2274,J2274)=1,SUMIFS($O:$O,$J:$J,J2274)+SUMIFS($P:$P,$J:$J,J2274)+SUMIFS($Q:$Q,$J:$J,J2274),"")</f>
        <v/>
      </c>
      <c r="S2274" s="10" t="s">
        <v>5006</v>
      </c>
      <c r="T2274" s="11" t="str">
        <f t="shared" si="213"/>
        <v>Ok</v>
      </c>
      <c r="U2274" s="12">
        <v>46143</v>
      </c>
      <c r="V2274" s="10">
        <v>6490.35</v>
      </c>
      <c r="W2274" s="10" t="str">
        <f t="shared" si="211"/>
        <v>N/A</v>
      </c>
      <c r="X2274" t="s">
        <v>470</v>
      </c>
      <c r="Y2274" t="s">
        <v>40</v>
      </c>
      <c r="Z2274">
        <v>100188</v>
      </c>
      <c r="AA2274" t="s">
        <v>3102</v>
      </c>
      <c r="AB2274" t="s">
        <v>522</v>
      </c>
      <c r="AC2274" s="9">
        <v>3</v>
      </c>
      <c r="AD2274" s="9" t="str">
        <f t="shared" si="212"/>
        <v>N/A</v>
      </c>
      <c r="AE2274" s="11" t="e">
        <f t="shared" si="214"/>
        <v>#VALUE!</v>
      </c>
    </row>
    <row r="2275" spans="1:31" x14ac:dyDescent="0.3">
      <c r="A2275">
        <v>2</v>
      </c>
      <c r="B2275">
        <v>4963274</v>
      </c>
      <c r="C2275" t="s">
        <v>220</v>
      </c>
      <c r="D2275">
        <v>1490546</v>
      </c>
      <c r="E2275" t="s">
        <v>609</v>
      </c>
      <c r="F2275" t="s">
        <v>24</v>
      </c>
      <c r="G2275" t="s">
        <v>1886</v>
      </c>
      <c r="H2275" t="s">
        <v>1887</v>
      </c>
      <c r="I2275" t="s">
        <v>3219</v>
      </c>
      <c r="J2275">
        <v>51161739563</v>
      </c>
      <c r="K2275" t="s">
        <v>3266</v>
      </c>
      <c r="L2275" t="s">
        <v>4798</v>
      </c>
      <c r="M2275">
        <v>9000</v>
      </c>
      <c r="N2275" s="10">
        <v>0.29949999999999999</v>
      </c>
      <c r="O2275" s="10">
        <f t="shared" si="210"/>
        <v>2695.5</v>
      </c>
      <c r="P2275" s="10">
        <v>0</v>
      </c>
      <c r="Q2275" s="10">
        <v>1411.46</v>
      </c>
      <c r="R2275" s="10">
        <f>IF(COUNTIF($J$2:J2275,J2275)=1,SUMIFS($O:$O,$J:$J,J2275)+SUMIFS($P:$P,$J:$J,J2275)+SUMIFS($Q:$Q,$J:$J,J2275),"")</f>
        <v>4124.96</v>
      </c>
      <c r="S2275" s="10">
        <v>4124.96</v>
      </c>
      <c r="T2275" s="11" t="str">
        <f t="shared" si="213"/>
        <v>Ok</v>
      </c>
      <c r="U2275" s="12">
        <v>46141</v>
      </c>
      <c r="V2275" s="10">
        <v>18</v>
      </c>
      <c r="W2275" s="10" t="str">
        <f t="shared" si="211"/>
        <v>Short Paid</v>
      </c>
      <c r="X2275" t="s">
        <v>470</v>
      </c>
      <c r="Y2275" t="s">
        <v>40</v>
      </c>
      <c r="Z2275">
        <v>100108</v>
      </c>
      <c r="AA2275" t="s">
        <v>472</v>
      </c>
      <c r="AB2275" t="s">
        <v>522</v>
      </c>
      <c r="AC2275" s="9">
        <v>2</v>
      </c>
      <c r="AD2275" s="9" t="str">
        <f t="shared" si="212"/>
        <v>Ok</v>
      </c>
      <c r="AE2275" s="11">
        <f t="shared" si="214"/>
        <v>0</v>
      </c>
    </row>
    <row r="2276" spans="1:31" x14ac:dyDescent="0.3">
      <c r="A2276">
        <v>2</v>
      </c>
      <c r="B2276">
        <v>4963274</v>
      </c>
      <c r="C2276" t="s">
        <v>220</v>
      </c>
      <c r="D2276">
        <v>1490546</v>
      </c>
      <c r="E2276" t="s">
        <v>609</v>
      </c>
      <c r="F2276" t="s">
        <v>24</v>
      </c>
      <c r="G2276" t="s">
        <v>1886</v>
      </c>
      <c r="H2276" t="s">
        <v>1887</v>
      </c>
      <c r="I2276" t="s">
        <v>3419</v>
      </c>
      <c r="J2276">
        <v>51161739563</v>
      </c>
      <c r="K2276" t="s">
        <v>3252</v>
      </c>
      <c r="L2276" t="s">
        <v>4799</v>
      </c>
      <c r="M2276">
        <v>5000</v>
      </c>
      <c r="N2276" s="10">
        <v>3.5999999999999999E-3</v>
      </c>
      <c r="O2276" s="10">
        <f t="shared" si="210"/>
        <v>18</v>
      </c>
      <c r="P2276" s="10" t="s">
        <v>5006</v>
      </c>
      <c r="Q2276" s="10" t="s">
        <v>5006</v>
      </c>
      <c r="R2276" s="10" t="str">
        <f>IF(COUNTIF($J$2:J2276,J2276)=1,SUMIFS($O:$O,$J:$J,J2276)+SUMIFS($P:$P,$J:$J,J2276)+SUMIFS($Q:$Q,$J:$J,J2276),"")</f>
        <v/>
      </c>
      <c r="S2276" s="10" t="s">
        <v>5006</v>
      </c>
      <c r="T2276" s="11" t="str">
        <f t="shared" si="213"/>
        <v>Ok</v>
      </c>
      <c r="U2276" s="12">
        <v>46141</v>
      </c>
      <c r="V2276" s="10">
        <v>18</v>
      </c>
      <c r="W2276" s="10" t="str">
        <f t="shared" si="211"/>
        <v>N/A</v>
      </c>
      <c r="X2276" t="s">
        <v>470</v>
      </c>
      <c r="Y2276" t="s">
        <v>40</v>
      </c>
      <c r="Z2276">
        <v>100108</v>
      </c>
      <c r="AA2276" t="s">
        <v>472</v>
      </c>
      <c r="AB2276" t="s">
        <v>522</v>
      </c>
      <c r="AC2276" s="9">
        <v>2</v>
      </c>
      <c r="AD2276" s="9" t="str">
        <f t="shared" si="212"/>
        <v>N/A</v>
      </c>
      <c r="AE2276" s="11" t="e">
        <f t="shared" si="214"/>
        <v>#VALUE!</v>
      </c>
    </row>
    <row r="2277" spans="1:31" x14ac:dyDescent="0.3">
      <c r="A2277">
        <v>2</v>
      </c>
      <c r="B2277">
        <v>4963552</v>
      </c>
      <c r="C2277" t="s">
        <v>220</v>
      </c>
      <c r="D2277">
        <v>1490546</v>
      </c>
      <c r="E2277" t="s">
        <v>609</v>
      </c>
      <c r="F2277" t="s">
        <v>24</v>
      </c>
      <c r="G2277" t="s">
        <v>1863</v>
      </c>
      <c r="H2277" t="s">
        <v>1864</v>
      </c>
      <c r="I2277" t="s">
        <v>3305</v>
      </c>
      <c r="J2277">
        <v>51161739892</v>
      </c>
      <c r="K2277" t="s">
        <v>3266</v>
      </c>
      <c r="L2277" t="s">
        <v>3683</v>
      </c>
      <c r="M2277">
        <v>4320</v>
      </c>
      <c r="N2277" s="10">
        <v>0.35560000000000003</v>
      </c>
      <c r="O2277" s="10">
        <f t="shared" si="210"/>
        <v>1536.192</v>
      </c>
      <c r="P2277" s="10">
        <v>0</v>
      </c>
      <c r="Q2277" s="10">
        <v>806.53</v>
      </c>
      <c r="R2277" s="10">
        <f>IF(COUNTIF($J$2:J2277,J2277)=1,SUMIFS($O:$O,$J:$J,J2277)+SUMIFS($P:$P,$J:$J,J2277)+SUMIFS($Q:$Q,$J:$J,J2277),"")</f>
        <v>2375.3220000000001</v>
      </c>
      <c r="S2277" s="10">
        <v>2375.3199999999997</v>
      </c>
      <c r="T2277" s="11" t="str">
        <f t="shared" si="213"/>
        <v>Check</v>
      </c>
      <c r="U2277" s="12">
        <v>46144</v>
      </c>
      <c r="V2277" s="10">
        <v>32.6</v>
      </c>
      <c r="W2277" s="10" t="str">
        <f t="shared" si="211"/>
        <v>Short Paid</v>
      </c>
      <c r="X2277" t="s">
        <v>470</v>
      </c>
      <c r="Y2277" t="s">
        <v>40</v>
      </c>
      <c r="Z2277">
        <v>100148</v>
      </c>
      <c r="AA2277" t="s">
        <v>3097</v>
      </c>
      <c r="AB2277" t="s">
        <v>522</v>
      </c>
      <c r="AC2277" s="9">
        <v>2</v>
      </c>
      <c r="AD2277" s="9" t="str">
        <f t="shared" si="212"/>
        <v>Check</v>
      </c>
      <c r="AE2277" s="11">
        <f t="shared" si="214"/>
        <v>2.0000000004074536E-3</v>
      </c>
    </row>
    <row r="2278" spans="1:31" x14ac:dyDescent="0.3">
      <c r="A2278">
        <v>2</v>
      </c>
      <c r="B2278">
        <v>4963552</v>
      </c>
      <c r="C2278" t="s">
        <v>220</v>
      </c>
      <c r="D2278">
        <v>1490546</v>
      </c>
      <c r="E2278" t="s">
        <v>609</v>
      </c>
      <c r="F2278" t="s">
        <v>24</v>
      </c>
      <c r="G2278" t="s">
        <v>1863</v>
      </c>
      <c r="H2278" t="s">
        <v>1864</v>
      </c>
      <c r="I2278" t="s">
        <v>3242</v>
      </c>
      <c r="J2278">
        <v>51161739892</v>
      </c>
      <c r="K2278" t="s">
        <v>3537</v>
      </c>
      <c r="L2278" t="s">
        <v>4800</v>
      </c>
      <c r="M2278">
        <v>2000</v>
      </c>
      <c r="N2278" s="10">
        <v>1.6299999999999999E-2</v>
      </c>
      <c r="O2278" s="10">
        <f t="shared" si="210"/>
        <v>32.599999999999994</v>
      </c>
      <c r="P2278" s="10" t="s">
        <v>5006</v>
      </c>
      <c r="Q2278" s="10" t="s">
        <v>5006</v>
      </c>
      <c r="R2278" s="10" t="str">
        <f>IF(COUNTIF($J$2:J2278,J2278)=1,SUMIFS($O:$O,$J:$J,J2278)+SUMIFS($P:$P,$J:$J,J2278)+SUMIFS($Q:$Q,$J:$J,J2278),"")</f>
        <v/>
      </c>
      <c r="S2278" s="10" t="s">
        <v>5006</v>
      </c>
      <c r="T2278" s="11" t="str">
        <f t="shared" si="213"/>
        <v>Check</v>
      </c>
      <c r="U2278" s="12">
        <v>46144</v>
      </c>
      <c r="V2278" s="10">
        <v>32.6</v>
      </c>
      <c r="W2278" s="10" t="str">
        <f t="shared" si="211"/>
        <v>N/A</v>
      </c>
      <c r="X2278" t="s">
        <v>470</v>
      </c>
      <c r="Y2278" t="s">
        <v>40</v>
      </c>
      <c r="Z2278">
        <v>100148</v>
      </c>
      <c r="AA2278" t="s">
        <v>3097</v>
      </c>
      <c r="AB2278" t="s">
        <v>522</v>
      </c>
      <c r="AC2278" s="9">
        <v>2</v>
      </c>
      <c r="AD2278" s="9" t="str">
        <f t="shared" si="212"/>
        <v>N/A</v>
      </c>
      <c r="AE2278" s="11" t="e">
        <f t="shared" si="214"/>
        <v>#VALUE!</v>
      </c>
    </row>
    <row r="2279" spans="1:31" x14ac:dyDescent="0.3">
      <c r="A2279">
        <v>106</v>
      </c>
      <c r="B2279">
        <v>4443134</v>
      </c>
      <c r="C2279" t="s">
        <v>239</v>
      </c>
      <c r="D2279">
        <v>1085063</v>
      </c>
      <c r="E2279" t="s">
        <v>601</v>
      </c>
      <c r="F2279" t="s">
        <v>47</v>
      </c>
      <c r="G2279" t="s">
        <v>4801</v>
      </c>
      <c r="H2279" t="s">
        <v>4802</v>
      </c>
      <c r="I2279" t="s">
        <v>3184</v>
      </c>
      <c r="J2279">
        <v>51161777990</v>
      </c>
      <c r="K2279" t="s">
        <v>3266</v>
      </c>
      <c r="L2279" t="s">
        <v>4803</v>
      </c>
      <c r="M2279">
        <v>1000</v>
      </c>
      <c r="N2279" s="10">
        <v>0.84050000000000002</v>
      </c>
      <c r="O2279" s="10">
        <f t="shared" si="210"/>
        <v>840.5</v>
      </c>
      <c r="P2279" s="10">
        <v>0</v>
      </c>
      <c r="Q2279" s="10">
        <v>140.26999999999998</v>
      </c>
      <c r="R2279" s="10">
        <f>IF(COUNTIF($J$2:J2279,J2279)=1,SUMIFS($O:$O,$J:$J,J2279)+SUMIFS($P:$P,$J:$J,J2279)+SUMIFS($Q:$Q,$J:$J,J2279),"")</f>
        <v>3286.7599999999998</v>
      </c>
      <c r="S2279" s="10">
        <v>4671.96</v>
      </c>
      <c r="T2279" s="11" t="str">
        <f t="shared" si="213"/>
        <v>Check</v>
      </c>
      <c r="U2279" s="12">
        <v>46001</v>
      </c>
      <c r="V2279" s="10">
        <v>4671.96</v>
      </c>
      <c r="W2279" s="10" t="str">
        <f t="shared" si="211"/>
        <v>Not Paid</v>
      </c>
      <c r="X2279" t="s">
        <v>476</v>
      </c>
      <c r="Y2279" t="s">
        <v>28</v>
      </c>
      <c r="Z2279">
        <v>100235</v>
      </c>
      <c r="AA2279" t="s">
        <v>509</v>
      </c>
      <c r="AB2279" t="s">
        <v>3039</v>
      </c>
      <c r="AC2279" s="9">
        <v>10</v>
      </c>
      <c r="AD2279" s="9" t="str">
        <f t="shared" si="212"/>
        <v>Check</v>
      </c>
      <c r="AE2279" s="11">
        <f t="shared" si="214"/>
        <v>-1385.2000000000003</v>
      </c>
    </row>
    <row r="2280" spans="1:31" x14ac:dyDescent="0.3">
      <c r="A2280">
        <v>106</v>
      </c>
      <c r="B2280">
        <v>4443134</v>
      </c>
      <c r="C2280" t="s">
        <v>239</v>
      </c>
      <c r="D2280">
        <v>1085063</v>
      </c>
      <c r="E2280" t="s">
        <v>601</v>
      </c>
      <c r="F2280" t="s">
        <v>47</v>
      </c>
      <c r="G2280" t="s">
        <v>4801</v>
      </c>
      <c r="H2280" t="s">
        <v>4802</v>
      </c>
      <c r="I2280" t="s">
        <v>3184</v>
      </c>
      <c r="J2280">
        <v>51161777990</v>
      </c>
      <c r="K2280" t="s">
        <v>3266</v>
      </c>
      <c r="L2280" t="s">
        <v>4804</v>
      </c>
      <c r="M2280">
        <v>900</v>
      </c>
      <c r="N2280" s="10">
        <v>0.3276</v>
      </c>
      <c r="O2280" s="10">
        <f t="shared" si="210"/>
        <v>294.83999999999997</v>
      </c>
      <c r="P2280" s="10" t="s">
        <v>5006</v>
      </c>
      <c r="Q2280" s="10" t="s">
        <v>5006</v>
      </c>
      <c r="R2280" s="10" t="str">
        <f>IF(COUNTIF($J$2:J2280,J2280)=1,SUMIFS($O:$O,$J:$J,J2280)+SUMIFS($P:$P,$J:$J,J2280)+SUMIFS($Q:$Q,$J:$J,J2280),"")</f>
        <v/>
      </c>
      <c r="S2280" s="10" t="s">
        <v>5006</v>
      </c>
      <c r="T2280" s="11" t="str">
        <f t="shared" si="213"/>
        <v>Check</v>
      </c>
      <c r="U2280" s="12">
        <v>46001</v>
      </c>
      <c r="V2280" s="10">
        <v>4671.96</v>
      </c>
      <c r="W2280" s="10" t="str">
        <f t="shared" si="211"/>
        <v>N/A</v>
      </c>
      <c r="X2280" t="s">
        <v>476</v>
      </c>
      <c r="Y2280" t="s">
        <v>28</v>
      </c>
      <c r="Z2280">
        <v>100235</v>
      </c>
      <c r="AA2280" t="s">
        <v>509</v>
      </c>
      <c r="AB2280" t="s">
        <v>3039</v>
      </c>
      <c r="AC2280" s="9">
        <v>10</v>
      </c>
      <c r="AD2280" s="9" t="str">
        <f t="shared" si="212"/>
        <v>N/A</v>
      </c>
      <c r="AE2280" s="11" t="e">
        <f t="shared" si="214"/>
        <v>#VALUE!</v>
      </c>
    </row>
    <row r="2281" spans="1:31" x14ac:dyDescent="0.3">
      <c r="A2281">
        <v>106</v>
      </c>
      <c r="B2281">
        <v>4443134</v>
      </c>
      <c r="C2281" t="s">
        <v>239</v>
      </c>
      <c r="D2281">
        <v>1085063</v>
      </c>
      <c r="E2281" t="s">
        <v>601</v>
      </c>
      <c r="F2281" t="s">
        <v>47</v>
      </c>
      <c r="G2281" t="s">
        <v>4801</v>
      </c>
      <c r="H2281" t="s">
        <v>4802</v>
      </c>
      <c r="I2281" t="s">
        <v>3184</v>
      </c>
      <c r="J2281">
        <v>51161777990</v>
      </c>
      <c r="K2281" t="s">
        <v>3379</v>
      </c>
      <c r="L2281" t="s">
        <v>4590</v>
      </c>
      <c r="M2281">
        <v>2000</v>
      </c>
      <c r="N2281" s="10">
        <v>7.8799999999999995E-2</v>
      </c>
      <c r="O2281" s="10">
        <f t="shared" si="210"/>
        <v>157.6</v>
      </c>
      <c r="P2281" s="10" t="s">
        <v>5006</v>
      </c>
      <c r="Q2281" s="10" t="s">
        <v>5006</v>
      </c>
      <c r="R2281" s="10" t="str">
        <f>IF(COUNTIF($J$2:J2281,J2281)=1,SUMIFS($O:$O,$J:$J,J2281)+SUMIFS($P:$P,$J:$J,J2281)+SUMIFS($Q:$Q,$J:$J,J2281),"")</f>
        <v/>
      </c>
      <c r="S2281" s="10" t="s">
        <v>5006</v>
      </c>
      <c r="T2281" s="11" t="str">
        <f t="shared" si="213"/>
        <v>Check</v>
      </c>
      <c r="U2281" s="12">
        <v>46001</v>
      </c>
      <c r="V2281" s="10">
        <v>4671.96</v>
      </c>
      <c r="W2281" s="10" t="str">
        <f t="shared" si="211"/>
        <v>N/A</v>
      </c>
      <c r="X2281" t="s">
        <v>476</v>
      </c>
      <c r="Y2281" t="s">
        <v>28</v>
      </c>
      <c r="Z2281">
        <v>100235</v>
      </c>
      <c r="AA2281" t="s">
        <v>509</v>
      </c>
      <c r="AB2281" t="s">
        <v>3039</v>
      </c>
      <c r="AC2281" s="9">
        <v>10</v>
      </c>
      <c r="AD2281" s="9" t="str">
        <f t="shared" si="212"/>
        <v>N/A</v>
      </c>
      <c r="AE2281" s="11" t="e">
        <f t="shared" si="214"/>
        <v>#VALUE!</v>
      </c>
    </row>
    <row r="2282" spans="1:31" x14ac:dyDescent="0.3">
      <c r="A2282">
        <v>106</v>
      </c>
      <c r="B2282">
        <v>4443134</v>
      </c>
      <c r="C2282" t="s">
        <v>239</v>
      </c>
      <c r="D2282">
        <v>1085063</v>
      </c>
      <c r="E2282" t="s">
        <v>601</v>
      </c>
      <c r="F2282" t="s">
        <v>47</v>
      </c>
      <c r="G2282" t="s">
        <v>4801</v>
      </c>
      <c r="H2282" t="s">
        <v>4802</v>
      </c>
      <c r="I2282" t="s">
        <v>3184</v>
      </c>
      <c r="J2282">
        <v>51161777990</v>
      </c>
      <c r="K2282" t="s">
        <v>3168</v>
      </c>
      <c r="L2282" t="s">
        <v>4805</v>
      </c>
      <c r="M2282">
        <v>30000</v>
      </c>
      <c r="N2282" s="10">
        <v>2.76E-2</v>
      </c>
      <c r="O2282" s="10">
        <f t="shared" si="210"/>
        <v>828</v>
      </c>
      <c r="P2282" s="10" t="s">
        <v>5006</v>
      </c>
      <c r="Q2282" s="10" t="s">
        <v>5006</v>
      </c>
      <c r="R2282" s="10" t="str">
        <f>IF(COUNTIF($J$2:J2282,J2282)=1,SUMIFS($O:$O,$J:$J,J2282)+SUMIFS($P:$P,$J:$J,J2282)+SUMIFS($Q:$Q,$J:$J,J2282),"")</f>
        <v/>
      </c>
      <c r="S2282" s="10" t="s">
        <v>5006</v>
      </c>
      <c r="T2282" s="11" t="str">
        <f t="shared" si="213"/>
        <v>Check</v>
      </c>
      <c r="U2282" s="12">
        <v>46001</v>
      </c>
      <c r="V2282" s="10">
        <v>4671.96</v>
      </c>
      <c r="W2282" s="10" t="str">
        <f t="shared" si="211"/>
        <v>N/A</v>
      </c>
      <c r="X2282" t="s">
        <v>476</v>
      </c>
      <c r="Y2282" t="s">
        <v>28</v>
      </c>
      <c r="Z2282">
        <v>100235</v>
      </c>
      <c r="AA2282" t="s">
        <v>509</v>
      </c>
      <c r="AB2282" t="s">
        <v>3039</v>
      </c>
      <c r="AC2282" s="9">
        <v>10</v>
      </c>
      <c r="AD2282" s="9" t="str">
        <f t="shared" si="212"/>
        <v>N/A</v>
      </c>
      <c r="AE2282" s="11" t="e">
        <f t="shared" si="214"/>
        <v>#VALUE!</v>
      </c>
    </row>
    <row r="2283" spans="1:31" x14ac:dyDescent="0.3">
      <c r="A2283">
        <v>106</v>
      </c>
      <c r="B2283">
        <v>4443134</v>
      </c>
      <c r="C2283" t="s">
        <v>239</v>
      </c>
      <c r="D2283">
        <v>1085063</v>
      </c>
      <c r="E2283" t="s">
        <v>601</v>
      </c>
      <c r="F2283" t="s">
        <v>47</v>
      </c>
      <c r="G2283" t="s">
        <v>4801</v>
      </c>
      <c r="H2283" t="s">
        <v>4802</v>
      </c>
      <c r="I2283" t="s">
        <v>3184</v>
      </c>
      <c r="J2283">
        <v>51161777990</v>
      </c>
      <c r="K2283" t="s">
        <v>3168</v>
      </c>
      <c r="L2283" t="s">
        <v>4806</v>
      </c>
      <c r="M2283">
        <v>3000</v>
      </c>
      <c r="N2283" s="10">
        <v>1.41E-2</v>
      </c>
      <c r="O2283" s="10">
        <f t="shared" si="210"/>
        <v>42.3</v>
      </c>
      <c r="P2283" s="10" t="s">
        <v>5006</v>
      </c>
      <c r="Q2283" s="10" t="s">
        <v>5006</v>
      </c>
      <c r="R2283" s="10" t="str">
        <f>IF(COUNTIF($J$2:J2283,J2283)=1,SUMIFS($O:$O,$J:$J,J2283)+SUMIFS($P:$P,$J:$J,J2283)+SUMIFS($Q:$Q,$J:$J,J2283),"")</f>
        <v/>
      </c>
      <c r="S2283" s="10" t="s">
        <v>5006</v>
      </c>
      <c r="T2283" s="11" t="str">
        <f t="shared" si="213"/>
        <v>Check</v>
      </c>
      <c r="U2283" s="12">
        <v>46001</v>
      </c>
      <c r="V2283" s="10">
        <v>4671.96</v>
      </c>
      <c r="W2283" s="10" t="str">
        <f t="shared" si="211"/>
        <v>N/A</v>
      </c>
      <c r="X2283" t="s">
        <v>476</v>
      </c>
      <c r="Y2283" t="s">
        <v>28</v>
      </c>
      <c r="Z2283">
        <v>100235</v>
      </c>
      <c r="AA2283" t="s">
        <v>509</v>
      </c>
      <c r="AB2283" t="s">
        <v>3039</v>
      </c>
      <c r="AC2283" s="9">
        <v>10</v>
      </c>
      <c r="AD2283" s="9" t="str">
        <f t="shared" si="212"/>
        <v>N/A</v>
      </c>
      <c r="AE2283" s="11" t="e">
        <f t="shared" si="214"/>
        <v>#VALUE!</v>
      </c>
    </row>
    <row r="2284" spans="1:31" x14ac:dyDescent="0.3">
      <c r="A2284">
        <v>106</v>
      </c>
      <c r="B2284">
        <v>4443134</v>
      </c>
      <c r="C2284" t="s">
        <v>239</v>
      </c>
      <c r="D2284">
        <v>1085063</v>
      </c>
      <c r="E2284" t="s">
        <v>601</v>
      </c>
      <c r="F2284" t="s">
        <v>47</v>
      </c>
      <c r="G2284" t="s">
        <v>4801</v>
      </c>
      <c r="H2284" t="s">
        <v>4802</v>
      </c>
      <c r="I2284" t="s">
        <v>3184</v>
      </c>
      <c r="J2284">
        <v>51161777990</v>
      </c>
      <c r="K2284" t="s">
        <v>3375</v>
      </c>
      <c r="L2284" t="s">
        <v>4807</v>
      </c>
      <c r="M2284">
        <v>2500</v>
      </c>
      <c r="N2284" s="10">
        <v>7.2900000000000006E-2</v>
      </c>
      <c r="O2284" s="10">
        <f t="shared" si="210"/>
        <v>182.25000000000003</v>
      </c>
      <c r="P2284" s="10" t="s">
        <v>5006</v>
      </c>
      <c r="Q2284" s="10" t="s">
        <v>5006</v>
      </c>
      <c r="R2284" s="10" t="str">
        <f>IF(COUNTIF($J$2:J2284,J2284)=1,SUMIFS($O:$O,$J:$J,J2284)+SUMIFS($P:$P,$J:$J,J2284)+SUMIFS($Q:$Q,$J:$J,J2284),"")</f>
        <v/>
      </c>
      <c r="S2284" s="10" t="s">
        <v>5006</v>
      </c>
      <c r="T2284" s="11" t="str">
        <f t="shared" si="213"/>
        <v>Check</v>
      </c>
      <c r="U2284" s="12">
        <v>46001</v>
      </c>
      <c r="V2284" s="10">
        <v>4671.96</v>
      </c>
      <c r="W2284" s="10" t="str">
        <f t="shared" si="211"/>
        <v>N/A</v>
      </c>
      <c r="X2284" t="s">
        <v>476</v>
      </c>
      <c r="Y2284" t="s">
        <v>28</v>
      </c>
      <c r="Z2284">
        <v>100235</v>
      </c>
      <c r="AA2284" t="s">
        <v>509</v>
      </c>
      <c r="AB2284" t="s">
        <v>3039</v>
      </c>
      <c r="AC2284" s="9">
        <v>10</v>
      </c>
      <c r="AD2284" s="9" t="str">
        <f t="shared" si="212"/>
        <v>N/A</v>
      </c>
      <c r="AE2284" s="11" t="e">
        <f t="shared" si="214"/>
        <v>#VALUE!</v>
      </c>
    </row>
    <row r="2285" spans="1:31" x14ac:dyDescent="0.3">
      <c r="A2285">
        <v>106</v>
      </c>
      <c r="B2285">
        <v>4443134</v>
      </c>
      <c r="C2285" t="s">
        <v>239</v>
      </c>
      <c r="D2285">
        <v>1085063</v>
      </c>
      <c r="E2285" t="s">
        <v>601</v>
      </c>
      <c r="F2285" t="s">
        <v>47</v>
      </c>
      <c r="G2285" t="s">
        <v>4801</v>
      </c>
      <c r="H2285" t="s">
        <v>4802</v>
      </c>
      <c r="I2285" t="s">
        <v>3184</v>
      </c>
      <c r="J2285">
        <v>51161777990</v>
      </c>
      <c r="K2285" t="s">
        <v>3375</v>
      </c>
      <c r="L2285" t="s">
        <v>4808</v>
      </c>
      <c r="M2285">
        <v>5000</v>
      </c>
      <c r="N2285" s="10">
        <v>6.6500000000000004E-2</v>
      </c>
      <c r="O2285" s="10">
        <f t="shared" si="210"/>
        <v>332.5</v>
      </c>
      <c r="P2285" s="10" t="s">
        <v>5006</v>
      </c>
      <c r="Q2285" s="10" t="s">
        <v>5006</v>
      </c>
      <c r="R2285" s="10" t="str">
        <f>IF(COUNTIF($J$2:J2285,J2285)=1,SUMIFS($O:$O,$J:$J,J2285)+SUMIFS($P:$P,$J:$J,J2285)+SUMIFS($Q:$Q,$J:$J,J2285),"")</f>
        <v/>
      </c>
      <c r="S2285" s="10" t="s">
        <v>5006</v>
      </c>
      <c r="T2285" s="11" t="str">
        <f t="shared" si="213"/>
        <v>Check</v>
      </c>
      <c r="U2285" s="12">
        <v>46001</v>
      </c>
      <c r="V2285" s="10">
        <v>4671.96</v>
      </c>
      <c r="W2285" s="10" t="str">
        <f t="shared" si="211"/>
        <v>N/A</v>
      </c>
      <c r="X2285" t="s">
        <v>476</v>
      </c>
      <c r="Y2285" t="s">
        <v>28</v>
      </c>
      <c r="Z2285">
        <v>100235</v>
      </c>
      <c r="AA2285" t="s">
        <v>509</v>
      </c>
      <c r="AB2285" t="s">
        <v>3039</v>
      </c>
      <c r="AC2285" s="9">
        <v>10</v>
      </c>
      <c r="AD2285" s="9" t="str">
        <f t="shared" si="212"/>
        <v>N/A</v>
      </c>
      <c r="AE2285" s="11" t="e">
        <f t="shared" si="214"/>
        <v>#VALUE!</v>
      </c>
    </row>
    <row r="2286" spans="1:31" x14ac:dyDescent="0.3">
      <c r="A2286">
        <v>106</v>
      </c>
      <c r="B2286">
        <v>4443134</v>
      </c>
      <c r="C2286" t="s">
        <v>239</v>
      </c>
      <c r="D2286">
        <v>1085063</v>
      </c>
      <c r="E2286" t="s">
        <v>601</v>
      </c>
      <c r="F2286" t="s">
        <v>47</v>
      </c>
      <c r="G2286" t="s">
        <v>4801</v>
      </c>
      <c r="H2286" t="s">
        <v>4802</v>
      </c>
      <c r="I2286" t="s">
        <v>3184</v>
      </c>
      <c r="J2286">
        <v>51161777990</v>
      </c>
      <c r="K2286" t="s">
        <v>3537</v>
      </c>
      <c r="L2286" t="s">
        <v>4809</v>
      </c>
      <c r="M2286">
        <v>10000</v>
      </c>
      <c r="N2286" s="10">
        <v>1.375E-2</v>
      </c>
      <c r="O2286" s="10">
        <f t="shared" si="210"/>
        <v>137.5</v>
      </c>
      <c r="P2286" s="10" t="s">
        <v>5006</v>
      </c>
      <c r="Q2286" s="10" t="s">
        <v>5006</v>
      </c>
      <c r="R2286" s="10" t="str">
        <f>IF(COUNTIF($J$2:J2286,J2286)=1,SUMIFS($O:$O,$J:$J,J2286)+SUMIFS($P:$P,$J:$J,J2286)+SUMIFS($Q:$Q,$J:$J,J2286),"")</f>
        <v/>
      </c>
      <c r="S2286" s="10" t="s">
        <v>5006</v>
      </c>
      <c r="T2286" s="11" t="str">
        <f t="shared" si="213"/>
        <v>Check</v>
      </c>
      <c r="U2286" s="12">
        <v>46001</v>
      </c>
      <c r="V2286" s="10">
        <v>4671.96</v>
      </c>
      <c r="W2286" s="10" t="str">
        <f t="shared" si="211"/>
        <v>N/A</v>
      </c>
      <c r="X2286" t="s">
        <v>476</v>
      </c>
      <c r="Y2286" t="s">
        <v>28</v>
      </c>
      <c r="Z2286">
        <v>100235</v>
      </c>
      <c r="AA2286" t="s">
        <v>509</v>
      </c>
      <c r="AB2286" t="s">
        <v>3039</v>
      </c>
      <c r="AC2286" s="9">
        <v>10</v>
      </c>
      <c r="AD2286" s="9" t="str">
        <f t="shared" si="212"/>
        <v>N/A</v>
      </c>
      <c r="AE2286" s="11" t="e">
        <f t="shared" si="214"/>
        <v>#VALUE!</v>
      </c>
    </row>
    <row r="2287" spans="1:31" x14ac:dyDescent="0.3">
      <c r="A2287">
        <v>106</v>
      </c>
      <c r="B2287">
        <v>4443134</v>
      </c>
      <c r="C2287" t="s">
        <v>239</v>
      </c>
      <c r="D2287">
        <v>1085063</v>
      </c>
      <c r="E2287" t="s">
        <v>601</v>
      </c>
      <c r="F2287" t="s">
        <v>47</v>
      </c>
      <c r="G2287" t="s">
        <v>4801</v>
      </c>
      <c r="H2287" t="s">
        <v>4802</v>
      </c>
      <c r="I2287" t="s">
        <v>3184</v>
      </c>
      <c r="J2287">
        <v>51161777990</v>
      </c>
      <c r="K2287" t="s">
        <v>3241</v>
      </c>
      <c r="L2287" t="s">
        <v>4810</v>
      </c>
      <c r="M2287">
        <v>80000</v>
      </c>
      <c r="N2287" s="10">
        <v>3.2000000000000002E-3</v>
      </c>
      <c r="O2287" s="10">
        <f t="shared" si="210"/>
        <v>256</v>
      </c>
      <c r="P2287" s="10" t="s">
        <v>5006</v>
      </c>
      <c r="Q2287" s="10" t="s">
        <v>5006</v>
      </c>
      <c r="R2287" s="10" t="str">
        <f>IF(COUNTIF($J$2:J2287,J2287)=1,SUMIFS($O:$O,$J:$J,J2287)+SUMIFS($P:$P,$J:$J,J2287)+SUMIFS($Q:$Q,$J:$J,J2287),"")</f>
        <v/>
      </c>
      <c r="S2287" s="10" t="s">
        <v>5006</v>
      </c>
      <c r="T2287" s="11" t="str">
        <f t="shared" si="213"/>
        <v>Check</v>
      </c>
      <c r="U2287" s="12">
        <v>46001</v>
      </c>
      <c r="V2287" s="10">
        <v>4671.96</v>
      </c>
      <c r="W2287" s="10" t="str">
        <f t="shared" si="211"/>
        <v>N/A</v>
      </c>
      <c r="X2287" t="s">
        <v>476</v>
      </c>
      <c r="Y2287" t="s">
        <v>28</v>
      </c>
      <c r="Z2287">
        <v>100235</v>
      </c>
      <c r="AA2287" t="s">
        <v>509</v>
      </c>
      <c r="AB2287" t="s">
        <v>3039</v>
      </c>
      <c r="AC2287" s="9">
        <v>10</v>
      </c>
      <c r="AD2287" s="9" t="str">
        <f t="shared" si="212"/>
        <v>N/A</v>
      </c>
      <c r="AE2287" s="11" t="e">
        <f t="shared" si="214"/>
        <v>#VALUE!</v>
      </c>
    </row>
    <row r="2288" spans="1:31" x14ac:dyDescent="0.3">
      <c r="A2288">
        <v>106</v>
      </c>
      <c r="B2288">
        <v>4443134</v>
      </c>
      <c r="C2288" t="s">
        <v>239</v>
      </c>
      <c r="D2288">
        <v>1085063</v>
      </c>
      <c r="E2288" t="s">
        <v>601</v>
      </c>
      <c r="F2288" t="s">
        <v>47</v>
      </c>
      <c r="G2288" t="s">
        <v>4801</v>
      </c>
      <c r="H2288" t="s">
        <v>4802</v>
      </c>
      <c r="I2288" t="s">
        <v>3184</v>
      </c>
      <c r="J2288">
        <v>51161777990</v>
      </c>
      <c r="K2288" t="s">
        <v>3241</v>
      </c>
      <c r="L2288" t="s">
        <v>4811</v>
      </c>
      <c r="M2288">
        <v>150000</v>
      </c>
      <c r="N2288" s="10">
        <v>5.0000000000000001E-4</v>
      </c>
      <c r="O2288" s="10">
        <f t="shared" si="210"/>
        <v>75</v>
      </c>
      <c r="P2288" s="10" t="s">
        <v>5006</v>
      </c>
      <c r="Q2288" s="10" t="s">
        <v>5006</v>
      </c>
      <c r="R2288" s="10" t="str">
        <f>IF(COUNTIF($J$2:J2288,J2288)=1,SUMIFS($O:$O,$J:$J,J2288)+SUMIFS($P:$P,$J:$J,J2288)+SUMIFS($Q:$Q,$J:$J,J2288),"")</f>
        <v/>
      </c>
      <c r="S2288" s="10" t="s">
        <v>5006</v>
      </c>
      <c r="T2288" s="11" t="str">
        <f t="shared" si="213"/>
        <v>Check</v>
      </c>
      <c r="U2288" s="12">
        <v>46001</v>
      </c>
      <c r="V2288" s="10">
        <v>4671.96</v>
      </c>
      <c r="W2288" s="10" t="str">
        <f t="shared" si="211"/>
        <v>N/A</v>
      </c>
      <c r="X2288" t="s">
        <v>476</v>
      </c>
      <c r="Y2288" t="s">
        <v>28</v>
      </c>
      <c r="Z2288">
        <v>100235</v>
      </c>
      <c r="AA2288" t="s">
        <v>509</v>
      </c>
      <c r="AB2288" t="s">
        <v>3039</v>
      </c>
      <c r="AC2288" s="9">
        <v>10</v>
      </c>
      <c r="AD2288" s="9" t="str">
        <f t="shared" si="212"/>
        <v>N/A</v>
      </c>
      <c r="AE2288" s="11" t="e">
        <f t="shared" si="214"/>
        <v>#VALUE!</v>
      </c>
    </row>
    <row r="2289" spans="1:31" x14ac:dyDescent="0.3">
      <c r="A2289">
        <v>2</v>
      </c>
      <c r="B2289">
        <v>4962995</v>
      </c>
      <c r="C2289" t="s">
        <v>220</v>
      </c>
      <c r="D2289">
        <v>1490546</v>
      </c>
      <c r="E2289" t="s">
        <v>609</v>
      </c>
      <c r="F2289" t="s">
        <v>24</v>
      </c>
      <c r="G2289" t="s">
        <v>1884</v>
      </c>
      <c r="H2289" t="s">
        <v>1885</v>
      </c>
      <c r="I2289" t="s">
        <v>3455</v>
      </c>
      <c r="J2289">
        <v>51161806224</v>
      </c>
      <c r="K2289" t="s">
        <v>3266</v>
      </c>
      <c r="L2289" t="s">
        <v>4812</v>
      </c>
      <c r="M2289">
        <v>10500</v>
      </c>
      <c r="N2289" s="10">
        <v>0.32940000000000003</v>
      </c>
      <c r="O2289" s="10">
        <f t="shared" si="210"/>
        <v>3458.7000000000003</v>
      </c>
      <c r="P2289" s="10">
        <v>0</v>
      </c>
      <c r="Q2289" s="10">
        <v>884.74</v>
      </c>
      <c r="R2289" s="10">
        <f>IF(COUNTIF($J$2:J2289,J2289)=1,SUMIFS($O:$O,$J:$J,J2289)+SUMIFS($P:$P,$J:$J,J2289)+SUMIFS($Q:$Q,$J:$J,J2289),"")</f>
        <v>4991.53</v>
      </c>
      <c r="S2289" s="10">
        <v>4991.53</v>
      </c>
      <c r="T2289" s="11" t="str">
        <f t="shared" si="213"/>
        <v>Ok</v>
      </c>
      <c r="U2289" s="12">
        <v>46141</v>
      </c>
      <c r="V2289" s="10">
        <v>648.09</v>
      </c>
      <c r="W2289" s="10" t="str">
        <f t="shared" si="211"/>
        <v>Short Paid</v>
      </c>
      <c r="X2289" t="s">
        <v>470</v>
      </c>
      <c r="Y2289" t="s">
        <v>40</v>
      </c>
      <c r="Z2289">
        <v>100268</v>
      </c>
      <c r="AA2289" t="s">
        <v>3104</v>
      </c>
      <c r="AB2289" t="s">
        <v>522</v>
      </c>
      <c r="AC2289" s="9">
        <v>2</v>
      </c>
      <c r="AD2289" s="9" t="str">
        <f t="shared" si="212"/>
        <v>Ok</v>
      </c>
      <c r="AE2289" s="11">
        <f t="shared" si="214"/>
        <v>0</v>
      </c>
    </row>
    <row r="2290" spans="1:31" x14ac:dyDescent="0.3">
      <c r="A2290">
        <v>2</v>
      </c>
      <c r="B2290">
        <v>4962995</v>
      </c>
      <c r="C2290" t="s">
        <v>220</v>
      </c>
      <c r="D2290">
        <v>1490546</v>
      </c>
      <c r="E2290" t="s">
        <v>609</v>
      </c>
      <c r="F2290" t="s">
        <v>24</v>
      </c>
      <c r="G2290" t="s">
        <v>1884</v>
      </c>
      <c r="H2290" t="s">
        <v>1885</v>
      </c>
      <c r="I2290" t="s">
        <v>3535</v>
      </c>
      <c r="J2290">
        <v>51161806224</v>
      </c>
      <c r="K2290" t="s">
        <v>3630</v>
      </c>
      <c r="L2290" t="s">
        <v>4813</v>
      </c>
      <c r="M2290">
        <v>19</v>
      </c>
      <c r="N2290" s="10">
        <v>34.11</v>
      </c>
      <c r="O2290" s="10">
        <f t="shared" si="210"/>
        <v>648.09</v>
      </c>
      <c r="P2290" s="10" t="s">
        <v>5006</v>
      </c>
      <c r="Q2290" s="10" t="s">
        <v>5006</v>
      </c>
      <c r="R2290" s="10" t="str">
        <f>IF(COUNTIF($J$2:J2290,J2290)=1,SUMIFS($O:$O,$J:$J,J2290)+SUMIFS($P:$P,$J:$J,J2290)+SUMIFS($Q:$Q,$J:$J,J2290),"")</f>
        <v/>
      </c>
      <c r="S2290" s="10" t="s">
        <v>5006</v>
      </c>
      <c r="T2290" s="11" t="str">
        <f t="shared" si="213"/>
        <v>Ok</v>
      </c>
      <c r="U2290" s="12">
        <v>46141</v>
      </c>
      <c r="V2290" s="10">
        <v>648.09</v>
      </c>
      <c r="W2290" s="10" t="str">
        <f t="shared" si="211"/>
        <v>N/A</v>
      </c>
      <c r="X2290" t="s">
        <v>470</v>
      </c>
      <c r="Y2290" t="s">
        <v>40</v>
      </c>
      <c r="Z2290">
        <v>100268</v>
      </c>
      <c r="AA2290" t="s">
        <v>3104</v>
      </c>
      <c r="AB2290" t="s">
        <v>522</v>
      </c>
      <c r="AC2290" s="9">
        <v>2</v>
      </c>
      <c r="AD2290" s="9" t="str">
        <f t="shared" si="212"/>
        <v>N/A</v>
      </c>
      <c r="AE2290" s="11" t="e">
        <f t="shared" si="214"/>
        <v>#VALUE!</v>
      </c>
    </row>
    <row r="2291" spans="1:31" x14ac:dyDescent="0.3">
      <c r="A2291">
        <v>128</v>
      </c>
      <c r="B2291">
        <v>4433581</v>
      </c>
      <c r="C2291" t="s">
        <v>38</v>
      </c>
      <c r="D2291">
        <v>1210881</v>
      </c>
      <c r="E2291" t="s">
        <v>4913</v>
      </c>
      <c r="F2291" t="s">
        <v>18</v>
      </c>
      <c r="G2291" t="s">
        <v>4814</v>
      </c>
      <c r="H2291" t="s">
        <v>4815</v>
      </c>
      <c r="I2291" t="s">
        <v>3435</v>
      </c>
      <c r="J2291">
        <v>51161830567</v>
      </c>
      <c r="K2291" t="s">
        <v>3389</v>
      </c>
      <c r="L2291" t="s">
        <v>4816</v>
      </c>
      <c r="M2291">
        <v>36000</v>
      </c>
      <c r="N2291" s="10">
        <v>1.711E-2</v>
      </c>
      <c r="O2291" s="10">
        <f t="shared" si="210"/>
        <v>615.96</v>
      </c>
      <c r="P2291" s="10">
        <v>0</v>
      </c>
      <c r="Q2291" s="10">
        <v>0</v>
      </c>
      <c r="R2291" s="10">
        <f>IF(COUNTIF($J$2:J2291,J2291)=1,SUMIFS($O:$O,$J:$J,J2291)+SUMIFS($P:$P,$J:$J,J2291)+SUMIFS($Q:$Q,$J:$J,J2291),"")</f>
        <v>15645.77</v>
      </c>
      <c r="S2291" s="10">
        <v>31612.19</v>
      </c>
      <c r="T2291" s="11" t="str">
        <f t="shared" si="213"/>
        <v>Check</v>
      </c>
      <c r="U2291" s="12">
        <v>45964</v>
      </c>
      <c r="V2291" s="10">
        <v>365.73</v>
      </c>
      <c r="W2291" s="10" t="str">
        <f t="shared" si="211"/>
        <v>Short Paid</v>
      </c>
      <c r="X2291" t="s">
        <v>474</v>
      </c>
      <c r="Y2291" t="s">
        <v>28</v>
      </c>
      <c r="Z2291">
        <v>100289</v>
      </c>
      <c r="AA2291" t="s">
        <v>475</v>
      </c>
      <c r="AB2291" t="s">
        <v>523</v>
      </c>
      <c r="AC2291" s="9">
        <v>6</v>
      </c>
      <c r="AD2291" s="9" t="str">
        <f t="shared" si="212"/>
        <v>Check</v>
      </c>
      <c r="AE2291" s="11">
        <f t="shared" si="214"/>
        <v>-15966.419999999998</v>
      </c>
    </row>
    <row r="2292" spans="1:31" x14ac:dyDescent="0.3">
      <c r="A2292">
        <v>128</v>
      </c>
      <c r="B2292">
        <v>4433581</v>
      </c>
      <c r="C2292" t="s">
        <v>38</v>
      </c>
      <c r="D2292">
        <v>1210881</v>
      </c>
      <c r="E2292" t="s">
        <v>4913</v>
      </c>
      <c r="F2292" t="s">
        <v>18</v>
      </c>
      <c r="G2292" t="s">
        <v>4814</v>
      </c>
      <c r="H2292" t="s">
        <v>4815</v>
      </c>
      <c r="I2292" t="s">
        <v>3435</v>
      </c>
      <c r="J2292">
        <v>51161830567</v>
      </c>
      <c r="K2292" t="s">
        <v>3389</v>
      </c>
      <c r="L2292" t="s">
        <v>4817</v>
      </c>
      <c r="M2292">
        <v>9000</v>
      </c>
      <c r="N2292" s="10">
        <v>5.5710000000000003E-2</v>
      </c>
      <c r="O2292" s="10">
        <f t="shared" si="210"/>
        <v>501.39000000000004</v>
      </c>
      <c r="P2292" s="10" t="s">
        <v>5006</v>
      </c>
      <c r="Q2292" s="10" t="s">
        <v>5006</v>
      </c>
      <c r="R2292" s="10" t="str">
        <f>IF(COUNTIF($J$2:J2292,J2292)=1,SUMIFS($O:$O,$J:$J,J2292)+SUMIFS($P:$P,$J:$J,J2292)+SUMIFS($Q:$Q,$J:$J,J2292),"")</f>
        <v/>
      </c>
      <c r="S2292" s="10" t="s">
        <v>5006</v>
      </c>
      <c r="T2292" s="11" t="str">
        <f t="shared" si="213"/>
        <v>Check</v>
      </c>
      <c r="U2292" s="12">
        <v>45964</v>
      </c>
      <c r="V2292" s="10">
        <v>365.73</v>
      </c>
      <c r="W2292" s="10" t="str">
        <f t="shared" si="211"/>
        <v>N/A</v>
      </c>
      <c r="X2292" t="s">
        <v>474</v>
      </c>
      <c r="Y2292" t="s">
        <v>28</v>
      </c>
      <c r="Z2292">
        <v>100289</v>
      </c>
      <c r="AA2292" t="s">
        <v>475</v>
      </c>
      <c r="AB2292" t="s">
        <v>523</v>
      </c>
      <c r="AC2292" s="9">
        <v>6</v>
      </c>
      <c r="AD2292" s="9" t="str">
        <f t="shared" si="212"/>
        <v>N/A</v>
      </c>
      <c r="AE2292" s="11" t="e">
        <f t="shared" si="214"/>
        <v>#VALUE!</v>
      </c>
    </row>
    <row r="2293" spans="1:31" x14ac:dyDescent="0.3">
      <c r="A2293">
        <v>128</v>
      </c>
      <c r="B2293">
        <v>4433581</v>
      </c>
      <c r="C2293" t="s">
        <v>38</v>
      </c>
      <c r="D2293">
        <v>1210881</v>
      </c>
      <c r="E2293" t="s">
        <v>4913</v>
      </c>
      <c r="F2293" t="s">
        <v>18</v>
      </c>
      <c r="G2293" t="s">
        <v>4814</v>
      </c>
      <c r="H2293" t="s">
        <v>4815</v>
      </c>
      <c r="I2293" t="s">
        <v>3435</v>
      </c>
      <c r="J2293">
        <v>51161830567</v>
      </c>
      <c r="K2293" t="s">
        <v>3375</v>
      </c>
      <c r="L2293" t="s">
        <v>4818</v>
      </c>
      <c r="M2293">
        <v>2000</v>
      </c>
      <c r="N2293" s="10">
        <v>2.0550999999999999</v>
      </c>
      <c r="O2293" s="10">
        <f t="shared" si="210"/>
        <v>4110.2</v>
      </c>
      <c r="P2293" s="10" t="s">
        <v>5006</v>
      </c>
      <c r="Q2293" s="10" t="s">
        <v>5006</v>
      </c>
      <c r="R2293" s="10" t="str">
        <f>IF(COUNTIF($J$2:J2293,J2293)=1,SUMIFS($O:$O,$J:$J,J2293)+SUMIFS($P:$P,$J:$J,J2293)+SUMIFS($Q:$Q,$J:$J,J2293),"")</f>
        <v/>
      </c>
      <c r="S2293" s="10" t="s">
        <v>5006</v>
      </c>
      <c r="T2293" s="11" t="str">
        <f t="shared" si="213"/>
        <v>Check</v>
      </c>
      <c r="U2293" s="12">
        <v>45964</v>
      </c>
      <c r="V2293" s="10">
        <v>365.73</v>
      </c>
      <c r="W2293" s="10" t="str">
        <f t="shared" si="211"/>
        <v>N/A</v>
      </c>
      <c r="X2293" t="s">
        <v>474</v>
      </c>
      <c r="Y2293" t="s">
        <v>28</v>
      </c>
      <c r="Z2293">
        <v>100289</v>
      </c>
      <c r="AA2293" t="s">
        <v>475</v>
      </c>
      <c r="AB2293" t="s">
        <v>523</v>
      </c>
      <c r="AC2293" s="9">
        <v>6</v>
      </c>
      <c r="AD2293" s="9" t="str">
        <f t="shared" si="212"/>
        <v>N/A</v>
      </c>
      <c r="AE2293" s="11" t="e">
        <f t="shared" si="214"/>
        <v>#VALUE!</v>
      </c>
    </row>
    <row r="2294" spans="1:31" x14ac:dyDescent="0.3">
      <c r="A2294">
        <v>128</v>
      </c>
      <c r="B2294">
        <v>4433581</v>
      </c>
      <c r="C2294" t="s">
        <v>38</v>
      </c>
      <c r="D2294">
        <v>1210881</v>
      </c>
      <c r="E2294" t="s">
        <v>4913</v>
      </c>
      <c r="F2294" t="s">
        <v>18</v>
      </c>
      <c r="G2294" t="s">
        <v>4814</v>
      </c>
      <c r="H2294" t="s">
        <v>4815</v>
      </c>
      <c r="I2294" t="s">
        <v>3435</v>
      </c>
      <c r="J2294">
        <v>51161830567</v>
      </c>
      <c r="K2294" t="s">
        <v>3375</v>
      </c>
      <c r="L2294" t="s">
        <v>4819</v>
      </c>
      <c r="M2294">
        <v>7500</v>
      </c>
      <c r="N2294" s="10">
        <v>0.35289999999999999</v>
      </c>
      <c r="O2294" s="10">
        <f t="shared" si="210"/>
        <v>2646.75</v>
      </c>
      <c r="P2294" s="10" t="s">
        <v>5006</v>
      </c>
      <c r="Q2294" s="10" t="s">
        <v>5006</v>
      </c>
      <c r="R2294" s="10" t="str">
        <f>IF(COUNTIF($J$2:J2294,J2294)=1,SUMIFS($O:$O,$J:$J,J2294)+SUMIFS($P:$P,$J:$J,J2294)+SUMIFS($Q:$Q,$J:$J,J2294),"")</f>
        <v/>
      </c>
      <c r="S2294" s="10" t="s">
        <v>5006</v>
      </c>
      <c r="T2294" s="11" t="str">
        <f t="shared" si="213"/>
        <v>Check</v>
      </c>
      <c r="U2294" s="12">
        <v>45964</v>
      </c>
      <c r="V2294" s="10">
        <v>365.73</v>
      </c>
      <c r="W2294" s="10" t="str">
        <f t="shared" si="211"/>
        <v>N/A</v>
      </c>
      <c r="X2294" t="s">
        <v>474</v>
      </c>
      <c r="Y2294" t="s">
        <v>28</v>
      </c>
      <c r="Z2294">
        <v>100289</v>
      </c>
      <c r="AA2294" t="s">
        <v>475</v>
      </c>
      <c r="AB2294" t="s">
        <v>523</v>
      </c>
      <c r="AC2294" s="9">
        <v>6</v>
      </c>
      <c r="AD2294" s="9" t="str">
        <f t="shared" si="212"/>
        <v>N/A</v>
      </c>
      <c r="AE2294" s="11" t="e">
        <f t="shared" si="214"/>
        <v>#VALUE!</v>
      </c>
    </row>
    <row r="2295" spans="1:31" x14ac:dyDescent="0.3">
      <c r="A2295">
        <v>128</v>
      </c>
      <c r="B2295">
        <v>4433581</v>
      </c>
      <c r="C2295" t="s">
        <v>38</v>
      </c>
      <c r="D2295">
        <v>1210881</v>
      </c>
      <c r="E2295" t="s">
        <v>4913</v>
      </c>
      <c r="F2295" t="s">
        <v>18</v>
      </c>
      <c r="G2295" t="s">
        <v>4814</v>
      </c>
      <c r="H2295" t="s">
        <v>4815</v>
      </c>
      <c r="I2295" t="s">
        <v>3435</v>
      </c>
      <c r="J2295">
        <v>51161830567</v>
      </c>
      <c r="K2295" t="s">
        <v>3375</v>
      </c>
      <c r="L2295" t="s">
        <v>4820</v>
      </c>
      <c r="M2295">
        <v>6000</v>
      </c>
      <c r="N2295" s="10">
        <v>0.7752</v>
      </c>
      <c r="O2295" s="10">
        <f t="shared" si="210"/>
        <v>4651.2</v>
      </c>
      <c r="P2295" s="10" t="s">
        <v>5006</v>
      </c>
      <c r="Q2295" s="10" t="s">
        <v>5006</v>
      </c>
      <c r="R2295" s="10" t="str">
        <f>IF(COUNTIF($J$2:J2295,J2295)=1,SUMIFS($O:$O,$J:$J,J2295)+SUMIFS($P:$P,$J:$J,J2295)+SUMIFS($Q:$Q,$J:$J,J2295),"")</f>
        <v/>
      </c>
      <c r="S2295" s="10" t="s">
        <v>5006</v>
      </c>
      <c r="T2295" s="11" t="str">
        <f t="shared" si="213"/>
        <v>Check</v>
      </c>
      <c r="U2295" s="12">
        <v>45964</v>
      </c>
      <c r="V2295" s="10">
        <v>365.73</v>
      </c>
      <c r="W2295" s="10" t="str">
        <f t="shared" si="211"/>
        <v>N/A</v>
      </c>
      <c r="X2295" t="s">
        <v>474</v>
      </c>
      <c r="Y2295" t="s">
        <v>28</v>
      </c>
      <c r="Z2295">
        <v>100289</v>
      </c>
      <c r="AA2295" t="s">
        <v>475</v>
      </c>
      <c r="AB2295" t="s">
        <v>523</v>
      </c>
      <c r="AC2295" s="9">
        <v>6</v>
      </c>
      <c r="AD2295" s="9" t="str">
        <f t="shared" si="212"/>
        <v>N/A</v>
      </c>
      <c r="AE2295" s="11" t="e">
        <f t="shared" si="214"/>
        <v>#VALUE!</v>
      </c>
    </row>
    <row r="2296" spans="1:31" x14ac:dyDescent="0.3">
      <c r="A2296">
        <v>128</v>
      </c>
      <c r="B2296">
        <v>4433581</v>
      </c>
      <c r="C2296" t="s">
        <v>38</v>
      </c>
      <c r="D2296">
        <v>1210881</v>
      </c>
      <c r="E2296" t="s">
        <v>4913</v>
      </c>
      <c r="F2296" t="s">
        <v>18</v>
      </c>
      <c r="G2296" t="s">
        <v>4814</v>
      </c>
      <c r="H2296" t="s">
        <v>4815</v>
      </c>
      <c r="I2296" t="s">
        <v>3435</v>
      </c>
      <c r="J2296">
        <v>51161830567</v>
      </c>
      <c r="K2296" t="s">
        <v>3375</v>
      </c>
      <c r="L2296" t="s">
        <v>4821</v>
      </c>
      <c r="M2296">
        <v>3000</v>
      </c>
      <c r="N2296" s="10">
        <v>1.04009</v>
      </c>
      <c r="O2296" s="10">
        <f t="shared" si="210"/>
        <v>3120.27</v>
      </c>
      <c r="P2296" s="10" t="s">
        <v>5006</v>
      </c>
      <c r="Q2296" s="10" t="s">
        <v>5006</v>
      </c>
      <c r="R2296" s="10" t="str">
        <f>IF(COUNTIF($J$2:J2296,J2296)=1,SUMIFS($O:$O,$J:$J,J2296)+SUMIFS($P:$P,$J:$J,J2296)+SUMIFS($Q:$Q,$J:$J,J2296),"")</f>
        <v/>
      </c>
      <c r="S2296" s="10" t="s">
        <v>5006</v>
      </c>
      <c r="T2296" s="11" t="str">
        <f t="shared" si="213"/>
        <v>Check</v>
      </c>
      <c r="U2296" s="12">
        <v>45964</v>
      </c>
      <c r="V2296" s="10">
        <v>365.73</v>
      </c>
      <c r="W2296" s="10" t="str">
        <f t="shared" si="211"/>
        <v>N/A</v>
      </c>
      <c r="X2296" t="s">
        <v>474</v>
      </c>
      <c r="Y2296" t="s">
        <v>28</v>
      </c>
      <c r="Z2296">
        <v>100289</v>
      </c>
      <c r="AA2296" t="s">
        <v>475</v>
      </c>
      <c r="AB2296" t="s">
        <v>523</v>
      </c>
      <c r="AC2296" s="9">
        <v>6</v>
      </c>
      <c r="AD2296" s="9" t="str">
        <f t="shared" si="212"/>
        <v>N/A</v>
      </c>
      <c r="AE2296" s="11" t="e">
        <f t="shared" si="214"/>
        <v>#VALUE!</v>
      </c>
    </row>
    <row r="2297" spans="1:31" x14ac:dyDescent="0.3">
      <c r="A2297">
        <v>107</v>
      </c>
      <c r="B2297">
        <v>4443154</v>
      </c>
      <c r="C2297" t="s">
        <v>220</v>
      </c>
      <c r="D2297">
        <v>1469829</v>
      </c>
      <c r="E2297" t="s">
        <v>224</v>
      </c>
      <c r="F2297" t="s">
        <v>20</v>
      </c>
      <c r="G2297" t="s">
        <v>2477</v>
      </c>
      <c r="H2297" t="s">
        <v>2478</v>
      </c>
      <c r="I2297" t="s">
        <v>3421</v>
      </c>
      <c r="J2297">
        <v>51161860428</v>
      </c>
      <c r="K2297" t="s">
        <v>3209</v>
      </c>
      <c r="L2297" t="s">
        <v>4822</v>
      </c>
      <c r="M2297">
        <v>100000</v>
      </c>
      <c r="N2297" s="10">
        <v>1.21E-2</v>
      </c>
      <c r="O2297" s="10">
        <f t="shared" si="210"/>
        <v>1210</v>
      </c>
      <c r="P2297" s="10">
        <v>0</v>
      </c>
      <c r="Q2297" s="10">
        <v>255.08</v>
      </c>
      <c r="R2297" s="10">
        <f>IF(COUNTIF($J$2:J2297,J2297)=1,SUMIFS($O:$O,$J:$J,J2297)+SUMIFS($P:$P,$J:$J,J2297)+SUMIFS($Q:$Q,$J:$J,J2297),"")</f>
        <v>2038.83</v>
      </c>
      <c r="S2297" s="10">
        <v>2038.83</v>
      </c>
      <c r="T2297" s="11" t="str">
        <f t="shared" si="213"/>
        <v>Ok</v>
      </c>
      <c r="U2297" s="12">
        <v>46037</v>
      </c>
      <c r="V2297" s="10">
        <v>1419.5</v>
      </c>
      <c r="W2297" s="10" t="str">
        <f t="shared" si="211"/>
        <v>Short Paid</v>
      </c>
      <c r="X2297" t="s">
        <v>470</v>
      </c>
      <c r="Y2297" t="s">
        <v>28</v>
      </c>
      <c r="Z2297">
        <v>100278</v>
      </c>
      <c r="AA2297" t="s">
        <v>3114</v>
      </c>
      <c r="AB2297" t="s">
        <v>521</v>
      </c>
      <c r="AC2297" s="9">
        <v>4</v>
      </c>
      <c r="AD2297" s="9" t="str">
        <f t="shared" si="212"/>
        <v>Ok</v>
      </c>
      <c r="AE2297" s="11">
        <f t="shared" si="214"/>
        <v>0</v>
      </c>
    </row>
    <row r="2298" spans="1:31" x14ac:dyDescent="0.3">
      <c r="A2298">
        <v>107</v>
      </c>
      <c r="B2298">
        <v>4443154</v>
      </c>
      <c r="C2298" t="s">
        <v>220</v>
      </c>
      <c r="D2298">
        <v>1469829</v>
      </c>
      <c r="E2298" t="s">
        <v>224</v>
      </c>
      <c r="F2298" t="s">
        <v>20</v>
      </c>
      <c r="G2298" t="s">
        <v>2477</v>
      </c>
      <c r="H2298" t="s">
        <v>2478</v>
      </c>
      <c r="I2298" t="s">
        <v>3421</v>
      </c>
      <c r="J2298">
        <v>51161860428</v>
      </c>
      <c r="K2298" t="s">
        <v>3209</v>
      </c>
      <c r="L2298" t="s">
        <v>4823</v>
      </c>
      <c r="M2298">
        <v>5000</v>
      </c>
      <c r="N2298" s="10">
        <v>1.2749999999999999E-2</v>
      </c>
      <c r="O2298" s="10">
        <f t="shared" si="210"/>
        <v>63.749999999999993</v>
      </c>
      <c r="P2298" s="10" t="s">
        <v>5006</v>
      </c>
      <c r="Q2298" s="10" t="s">
        <v>5006</v>
      </c>
      <c r="R2298" s="10" t="str">
        <f>IF(COUNTIF($J$2:J2298,J2298)=1,SUMIFS($O:$O,$J:$J,J2298)+SUMIFS($P:$P,$J:$J,J2298)+SUMIFS($Q:$Q,$J:$J,J2298),"")</f>
        <v/>
      </c>
      <c r="S2298" s="10" t="s">
        <v>5006</v>
      </c>
      <c r="T2298" s="11" t="str">
        <f t="shared" si="213"/>
        <v>Ok</v>
      </c>
      <c r="U2298" s="12">
        <v>46037</v>
      </c>
      <c r="V2298" s="10">
        <v>1419.5</v>
      </c>
      <c r="W2298" s="10" t="str">
        <f t="shared" si="211"/>
        <v>N/A</v>
      </c>
      <c r="X2298" t="s">
        <v>470</v>
      </c>
      <c r="Y2298" t="s">
        <v>28</v>
      </c>
      <c r="Z2298">
        <v>100278</v>
      </c>
      <c r="AA2298" t="s">
        <v>3114</v>
      </c>
      <c r="AB2298" t="s">
        <v>521</v>
      </c>
      <c r="AC2298" s="9">
        <v>4</v>
      </c>
      <c r="AD2298" s="9" t="str">
        <f t="shared" si="212"/>
        <v>N/A</v>
      </c>
      <c r="AE2298" s="11" t="e">
        <f t="shared" si="214"/>
        <v>#VALUE!</v>
      </c>
    </row>
    <row r="2299" spans="1:31" x14ac:dyDescent="0.3">
      <c r="A2299">
        <v>107</v>
      </c>
      <c r="B2299">
        <v>4443154</v>
      </c>
      <c r="C2299" t="s">
        <v>220</v>
      </c>
      <c r="D2299">
        <v>1469829</v>
      </c>
      <c r="E2299" t="s">
        <v>224</v>
      </c>
      <c r="F2299" t="s">
        <v>20</v>
      </c>
      <c r="G2299" t="s">
        <v>2477</v>
      </c>
      <c r="H2299" t="s">
        <v>2478</v>
      </c>
      <c r="I2299" t="s">
        <v>3421</v>
      </c>
      <c r="J2299">
        <v>51161860428</v>
      </c>
      <c r="K2299" t="s">
        <v>3209</v>
      </c>
      <c r="L2299" t="s">
        <v>4824</v>
      </c>
      <c r="M2299">
        <v>15000</v>
      </c>
      <c r="N2299" s="10">
        <v>1.2749999999999999E-2</v>
      </c>
      <c r="O2299" s="10">
        <f t="shared" si="210"/>
        <v>191.25</v>
      </c>
      <c r="P2299" s="10" t="s">
        <v>5006</v>
      </c>
      <c r="Q2299" s="10" t="s">
        <v>5006</v>
      </c>
      <c r="R2299" s="10" t="str">
        <f>IF(COUNTIF($J$2:J2299,J2299)=1,SUMIFS($O:$O,$J:$J,J2299)+SUMIFS($P:$P,$J:$J,J2299)+SUMIFS($Q:$Q,$J:$J,J2299),"")</f>
        <v/>
      </c>
      <c r="S2299" s="10" t="s">
        <v>5006</v>
      </c>
      <c r="T2299" s="11" t="str">
        <f t="shared" si="213"/>
        <v>Ok</v>
      </c>
      <c r="U2299" s="12">
        <v>46037</v>
      </c>
      <c r="V2299" s="10">
        <v>1419.5</v>
      </c>
      <c r="W2299" s="10" t="str">
        <f t="shared" si="211"/>
        <v>N/A</v>
      </c>
      <c r="X2299" t="s">
        <v>470</v>
      </c>
      <c r="Y2299" t="s">
        <v>28</v>
      </c>
      <c r="Z2299">
        <v>100278</v>
      </c>
      <c r="AA2299" t="s">
        <v>3114</v>
      </c>
      <c r="AB2299" t="s">
        <v>521</v>
      </c>
      <c r="AC2299" s="9">
        <v>4</v>
      </c>
      <c r="AD2299" s="9" t="str">
        <f t="shared" si="212"/>
        <v>N/A</v>
      </c>
      <c r="AE2299" s="11" t="e">
        <f t="shared" si="214"/>
        <v>#VALUE!</v>
      </c>
    </row>
    <row r="2300" spans="1:31" x14ac:dyDescent="0.3">
      <c r="A2300">
        <v>107</v>
      </c>
      <c r="B2300">
        <v>4443154</v>
      </c>
      <c r="C2300" t="s">
        <v>220</v>
      </c>
      <c r="D2300">
        <v>1469829</v>
      </c>
      <c r="E2300" t="s">
        <v>224</v>
      </c>
      <c r="F2300" t="s">
        <v>20</v>
      </c>
      <c r="G2300" t="s">
        <v>2477</v>
      </c>
      <c r="H2300" t="s">
        <v>2478</v>
      </c>
      <c r="I2300" t="s">
        <v>3421</v>
      </c>
      <c r="J2300">
        <v>51161860428</v>
      </c>
      <c r="K2300" t="s">
        <v>3209</v>
      </c>
      <c r="L2300" t="s">
        <v>4825</v>
      </c>
      <c r="M2300">
        <v>25000</v>
      </c>
      <c r="N2300" s="10">
        <v>1.2749999999999999E-2</v>
      </c>
      <c r="O2300" s="10">
        <f t="shared" si="210"/>
        <v>318.75</v>
      </c>
      <c r="P2300" s="10" t="s">
        <v>5006</v>
      </c>
      <c r="Q2300" s="10" t="s">
        <v>5006</v>
      </c>
      <c r="R2300" s="10" t="str">
        <f>IF(COUNTIF($J$2:J2300,J2300)=1,SUMIFS($O:$O,$J:$J,J2300)+SUMIFS($P:$P,$J:$J,J2300)+SUMIFS($Q:$Q,$J:$J,J2300),"")</f>
        <v/>
      </c>
      <c r="S2300" s="10" t="s">
        <v>5006</v>
      </c>
      <c r="T2300" s="11" t="str">
        <f t="shared" si="213"/>
        <v>Ok</v>
      </c>
      <c r="U2300" s="12">
        <v>46037</v>
      </c>
      <c r="V2300" s="10">
        <v>1419.5</v>
      </c>
      <c r="W2300" s="10" t="str">
        <f t="shared" si="211"/>
        <v>N/A</v>
      </c>
      <c r="X2300" t="s">
        <v>470</v>
      </c>
      <c r="Y2300" t="s">
        <v>28</v>
      </c>
      <c r="Z2300">
        <v>100278</v>
      </c>
      <c r="AA2300" t="s">
        <v>3114</v>
      </c>
      <c r="AB2300" t="s">
        <v>521</v>
      </c>
      <c r="AC2300" s="9">
        <v>4</v>
      </c>
      <c r="AD2300" s="9" t="str">
        <f t="shared" si="212"/>
        <v>N/A</v>
      </c>
      <c r="AE2300" s="11" t="e">
        <f t="shared" si="214"/>
        <v>#VALUE!</v>
      </c>
    </row>
    <row r="2301" spans="1:31" x14ac:dyDescent="0.3">
      <c r="A2301">
        <v>2</v>
      </c>
      <c r="B2301">
        <v>4971066</v>
      </c>
      <c r="C2301" t="s">
        <v>56</v>
      </c>
      <c r="D2301">
        <v>1880594</v>
      </c>
      <c r="E2301" t="s">
        <v>397</v>
      </c>
      <c r="F2301" t="s">
        <v>24</v>
      </c>
      <c r="G2301" t="s">
        <v>2991</v>
      </c>
      <c r="H2301" t="s">
        <v>1908</v>
      </c>
      <c r="I2301" t="s">
        <v>3267</v>
      </c>
      <c r="J2301">
        <v>51161872425</v>
      </c>
      <c r="K2301" t="s">
        <v>3209</v>
      </c>
      <c r="L2301" t="s">
        <v>4826</v>
      </c>
      <c r="M2301">
        <v>500</v>
      </c>
      <c r="N2301" s="10">
        <v>6.19</v>
      </c>
      <c r="O2301" s="10">
        <f t="shared" si="210"/>
        <v>3095</v>
      </c>
      <c r="P2301" s="10">
        <v>0</v>
      </c>
      <c r="Q2301" s="10">
        <v>784.2</v>
      </c>
      <c r="R2301" s="10">
        <f>IF(COUNTIF($J$2:J2301,J2301)=1,SUMIFS($O:$O,$J:$J,J2301)+SUMIFS($P:$P,$J:$J,J2301)+SUMIFS($Q:$Q,$J:$J,J2301),"")</f>
        <v>3989.2</v>
      </c>
      <c r="S2301" s="10">
        <v>3989.2</v>
      </c>
      <c r="T2301" s="11" t="str">
        <f t="shared" si="213"/>
        <v>Ok</v>
      </c>
      <c r="U2301" s="12">
        <v>46153</v>
      </c>
      <c r="V2301" s="10">
        <v>110</v>
      </c>
      <c r="W2301" s="10" t="str">
        <f t="shared" si="211"/>
        <v>Short Paid</v>
      </c>
      <c r="X2301" t="s">
        <v>435</v>
      </c>
      <c r="Y2301" t="s">
        <v>40</v>
      </c>
      <c r="Z2301">
        <v>100181</v>
      </c>
      <c r="AA2301" t="s">
        <v>517</v>
      </c>
      <c r="AB2301" t="s">
        <v>522</v>
      </c>
      <c r="AC2301" s="9">
        <v>2</v>
      </c>
      <c r="AD2301" s="9" t="str">
        <f t="shared" si="212"/>
        <v>Ok</v>
      </c>
      <c r="AE2301" s="11">
        <f t="shared" si="214"/>
        <v>0</v>
      </c>
    </row>
    <row r="2302" spans="1:31" x14ac:dyDescent="0.3">
      <c r="A2302">
        <v>2</v>
      </c>
      <c r="B2302">
        <v>4971066</v>
      </c>
      <c r="C2302" t="s">
        <v>56</v>
      </c>
      <c r="D2302">
        <v>1880594</v>
      </c>
      <c r="E2302" t="s">
        <v>397</v>
      </c>
      <c r="F2302" t="s">
        <v>24</v>
      </c>
      <c r="G2302" t="s">
        <v>2991</v>
      </c>
      <c r="H2302" t="s">
        <v>1908</v>
      </c>
      <c r="I2302" t="s">
        <v>3296</v>
      </c>
      <c r="J2302">
        <v>51161872425</v>
      </c>
      <c r="K2302" t="s">
        <v>3252</v>
      </c>
      <c r="L2302" t="s">
        <v>4827</v>
      </c>
      <c r="M2302">
        <v>10000</v>
      </c>
      <c r="N2302" s="10">
        <v>1.0999999999999999E-2</v>
      </c>
      <c r="O2302" s="10">
        <f t="shared" si="210"/>
        <v>110</v>
      </c>
      <c r="P2302" s="10" t="s">
        <v>5006</v>
      </c>
      <c r="Q2302" s="10" t="s">
        <v>5006</v>
      </c>
      <c r="R2302" s="10" t="str">
        <f>IF(COUNTIF($J$2:J2302,J2302)=1,SUMIFS($O:$O,$J:$J,J2302)+SUMIFS($P:$P,$J:$J,J2302)+SUMIFS($Q:$Q,$J:$J,J2302),"")</f>
        <v/>
      </c>
      <c r="S2302" s="10" t="s">
        <v>5006</v>
      </c>
      <c r="T2302" s="11" t="str">
        <f t="shared" si="213"/>
        <v>Ok</v>
      </c>
      <c r="U2302" s="12">
        <v>46153</v>
      </c>
      <c r="V2302" s="10">
        <v>110</v>
      </c>
      <c r="W2302" s="10" t="str">
        <f t="shared" si="211"/>
        <v>N/A</v>
      </c>
      <c r="X2302" t="s">
        <v>435</v>
      </c>
      <c r="Y2302" t="s">
        <v>40</v>
      </c>
      <c r="Z2302">
        <v>100181</v>
      </c>
      <c r="AA2302" t="s">
        <v>517</v>
      </c>
      <c r="AB2302" t="s">
        <v>522</v>
      </c>
      <c r="AC2302" s="9">
        <v>2</v>
      </c>
      <c r="AD2302" s="9" t="str">
        <f t="shared" si="212"/>
        <v>N/A</v>
      </c>
      <c r="AE2302" s="11" t="e">
        <f t="shared" si="214"/>
        <v>#VALUE!</v>
      </c>
    </row>
    <row r="2303" spans="1:31" x14ac:dyDescent="0.3">
      <c r="A2303">
        <v>2</v>
      </c>
      <c r="B2303">
        <v>4964665</v>
      </c>
      <c r="C2303" t="s">
        <v>38</v>
      </c>
      <c r="D2303">
        <v>1480319</v>
      </c>
      <c r="E2303" t="s">
        <v>4914</v>
      </c>
      <c r="F2303" t="s">
        <v>24</v>
      </c>
      <c r="G2303" t="s">
        <v>1859</v>
      </c>
      <c r="H2303" t="s">
        <v>1860</v>
      </c>
      <c r="I2303" t="s">
        <v>3399</v>
      </c>
      <c r="J2303">
        <v>51161901358</v>
      </c>
      <c r="K2303" t="s">
        <v>3266</v>
      </c>
      <c r="L2303" t="s">
        <v>3683</v>
      </c>
      <c r="M2303">
        <v>11520</v>
      </c>
      <c r="N2303" s="10">
        <v>0.35560000000000003</v>
      </c>
      <c r="O2303" s="10">
        <f t="shared" si="210"/>
        <v>4096.5120000000006</v>
      </c>
      <c r="P2303" s="10">
        <v>0</v>
      </c>
      <c r="Q2303" s="10">
        <v>2142.48</v>
      </c>
      <c r="R2303" s="10">
        <f>IF(COUNTIF($J$2:J2303,J2303)=1,SUMIFS($O:$O,$J:$J,J2303)+SUMIFS($P:$P,$J:$J,J2303)+SUMIFS($Q:$Q,$J:$J,J2303),"")</f>
        <v>8238.9920000000002</v>
      </c>
      <c r="S2303" s="10">
        <v>8246.99</v>
      </c>
      <c r="T2303" s="11" t="str">
        <f t="shared" si="213"/>
        <v>Check</v>
      </c>
      <c r="U2303" s="12">
        <v>46125</v>
      </c>
      <c r="V2303" s="10">
        <v>1800</v>
      </c>
      <c r="W2303" s="10" t="str">
        <f t="shared" si="211"/>
        <v>Short Paid</v>
      </c>
      <c r="X2303" t="s">
        <v>474</v>
      </c>
      <c r="Y2303" t="s">
        <v>40</v>
      </c>
      <c r="Z2303">
        <v>100189</v>
      </c>
      <c r="AA2303" t="s">
        <v>3150</v>
      </c>
      <c r="AB2303" t="s">
        <v>522</v>
      </c>
      <c r="AC2303" s="9">
        <v>2</v>
      </c>
      <c r="AD2303" s="9" t="str">
        <f t="shared" si="212"/>
        <v>Check</v>
      </c>
      <c r="AE2303" s="11">
        <f t="shared" si="214"/>
        <v>-7.9979999999995925</v>
      </c>
    </row>
    <row r="2304" spans="1:31" x14ac:dyDescent="0.3">
      <c r="A2304">
        <v>2</v>
      </c>
      <c r="B2304">
        <v>4964665</v>
      </c>
      <c r="C2304" t="s">
        <v>38</v>
      </c>
      <c r="D2304">
        <v>1480319</v>
      </c>
      <c r="E2304" t="s">
        <v>4914</v>
      </c>
      <c r="F2304" t="s">
        <v>24</v>
      </c>
      <c r="G2304" t="s">
        <v>1859</v>
      </c>
      <c r="H2304" t="s">
        <v>1860</v>
      </c>
      <c r="I2304" t="s">
        <v>3387</v>
      </c>
      <c r="J2304">
        <v>51161901358</v>
      </c>
      <c r="K2304" t="s">
        <v>3168</v>
      </c>
      <c r="L2304" t="s">
        <v>4828</v>
      </c>
      <c r="M2304">
        <v>2500</v>
      </c>
      <c r="N2304" s="10">
        <v>0.8</v>
      </c>
      <c r="O2304" s="10">
        <f t="shared" si="210"/>
        <v>2000</v>
      </c>
      <c r="P2304" s="10" t="s">
        <v>5006</v>
      </c>
      <c r="Q2304" s="10" t="s">
        <v>5006</v>
      </c>
      <c r="R2304" s="10" t="str">
        <f>IF(COUNTIF($J$2:J2304,J2304)=1,SUMIFS($O:$O,$J:$J,J2304)+SUMIFS($P:$P,$J:$J,J2304)+SUMIFS($Q:$Q,$J:$J,J2304),"")</f>
        <v/>
      </c>
      <c r="S2304" s="10" t="s">
        <v>5006</v>
      </c>
      <c r="T2304" s="11" t="str">
        <f t="shared" si="213"/>
        <v>Check</v>
      </c>
      <c r="U2304" s="12">
        <v>46125</v>
      </c>
      <c r="V2304" s="10">
        <v>1800</v>
      </c>
      <c r="W2304" s="10" t="str">
        <f t="shared" si="211"/>
        <v>N/A</v>
      </c>
      <c r="X2304" t="s">
        <v>474</v>
      </c>
      <c r="Y2304" t="s">
        <v>40</v>
      </c>
      <c r="Z2304">
        <v>100189</v>
      </c>
      <c r="AA2304" t="s">
        <v>3150</v>
      </c>
      <c r="AB2304" t="s">
        <v>522</v>
      </c>
      <c r="AC2304" s="9">
        <v>2</v>
      </c>
      <c r="AD2304" s="9" t="str">
        <f t="shared" si="212"/>
        <v>N/A</v>
      </c>
      <c r="AE2304" s="11" t="e">
        <f t="shared" si="214"/>
        <v>#VALUE!</v>
      </c>
    </row>
    <row r="2305" spans="1:31" x14ac:dyDescent="0.3">
      <c r="A2305">
        <v>2</v>
      </c>
      <c r="B2305">
        <v>4959934</v>
      </c>
      <c r="C2305" t="s">
        <v>56</v>
      </c>
      <c r="D2305">
        <v>1468334</v>
      </c>
      <c r="E2305" t="s">
        <v>606</v>
      </c>
      <c r="F2305" t="s">
        <v>49</v>
      </c>
      <c r="G2305" t="s">
        <v>1876</v>
      </c>
      <c r="H2305" t="s">
        <v>1877</v>
      </c>
      <c r="I2305" t="s">
        <v>3315</v>
      </c>
      <c r="J2305">
        <v>51161907705</v>
      </c>
      <c r="K2305" t="s">
        <v>3289</v>
      </c>
      <c r="L2305" t="s">
        <v>4829</v>
      </c>
      <c r="M2305">
        <v>4000</v>
      </c>
      <c r="N2305" s="10">
        <v>0.22</v>
      </c>
      <c r="O2305" s="10">
        <f t="shared" si="210"/>
        <v>880</v>
      </c>
      <c r="P2305" s="10">
        <v>114.4</v>
      </c>
      <c r="Q2305" s="10">
        <v>0</v>
      </c>
      <c r="R2305" s="10">
        <f>IF(COUNTIF($J$2:J2305,J2305)=1,SUMIFS($O:$O,$J:$J,J2305)+SUMIFS($P:$P,$J:$J,J2305)+SUMIFS($Q:$Q,$J:$J,J2305),"")</f>
        <v>1775.24</v>
      </c>
      <c r="S2305" s="10">
        <v>1775.24</v>
      </c>
      <c r="T2305" s="11" t="str">
        <f t="shared" si="213"/>
        <v>Ok</v>
      </c>
      <c r="U2305" s="12">
        <v>46058</v>
      </c>
      <c r="V2305" s="10">
        <v>114.4</v>
      </c>
      <c r="W2305" s="10" t="str">
        <f t="shared" si="211"/>
        <v>Short Paid</v>
      </c>
      <c r="X2305" t="s">
        <v>435</v>
      </c>
      <c r="Y2305" t="s">
        <v>29</v>
      </c>
      <c r="Z2305">
        <v>100291</v>
      </c>
      <c r="AA2305" t="s">
        <v>3147</v>
      </c>
      <c r="AB2305" t="s">
        <v>3041</v>
      </c>
      <c r="AC2305" s="9">
        <v>2</v>
      </c>
      <c r="AD2305" s="9" t="str">
        <f t="shared" si="212"/>
        <v>Ok</v>
      </c>
      <c r="AE2305" s="11">
        <f t="shared" si="214"/>
        <v>0</v>
      </c>
    </row>
    <row r="2306" spans="1:31" x14ac:dyDescent="0.3">
      <c r="A2306">
        <v>2</v>
      </c>
      <c r="B2306">
        <v>4959934</v>
      </c>
      <c r="C2306" t="s">
        <v>56</v>
      </c>
      <c r="D2306">
        <v>1468334</v>
      </c>
      <c r="E2306" t="s">
        <v>606</v>
      </c>
      <c r="F2306" t="s">
        <v>49</v>
      </c>
      <c r="G2306" t="s">
        <v>1876</v>
      </c>
      <c r="H2306" t="s">
        <v>1877</v>
      </c>
      <c r="I2306" t="s">
        <v>3323</v>
      </c>
      <c r="J2306">
        <v>51161907705</v>
      </c>
      <c r="K2306" t="s">
        <v>3375</v>
      </c>
      <c r="L2306" t="s">
        <v>4830</v>
      </c>
      <c r="M2306">
        <v>1200</v>
      </c>
      <c r="N2306" s="10">
        <v>0.65069999999999995</v>
      </c>
      <c r="O2306" s="10">
        <f t="shared" ref="O2306:O2369" si="215">M2306*N2306</f>
        <v>780.83999999999992</v>
      </c>
      <c r="P2306" s="10" t="s">
        <v>5006</v>
      </c>
      <c r="Q2306" s="10" t="s">
        <v>5006</v>
      </c>
      <c r="R2306" s="10" t="str">
        <f>IF(COUNTIF($J$2:J2306,J2306)=1,SUMIFS($O:$O,$J:$J,J2306)+SUMIFS($P:$P,$J:$J,J2306)+SUMIFS($Q:$Q,$J:$J,J2306),"")</f>
        <v/>
      </c>
      <c r="S2306" s="10" t="s">
        <v>5006</v>
      </c>
      <c r="T2306" s="11" t="str">
        <f t="shared" si="213"/>
        <v>Ok</v>
      </c>
      <c r="U2306" s="12">
        <v>46058</v>
      </c>
      <c r="V2306" s="10">
        <v>114.4</v>
      </c>
      <c r="W2306" s="10" t="str">
        <f t="shared" ref="W2306:W2369" si="216">IF(OR(S2306="",V2306=""),"N/A",IF(S2306&lt;&gt;V2306,"Short Paid","Not Paid"))</f>
        <v>N/A</v>
      </c>
      <c r="X2306" t="s">
        <v>435</v>
      </c>
      <c r="Y2306" t="s">
        <v>29</v>
      </c>
      <c r="Z2306">
        <v>100291</v>
      </c>
      <c r="AA2306" t="s">
        <v>3147</v>
      </c>
      <c r="AB2306" t="s">
        <v>3041</v>
      </c>
      <c r="AC2306" s="9">
        <v>2</v>
      </c>
      <c r="AD2306" s="9" t="str">
        <f t="shared" ref="AD2306:AD2369" si="217">IF(AND(R2306="",S2306=""),"N/A",IF(R2306=S2306,"Ok","Check"))</f>
        <v>N/A</v>
      </c>
      <c r="AE2306" s="11" t="e">
        <f t="shared" si="214"/>
        <v>#VALUE!</v>
      </c>
    </row>
    <row r="2307" spans="1:31" x14ac:dyDescent="0.3">
      <c r="A2307">
        <v>2</v>
      </c>
      <c r="B2307">
        <v>4964943</v>
      </c>
      <c r="C2307" t="s">
        <v>239</v>
      </c>
      <c r="D2307">
        <v>1334402</v>
      </c>
      <c r="E2307" t="s">
        <v>607</v>
      </c>
      <c r="F2307" t="s">
        <v>24</v>
      </c>
      <c r="G2307" t="s">
        <v>1857</v>
      </c>
      <c r="H2307" t="s">
        <v>1858</v>
      </c>
      <c r="I2307" t="s">
        <v>3267</v>
      </c>
      <c r="J2307">
        <v>51161907747</v>
      </c>
      <c r="K2307" t="s">
        <v>3266</v>
      </c>
      <c r="L2307" t="s">
        <v>3688</v>
      </c>
      <c r="M2307">
        <v>11340</v>
      </c>
      <c r="N2307" s="10">
        <v>0.44429999999999997</v>
      </c>
      <c r="O2307" s="10">
        <f t="shared" si="215"/>
        <v>5038.3620000000001</v>
      </c>
      <c r="P2307" s="10">
        <v>0</v>
      </c>
      <c r="Q2307" s="10">
        <v>1199.1300000000001</v>
      </c>
      <c r="R2307" s="10">
        <f>IF(COUNTIF($J$2:J2307,J2307)=1,SUMIFS($O:$O,$J:$J,J2307)+SUMIFS($P:$P,$J:$J,J2307)+SUMIFS($Q:$Q,$J:$J,J2307),"")</f>
        <v>6306.7420000000002</v>
      </c>
      <c r="S2307" s="10">
        <v>6306.74</v>
      </c>
      <c r="T2307" s="11" t="str">
        <f t="shared" ref="T2307:T2370" si="218">IFERROR(INDEX(AD:AD,MATCH(J2307,J:J,0)),"")</f>
        <v>Check</v>
      </c>
      <c r="U2307" s="12">
        <v>46090</v>
      </c>
      <c r="V2307" s="10">
        <v>7.61</v>
      </c>
      <c r="W2307" s="10" t="str">
        <f t="shared" si="216"/>
        <v>Short Paid</v>
      </c>
      <c r="X2307" t="s">
        <v>476</v>
      </c>
      <c r="Y2307" t="s">
        <v>40</v>
      </c>
      <c r="Z2307">
        <v>100185</v>
      </c>
      <c r="AA2307" t="s">
        <v>3153</v>
      </c>
      <c r="AB2307" t="s">
        <v>522</v>
      </c>
      <c r="AC2307" s="9">
        <v>2</v>
      </c>
      <c r="AD2307" s="9" t="str">
        <f t="shared" si="217"/>
        <v>Check</v>
      </c>
      <c r="AE2307" s="11">
        <f t="shared" si="214"/>
        <v>2.0000000004074536E-3</v>
      </c>
    </row>
    <row r="2308" spans="1:31" x14ac:dyDescent="0.3">
      <c r="A2308">
        <v>2</v>
      </c>
      <c r="B2308">
        <v>4964943</v>
      </c>
      <c r="C2308" t="s">
        <v>239</v>
      </c>
      <c r="D2308">
        <v>1334402</v>
      </c>
      <c r="E2308" t="s">
        <v>607</v>
      </c>
      <c r="F2308" t="s">
        <v>24</v>
      </c>
      <c r="G2308" t="s">
        <v>1857</v>
      </c>
      <c r="H2308" t="s">
        <v>1858</v>
      </c>
      <c r="I2308" t="s">
        <v>3325</v>
      </c>
      <c r="J2308">
        <v>51161907747</v>
      </c>
      <c r="K2308" t="s">
        <v>3229</v>
      </c>
      <c r="L2308" t="s">
        <v>4831</v>
      </c>
      <c r="M2308">
        <v>2500</v>
      </c>
      <c r="N2308" s="10">
        <v>2.7699999999999999E-2</v>
      </c>
      <c r="O2308" s="10">
        <f t="shared" si="215"/>
        <v>69.25</v>
      </c>
      <c r="P2308" s="10" t="s">
        <v>5006</v>
      </c>
      <c r="Q2308" s="10" t="s">
        <v>5006</v>
      </c>
      <c r="R2308" s="10" t="str">
        <f>IF(COUNTIF($J$2:J2308,J2308)=1,SUMIFS($O:$O,$J:$J,J2308)+SUMIFS($P:$P,$J:$J,J2308)+SUMIFS($Q:$Q,$J:$J,J2308),"")</f>
        <v/>
      </c>
      <c r="S2308" s="10" t="s">
        <v>5006</v>
      </c>
      <c r="T2308" s="11" t="str">
        <f t="shared" si="218"/>
        <v>Check</v>
      </c>
      <c r="U2308" s="12">
        <v>46090</v>
      </c>
      <c r="V2308" s="10">
        <v>7.61</v>
      </c>
      <c r="W2308" s="10" t="str">
        <f t="shared" si="216"/>
        <v>N/A</v>
      </c>
      <c r="X2308" t="s">
        <v>476</v>
      </c>
      <c r="Y2308" t="s">
        <v>40</v>
      </c>
      <c r="Z2308">
        <v>100185</v>
      </c>
      <c r="AA2308" t="s">
        <v>3153</v>
      </c>
      <c r="AB2308" t="s">
        <v>522</v>
      </c>
      <c r="AC2308" s="9">
        <v>2</v>
      </c>
      <c r="AD2308" s="9" t="str">
        <f t="shared" si="217"/>
        <v>N/A</v>
      </c>
      <c r="AE2308" s="11" t="e">
        <f t="shared" si="214"/>
        <v>#VALUE!</v>
      </c>
    </row>
    <row r="2309" spans="1:31" x14ac:dyDescent="0.3">
      <c r="A2309">
        <v>2</v>
      </c>
      <c r="B2309">
        <v>4965222</v>
      </c>
      <c r="C2309" t="s">
        <v>167</v>
      </c>
      <c r="D2309">
        <v>1473745</v>
      </c>
      <c r="E2309" t="s">
        <v>612</v>
      </c>
      <c r="F2309" t="s">
        <v>20</v>
      </c>
      <c r="G2309" t="s">
        <v>1890</v>
      </c>
      <c r="H2309" t="s">
        <v>1891</v>
      </c>
      <c r="I2309" t="s">
        <v>3485</v>
      </c>
      <c r="J2309">
        <v>51161907756</v>
      </c>
      <c r="K2309" t="s">
        <v>3244</v>
      </c>
      <c r="L2309" t="s">
        <v>4832</v>
      </c>
      <c r="M2309">
        <v>684</v>
      </c>
      <c r="N2309" s="10">
        <v>74.5</v>
      </c>
      <c r="O2309" s="10">
        <f t="shared" si="215"/>
        <v>50958</v>
      </c>
      <c r="P2309" s="10">
        <v>0</v>
      </c>
      <c r="Q2309" s="10">
        <v>563.9</v>
      </c>
      <c r="R2309" s="10">
        <f>IF(COUNTIF($J$2:J2309,J2309)=1,SUMIFS($O:$O,$J:$J,J2309)+SUMIFS($P:$P,$J:$J,J2309)+SUMIFS($Q:$Q,$J:$J,J2309),"")</f>
        <v>52600.1</v>
      </c>
      <c r="S2309" s="10">
        <v>52600.1</v>
      </c>
      <c r="T2309" s="11" t="str">
        <f t="shared" si="218"/>
        <v>Ok</v>
      </c>
      <c r="U2309" s="12">
        <v>46155</v>
      </c>
      <c r="V2309" s="10">
        <v>50958</v>
      </c>
      <c r="W2309" s="10" t="str">
        <f t="shared" si="216"/>
        <v>Short Paid</v>
      </c>
      <c r="X2309" t="s">
        <v>455</v>
      </c>
      <c r="Y2309" t="s">
        <v>28</v>
      </c>
      <c r="Z2309">
        <v>100160</v>
      </c>
      <c r="AA2309" t="s">
        <v>457</v>
      </c>
      <c r="AB2309" t="s">
        <v>521</v>
      </c>
      <c r="AC2309" s="9">
        <v>2</v>
      </c>
      <c r="AD2309" s="9" t="str">
        <f t="shared" si="217"/>
        <v>Ok</v>
      </c>
      <c r="AE2309" s="11">
        <f t="shared" si="214"/>
        <v>0</v>
      </c>
    </row>
    <row r="2310" spans="1:31" x14ac:dyDescent="0.3">
      <c r="A2310">
        <v>2</v>
      </c>
      <c r="B2310">
        <v>4965222</v>
      </c>
      <c r="C2310" t="s">
        <v>167</v>
      </c>
      <c r="D2310">
        <v>1473745</v>
      </c>
      <c r="E2310" t="s">
        <v>612</v>
      </c>
      <c r="F2310" t="s">
        <v>20</v>
      </c>
      <c r="G2310" t="s">
        <v>1890</v>
      </c>
      <c r="H2310" t="s">
        <v>1891</v>
      </c>
      <c r="I2310" t="s">
        <v>3402</v>
      </c>
      <c r="J2310">
        <v>51161907756</v>
      </c>
      <c r="K2310" t="s">
        <v>3266</v>
      </c>
      <c r="L2310" t="s">
        <v>4798</v>
      </c>
      <c r="M2310">
        <v>3600</v>
      </c>
      <c r="N2310" s="10">
        <v>0.29949999999999999</v>
      </c>
      <c r="O2310" s="10">
        <f t="shared" si="215"/>
        <v>1078.2</v>
      </c>
      <c r="P2310" s="10" t="s">
        <v>5006</v>
      </c>
      <c r="Q2310" s="10" t="s">
        <v>5006</v>
      </c>
      <c r="R2310" s="10" t="str">
        <f>IF(COUNTIF($J$2:J2310,J2310)=1,SUMIFS($O:$O,$J:$J,J2310)+SUMIFS($P:$P,$J:$J,J2310)+SUMIFS($Q:$Q,$J:$J,J2310),"")</f>
        <v/>
      </c>
      <c r="S2310" s="10" t="s">
        <v>5006</v>
      </c>
      <c r="T2310" s="11" t="str">
        <f t="shared" si="218"/>
        <v>Ok</v>
      </c>
      <c r="U2310" s="12">
        <v>46155</v>
      </c>
      <c r="V2310" s="10">
        <v>50958</v>
      </c>
      <c r="W2310" s="10" t="str">
        <f t="shared" si="216"/>
        <v>N/A</v>
      </c>
      <c r="X2310" t="s">
        <v>455</v>
      </c>
      <c r="Y2310" t="s">
        <v>28</v>
      </c>
      <c r="Z2310">
        <v>100160</v>
      </c>
      <c r="AA2310" t="s">
        <v>457</v>
      </c>
      <c r="AB2310" t="s">
        <v>521</v>
      </c>
      <c r="AC2310" s="9">
        <v>2</v>
      </c>
      <c r="AD2310" s="9" t="str">
        <f t="shared" si="217"/>
        <v>N/A</v>
      </c>
      <c r="AE2310" s="11" t="e">
        <f t="shared" si="214"/>
        <v>#VALUE!</v>
      </c>
    </row>
    <row r="2311" spans="1:31" x14ac:dyDescent="0.3">
      <c r="A2311">
        <v>2</v>
      </c>
      <c r="B2311">
        <v>4965500</v>
      </c>
      <c r="C2311" t="s">
        <v>217</v>
      </c>
      <c r="D2311">
        <v>1148949</v>
      </c>
      <c r="E2311" t="s">
        <v>613</v>
      </c>
      <c r="F2311" t="s">
        <v>20</v>
      </c>
      <c r="G2311" t="s">
        <v>1892</v>
      </c>
      <c r="H2311" t="s">
        <v>1893</v>
      </c>
      <c r="I2311" t="s">
        <v>3477</v>
      </c>
      <c r="J2311">
        <v>51161907785</v>
      </c>
      <c r="K2311" t="s">
        <v>3611</v>
      </c>
      <c r="L2311" t="s">
        <v>4833</v>
      </c>
      <c r="M2311">
        <v>10000</v>
      </c>
      <c r="N2311" s="10">
        <v>0.53049999999999997</v>
      </c>
      <c r="O2311" s="10">
        <f t="shared" si="215"/>
        <v>5305</v>
      </c>
      <c r="P2311" s="10">
        <v>0</v>
      </c>
      <c r="Q2311" s="10">
        <v>0</v>
      </c>
      <c r="R2311" s="10">
        <f>IF(COUNTIF($J$2:J2311,J2311)=1,SUMIFS($O:$O,$J:$J,J2311)+SUMIFS($P:$P,$J:$J,J2311)+SUMIFS($Q:$Q,$J:$J,J2311),"")</f>
        <v>6385</v>
      </c>
      <c r="S2311" s="10">
        <v>6385</v>
      </c>
      <c r="T2311" s="11" t="str">
        <f t="shared" si="218"/>
        <v>Ok</v>
      </c>
      <c r="U2311" s="12">
        <v>46156</v>
      </c>
      <c r="V2311" s="10">
        <v>5305</v>
      </c>
      <c r="W2311" s="10" t="str">
        <f t="shared" si="216"/>
        <v>Short Paid</v>
      </c>
      <c r="X2311" t="s">
        <v>468</v>
      </c>
      <c r="Y2311" t="s">
        <v>28</v>
      </c>
      <c r="Z2311">
        <v>100196</v>
      </c>
      <c r="AA2311" t="s">
        <v>3095</v>
      </c>
      <c r="AB2311" t="s">
        <v>521</v>
      </c>
      <c r="AC2311" s="9">
        <v>2</v>
      </c>
      <c r="AD2311" s="9" t="str">
        <f t="shared" si="217"/>
        <v>Ok</v>
      </c>
      <c r="AE2311" s="11">
        <f t="shared" ref="AE2311:AE2373" si="219">R2311-S2311</f>
        <v>0</v>
      </c>
    </row>
    <row r="2312" spans="1:31" x14ac:dyDescent="0.3">
      <c r="A2312">
        <v>2</v>
      </c>
      <c r="B2312">
        <v>4965500</v>
      </c>
      <c r="C2312" t="s">
        <v>217</v>
      </c>
      <c r="D2312">
        <v>1148949</v>
      </c>
      <c r="E2312" t="s">
        <v>613</v>
      </c>
      <c r="F2312" t="s">
        <v>20</v>
      </c>
      <c r="G2312" t="s">
        <v>1892</v>
      </c>
      <c r="H2312" t="s">
        <v>1893</v>
      </c>
      <c r="I2312" t="s">
        <v>3423</v>
      </c>
      <c r="J2312">
        <v>51161907785</v>
      </c>
      <c r="K2312" t="s">
        <v>3379</v>
      </c>
      <c r="L2312" t="s">
        <v>3461</v>
      </c>
      <c r="M2312">
        <v>40000</v>
      </c>
      <c r="N2312" s="10">
        <v>2.7E-2</v>
      </c>
      <c r="O2312" s="10">
        <f t="shared" si="215"/>
        <v>1080</v>
      </c>
      <c r="P2312" s="10" t="s">
        <v>5006</v>
      </c>
      <c r="Q2312" s="10" t="s">
        <v>5006</v>
      </c>
      <c r="R2312" s="10" t="str">
        <f>IF(COUNTIF($J$2:J2312,J2312)=1,SUMIFS($O:$O,$J:$J,J2312)+SUMIFS($P:$P,$J:$J,J2312)+SUMIFS($Q:$Q,$J:$J,J2312),"")</f>
        <v/>
      </c>
      <c r="S2312" s="10" t="s">
        <v>5006</v>
      </c>
      <c r="T2312" s="11" t="str">
        <f t="shared" si="218"/>
        <v>Ok</v>
      </c>
      <c r="U2312" s="12">
        <v>46156</v>
      </c>
      <c r="V2312" s="10">
        <v>5305</v>
      </c>
      <c r="W2312" s="10" t="str">
        <f t="shared" si="216"/>
        <v>N/A</v>
      </c>
      <c r="X2312" t="s">
        <v>468</v>
      </c>
      <c r="Y2312" t="s">
        <v>28</v>
      </c>
      <c r="Z2312">
        <v>100196</v>
      </c>
      <c r="AA2312" t="s">
        <v>3095</v>
      </c>
      <c r="AB2312" t="s">
        <v>521</v>
      </c>
      <c r="AC2312" s="9">
        <v>2</v>
      </c>
      <c r="AD2312" s="9" t="str">
        <f t="shared" si="217"/>
        <v>N/A</v>
      </c>
      <c r="AE2312" s="11" t="e">
        <f t="shared" si="219"/>
        <v>#VALUE!</v>
      </c>
    </row>
    <row r="2313" spans="1:31" x14ac:dyDescent="0.3">
      <c r="A2313">
        <v>2</v>
      </c>
      <c r="B2313">
        <v>4966613</v>
      </c>
      <c r="C2313" t="s">
        <v>94</v>
      </c>
      <c r="D2313">
        <v>1208231</v>
      </c>
      <c r="E2313" t="s">
        <v>288</v>
      </c>
      <c r="F2313" t="s">
        <v>49</v>
      </c>
      <c r="G2313" t="s">
        <v>1894</v>
      </c>
      <c r="H2313" t="s">
        <v>1895</v>
      </c>
      <c r="I2313" t="s">
        <v>3249</v>
      </c>
      <c r="J2313">
        <v>51161907801</v>
      </c>
      <c r="K2313" t="s">
        <v>3630</v>
      </c>
      <c r="L2313" t="s">
        <v>3629</v>
      </c>
      <c r="M2313">
        <v>6500</v>
      </c>
      <c r="N2313" s="10">
        <v>8.9249999999999996E-2</v>
      </c>
      <c r="O2313" s="10">
        <f t="shared" si="215"/>
        <v>580.125</v>
      </c>
      <c r="P2313" s="10">
        <v>52.79</v>
      </c>
      <c r="Q2313" s="10">
        <v>0</v>
      </c>
      <c r="R2313" s="10">
        <f>IF(COUNTIF($J$2:J2313,J2313)=1,SUMIFS($O:$O,$J:$J,J2313)+SUMIFS($P:$P,$J:$J,J2313)+SUMIFS($Q:$Q,$J:$J,J2313),"")</f>
        <v>1043.3150000000001</v>
      </c>
      <c r="S2313" s="10">
        <v>1043.32</v>
      </c>
      <c r="T2313" s="11" t="str">
        <f t="shared" si="218"/>
        <v>Check</v>
      </c>
      <c r="U2313" s="12">
        <v>46099</v>
      </c>
      <c r="V2313" s="10">
        <v>52.79</v>
      </c>
      <c r="W2313" s="10" t="str">
        <f t="shared" si="216"/>
        <v>Short Paid</v>
      </c>
      <c r="X2313" t="s">
        <v>450</v>
      </c>
      <c r="Y2313" t="s">
        <v>29</v>
      </c>
      <c r="Z2313">
        <v>100297</v>
      </c>
      <c r="AA2313" t="s">
        <v>3119</v>
      </c>
      <c r="AB2313" t="s">
        <v>3041</v>
      </c>
      <c r="AC2313" s="9">
        <v>2</v>
      </c>
      <c r="AD2313" s="9" t="str">
        <f t="shared" si="217"/>
        <v>Check</v>
      </c>
      <c r="AE2313" s="11">
        <f t="shared" si="219"/>
        <v>-4.9999999998817657E-3</v>
      </c>
    </row>
    <row r="2314" spans="1:31" x14ac:dyDescent="0.3">
      <c r="A2314">
        <v>2</v>
      </c>
      <c r="B2314">
        <v>4966613</v>
      </c>
      <c r="C2314" t="s">
        <v>94</v>
      </c>
      <c r="D2314">
        <v>1208231</v>
      </c>
      <c r="E2314" t="s">
        <v>288</v>
      </c>
      <c r="F2314" t="s">
        <v>49</v>
      </c>
      <c r="G2314" t="s">
        <v>1894</v>
      </c>
      <c r="H2314" t="s">
        <v>1895</v>
      </c>
      <c r="I2314" t="s">
        <v>3424</v>
      </c>
      <c r="J2314">
        <v>51161907801</v>
      </c>
      <c r="K2314" t="s">
        <v>3165</v>
      </c>
      <c r="L2314" t="s">
        <v>3290</v>
      </c>
      <c r="M2314">
        <v>1</v>
      </c>
      <c r="N2314" s="10">
        <v>410.4</v>
      </c>
      <c r="O2314" s="10">
        <f t="shared" si="215"/>
        <v>410.4</v>
      </c>
      <c r="P2314" s="10" t="s">
        <v>5006</v>
      </c>
      <c r="Q2314" s="10" t="s">
        <v>5006</v>
      </c>
      <c r="R2314" s="10" t="str">
        <f>IF(COUNTIF($J$2:J2314,J2314)=1,SUMIFS($O:$O,$J:$J,J2314)+SUMIFS($P:$P,$J:$J,J2314)+SUMIFS($Q:$Q,$J:$J,J2314),"")</f>
        <v/>
      </c>
      <c r="S2314" s="10" t="s">
        <v>5006</v>
      </c>
      <c r="T2314" s="11" t="str">
        <f t="shared" si="218"/>
        <v>Check</v>
      </c>
      <c r="U2314" s="12">
        <v>46099</v>
      </c>
      <c r="V2314" s="10">
        <v>52.79</v>
      </c>
      <c r="W2314" s="10" t="str">
        <f t="shared" si="216"/>
        <v>N/A</v>
      </c>
      <c r="X2314" t="s">
        <v>450</v>
      </c>
      <c r="Y2314" t="s">
        <v>29</v>
      </c>
      <c r="Z2314">
        <v>100297</v>
      </c>
      <c r="AA2314" t="s">
        <v>3119</v>
      </c>
      <c r="AB2314" t="s">
        <v>3041</v>
      </c>
      <c r="AC2314" s="9">
        <v>2</v>
      </c>
      <c r="AD2314" s="9" t="str">
        <f t="shared" si="217"/>
        <v>N/A</v>
      </c>
      <c r="AE2314" s="11" t="e">
        <f t="shared" si="219"/>
        <v>#VALUE!</v>
      </c>
    </row>
    <row r="2315" spans="1:31" x14ac:dyDescent="0.3">
      <c r="A2315">
        <v>2</v>
      </c>
      <c r="B2315">
        <v>4966056</v>
      </c>
      <c r="C2315" t="s">
        <v>56</v>
      </c>
      <c r="D2315">
        <v>1394929</v>
      </c>
      <c r="E2315" t="s">
        <v>610</v>
      </c>
      <c r="F2315" t="s">
        <v>20</v>
      </c>
      <c r="G2315" t="s">
        <v>1873</v>
      </c>
      <c r="H2315" t="s">
        <v>1874</v>
      </c>
      <c r="I2315" t="s">
        <v>3200</v>
      </c>
      <c r="J2315">
        <v>51161918053</v>
      </c>
      <c r="K2315" t="s">
        <v>3241</v>
      </c>
      <c r="L2315" t="s">
        <v>4834</v>
      </c>
      <c r="M2315">
        <v>10000</v>
      </c>
      <c r="N2315" s="10">
        <v>6.8640000000000007E-2</v>
      </c>
      <c r="O2315" s="10">
        <f t="shared" si="215"/>
        <v>686.40000000000009</v>
      </c>
      <c r="P2315" s="10">
        <v>0</v>
      </c>
      <c r="Q2315" s="10">
        <v>65.209999999999994</v>
      </c>
      <c r="R2315" s="10">
        <f>IF(COUNTIF($J$2:J2315,J2315)=1,SUMIFS($O:$O,$J:$J,J2315)+SUMIFS($P:$P,$J:$J,J2315)+SUMIFS($Q:$Q,$J:$J,J2315),"")</f>
        <v>1189.6100000000001</v>
      </c>
      <c r="S2315" s="10">
        <v>1280.4099999999999</v>
      </c>
      <c r="T2315" s="11" t="str">
        <f t="shared" si="218"/>
        <v>Check</v>
      </c>
      <c r="U2315" s="12">
        <v>46141</v>
      </c>
      <c r="V2315" s="10">
        <v>751.61</v>
      </c>
      <c r="W2315" s="10" t="str">
        <f t="shared" si="216"/>
        <v>Short Paid</v>
      </c>
      <c r="X2315" t="s">
        <v>435</v>
      </c>
      <c r="Y2315" t="s">
        <v>28</v>
      </c>
      <c r="Z2315">
        <v>100281</v>
      </c>
      <c r="AA2315" t="s">
        <v>3068</v>
      </c>
      <c r="AB2315" t="s">
        <v>521</v>
      </c>
      <c r="AC2315" s="9">
        <v>3</v>
      </c>
      <c r="AD2315" s="9" t="str">
        <f t="shared" si="217"/>
        <v>Check</v>
      </c>
      <c r="AE2315" s="11">
        <f t="shared" si="219"/>
        <v>-90.799999999999727</v>
      </c>
    </row>
    <row r="2316" spans="1:31" x14ac:dyDescent="0.3">
      <c r="A2316">
        <v>2</v>
      </c>
      <c r="B2316">
        <v>4966056</v>
      </c>
      <c r="C2316" t="s">
        <v>56</v>
      </c>
      <c r="D2316">
        <v>1394929</v>
      </c>
      <c r="E2316" t="s">
        <v>610</v>
      </c>
      <c r="F2316" t="s">
        <v>20</v>
      </c>
      <c r="G2316" t="s">
        <v>1873</v>
      </c>
      <c r="H2316" t="s">
        <v>1874</v>
      </c>
      <c r="I2316" t="s">
        <v>3298</v>
      </c>
      <c r="J2316">
        <v>51161918053</v>
      </c>
      <c r="K2316" t="s">
        <v>3177</v>
      </c>
      <c r="L2316" t="s">
        <v>3891</v>
      </c>
      <c r="M2316">
        <v>20000</v>
      </c>
      <c r="N2316" s="10">
        <v>1.4500000000000001E-2</v>
      </c>
      <c r="O2316" s="10">
        <f t="shared" si="215"/>
        <v>290</v>
      </c>
      <c r="P2316" s="10" t="s">
        <v>5006</v>
      </c>
      <c r="Q2316" s="10" t="s">
        <v>5006</v>
      </c>
      <c r="R2316" s="10" t="str">
        <f>IF(COUNTIF($J$2:J2316,J2316)=1,SUMIFS($O:$O,$J:$J,J2316)+SUMIFS($P:$P,$J:$J,J2316)+SUMIFS($Q:$Q,$J:$J,J2316),"")</f>
        <v/>
      </c>
      <c r="S2316" s="10" t="s">
        <v>5006</v>
      </c>
      <c r="T2316" s="11" t="str">
        <f t="shared" si="218"/>
        <v>Check</v>
      </c>
      <c r="U2316" s="12">
        <v>46141</v>
      </c>
      <c r="V2316" s="10">
        <v>751.61</v>
      </c>
      <c r="W2316" s="10" t="str">
        <f t="shared" si="216"/>
        <v>N/A</v>
      </c>
      <c r="X2316" t="s">
        <v>435</v>
      </c>
      <c r="Y2316" t="s">
        <v>28</v>
      </c>
      <c r="Z2316">
        <v>100281</v>
      </c>
      <c r="AA2316" t="s">
        <v>3068</v>
      </c>
      <c r="AB2316" t="s">
        <v>521</v>
      </c>
      <c r="AC2316" s="9">
        <v>3</v>
      </c>
      <c r="AD2316" s="9" t="str">
        <f t="shared" si="217"/>
        <v>N/A</v>
      </c>
      <c r="AE2316" s="11" t="e">
        <f t="shared" si="219"/>
        <v>#VALUE!</v>
      </c>
    </row>
    <row r="2317" spans="1:31" x14ac:dyDescent="0.3">
      <c r="A2317">
        <v>2</v>
      </c>
      <c r="B2317">
        <v>4966056</v>
      </c>
      <c r="C2317" t="s">
        <v>56</v>
      </c>
      <c r="D2317">
        <v>1394929</v>
      </c>
      <c r="E2317" t="s">
        <v>610</v>
      </c>
      <c r="F2317" t="s">
        <v>20</v>
      </c>
      <c r="G2317" t="s">
        <v>1873</v>
      </c>
      <c r="H2317" t="s">
        <v>1874</v>
      </c>
      <c r="I2317" t="s">
        <v>3298</v>
      </c>
      <c r="J2317">
        <v>51161918053</v>
      </c>
      <c r="K2317" t="s">
        <v>3177</v>
      </c>
      <c r="L2317" t="s">
        <v>3892</v>
      </c>
      <c r="M2317">
        <v>40000</v>
      </c>
      <c r="N2317" s="10">
        <v>3.7000000000000002E-3</v>
      </c>
      <c r="O2317" s="10">
        <f t="shared" si="215"/>
        <v>148</v>
      </c>
      <c r="P2317" s="10" t="s">
        <v>5006</v>
      </c>
      <c r="Q2317" s="10" t="s">
        <v>5006</v>
      </c>
      <c r="R2317" s="10" t="str">
        <f>IF(COUNTIF($J$2:J2317,J2317)=1,SUMIFS($O:$O,$J:$J,J2317)+SUMIFS($P:$P,$J:$J,J2317)+SUMIFS($Q:$Q,$J:$J,J2317),"")</f>
        <v/>
      </c>
      <c r="S2317" s="10" t="s">
        <v>5006</v>
      </c>
      <c r="T2317" s="11" t="str">
        <f t="shared" si="218"/>
        <v>Check</v>
      </c>
      <c r="U2317" s="12">
        <v>46141</v>
      </c>
      <c r="V2317" s="10">
        <v>751.61</v>
      </c>
      <c r="W2317" s="10" t="str">
        <f t="shared" si="216"/>
        <v>N/A</v>
      </c>
      <c r="X2317" t="s">
        <v>435</v>
      </c>
      <c r="Y2317" t="s">
        <v>28</v>
      </c>
      <c r="Z2317">
        <v>100281</v>
      </c>
      <c r="AA2317" t="s">
        <v>3068</v>
      </c>
      <c r="AB2317" t="s">
        <v>521</v>
      </c>
      <c r="AC2317" s="9">
        <v>3</v>
      </c>
      <c r="AD2317" s="9" t="str">
        <f t="shared" si="217"/>
        <v>N/A</v>
      </c>
      <c r="AE2317" s="11" t="e">
        <f t="shared" si="219"/>
        <v>#VALUE!</v>
      </c>
    </row>
    <row r="2318" spans="1:31" x14ac:dyDescent="0.3">
      <c r="A2318">
        <v>192</v>
      </c>
      <c r="B2318">
        <v>4404955</v>
      </c>
      <c r="C2318" t="s">
        <v>60</v>
      </c>
      <c r="D2318">
        <v>1588891</v>
      </c>
      <c r="E2318" t="s">
        <v>61</v>
      </c>
      <c r="F2318" t="s">
        <v>18</v>
      </c>
      <c r="G2318" t="s">
        <v>2069</v>
      </c>
      <c r="H2318" t="s">
        <v>2070</v>
      </c>
      <c r="I2318" t="s">
        <v>3277</v>
      </c>
      <c r="J2318">
        <v>51162049486</v>
      </c>
      <c r="K2318" t="s">
        <v>3379</v>
      </c>
      <c r="L2318" t="s">
        <v>3461</v>
      </c>
      <c r="M2318">
        <v>70000</v>
      </c>
      <c r="N2318" s="10">
        <v>2.7E-2</v>
      </c>
      <c r="O2318" s="10">
        <f t="shared" si="215"/>
        <v>1890</v>
      </c>
      <c r="P2318" s="10">
        <v>0</v>
      </c>
      <c r="Q2318" s="10">
        <v>0</v>
      </c>
      <c r="R2318" s="10">
        <f>IF(COUNTIF($J$2:J2318,J2318)=1,SUMIFS($O:$O,$J:$J,J2318)+SUMIFS($P:$P,$J:$J,J2318)+SUMIFS($Q:$Q,$J:$J,J2318),"")</f>
        <v>6213.86</v>
      </c>
      <c r="S2318" s="10">
        <v>6213.86</v>
      </c>
      <c r="T2318" s="11" t="str">
        <f t="shared" si="218"/>
        <v>Ok</v>
      </c>
      <c r="U2318" s="12">
        <v>45859</v>
      </c>
      <c r="V2318" s="10">
        <v>1306.9000000000001</v>
      </c>
      <c r="W2318" s="10" t="str">
        <f t="shared" si="216"/>
        <v>Short Paid</v>
      </c>
      <c r="X2318" t="s">
        <v>438</v>
      </c>
      <c r="Y2318" t="s">
        <v>28</v>
      </c>
      <c r="Z2318">
        <v>100113</v>
      </c>
      <c r="AA2318" t="s">
        <v>449</v>
      </c>
      <c r="AB2318" t="s">
        <v>523</v>
      </c>
      <c r="AC2318" s="9">
        <v>4</v>
      </c>
      <c r="AD2318" s="9" t="str">
        <f t="shared" si="217"/>
        <v>Ok</v>
      </c>
      <c r="AE2318" s="11">
        <f t="shared" si="219"/>
        <v>0</v>
      </c>
    </row>
    <row r="2319" spans="1:31" x14ac:dyDescent="0.3">
      <c r="A2319">
        <v>192</v>
      </c>
      <c r="B2319">
        <v>4404955</v>
      </c>
      <c r="C2319" t="s">
        <v>60</v>
      </c>
      <c r="D2319">
        <v>1588891</v>
      </c>
      <c r="E2319" t="s">
        <v>61</v>
      </c>
      <c r="F2319" t="s">
        <v>18</v>
      </c>
      <c r="G2319" t="s">
        <v>2069</v>
      </c>
      <c r="H2319" t="s">
        <v>2070</v>
      </c>
      <c r="I2319" t="s">
        <v>3277</v>
      </c>
      <c r="J2319">
        <v>51162049486</v>
      </c>
      <c r="K2319" t="s">
        <v>3379</v>
      </c>
      <c r="L2319" t="s">
        <v>3878</v>
      </c>
      <c r="M2319">
        <v>8000</v>
      </c>
      <c r="N2319" s="10">
        <v>1.8669999999999999E-2</v>
      </c>
      <c r="O2319" s="10">
        <f t="shared" si="215"/>
        <v>149.35999999999999</v>
      </c>
      <c r="P2319" s="10" t="s">
        <v>5006</v>
      </c>
      <c r="Q2319" s="10" t="s">
        <v>5006</v>
      </c>
      <c r="R2319" s="10" t="str">
        <f>IF(COUNTIF($J$2:J2319,J2319)=1,SUMIFS($O:$O,$J:$J,J2319)+SUMIFS($P:$P,$J:$J,J2319)+SUMIFS($Q:$Q,$J:$J,J2319),"")</f>
        <v/>
      </c>
      <c r="S2319" s="10" t="s">
        <v>5006</v>
      </c>
      <c r="T2319" s="11" t="str">
        <f t="shared" si="218"/>
        <v>Ok</v>
      </c>
      <c r="U2319" s="12">
        <v>45859</v>
      </c>
      <c r="V2319" s="10">
        <v>1306.9000000000001</v>
      </c>
      <c r="W2319" s="10" t="str">
        <f t="shared" si="216"/>
        <v>N/A</v>
      </c>
      <c r="X2319" t="s">
        <v>438</v>
      </c>
      <c r="Y2319" t="s">
        <v>28</v>
      </c>
      <c r="Z2319">
        <v>100113</v>
      </c>
      <c r="AA2319" t="s">
        <v>449</v>
      </c>
      <c r="AB2319" t="s">
        <v>523</v>
      </c>
      <c r="AC2319" s="9">
        <v>4</v>
      </c>
      <c r="AD2319" s="9" t="str">
        <f t="shared" si="217"/>
        <v>N/A</v>
      </c>
      <c r="AE2319" s="11" t="e">
        <f t="shared" si="219"/>
        <v>#VALUE!</v>
      </c>
    </row>
    <row r="2320" spans="1:31" x14ac:dyDescent="0.3">
      <c r="A2320">
        <v>192</v>
      </c>
      <c r="B2320">
        <v>4404955</v>
      </c>
      <c r="C2320" t="s">
        <v>60</v>
      </c>
      <c r="D2320">
        <v>1588891</v>
      </c>
      <c r="E2320" t="s">
        <v>61</v>
      </c>
      <c r="F2320" t="s">
        <v>18</v>
      </c>
      <c r="G2320" t="s">
        <v>2069</v>
      </c>
      <c r="H2320" t="s">
        <v>2070</v>
      </c>
      <c r="I2320" t="s">
        <v>3277</v>
      </c>
      <c r="J2320">
        <v>51162049486</v>
      </c>
      <c r="K2320" t="s">
        <v>3207</v>
      </c>
      <c r="L2320" t="s">
        <v>3870</v>
      </c>
      <c r="M2320">
        <v>100000</v>
      </c>
      <c r="N2320" s="10">
        <v>2.9100000000000001E-2</v>
      </c>
      <c r="O2320" s="10">
        <f t="shared" si="215"/>
        <v>2910</v>
      </c>
      <c r="P2320" s="10" t="s">
        <v>5006</v>
      </c>
      <c r="Q2320" s="10" t="s">
        <v>5006</v>
      </c>
      <c r="R2320" s="10" t="str">
        <f>IF(COUNTIF($J$2:J2320,J2320)=1,SUMIFS($O:$O,$J:$J,J2320)+SUMIFS($P:$P,$J:$J,J2320)+SUMIFS($Q:$Q,$J:$J,J2320),"")</f>
        <v/>
      </c>
      <c r="S2320" s="10" t="s">
        <v>5006</v>
      </c>
      <c r="T2320" s="11" t="str">
        <f t="shared" si="218"/>
        <v>Ok</v>
      </c>
      <c r="U2320" s="12">
        <v>45859</v>
      </c>
      <c r="V2320" s="10">
        <v>1306.9000000000001</v>
      </c>
      <c r="W2320" s="10" t="str">
        <f t="shared" si="216"/>
        <v>N/A</v>
      </c>
      <c r="X2320" t="s">
        <v>438</v>
      </c>
      <c r="Y2320" t="s">
        <v>28</v>
      </c>
      <c r="Z2320">
        <v>100113</v>
      </c>
      <c r="AA2320" t="s">
        <v>449</v>
      </c>
      <c r="AB2320" t="s">
        <v>523</v>
      </c>
      <c r="AC2320" s="9">
        <v>4</v>
      </c>
      <c r="AD2320" s="9" t="str">
        <f t="shared" si="217"/>
        <v>N/A</v>
      </c>
      <c r="AE2320" s="11" t="e">
        <f t="shared" si="219"/>
        <v>#VALUE!</v>
      </c>
    </row>
    <row r="2321" spans="1:31" x14ac:dyDescent="0.3">
      <c r="A2321">
        <v>192</v>
      </c>
      <c r="B2321">
        <v>4404955</v>
      </c>
      <c r="C2321" t="s">
        <v>60</v>
      </c>
      <c r="D2321">
        <v>1588891</v>
      </c>
      <c r="E2321" t="s">
        <v>61</v>
      </c>
      <c r="F2321" t="s">
        <v>18</v>
      </c>
      <c r="G2321" t="s">
        <v>2069</v>
      </c>
      <c r="H2321" t="s">
        <v>2070</v>
      </c>
      <c r="I2321" t="s">
        <v>3277</v>
      </c>
      <c r="J2321">
        <v>51162049486</v>
      </c>
      <c r="K2321" t="s">
        <v>3377</v>
      </c>
      <c r="L2321" t="s">
        <v>3527</v>
      </c>
      <c r="M2321">
        <v>5000</v>
      </c>
      <c r="N2321" s="10">
        <v>0.25290000000000001</v>
      </c>
      <c r="O2321" s="10">
        <f t="shared" si="215"/>
        <v>1264.5</v>
      </c>
      <c r="P2321" s="10" t="s">
        <v>5006</v>
      </c>
      <c r="Q2321" s="10" t="s">
        <v>5006</v>
      </c>
      <c r="R2321" s="10" t="str">
        <f>IF(COUNTIF($J$2:J2321,J2321)=1,SUMIFS($O:$O,$J:$J,J2321)+SUMIFS($P:$P,$J:$J,J2321)+SUMIFS($Q:$Q,$J:$J,J2321),"")</f>
        <v/>
      </c>
      <c r="S2321" s="10" t="s">
        <v>5006</v>
      </c>
      <c r="T2321" s="11" t="str">
        <f t="shared" si="218"/>
        <v>Ok</v>
      </c>
      <c r="U2321" s="12">
        <v>45859</v>
      </c>
      <c r="V2321" s="10">
        <v>1306.9000000000001</v>
      </c>
      <c r="W2321" s="10" t="str">
        <f t="shared" si="216"/>
        <v>N/A</v>
      </c>
      <c r="X2321" t="s">
        <v>438</v>
      </c>
      <c r="Y2321" t="s">
        <v>28</v>
      </c>
      <c r="Z2321">
        <v>100113</v>
      </c>
      <c r="AA2321" t="s">
        <v>449</v>
      </c>
      <c r="AB2321" t="s">
        <v>523</v>
      </c>
      <c r="AC2321" s="9">
        <v>4</v>
      </c>
      <c r="AD2321" s="9" t="str">
        <f t="shared" si="217"/>
        <v>N/A</v>
      </c>
      <c r="AE2321" s="11" t="e">
        <f t="shared" si="219"/>
        <v>#VALUE!</v>
      </c>
    </row>
    <row r="2322" spans="1:31" x14ac:dyDescent="0.3">
      <c r="A2322">
        <v>2</v>
      </c>
      <c r="B2322">
        <v>4962717</v>
      </c>
      <c r="C2322" t="s">
        <v>220</v>
      </c>
      <c r="D2322">
        <v>1490546</v>
      </c>
      <c r="E2322" t="s">
        <v>609</v>
      </c>
      <c r="F2322" t="s">
        <v>24</v>
      </c>
      <c r="G2322" t="s">
        <v>1882</v>
      </c>
      <c r="H2322" t="s">
        <v>1883</v>
      </c>
      <c r="I2322" t="s">
        <v>3254</v>
      </c>
      <c r="J2322">
        <v>51162111335</v>
      </c>
      <c r="K2322" t="s">
        <v>3537</v>
      </c>
      <c r="L2322" t="s">
        <v>4835</v>
      </c>
      <c r="M2322">
        <v>10000</v>
      </c>
      <c r="N2322" s="10">
        <v>6.4400000000000004E-3</v>
      </c>
      <c r="O2322" s="10">
        <f t="shared" si="215"/>
        <v>64.400000000000006</v>
      </c>
      <c r="P2322" s="10">
        <v>0</v>
      </c>
      <c r="Q2322" s="10">
        <v>2684.21</v>
      </c>
      <c r="R2322" s="10">
        <f>IF(COUNTIF($J$2:J2322,J2322)=1,SUMIFS($O:$O,$J:$J,J2322)+SUMIFS($P:$P,$J:$J,J2322)+SUMIFS($Q:$Q,$J:$J,J2322),"")</f>
        <v>7869.25</v>
      </c>
      <c r="S2322" s="10">
        <v>7869.25</v>
      </c>
      <c r="T2322" s="11" t="str">
        <f t="shared" si="218"/>
        <v>Ok</v>
      </c>
      <c r="U2322" s="12">
        <v>46137</v>
      </c>
      <c r="V2322" s="10">
        <v>64.400000000000006</v>
      </c>
      <c r="W2322" s="10" t="str">
        <f t="shared" si="216"/>
        <v>Short Paid</v>
      </c>
      <c r="X2322" t="s">
        <v>470</v>
      </c>
      <c r="Y2322" t="s">
        <v>40</v>
      </c>
      <c r="Z2322">
        <v>100228</v>
      </c>
      <c r="AA2322" t="s">
        <v>496</v>
      </c>
      <c r="AB2322" t="s">
        <v>522</v>
      </c>
      <c r="AC2322" s="9">
        <v>2</v>
      </c>
      <c r="AD2322" s="9" t="str">
        <f t="shared" si="217"/>
        <v>Ok</v>
      </c>
      <c r="AE2322" s="11">
        <f t="shared" si="219"/>
        <v>0</v>
      </c>
    </row>
    <row r="2323" spans="1:31" x14ac:dyDescent="0.3">
      <c r="A2323">
        <v>2</v>
      </c>
      <c r="B2323">
        <v>4962717</v>
      </c>
      <c r="C2323" t="s">
        <v>220</v>
      </c>
      <c r="D2323">
        <v>1490546</v>
      </c>
      <c r="E2323" t="s">
        <v>609</v>
      </c>
      <c r="F2323" t="s">
        <v>24</v>
      </c>
      <c r="G2323" t="s">
        <v>1882</v>
      </c>
      <c r="H2323" t="s">
        <v>1883</v>
      </c>
      <c r="I2323" t="s">
        <v>3449</v>
      </c>
      <c r="J2323">
        <v>51162111335</v>
      </c>
      <c r="K2323" t="s">
        <v>3266</v>
      </c>
      <c r="L2323" t="s">
        <v>3683</v>
      </c>
      <c r="M2323">
        <v>14400</v>
      </c>
      <c r="N2323" s="10">
        <v>0.35560000000000003</v>
      </c>
      <c r="O2323" s="10">
        <f t="shared" si="215"/>
        <v>5120.6400000000003</v>
      </c>
      <c r="P2323" s="10" t="s">
        <v>5006</v>
      </c>
      <c r="Q2323" s="10" t="s">
        <v>5006</v>
      </c>
      <c r="R2323" s="10" t="str">
        <f>IF(COUNTIF($J$2:J2323,J2323)=1,SUMIFS($O:$O,$J:$J,J2323)+SUMIFS($P:$P,$J:$J,J2323)+SUMIFS($Q:$Q,$J:$J,J2323),"")</f>
        <v/>
      </c>
      <c r="S2323" s="10" t="s">
        <v>5006</v>
      </c>
      <c r="T2323" s="11" t="str">
        <f t="shared" si="218"/>
        <v>Ok</v>
      </c>
      <c r="U2323" s="12">
        <v>46137</v>
      </c>
      <c r="V2323" s="10">
        <v>64.400000000000006</v>
      </c>
      <c r="W2323" s="10" t="str">
        <f t="shared" si="216"/>
        <v>N/A</v>
      </c>
      <c r="X2323" t="s">
        <v>470</v>
      </c>
      <c r="Y2323" t="s">
        <v>40</v>
      </c>
      <c r="Z2323">
        <v>100228</v>
      </c>
      <c r="AA2323" t="s">
        <v>496</v>
      </c>
      <c r="AB2323" t="s">
        <v>522</v>
      </c>
      <c r="AC2323" s="9">
        <v>2</v>
      </c>
      <c r="AD2323" s="9" t="str">
        <f t="shared" si="217"/>
        <v>N/A</v>
      </c>
      <c r="AE2323" s="11" t="e">
        <f t="shared" si="219"/>
        <v>#VALUE!</v>
      </c>
    </row>
    <row r="2324" spans="1:31" x14ac:dyDescent="0.3">
      <c r="A2324">
        <v>2</v>
      </c>
      <c r="B2324">
        <v>4961604</v>
      </c>
      <c r="C2324" t="s">
        <v>160</v>
      </c>
      <c r="D2324">
        <v>1648570</v>
      </c>
      <c r="E2324" t="s">
        <v>208</v>
      </c>
      <c r="F2324" t="s">
        <v>18</v>
      </c>
      <c r="G2324" t="s">
        <v>1855</v>
      </c>
      <c r="H2324" t="s">
        <v>1856</v>
      </c>
      <c r="I2324" t="s">
        <v>3467</v>
      </c>
      <c r="J2324">
        <v>51162168059</v>
      </c>
      <c r="K2324" t="s">
        <v>3165</v>
      </c>
      <c r="L2324" t="s">
        <v>4836</v>
      </c>
      <c r="M2324">
        <v>2</v>
      </c>
      <c r="N2324" s="10">
        <v>2572.52</v>
      </c>
      <c r="O2324" s="10">
        <f t="shared" si="215"/>
        <v>5145.04</v>
      </c>
      <c r="P2324" s="10">
        <v>0</v>
      </c>
      <c r="Q2324" s="10">
        <v>0</v>
      </c>
      <c r="R2324" s="10">
        <f>IF(COUNTIF($J$2:J2324,J2324)=1,SUMIFS($O:$O,$J:$J,J2324)+SUMIFS($P:$P,$J:$J,J2324)+SUMIFS($Q:$Q,$J:$J,J2324),"")</f>
        <v>8999.7900000000009</v>
      </c>
      <c r="S2324" s="10">
        <v>111537.90000000001</v>
      </c>
      <c r="T2324" s="11" t="str">
        <f t="shared" si="218"/>
        <v>Check</v>
      </c>
      <c r="U2324" s="12">
        <v>46108</v>
      </c>
      <c r="V2324" s="10">
        <v>10798.92</v>
      </c>
      <c r="W2324" s="10" t="str">
        <f t="shared" si="216"/>
        <v>Short Paid</v>
      </c>
      <c r="X2324" t="s">
        <v>453</v>
      </c>
      <c r="Y2324" t="s">
        <v>28</v>
      </c>
      <c r="Z2324">
        <v>100114</v>
      </c>
      <c r="AA2324" t="s">
        <v>498</v>
      </c>
      <c r="AB2324" t="s">
        <v>523</v>
      </c>
      <c r="AC2324" s="9">
        <v>3</v>
      </c>
      <c r="AD2324" s="9" t="str">
        <f t="shared" si="217"/>
        <v>Check</v>
      </c>
      <c r="AE2324" s="11">
        <f t="shared" si="219"/>
        <v>-102538.11000000002</v>
      </c>
    </row>
    <row r="2325" spans="1:31" x14ac:dyDescent="0.3">
      <c r="A2325">
        <v>2</v>
      </c>
      <c r="B2325">
        <v>4961604</v>
      </c>
      <c r="C2325" t="s">
        <v>160</v>
      </c>
      <c r="D2325">
        <v>1648570</v>
      </c>
      <c r="E2325" t="s">
        <v>208</v>
      </c>
      <c r="F2325" t="s">
        <v>18</v>
      </c>
      <c r="G2325" t="s">
        <v>1855</v>
      </c>
      <c r="H2325" t="s">
        <v>1856</v>
      </c>
      <c r="I2325" t="s">
        <v>3467</v>
      </c>
      <c r="J2325">
        <v>51162168059</v>
      </c>
      <c r="K2325" t="s">
        <v>3165</v>
      </c>
      <c r="L2325" t="s">
        <v>4837</v>
      </c>
      <c r="M2325">
        <v>3</v>
      </c>
      <c r="N2325" s="10">
        <v>537.38</v>
      </c>
      <c r="O2325" s="10">
        <f t="shared" si="215"/>
        <v>1612.1399999999999</v>
      </c>
      <c r="P2325" s="10" t="s">
        <v>5006</v>
      </c>
      <c r="Q2325" s="10" t="s">
        <v>5006</v>
      </c>
      <c r="R2325" s="10" t="str">
        <f>IF(COUNTIF($J$2:J2325,J2325)=1,SUMIFS($O:$O,$J:$J,J2325)+SUMIFS($P:$P,$J:$J,J2325)+SUMIFS($Q:$Q,$J:$J,J2325),"")</f>
        <v/>
      </c>
      <c r="S2325" s="10" t="s">
        <v>5006</v>
      </c>
      <c r="T2325" s="11" t="str">
        <f t="shared" si="218"/>
        <v>Check</v>
      </c>
      <c r="U2325" s="12">
        <v>46108</v>
      </c>
      <c r="V2325" s="10">
        <v>10798.92</v>
      </c>
      <c r="W2325" s="10" t="str">
        <f t="shared" si="216"/>
        <v>N/A</v>
      </c>
      <c r="X2325" t="s">
        <v>453</v>
      </c>
      <c r="Y2325" t="s">
        <v>28</v>
      </c>
      <c r="Z2325">
        <v>100114</v>
      </c>
      <c r="AA2325" t="s">
        <v>498</v>
      </c>
      <c r="AB2325" t="s">
        <v>523</v>
      </c>
      <c r="AC2325" s="9">
        <v>3</v>
      </c>
      <c r="AD2325" s="9" t="str">
        <f t="shared" si="217"/>
        <v>N/A</v>
      </c>
      <c r="AE2325" s="11" t="e">
        <f t="shared" si="219"/>
        <v>#VALUE!</v>
      </c>
    </row>
    <row r="2326" spans="1:31" x14ac:dyDescent="0.3">
      <c r="A2326">
        <v>2</v>
      </c>
      <c r="B2326">
        <v>4961604</v>
      </c>
      <c r="C2326" t="s">
        <v>160</v>
      </c>
      <c r="D2326">
        <v>1648570</v>
      </c>
      <c r="E2326" t="s">
        <v>208</v>
      </c>
      <c r="F2326" t="s">
        <v>18</v>
      </c>
      <c r="G2326" t="s">
        <v>1855</v>
      </c>
      <c r="H2326" t="s">
        <v>1856</v>
      </c>
      <c r="I2326" t="s">
        <v>3467</v>
      </c>
      <c r="J2326">
        <v>51162168059</v>
      </c>
      <c r="K2326" t="s">
        <v>3165</v>
      </c>
      <c r="L2326" t="s">
        <v>4838</v>
      </c>
      <c r="M2326">
        <v>1</v>
      </c>
      <c r="N2326" s="10">
        <v>2242.61</v>
      </c>
      <c r="O2326" s="10">
        <f t="shared" si="215"/>
        <v>2242.61</v>
      </c>
      <c r="P2326" s="10" t="s">
        <v>5006</v>
      </c>
      <c r="Q2326" s="10" t="s">
        <v>5006</v>
      </c>
      <c r="R2326" s="10" t="str">
        <f>IF(COUNTIF($J$2:J2326,J2326)=1,SUMIFS($O:$O,$J:$J,J2326)+SUMIFS($P:$P,$J:$J,J2326)+SUMIFS($Q:$Q,$J:$J,J2326),"")</f>
        <v/>
      </c>
      <c r="S2326" s="10" t="s">
        <v>5006</v>
      </c>
      <c r="T2326" s="11" t="str">
        <f t="shared" si="218"/>
        <v>Check</v>
      </c>
      <c r="U2326" s="12">
        <v>46108</v>
      </c>
      <c r="V2326" s="10">
        <v>10798.92</v>
      </c>
      <c r="W2326" s="10" t="str">
        <f t="shared" si="216"/>
        <v>N/A</v>
      </c>
      <c r="X2326" t="s">
        <v>453</v>
      </c>
      <c r="Y2326" t="s">
        <v>28</v>
      </c>
      <c r="Z2326">
        <v>100114</v>
      </c>
      <c r="AA2326" t="s">
        <v>498</v>
      </c>
      <c r="AB2326" t="s">
        <v>523</v>
      </c>
      <c r="AC2326" s="9">
        <v>3</v>
      </c>
      <c r="AD2326" s="9" t="str">
        <f t="shared" si="217"/>
        <v>N/A</v>
      </c>
      <c r="AE2326" s="11" t="e">
        <f t="shared" si="219"/>
        <v>#VALUE!</v>
      </c>
    </row>
    <row r="2327" spans="1:31" x14ac:dyDescent="0.3">
      <c r="A2327">
        <v>177</v>
      </c>
      <c r="B2327">
        <v>4413403</v>
      </c>
      <c r="C2327" t="s">
        <v>167</v>
      </c>
      <c r="D2327">
        <v>1139721</v>
      </c>
      <c r="E2327" t="s">
        <v>547</v>
      </c>
      <c r="F2327" t="s">
        <v>20</v>
      </c>
      <c r="G2327" t="s">
        <v>2107</v>
      </c>
      <c r="H2327" t="s">
        <v>2108</v>
      </c>
      <c r="I2327" t="s">
        <v>3528</v>
      </c>
      <c r="J2327">
        <v>51162636644</v>
      </c>
      <c r="K2327" t="s">
        <v>3338</v>
      </c>
      <c r="L2327" t="s">
        <v>4839</v>
      </c>
      <c r="M2327">
        <v>2</v>
      </c>
      <c r="N2327" s="10">
        <v>8011.75</v>
      </c>
      <c r="O2327" s="10">
        <f t="shared" si="215"/>
        <v>16023.5</v>
      </c>
      <c r="P2327" s="10">
        <v>0</v>
      </c>
      <c r="Q2327" s="10" t="s">
        <v>5006</v>
      </c>
      <c r="R2327" s="10">
        <f>IF(COUNTIF($J$2:J2327,J2327)=1,SUMIFS($O:$O,$J:$J,J2327)+SUMIFS($P:$P,$J:$J,J2327)+SUMIFS($Q:$Q,$J:$J,J2327),"")</f>
        <v>16923.5</v>
      </c>
      <c r="S2327" s="10">
        <v>16923.5</v>
      </c>
      <c r="T2327" s="11" t="str">
        <f t="shared" si="218"/>
        <v>Ok</v>
      </c>
      <c r="U2327" s="12">
        <v>45664</v>
      </c>
      <c r="V2327" s="10">
        <v>16923.5</v>
      </c>
      <c r="W2327" s="10" t="str">
        <f t="shared" si="216"/>
        <v>Not Paid</v>
      </c>
      <c r="X2327" t="s">
        <v>455</v>
      </c>
      <c r="Y2327" t="s">
        <v>28</v>
      </c>
      <c r="Z2327">
        <v>100150</v>
      </c>
      <c r="AA2327" t="s">
        <v>458</v>
      </c>
      <c r="AB2327" t="s">
        <v>521</v>
      </c>
      <c r="AC2327" s="9">
        <v>2</v>
      </c>
      <c r="AD2327" s="9" t="str">
        <f t="shared" si="217"/>
        <v>Ok</v>
      </c>
      <c r="AE2327" s="11">
        <f t="shared" si="219"/>
        <v>0</v>
      </c>
    </row>
    <row r="2328" spans="1:31" x14ac:dyDescent="0.3">
      <c r="A2328">
        <v>177</v>
      </c>
      <c r="B2328">
        <v>4413403</v>
      </c>
      <c r="C2328" t="s">
        <v>167</v>
      </c>
      <c r="D2328">
        <v>1139721</v>
      </c>
      <c r="E2328" t="s">
        <v>547</v>
      </c>
      <c r="F2328" t="s">
        <v>20</v>
      </c>
      <c r="G2328" t="s">
        <v>2107</v>
      </c>
      <c r="H2328" t="s">
        <v>2108</v>
      </c>
      <c r="I2328" t="s">
        <v>3528</v>
      </c>
      <c r="J2328">
        <v>51162636644</v>
      </c>
      <c r="K2328" t="s">
        <v>3338</v>
      </c>
      <c r="L2328" t="s">
        <v>4304</v>
      </c>
      <c r="M2328">
        <v>1</v>
      </c>
      <c r="N2328" s="10">
        <v>900</v>
      </c>
      <c r="O2328" s="10">
        <f t="shared" si="215"/>
        <v>900</v>
      </c>
      <c r="P2328" s="10" t="s">
        <v>5006</v>
      </c>
      <c r="Q2328" s="10" t="s">
        <v>5006</v>
      </c>
      <c r="R2328" s="10" t="str">
        <f>IF(COUNTIF($J$2:J2328,J2328)=1,SUMIFS($O:$O,$J:$J,J2328)+SUMIFS($P:$P,$J:$J,J2328)+SUMIFS($Q:$Q,$J:$J,J2328),"")</f>
        <v/>
      </c>
      <c r="S2328" s="10" t="s">
        <v>5006</v>
      </c>
      <c r="T2328" s="11" t="str">
        <f t="shared" si="218"/>
        <v>Ok</v>
      </c>
      <c r="U2328" s="12">
        <v>45664</v>
      </c>
      <c r="V2328" s="10">
        <v>16923.5</v>
      </c>
      <c r="W2328" s="10" t="str">
        <f t="shared" si="216"/>
        <v>N/A</v>
      </c>
      <c r="X2328" t="s">
        <v>455</v>
      </c>
      <c r="Y2328" t="s">
        <v>28</v>
      </c>
      <c r="Z2328">
        <v>100150</v>
      </c>
      <c r="AA2328" t="s">
        <v>458</v>
      </c>
      <c r="AB2328" t="s">
        <v>521</v>
      </c>
      <c r="AC2328" s="9">
        <v>2</v>
      </c>
      <c r="AD2328" s="9" t="str">
        <f t="shared" si="217"/>
        <v>N/A</v>
      </c>
      <c r="AE2328" s="11" t="e">
        <f t="shared" si="219"/>
        <v>#VALUE!</v>
      </c>
    </row>
    <row r="2329" spans="1:31" x14ac:dyDescent="0.3">
      <c r="A2329">
        <v>105</v>
      </c>
      <c r="B2329">
        <v>4441473</v>
      </c>
      <c r="C2329" t="s">
        <v>220</v>
      </c>
      <c r="D2329">
        <v>1451086</v>
      </c>
      <c r="E2329" t="s">
        <v>561</v>
      </c>
      <c r="F2329" t="s">
        <v>18</v>
      </c>
      <c r="G2329" t="s">
        <v>2519</v>
      </c>
      <c r="H2329" t="s">
        <v>2520</v>
      </c>
      <c r="I2329" t="s">
        <v>3327</v>
      </c>
      <c r="J2329">
        <v>51162963953</v>
      </c>
      <c r="K2329" t="s">
        <v>3370</v>
      </c>
      <c r="L2329" t="s">
        <v>4840</v>
      </c>
      <c r="M2329">
        <v>21000</v>
      </c>
      <c r="N2329" s="10">
        <v>2.06E-2</v>
      </c>
      <c r="O2329" s="10">
        <f t="shared" si="215"/>
        <v>432.6</v>
      </c>
      <c r="P2329" s="10">
        <v>0</v>
      </c>
      <c r="Q2329" s="10">
        <v>297.51</v>
      </c>
      <c r="R2329" s="10">
        <f>IF(COUNTIF($J$2:J2329,J2329)=1,SUMIFS($O:$O,$J:$J,J2329)+SUMIFS($P:$P,$J:$J,J2329)+SUMIFS($Q:$Q,$J:$J,J2329),"")</f>
        <v>1132.9100000000001</v>
      </c>
      <c r="S2329" s="10">
        <v>1156.9100000000001</v>
      </c>
      <c r="T2329" s="11" t="str">
        <f t="shared" si="218"/>
        <v>Check</v>
      </c>
      <c r="U2329" s="12">
        <v>45952</v>
      </c>
      <c r="V2329" s="10">
        <v>862.68</v>
      </c>
      <c r="W2329" s="10" t="str">
        <f t="shared" si="216"/>
        <v>Short Paid</v>
      </c>
      <c r="X2329" t="s">
        <v>470</v>
      </c>
      <c r="Y2329" t="s">
        <v>28</v>
      </c>
      <c r="Z2329">
        <v>100168</v>
      </c>
      <c r="AA2329" t="s">
        <v>514</v>
      </c>
      <c r="AB2329" t="s">
        <v>523</v>
      </c>
      <c r="AC2329" s="9">
        <v>3</v>
      </c>
      <c r="AD2329" s="9" t="str">
        <f t="shared" si="217"/>
        <v>Check</v>
      </c>
      <c r="AE2329" s="11">
        <f t="shared" si="219"/>
        <v>-24</v>
      </c>
    </row>
    <row r="2330" spans="1:31" x14ac:dyDescent="0.3">
      <c r="A2330">
        <v>105</v>
      </c>
      <c r="B2330">
        <v>4441473</v>
      </c>
      <c r="C2330" t="s">
        <v>220</v>
      </c>
      <c r="D2330">
        <v>1451086</v>
      </c>
      <c r="E2330" t="s">
        <v>561</v>
      </c>
      <c r="F2330" t="s">
        <v>18</v>
      </c>
      <c r="G2330" t="s">
        <v>2519</v>
      </c>
      <c r="H2330" t="s">
        <v>2520</v>
      </c>
      <c r="I2330" t="s">
        <v>3327</v>
      </c>
      <c r="J2330">
        <v>51162963953</v>
      </c>
      <c r="K2330" t="s">
        <v>3229</v>
      </c>
      <c r="L2330" t="s">
        <v>4841</v>
      </c>
      <c r="M2330">
        <v>10000</v>
      </c>
      <c r="N2330" s="10">
        <v>1.8799999999999999E-3</v>
      </c>
      <c r="O2330" s="10">
        <f t="shared" si="215"/>
        <v>18.8</v>
      </c>
      <c r="P2330" s="10" t="s">
        <v>5006</v>
      </c>
      <c r="Q2330" s="10" t="s">
        <v>5006</v>
      </c>
      <c r="R2330" s="10" t="str">
        <f>IF(COUNTIF($J$2:J2330,J2330)=1,SUMIFS($O:$O,$J:$J,J2330)+SUMIFS($P:$P,$J:$J,J2330)+SUMIFS($Q:$Q,$J:$J,J2330),"")</f>
        <v/>
      </c>
      <c r="S2330" s="10" t="s">
        <v>5006</v>
      </c>
      <c r="T2330" s="11" t="str">
        <f t="shared" si="218"/>
        <v>Check</v>
      </c>
      <c r="U2330" s="12">
        <v>45952</v>
      </c>
      <c r="V2330" s="10">
        <v>862.68</v>
      </c>
      <c r="W2330" s="10" t="str">
        <f t="shared" si="216"/>
        <v>N/A</v>
      </c>
      <c r="X2330" t="s">
        <v>470</v>
      </c>
      <c r="Y2330" t="s">
        <v>28</v>
      </c>
      <c r="Z2330">
        <v>100168</v>
      </c>
      <c r="AA2330" t="s">
        <v>514</v>
      </c>
      <c r="AB2330" t="s">
        <v>523</v>
      </c>
      <c r="AC2330" s="9">
        <v>3</v>
      </c>
      <c r="AD2330" s="9" t="str">
        <f t="shared" si="217"/>
        <v>N/A</v>
      </c>
      <c r="AE2330" s="11" t="e">
        <f t="shared" si="219"/>
        <v>#VALUE!</v>
      </c>
    </row>
    <row r="2331" spans="1:31" x14ac:dyDescent="0.3">
      <c r="A2331">
        <v>105</v>
      </c>
      <c r="B2331">
        <v>4441473</v>
      </c>
      <c r="C2331" t="s">
        <v>220</v>
      </c>
      <c r="D2331">
        <v>1451086</v>
      </c>
      <c r="E2331" t="s">
        <v>561</v>
      </c>
      <c r="F2331" t="s">
        <v>18</v>
      </c>
      <c r="G2331" t="s">
        <v>2519</v>
      </c>
      <c r="H2331" t="s">
        <v>2520</v>
      </c>
      <c r="I2331" t="s">
        <v>3327</v>
      </c>
      <c r="J2331">
        <v>51162963953</v>
      </c>
      <c r="K2331" t="s">
        <v>3379</v>
      </c>
      <c r="L2331" t="s">
        <v>4842</v>
      </c>
      <c r="M2331">
        <v>4000</v>
      </c>
      <c r="N2331" s="10">
        <v>9.6000000000000002E-2</v>
      </c>
      <c r="O2331" s="10">
        <f t="shared" si="215"/>
        <v>384</v>
      </c>
      <c r="P2331" s="10" t="s">
        <v>5006</v>
      </c>
      <c r="Q2331" s="10" t="s">
        <v>5006</v>
      </c>
      <c r="R2331" s="10" t="str">
        <f>IF(COUNTIF($J$2:J2331,J2331)=1,SUMIFS($O:$O,$J:$J,J2331)+SUMIFS($P:$P,$J:$J,J2331)+SUMIFS($Q:$Q,$J:$J,J2331),"")</f>
        <v/>
      </c>
      <c r="S2331" s="10" t="s">
        <v>5006</v>
      </c>
      <c r="T2331" s="11" t="str">
        <f t="shared" si="218"/>
        <v>Check</v>
      </c>
      <c r="U2331" s="12">
        <v>45952</v>
      </c>
      <c r="V2331" s="10">
        <v>862.68</v>
      </c>
      <c r="W2331" s="10" t="str">
        <f t="shared" si="216"/>
        <v>N/A</v>
      </c>
      <c r="X2331" t="s">
        <v>470</v>
      </c>
      <c r="Y2331" t="s">
        <v>28</v>
      </c>
      <c r="Z2331">
        <v>100168</v>
      </c>
      <c r="AA2331" t="s">
        <v>514</v>
      </c>
      <c r="AB2331" t="s">
        <v>523</v>
      </c>
      <c r="AC2331" s="9">
        <v>3</v>
      </c>
      <c r="AD2331" s="9" t="str">
        <f t="shared" si="217"/>
        <v>N/A</v>
      </c>
      <c r="AE2331" s="11" t="e">
        <f t="shared" si="219"/>
        <v>#VALUE!</v>
      </c>
    </row>
    <row r="2332" spans="1:31" x14ac:dyDescent="0.3">
      <c r="A2332">
        <v>127</v>
      </c>
      <c r="B2332">
        <v>4434891</v>
      </c>
      <c r="C2332" t="s">
        <v>240</v>
      </c>
      <c r="D2332">
        <v>1560151</v>
      </c>
      <c r="E2332" t="s">
        <v>241</v>
      </c>
      <c r="F2332" t="s">
        <v>20</v>
      </c>
      <c r="G2332" t="s">
        <v>2343</v>
      </c>
      <c r="H2332" t="s">
        <v>2344</v>
      </c>
      <c r="I2332" t="s">
        <v>3355</v>
      </c>
      <c r="J2332">
        <v>51163018421</v>
      </c>
      <c r="K2332" t="s">
        <v>3682</v>
      </c>
      <c r="L2332" t="s">
        <v>4843</v>
      </c>
      <c r="M2332">
        <v>54</v>
      </c>
      <c r="N2332" s="10">
        <v>29.12</v>
      </c>
      <c r="O2332" s="10">
        <f t="shared" si="215"/>
        <v>1572.48</v>
      </c>
      <c r="P2332" s="10">
        <v>0</v>
      </c>
      <c r="Q2332" s="10">
        <v>0</v>
      </c>
      <c r="R2332" s="10">
        <f>IF(COUNTIF($J$2:J2332,J2332)=1,SUMIFS($O:$O,$J:$J,J2332)+SUMIFS($P:$P,$J:$J,J2332)+SUMIFS($Q:$Q,$J:$J,J2332),"")</f>
        <v>9350.4</v>
      </c>
      <c r="S2332" s="10">
        <v>9700.4</v>
      </c>
      <c r="T2332" s="11" t="str">
        <f t="shared" si="218"/>
        <v>Check</v>
      </c>
      <c r="U2332" s="12">
        <v>45436</v>
      </c>
      <c r="V2332" s="10">
        <v>9700.4</v>
      </c>
      <c r="W2332" s="10" t="str">
        <f t="shared" si="216"/>
        <v>Not Paid</v>
      </c>
      <c r="X2332" t="s">
        <v>478</v>
      </c>
      <c r="Y2332" t="s">
        <v>28</v>
      </c>
      <c r="Z2332">
        <v>100202</v>
      </c>
      <c r="AA2332" t="s">
        <v>3107</v>
      </c>
      <c r="AB2332" t="s">
        <v>521</v>
      </c>
      <c r="AC2332" s="9">
        <v>3</v>
      </c>
      <c r="AD2332" s="9" t="str">
        <f t="shared" si="217"/>
        <v>Check</v>
      </c>
      <c r="AE2332" s="11">
        <f t="shared" si="219"/>
        <v>-350</v>
      </c>
    </row>
    <row r="2333" spans="1:31" x14ac:dyDescent="0.3">
      <c r="A2333">
        <v>127</v>
      </c>
      <c r="B2333">
        <v>4434891</v>
      </c>
      <c r="C2333" t="s">
        <v>240</v>
      </c>
      <c r="D2333">
        <v>1560151</v>
      </c>
      <c r="E2333" t="s">
        <v>241</v>
      </c>
      <c r="F2333" t="s">
        <v>20</v>
      </c>
      <c r="G2333" t="s">
        <v>2343</v>
      </c>
      <c r="H2333" t="s">
        <v>2344</v>
      </c>
      <c r="I2333" t="s">
        <v>3355</v>
      </c>
      <c r="J2333">
        <v>51163018421</v>
      </c>
      <c r="K2333" t="s">
        <v>3682</v>
      </c>
      <c r="L2333" t="s">
        <v>4844</v>
      </c>
      <c r="M2333">
        <v>1</v>
      </c>
      <c r="N2333" s="10">
        <v>4400</v>
      </c>
      <c r="O2333" s="10">
        <f t="shared" si="215"/>
        <v>4400</v>
      </c>
      <c r="P2333" s="10" t="s">
        <v>5006</v>
      </c>
      <c r="Q2333" s="10" t="s">
        <v>5006</v>
      </c>
      <c r="R2333" s="10" t="str">
        <f>IF(COUNTIF($J$2:J2333,J2333)=1,SUMIFS($O:$O,$J:$J,J2333)+SUMIFS($P:$P,$J:$J,J2333)+SUMIFS($Q:$Q,$J:$J,J2333),"")</f>
        <v/>
      </c>
      <c r="S2333" s="10" t="s">
        <v>5006</v>
      </c>
      <c r="T2333" s="11" t="str">
        <f t="shared" si="218"/>
        <v>Check</v>
      </c>
      <c r="U2333" s="12">
        <v>45436</v>
      </c>
      <c r="V2333" s="10">
        <v>9700.4</v>
      </c>
      <c r="W2333" s="10" t="str">
        <f t="shared" si="216"/>
        <v>N/A</v>
      </c>
      <c r="X2333" t="s">
        <v>478</v>
      </c>
      <c r="Y2333" t="s">
        <v>28</v>
      </c>
      <c r="Z2333">
        <v>100202</v>
      </c>
      <c r="AA2333" t="s">
        <v>3107</v>
      </c>
      <c r="AB2333" t="s">
        <v>521</v>
      </c>
      <c r="AC2333" s="9">
        <v>3</v>
      </c>
      <c r="AD2333" s="9" t="str">
        <f t="shared" si="217"/>
        <v>N/A</v>
      </c>
      <c r="AE2333" s="11" t="e">
        <f t="shared" si="219"/>
        <v>#VALUE!</v>
      </c>
    </row>
    <row r="2334" spans="1:31" x14ac:dyDescent="0.3">
      <c r="A2334">
        <v>127</v>
      </c>
      <c r="B2334">
        <v>4434891</v>
      </c>
      <c r="C2334" t="s">
        <v>240</v>
      </c>
      <c r="D2334">
        <v>1560151</v>
      </c>
      <c r="E2334" t="s">
        <v>241</v>
      </c>
      <c r="F2334" t="s">
        <v>20</v>
      </c>
      <c r="G2334" t="s">
        <v>2343</v>
      </c>
      <c r="H2334" t="s">
        <v>2344</v>
      </c>
      <c r="I2334" t="s">
        <v>3355</v>
      </c>
      <c r="J2334">
        <v>51163018421</v>
      </c>
      <c r="K2334" t="s">
        <v>3682</v>
      </c>
      <c r="L2334" t="s">
        <v>4845</v>
      </c>
      <c r="M2334">
        <v>116</v>
      </c>
      <c r="N2334" s="10">
        <v>29.12</v>
      </c>
      <c r="O2334" s="10">
        <f t="shared" si="215"/>
        <v>3377.92</v>
      </c>
      <c r="P2334" s="10" t="s">
        <v>5006</v>
      </c>
      <c r="Q2334" s="10" t="s">
        <v>5006</v>
      </c>
      <c r="R2334" s="10" t="str">
        <f>IF(COUNTIF($J$2:J2334,J2334)=1,SUMIFS($O:$O,$J:$J,J2334)+SUMIFS($P:$P,$J:$J,J2334)+SUMIFS($Q:$Q,$J:$J,J2334),"")</f>
        <v/>
      </c>
      <c r="S2334" s="10" t="s">
        <v>5006</v>
      </c>
      <c r="T2334" s="11" t="str">
        <f t="shared" si="218"/>
        <v>Check</v>
      </c>
      <c r="U2334" s="12">
        <v>45436</v>
      </c>
      <c r="V2334" s="10">
        <v>9700.4</v>
      </c>
      <c r="W2334" s="10" t="str">
        <f t="shared" si="216"/>
        <v>N/A</v>
      </c>
      <c r="X2334" t="s">
        <v>478</v>
      </c>
      <c r="Y2334" t="s">
        <v>28</v>
      </c>
      <c r="Z2334">
        <v>100202</v>
      </c>
      <c r="AA2334" t="s">
        <v>3107</v>
      </c>
      <c r="AB2334" t="s">
        <v>521</v>
      </c>
      <c r="AC2334" s="9">
        <v>3</v>
      </c>
      <c r="AD2334" s="9" t="str">
        <f t="shared" si="217"/>
        <v>N/A</v>
      </c>
      <c r="AE2334" s="11" t="e">
        <f t="shared" si="219"/>
        <v>#VALUE!</v>
      </c>
    </row>
    <row r="2335" spans="1:31" x14ac:dyDescent="0.3">
      <c r="A2335">
        <v>206</v>
      </c>
      <c r="B2335">
        <v>4401255</v>
      </c>
      <c r="C2335" t="s">
        <v>60</v>
      </c>
      <c r="D2335">
        <v>1588891</v>
      </c>
      <c r="E2335" t="s">
        <v>61</v>
      </c>
      <c r="F2335" t="s">
        <v>18</v>
      </c>
      <c r="G2335" t="s">
        <v>2037</v>
      </c>
      <c r="H2335" t="s">
        <v>2038</v>
      </c>
      <c r="I2335" t="s">
        <v>3542</v>
      </c>
      <c r="J2335">
        <v>51163547004</v>
      </c>
      <c r="K2335" t="s">
        <v>3177</v>
      </c>
      <c r="L2335" t="s">
        <v>3891</v>
      </c>
      <c r="M2335">
        <v>20000</v>
      </c>
      <c r="N2335" s="10">
        <v>1.4500000000000001E-2</v>
      </c>
      <c r="O2335" s="10">
        <f t="shared" si="215"/>
        <v>290</v>
      </c>
      <c r="P2335" s="10">
        <v>0</v>
      </c>
      <c r="Q2335" s="10">
        <v>0</v>
      </c>
      <c r="R2335" s="10">
        <f>IF(COUNTIF($J$2:J2335,J2335)=1,SUMIFS($O:$O,$J:$J,J2335)+SUMIFS($P:$P,$J:$J,J2335)+SUMIFS($Q:$Q,$J:$J,J2335),"")</f>
        <v>3833.84</v>
      </c>
      <c r="S2335" s="10">
        <v>3833.84</v>
      </c>
      <c r="T2335" s="11" t="str">
        <f t="shared" si="218"/>
        <v>Ok</v>
      </c>
      <c r="U2335" s="12">
        <v>45824</v>
      </c>
      <c r="V2335" s="10">
        <v>184</v>
      </c>
      <c r="W2335" s="10" t="str">
        <f t="shared" si="216"/>
        <v>Short Paid</v>
      </c>
      <c r="X2335" t="s">
        <v>438</v>
      </c>
      <c r="Y2335" t="s">
        <v>28</v>
      </c>
      <c r="Z2335">
        <v>100153</v>
      </c>
      <c r="AA2335" t="s">
        <v>445</v>
      </c>
      <c r="AB2335" t="s">
        <v>523</v>
      </c>
      <c r="AC2335" s="9">
        <v>4</v>
      </c>
      <c r="AD2335" s="9" t="str">
        <f t="shared" si="217"/>
        <v>Ok</v>
      </c>
      <c r="AE2335" s="11">
        <f t="shared" si="219"/>
        <v>0</v>
      </c>
    </row>
    <row r="2336" spans="1:31" x14ac:dyDescent="0.3">
      <c r="A2336">
        <v>206</v>
      </c>
      <c r="B2336">
        <v>4401255</v>
      </c>
      <c r="C2336" t="s">
        <v>60</v>
      </c>
      <c r="D2336">
        <v>1588891</v>
      </c>
      <c r="E2336" t="s">
        <v>61</v>
      </c>
      <c r="F2336" t="s">
        <v>18</v>
      </c>
      <c r="G2336" t="s">
        <v>2037</v>
      </c>
      <c r="H2336" t="s">
        <v>2038</v>
      </c>
      <c r="I2336" t="s">
        <v>3542</v>
      </c>
      <c r="J2336">
        <v>51163547004</v>
      </c>
      <c r="K2336" t="s">
        <v>3229</v>
      </c>
      <c r="L2336" t="s">
        <v>4514</v>
      </c>
      <c r="M2336">
        <v>4000</v>
      </c>
      <c r="N2336" s="10">
        <v>4.7999999999999996E-3</v>
      </c>
      <c r="O2336" s="10">
        <f t="shared" si="215"/>
        <v>19.2</v>
      </c>
      <c r="P2336" s="10" t="s">
        <v>5006</v>
      </c>
      <c r="Q2336" s="10" t="s">
        <v>5006</v>
      </c>
      <c r="R2336" s="10" t="str">
        <f>IF(COUNTIF($J$2:J2336,J2336)=1,SUMIFS($O:$O,$J:$J,J2336)+SUMIFS($P:$P,$J:$J,J2336)+SUMIFS($Q:$Q,$J:$J,J2336),"")</f>
        <v/>
      </c>
      <c r="S2336" s="10" t="s">
        <v>5006</v>
      </c>
      <c r="T2336" s="11" t="str">
        <f t="shared" si="218"/>
        <v>Ok</v>
      </c>
      <c r="U2336" s="12">
        <v>45824</v>
      </c>
      <c r="V2336" s="10">
        <v>184</v>
      </c>
      <c r="W2336" s="10" t="str">
        <f t="shared" si="216"/>
        <v>N/A</v>
      </c>
      <c r="X2336" t="s">
        <v>438</v>
      </c>
      <c r="Y2336" t="s">
        <v>28</v>
      </c>
      <c r="Z2336">
        <v>100153</v>
      </c>
      <c r="AA2336" t="s">
        <v>445</v>
      </c>
      <c r="AB2336" t="s">
        <v>523</v>
      </c>
      <c r="AC2336" s="9">
        <v>4</v>
      </c>
      <c r="AD2336" s="9" t="str">
        <f t="shared" si="217"/>
        <v>N/A</v>
      </c>
      <c r="AE2336" s="11" t="e">
        <f t="shared" si="219"/>
        <v>#VALUE!</v>
      </c>
    </row>
    <row r="2337" spans="1:31" x14ac:dyDescent="0.3">
      <c r="A2337">
        <v>206</v>
      </c>
      <c r="B2337">
        <v>4401255</v>
      </c>
      <c r="C2337" t="s">
        <v>60</v>
      </c>
      <c r="D2337">
        <v>1588891</v>
      </c>
      <c r="E2337" t="s">
        <v>61</v>
      </c>
      <c r="F2337" t="s">
        <v>18</v>
      </c>
      <c r="G2337" t="s">
        <v>2037</v>
      </c>
      <c r="H2337" t="s">
        <v>2038</v>
      </c>
      <c r="I2337" t="s">
        <v>3542</v>
      </c>
      <c r="J2337">
        <v>51163547004</v>
      </c>
      <c r="K2337" t="s">
        <v>3266</v>
      </c>
      <c r="L2337" t="s">
        <v>3893</v>
      </c>
      <c r="M2337">
        <v>2592</v>
      </c>
      <c r="N2337" s="10">
        <v>1.27</v>
      </c>
      <c r="O2337" s="10">
        <f t="shared" si="215"/>
        <v>3291.84</v>
      </c>
      <c r="P2337" s="10" t="s">
        <v>5006</v>
      </c>
      <c r="Q2337" s="10" t="s">
        <v>5006</v>
      </c>
      <c r="R2337" s="10" t="str">
        <f>IF(COUNTIF($J$2:J2337,J2337)=1,SUMIFS($O:$O,$J:$J,J2337)+SUMIFS($P:$P,$J:$J,J2337)+SUMIFS($Q:$Q,$J:$J,J2337),"")</f>
        <v/>
      </c>
      <c r="S2337" s="10" t="s">
        <v>5006</v>
      </c>
      <c r="T2337" s="11" t="str">
        <f t="shared" si="218"/>
        <v>Ok</v>
      </c>
      <c r="U2337" s="12">
        <v>45824</v>
      </c>
      <c r="V2337" s="10">
        <v>184</v>
      </c>
      <c r="W2337" s="10" t="str">
        <f t="shared" si="216"/>
        <v>N/A</v>
      </c>
      <c r="X2337" t="s">
        <v>438</v>
      </c>
      <c r="Y2337" t="s">
        <v>28</v>
      </c>
      <c r="Z2337">
        <v>100153</v>
      </c>
      <c r="AA2337" t="s">
        <v>445</v>
      </c>
      <c r="AB2337" t="s">
        <v>523</v>
      </c>
      <c r="AC2337" s="9">
        <v>4</v>
      </c>
      <c r="AD2337" s="9" t="str">
        <f t="shared" si="217"/>
        <v>N/A</v>
      </c>
      <c r="AE2337" s="11" t="e">
        <f t="shared" si="219"/>
        <v>#VALUE!</v>
      </c>
    </row>
    <row r="2338" spans="1:31" x14ac:dyDescent="0.3">
      <c r="A2338">
        <v>206</v>
      </c>
      <c r="B2338">
        <v>4401255</v>
      </c>
      <c r="C2338" t="s">
        <v>60</v>
      </c>
      <c r="D2338">
        <v>1588891</v>
      </c>
      <c r="E2338" t="s">
        <v>61</v>
      </c>
      <c r="F2338" t="s">
        <v>18</v>
      </c>
      <c r="G2338" t="s">
        <v>2037</v>
      </c>
      <c r="H2338" t="s">
        <v>2038</v>
      </c>
      <c r="I2338" t="s">
        <v>3542</v>
      </c>
      <c r="J2338">
        <v>51163547004</v>
      </c>
      <c r="K2338" t="s">
        <v>3379</v>
      </c>
      <c r="L2338" t="s">
        <v>4754</v>
      </c>
      <c r="M2338">
        <v>8000</v>
      </c>
      <c r="N2338" s="10">
        <v>2.9100000000000001E-2</v>
      </c>
      <c r="O2338" s="10">
        <f t="shared" si="215"/>
        <v>232.8</v>
      </c>
      <c r="P2338" s="10" t="s">
        <v>5006</v>
      </c>
      <c r="Q2338" s="10" t="s">
        <v>5006</v>
      </c>
      <c r="R2338" s="10" t="str">
        <f>IF(COUNTIF($J$2:J2338,J2338)=1,SUMIFS($O:$O,$J:$J,J2338)+SUMIFS($P:$P,$J:$J,J2338)+SUMIFS($Q:$Q,$J:$J,J2338),"")</f>
        <v/>
      </c>
      <c r="S2338" s="10" t="s">
        <v>5006</v>
      </c>
      <c r="T2338" s="11" t="str">
        <f t="shared" si="218"/>
        <v>Ok</v>
      </c>
      <c r="U2338" s="12">
        <v>45824</v>
      </c>
      <c r="V2338" s="10">
        <v>184</v>
      </c>
      <c r="W2338" s="10" t="str">
        <f t="shared" si="216"/>
        <v>N/A</v>
      </c>
      <c r="X2338" t="s">
        <v>438</v>
      </c>
      <c r="Y2338" t="s">
        <v>28</v>
      </c>
      <c r="Z2338">
        <v>100153</v>
      </c>
      <c r="AA2338" t="s">
        <v>445</v>
      </c>
      <c r="AB2338" t="s">
        <v>523</v>
      </c>
      <c r="AC2338" s="9">
        <v>4</v>
      </c>
      <c r="AD2338" s="9" t="str">
        <f t="shared" si="217"/>
        <v>N/A</v>
      </c>
      <c r="AE2338" s="11" t="e">
        <f t="shared" si="219"/>
        <v>#VALUE!</v>
      </c>
    </row>
    <row r="2339" spans="1:31" x14ac:dyDescent="0.3">
      <c r="A2339">
        <v>113</v>
      </c>
      <c r="B2339">
        <v>4438889</v>
      </c>
      <c r="C2339" t="s">
        <v>38</v>
      </c>
      <c r="D2339">
        <v>1373071</v>
      </c>
      <c r="E2339" t="s">
        <v>559</v>
      </c>
      <c r="F2339" t="s">
        <v>44</v>
      </c>
      <c r="G2339" t="s">
        <v>2441</v>
      </c>
      <c r="H2339" t="s">
        <v>2442</v>
      </c>
      <c r="I2339" t="s">
        <v>3239</v>
      </c>
      <c r="J2339">
        <v>51163724457</v>
      </c>
      <c r="K2339" t="s">
        <v>3289</v>
      </c>
      <c r="L2339" t="s">
        <v>4846</v>
      </c>
      <c r="M2339">
        <v>2500</v>
      </c>
      <c r="N2339" s="10">
        <v>0.52359999999999995</v>
      </c>
      <c r="O2339" s="10">
        <f t="shared" si="215"/>
        <v>1308.9999999999998</v>
      </c>
      <c r="P2339" s="10">
        <v>0</v>
      </c>
      <c r="Q2339" s="10">
        <v>0</v>
      </c>
      <c r="R2339" s="10">
        <f>IF(COUNTIF($J$2:J2339,J2339)=1,SUMIFS($O:$O,$J:$J,J2339)+SUMIFS($P:$P,$J:$J,J2339)+SUMIFS($Q:$Q,$J:$J,J2339),"")</f>
        <v>143685.5</v>
      </c>
      <c r="S2339" s="10">
        <v>146897</v>
      </c>
      <c r="T2339" s="11" t="str">
        <f t="shared" si="218"/>
        <v>Check</v>
      </c>
      <c r="U2339" s="12">
        <v>45952</v>
      </c>
      <c r="V2339" s="10">
        <v>146897</v>
      </c>
      <c r="W2339" s="10" t="str">
        <f t="shared" si="216"/>
        <v>Not Paid</v>
      </c>
      <c r="X2339" t="s">
        <v>474</v>
      </c>
      <c r="Y2339" t="s">
        <v>28</v>
      </c>
      <c r="Z2339">
        <v>100289</v>
      </c>
      <c r="AA2339" t="s">
        <v>475</v>
      </c>
      <c r="AB2339" t="s">
        <v>3037</v>
      </c>
      <c r="AC2339" s="9">
        <v>4</v>
      </c>
      <c r="AD2339" s="9" t="str">
        <f t="shared" si="217"/>
        <v>Check</v>
      </c>
      <c r="AE2339" s="11">
        <f t="shared" si="219"/>
        <v>-3211.5</v>
      </c>
    </row>
    <row r="2340" spans="1:31" x14ac:dyDescent="0.3">
      <c r="A2340">
        <v>113</v>
      </c>
      <c r="B2340">
        <v>4438889</v>
      </c>
      <c r="C2340" t="s">
        <v>38</v>
      </c>
      <c r="D2340">
        <v>1373071</v>
      </c>
      <c r="E2340" t="s">
        <v>559</v>
      </c>
      <c r="F2340" t="s">
        <v>44</v>
      </c>
      <c r="G2340" t="s">
        <v>2441</v>
      </c>
      <c r="H2340" t="s">
        <v>2442</v>
      </c>
      <c r="I2340" t="s">
        <v>3239</v>
      </c>
      <c r="J2340">
        <v>51163724457</v>
      </c>
      <c r="K2340" t="s">
        <v>3289</v>
      </c>
      <c r="L2340" t="s">
        <v>4847</v>
      </c>
      <c r="M2340">
        <v>44000</v>
      </c>
      <c r="N2340" s="10">
        <v>3.17</v>
      </c>
      <c r="O2340" s="10">
        <f t="shared" si="215"/>
        <v>139480</v>
      </c>
      <c r="P2340" s="10" t="s">
        <v>5006</v>
      </c>
      <c r="Q2340" s="10" t="s">
        <v>5006</v>
      </c>
      <c r="R2340" s="10" t="str">
        <f>IF(COUNTIF($J$2:J2340,J2340)=1,SUMIFS($O:$O,$J:$J,J2340)+SUMIFS($P:$P,$J:$J,J2340)+SUMIFS($Q:$Q,$J:$J,J2340),"")</f>
        <v/>
      </c>
      <c r="S2340" s="10" t="s">
        <v>5006</v>
      </c>
      <c r="T2340" s="11" t="str">
        <f t="shared" si="218"/>
        <v>Check</v>
      </c>
      <c r="U2340" s="12">
        <v>45952</v>
      </c>
      <c r="V2340" s="10">
        <v>146897</v>
      </c>
      <c r="W2340" s="10" t="str">
        <f t="shared" si="216"/>
        <v>N/A</v>
      </c>
      <c r="X2340" t="s">
        <v>474</v>
      </c>
      <c r="Y2340" t="s">
        <v>28</v>
      </c>
      <c r="Z2340">
        <v>100289</v>
      </c>
      <c r="AA2340" t="s">
        <v>475</v>
      </c>
      <c r="AB2340" t="s">
        <v>3037</v>
      </c>
      <c r="AC2340" s="9">
        <v>4</v>
      </c>
      <c r="AD2340" s="9" t="str">
        <f t="shared" si="217"/>
        <v>N/A</v>
      </c>
      <c r="AE2340" s="11" t="e">
        <f t="shared" si="219"/>
        <v>#VALUE!</v>
      </c>
    </row>
    <row r="2341" spans="1:31" x14ac:dyDescent="0.3">
      <c r="A2341">
        <v>113</v>
      </c>
      <c r="B2341">
        <v>4438889</v>
      </c>
      <c r="C2341" t="s">
        <v>38</v>
      </c>
      <c r="D2341">
        <v>1373071</v>
      </c>
      <c r="E2341" t="s">
        <v>559</v>
      </c>
      <c r="F2341" t="s">
        <v>44</v>
      </c>
      <c r="G2341" t="s">
        <v>2441</v>
      </c>
      <c r="H2341" t="s">
        <v>2442</v>
      </c>
      <c r="I2341" t="s">
        <v>3239</v>
      </c>
      <c r="J2341">
        <v>51163724457</v>
      </c>
      <c r="K2341" t="s">
        <v>3168</v>
      </c>
      <c r="L2341" t="s">
        <v>4848</v>
      </c>
      <c r="M2341">
        <v>4500</v>
      </c>
      <c r="N2341" s="10">
        <v>0.58699999999999997</v>
      </c>
      <c r="O2341" s="10">
        <f t="shared" si="215"/>
        <v>2641.5</v>
      </c>
      <c r="P2341" s="10" t="s">
        <v>5006</v>
      </c>
      <c r="Q2341" s="10" t="s">
        <v>5006</v>
      </c>
      <c r="R2341" s="10" t="str">
        <f>IF(COUNTIF($J$2:J2341,J2341)=1,SUMIFS($O:$O,$J:$J,J2341)+SUMIFS($P:$P,$J:$J,J2341)+SUMIFS($Q:$Q,$J:$J,J2341),"")</f>
        <v/>
      </c>
      <c r="S2341" s="10" t="s">
        <v>5006</v>
      </c>
      <c r="T2341" s="11" t="str">
        <f t="shared" si="218"/>
        <v>Check</v>
      </c>
      <c r="U2341" s="12">
        <v>45952</v>
      </c>
      <c r="V2341" s="10">
        <v>146897</v>
      </c>
      <c r="W2341" s="10" t="str">
        <f t="shared" si="216"/>
        <v>N/A</v>
      </c>
      <c r="X2341" t="s">
        <v>474</v>
      </c>
      <c r="Y2341" t="s">
        <v>28</v>
      </c>
      <c r="Z2341">
        <v>100289</v>
      </c>
      <c r="AA2341" t="s">
        <v>475</v>
      </c>
      <c r="AB2341" t="s">
        <v>3037</v>
      </c>
      <c r="AC2341" s="9">
        <v>4</v>
      </c>
      <c r="AD2341" s="9" t="str">
        <f t="shared" si="217"/>
        <v>N/A</v>
      </c>
      <c r="AE2341" s="11" t="e">
        <f t="shared" si="219"/>
        <v>#VALUE!</v>
      </c>
    </row>
    <row r="2342" spans="1:31" x14ac:dyDescent="0.3">
      <c r="A2342">
        <v>113</v>
      </c>
      <c r="B2342">
        <v>4438889</v>
      </c>
      <c r="C2342" t="s">
        <v>38</v>
      </c>
      <c r="D2342">
        <v>1373071</v>
      </c>
      <c r="E2342" t="s">
        <v>559</v>
      </c>
      <c r="F2342" t="s">
        <v>44</v>
      </c>
      <c r="G2342" t="s">
        <v>2441</v>
      </c>
      <c r="H2342" t="s">
        <v>2442</v>
      </c>
      <c r="I2342" t="s">
        <v>3239</v>
      </c>
      <c r="J2342">
        <v>51163724457</v>
      </c>
      <c r="K2342" t="s">
        <v>4415</v>
      </c>
      <c r="L2342" t="s">
        <v>4481</v>
      </c>
      <c r="M2342">
        <v>3000</v>
      </c>
      <c r="N2342" s="10">
        <v>8.5000000000000006E-2</v>
      </c>
      <c r="O2342" s="10">
        <f t="shared" si="215"/>
        <v>255.00000000000003</v>
      </c>
      <c r="P2342" s="10" t="s">
        <v>5006</v>
      </c>
      <c r="Q2342" s="10" t="s">
        <v>5006</v>
      </c>
      <c r="R2342" s="10" t="str">
        <f>IF(COUNTIF($J$2:J2342,J2342)=1,SUMIFS($O:$O,$J:$J,J2342)+SUMIFS($P:$P,$J:$J,J2342)+SUMIFS($Q:$Q,$J:$J,J2342),"")</f>
        <v/>
      </c>
      <c r="S2342" s="10" t="s">
        <v>5006</v>
      </c>
      <c r="T2342" s="11" t="str">
        <f t="shared" si="218"/>
        <v>Check</v>
      </c>
      <c r="U2342" s="12">
        <v>45952</v>
      </c>
      <c r="V2342" s="10">
        <v>146897</v>
      </c>
      <c r="W2342" s="10" t="str">
        <f t="shared" si="216"/>
        <v>N/A</v>
      </c>
      <c r="X2342" t="s">
        <v>474</v>
      </c>
      <c r="Y2342" t="s">
        <v>28</v>
      </c>
      <c r="Z2342">
        <v>100289</v>
      </c>
      <c r="AA2342" t="s">
        <v>475</v>
      </c>
      <c r="AB2342" t="s">
        <v>3037</v>
      </c>
      <c r="AC2342" s="9">
        <v>4</v>
      </c>
      <c r="AD2342" s="9" t="str">
        <f t="shared" si="217"/>
        <v>N/A</v>
      </c>
      <c r="AE2342" s="11" t="e">
        <f t="shared" si="219"/>
        <v>#VALUE!</v>
      </c>
    </row>
    <row r="2343" spans="1:31" x14ac:dyDescent="0.3">
      <c r="A2343">
        <v>142</v>
      </c>
      <c r="B2343">
        <v>4427752</v>
      </c>
      <c r="C2343" t="s">
        <v>167</v>
      </c>
      <c r="D2343">
        <v>1236114</v>
      </c>
      <c r="E2343" t="s">
        <v>170</v>
      </c>
      <c r="F2343" t="s">
        <v>25</v>
      </c>
      <c r="G2343" t="s">
        <v>2217</v>
      </c>
      <c r="H2343" t="s">
        <v>2218</v>
      </c>
      <c r="I2343" t="s">
        <v>3250</v>
      </c>
      <c r="J2343">
        <v>51163761358</v>
      </c>
      <c r="K2343" t="s">
        <v>3908</v>
      </c>
      <c r="L2343" t="s">
        <v>4849</v>
      </c>
      <c r="M2343">
        <v>5</v>
      </c>
      <c r="N2343" s="10">
        <v>83.23</v>
      </c>
      <c r="O2343" s="10">
        <f t="shared" si="215"/>
        <v>416.15000000000003</v>
      </c>
      <c r="P2343" s="10">
        <v>0</v>
      </c>
      <c r="Q2343" s="10" t="s">
        <v>5006</v>
      </c>
      <c r="R2343" s="10">
        <f>IF(COUNTIF($J$2:J2343,J2343)=1,SUMIFS($O:$O,$J:$J,J2343)+SUMIFS($P:$P,$J:$J,J2343)+SUMIFS($Q:$Q,$J:$J,J2343),"")</f>
        <v>3245.9700000000003</v>
      </c>
      <c r="S2343" s="10">
        <v>3494.28</v>
      </c>
      <c r="T2343" s="11" t="str">
        <f t="shared" si="218"/>
        <v>Check</v>
      </c>
      <c r="U2343" s="12">
        <v>45744</v>
      </c>
      <c r="V2343" s="10">
        <v>3494.28</v>
      </c>
      <c r="W2343" s="10" t="str">
        <f t="shared" si="216"/>
        <v>Not Paid</v>
      </c>
      <c r="X2343" t="s">
        <v>455</v>
      </c>
      <c r="Y2343" t="s">
        <v>28</v>
      </c>
      <c r="Z2343">
        <v>100270</v>
      </c>
      <c r="AA2343" t="s">
        <v>464</v>
      </c>
      <c r="AB2343" t="s">
        <v>525</v>
      </c>
      <c r="AC2343" s="9">
        <v>4</v>
      </c>
      <c r="AD2343" s="9" t="str">
        <f t="shared" si="217"/>
        <v>Check</v>
      </c>
      <c r="AE2343" s="11">
        <f t="shared" si="219"/>
        <v>-248.30999999999995</v>
      </c>
    </row>
    <row r="2344" spans="1:31" x14ac:dyDescent="0.3">
      <c r="A2344">
        <v>142</v>
      </c>
      <c r="B2344">
        <v>4427752</v>
      </c>
      <c r="C2344" t="s">
        <v>167</v>
      </c>
      <c r="D2344">
        <v>1236114</v>
      </c>
      <c r="E2344" t="s">
        <v>170</v>
      </c>
      <c r="F2344" t="s">
        <v>25</v>
      </c>
      <c r="G2344" t="s">
        <v>2217</v>
      </c>
      <c r="H2344" t="s">
        <v>2218</v>
      </c>
      <c r="I2344" t="s">
        <v>3250</v>
      </c>
      <c r="J2344">
        <v>51163761358</v>
      </c>
      <c r="K2344" t="s">
        <v>3908</v>
      </c>
      <c r="L2344" t="s">
        <v>4850</v>
      </c>
      <c r="M2344">
        <v>13</v>
      </c>
      <c r="N2344" s="10">
        <v>83.23</v>
      </c>
      <c r="O2344" s="10">
        <f t="shared" si="215"/>
        <v>1081.99</v>
      </c>
      <c r="P2344" s="10" t="s">
        <v>5006</v>
      </c>
      <c r="Q2344" s="10" t="s">
        <v>5006</v>
      </c>
      <c r="R2344" s="10" t="str">
        <f>IF(COUNTIF($J$2:J2344,J2344)=1,SUMIFS($O:$O,$J:$J,J2344)+SUMIFS($P:$P,$J:$J,J2344)+SUMIFS($Q:$Q,$J:$J,J2344),"")</f>
        <v/>
      </c>
      <c r="S2344" s="10" t="s">
        <v>5006</v>
      </c>
      <c r="T2344" s="11" t="str">
        <f t="shared" si="218"/>
        <v>Check</v>
      </c>
      <c r="U2344" s="12">
        <v>45744</v>
      </c>
      <c r="V2344" s="10">
        <v>3494.28</v>
      </c>
      <c r="W2344" s="10" t="str">
        <f t="shared" si="216"/>
        <v>N/A</v>
      </c>
      <c r="X2344" t="s">
        <v>455</v>
      </c>
      <c r="Y2344" t="s">
        <v>28</v>
      </c>
      <c r="Z2344">
        <v>100270</v>
      </c>
      <c r="AA2344" t="s">
        <v>464</v>
      </c>
      <c r="AB2344" t="s">
        <v>525</v>
      </c>
      <c r="AC2344" s="9">
        <v>4</v>
      </c>
      <c r="AD2344" s="9" t="str">
        <f t="shared" si="217"/>
        <v>N/A</v>
      </c>
      <c r="AE2344" s="11" t="e">
        <f t="shared" si="219"/>
        <v>#VALUE!</v>
      </c>
    </row>
    <row r="2345" spans="1:31" x14ac:dyDescent="0.3">
      <c r="A2345">
        <v>142</v>
      </c>
      <c r="B2345">
        <v>4427752</v>
      </c>
      <c r="C2345" t="s">
        <v>167</v>
      </c>
      <c r="D2345">
        <v>1236114</v>
      </c>
      <c r="E2345" t="s">
        <v>170</v>
      </c>
      <c r="F2345" t="s">
        <v>25</v>
      </c>
      <c r="G2345" t="s">
        <v>2217</v>
      </c>
      <c r="H2345" t="s">
        <v>2218</v>
      </c>
      <c r="I2345" t="s">
        <v>3250</v>
      </c>
      <c r="J2345">
        <v>51163761358</v>
      </c>
      <c r="K2345" t="s">
        <v>3908</v>
      </c>
      <c r="L2345" t="s">
        <v>4851</v>
      </c>
      <c r="M2345">
        <v>6</v>
      </c>
      <c r="N2345" s="10">
        <v>83.23</v>
      </c>
      <c r="O2345" s="10">
        <f t="shared" si="215"/>
        <v>499.38</v>
      </c>
      <c r="P2345" s="10" t="s">
        <v>5006</v>
      </c>
      <c r="Q2345" s="10" t="s">
        <v>5006</v>
      </c>
      <c r="R2345" s="10" t="str">
        <f>IF(COUNTIF($J$2:J2345,J2345)=1,SUMIFS($O:$O,$J:$J,J2345)+SUMIFS($P:$P,$J:$J,J2345)+SUMIFS($Q:$Q,$J:$J,J2345),"")</f>
        <v/>
      </c>
      <c r="S2345" s="10" t="s">
        <v>5006</v>
      </c>
      <c r="T2345" s="11" t="str">
        <f t="shared" si="218"/>
        <v>Check</v>
      </c>
      <c r="U2345" s="12">
        <v>45744</v>
      </c>
      <c r="V2345" s="10">
        <v>3494.28</v>
      </c>
      <c r="W2345" s="10" t="str">
        <f t="shared" si="216"/>
        <v>N/A</v>
      </c>
      <c r="X2345" t="s">
        <v>455</v>
      </c>
      <c r="Y2345" t="s">
        <v>28</v>
      </c>
      <c r="Z2345">
        <v>100270</v>
      </c>
      <c r="AA2345" t="s">
        <v>464</v>
      </c>
      <c r="AB2345" t="s">
        <v>525</v>
      </c>
      <c r="AC2345" s="9">
        <v>4</v>
      </c>
      <c r="AD2345" s="9" t="str">
        <f t="shared" si="217"/>
        <v>N/A</v>
      </c>
      <c r="AE2345" s="11" t="e">
        <f t="shared" si="219"/>
        <v>#VALUE!</v>
      </c>
    </row>
    <row r="2346" spans="1:31" x14ac:dyDescent="0.3">
      <c r="A2346">
        <v>142</v>
      </c>
      <c r="B2346">
        <v>4427752</v>
      </c>
      <c r="C2346" t="s">
        <v>167</v>
      </c>
      <c r="D2346">
        <v>1236114</v>
      </c>
      <c r="E2346" t="s">
        <v>170</v>
      </c>
      <c r="F2346" t="s">
        <v>25</v>
      </c>
      <c r="G2346" t="s">
        <v>2217</v>
      </c>
      <c r="H2346" t="s">
        <v>2218</v>
      </c>
      <c r="I2346" t="s">
        <v>3250</v>
      </c>
      <c r="J2346">
        <v>51163761358</v>
      </c>
      <c r="K2346" t="s">
        <v>3908</v>
      </c>
      <c r="L2346" t="s">
        <v>4852</v>
      </c>
      <c r="M2346">
        <v>15</v>
      </c>
      <c r="N2346" s="10">
        <v>83.23</v>
      </c>
      <c r="O2346" s="10">
        <f t="shared" si="215"/>
        <v>1248.45</v>
      </c>
      <c r="P2346" s="10" t="s">
        <v>5006</v>
      </c>
      <c r="Q2346" s="10" t="s">
        <v>5006</v>
      </c>
      <c r="R2346" s="10" t="str">
        <f>IF(COUNTIF($J$2:J2346,J2346)=1,SUMIFS($O:$O,$J:$J,J2346)+SUMIFS($P:$P,$J:$J,J2346)+SUMIFS($Q:$Q,$J:$J,J2346),"")</f>
        <v/>
      </c>
      <c r="S2346" s="10" t="s">
        <v>5006</v>
      </c>
      <c r="T2346" s="11" t="str">
        <f t="shared" si="218"/>
        <v>Check</v>
      </c>
      <c r="U2346" s="12">
        <v>45744</v>
      </c>
      <c r="V2346" s="10">
        <v>3494.28</v>
      </c>
      <c r="W2346" s="10" t="str">
        <f t="shared" si="216"/>
        <v>N/A</v>
      </c>
      <c r="X2346" t="s">
        <v>455</v>
      </c>
      <c r="Y2346" t="s">
        <v>28</v>
      </c>
      <c r="Z2346">
        <v>100270</v>
      </c>
      <c r="AA2346" t="s">
        <v>464</v>
      </c>
      <c r="AB2346" t="s">
        <v>525</v>
      </c>
      <c r="AC2346" s="9">
        <v>4</v>
      </c>
      <c r="AD2346" s="9" t="str">
        <f t="shared" si="217"/>
        <v>N/A</v>
      </c>
      <c r="AE2346" s="11" t="e">
        <f t="shared" si="219"/>
        <v>#VALUE!</v>
      </c>
    </row>
    <row r="2347" spans="1:31" x14ac:dyDescent="0.3">
      <c r="A2347">
        <v>127</v>
      </c>
      <c r="B2347">
        <v>4434741</v>
      </c>
      <c r="C2347" t="s">
        <v>240</v>
      </c>
      <c r="D2347">
        <v>1560151</v>
      </c>
      <c r="E2347" t="s">
        <v>241</v>
      </c>
      <c r="F2347" t="s">
        <v>20</v>
      </c>
      <c r="G2347" t="s">
        <v>2347</v>
      </c>
      <c r="H2347" t="s">
        <v>2348</v>
      </c>
      <c r="I2347" t="s">
        <v>3307</v>
      </c>
      <c r="J2347">
        <v>51163921586</v>
      </c>
      <c r="K2347" t="s">
        <v>3682</v>
      </c>
      <c r="L2347" t="s">
        <v>4853</v>
      </c>
      <c r="M2347">
        <v>49</v>
      </c>
      <c r="N2347" s="10">
        <v>36.06</v>
      </c>
      <c r="O2347" s="10">
        <f t="shared" si="215"/>
        <v>1766.94</v>
      </c>
      <c r="P2347" s="10">
        <v>0</v>
      </c>
      <c r="Q2347" s="10">
        <v>0</v>
      </c>
      <c r="R2347" s="10">
        <f>IF(COUNTIF($J$2:J2347,J2347)=1,SUMIFS($O:$O,$J:$J,J2347)+SUMIFS($P:$P,$J:$J,J2347)+SUMIFS($Q:$Q,$J:$J,J2347),"")</f>
        <v>6527.5400000000009</v>
      </c>
      <c r="S2347" s="10">
        <v>6527.54</v>
      </c>
      <c r="T2347" s="11" t="str">
        <f t="shared" si="218"/>
        <v>Ok</v>
      </c>
      <c r="U2347" s="12">
        <v>45931</v>
      </c>
      <c r="V2347" s="10">
        <v>6527.54</v>
      </c>
      <c r="W2347" s="10" t="str">
        <f t="shared" si="216"/>
        <v>Not Paid</v>
      </c>
      <c r="X2347" t="s">
        <v>478</v>
      </c>
      <c r="Y2347" t="s">
        <v>28</v>
      </c>
      <c r="Z2347">
        <v>100112</v>
      </c>
      <c r="AA2347" t="s">
        <v>479</v>
      </c>
      <c r="AB2347" t="s">
        <v>521</v>
      </c>
      <c r="AC2347" s="9">
        <v>3</v>
      </c>
      <c r="AD2347" s="9" t="str">
        <f t="shared" si="217"/>
        <v>Ok</v>
      </c>
      <c r="AE2347" s="11">
        <f t="shared" si="219"/>
        <v>0</v>
      </c>
    </row>
    <row r="2348" spans="1:31" x14ac:dyDescent="0.3">
      <c r="A2348">
        <v>127</v>
      </c>
      <c r="B2348">
        <v>4434741</v>
      </c>
      <c r="C2348" t="s">
        <v>240</v>
      </c>
      <c r="D2348">
        <v>1560151</v>
      </c>
      <c r="E2348" t="s">
        <v>241</v>
      </c>
      <c r="F2348" t="s">
        <v>20</v>
      </c>
      <c r="G2348" t="s">
        <v>2347</v>
      </c>
      <c r="H2348" t="s">
        <v>2348</v>
      </c>
      <c r="I2348" t="s">
        <v>3307</v>
      </c>
      <c r="J2348">
        <v>51163921586</v>
      </c>
      <c r="K2348" t="s">
        <v>3682</v>
      </c>
      <c r="L2348" t="s">
        <v>4854</v>
      </c>
      <c r="M2348">
        <v>1</v>
      </c>
      <c r="N2348" s="10">
        <v>4400</v>
      </c>
      <c r="O2348" s="10">
        <f t="shared" si="215"/>
        <v>4400</v>
      </c>
      <c r="P2348" s="10" t="s">
        <v>5006</v>
      </c>
      <c r="Q2348" s="10" t="s">
        <v>5006</v>
      </c>
      <c r="R2348" s="10" t="str">
        <f>IF(COUNTIF($J$2:J2348,J2348)=1,SUMIFS($O:$O,$J:$J,J2348)+SUMIFS($P:$P,$J:$J,J2348)+SUMIFS($Q:$Q,$J:$J,J2348),"")</f>
        <v/>
      </c>
      <c r="S2348" s="10" t="s">
        <v>5006</v>
      </c>
      <c r="T2348" s="11" t="str">
        <f t="shared" si="218"/>
        <v>Ok</v>
      </c>
      <c r="U2348" s="12">
        <v>45931</v>
      </c>
      <c r="V2348" s="10">
        <v>6527.54</v>
      </c>
      <c r="W2348" s="10" t="str">
        <f t="shared" si="216"/>
        <v>N/A</v>
      </c>
      <c r="X2348" t="s">
        <v>478</v>
      </c>
      <c r="Y2348" t="s">
        <v>28</v>
      </c>
      <c r="Z2348">
        <v>100112</v>
      </c>
      <c r="AA2348" t="s">
        <v>479</v>
      </c>
      <c r="AB2348" t="s">
        <v>521</v>
      </c>
      <c r="AC2348" s="9">
        <v>3</v>
      </c>
      <c r="AD2348" s="9" t="str">
        <f t="shared" si="217"/>
        <v>N/A</v>
      </c>
      <c r="AE2348" s="11" t="e">
        <f t="shared" si="219"/>
        <v>#VALUE!</v>
      </c>
    </row>
    <row r="2349" spans="1:31" x14ac:dyDescent="0.3">
      <c r="A2349">
        <v>127</v>
      </c>
      <c r="B2349">
        <v>4434741</v>
      </c>
      <c r="C2349" t="s">
        <v>240</v>
      </c>
      <c r="D2349">
        <v>1560151</v>
      </c>
      <c r="E2349" t="s">
        <v>241</v>
      </c>
      <c r="F2349" t="s">
        <v>20</v>
      </c>
      <c r="G2349" t="s">
        <v>2347</v>
      </c>
      <c r="H2349" t="s">
        <v>2348</v>
      </c>
      <c r="I2349" t="s">
        <v>3307</v>
      </c>
      <c r="J2349">
        <v>51163921586</v>
      </c>
      <c r="K2349" t="s">
        <v>3682</v>
      </c>
      <c r="L2349" t="s">
        <v>4855</v>
      </c>
      <c r="M2349">
        <v>10</v>
      </c>
      <c r="N2349" s="10">
        <v>36.06</v>
      </c>
      <c r="O2349" s="10">
        <f t="shared" si="215"/>
        <v>360.6</v>
      </c>
      <c r="P2349" s="10" t="s">
        <v>5006</v>
      </c>
      <c r="Q2349" s="10" t="s">
        <v>5006</v>
      </c>
      <c r="R2349" s="10" t="str">
        <f>IF(COUNTIF($J$2:J2349,J2349)=1,SUMIFS($O:$O,$J:$J,J2349)+SUMIFS($P:$P,$J:$J,J2349)+SUMIFS($Q:$Q,$J:$J,J2349),"")</f>
        <v/>
      </c>
      <c r="S2349" s="10" t="s">
        <v>5006</v>
      </c>
      <c r="T2349" s="11" t="str">
        <f t="shared" si="218"/>
        <v>Ok</v>
      </c>
      <c r="U2349" s="12">
        <v>45931</v>
      </c>
      <c r="V2349" s="10">
        <v>6527.54</v>
      </c>
      <c r="W2349" s="10" t="str">
        <f t="shared" si="216"/>
        <v>N/A</v>
      </c>
      <c r="X2349" t="s">
        <v>478</v>
      </c>
      <c r="Y2349" t="s">
        <v>28</v>
      </c>
      <c r="Z2349">
        <v>100112</v>
      </c>
      <c r="AA2349" t="s">
        <v>479</v>
      </c>
      <c r="AB2349" t="s">
        <v>521</v>
      </c>
      <c r="AC2349" s="9">
        <v>3</v>
      </c>
      <c r="AD2349" s="9" t="str">
        <f t="shared" si="217"/>
        <v>N/A</v>
      </c>
      <c r="AE2349" s="11" t="e">
        <f t="shared" si="219"/>
        <v>#VALUE!</v>
      </c>
    </row>
    <row r="2350" spans="1:31" x14ac:dyDescent="0.3">
      <c r="A2350">
        <v>127</v>
      </c>
      <c r="B2350">
        <v>4434751</v>
      </c>
      <c r="C2350" t="s">
        <v>240</v>
      </c>
      <c r="D2350">
        <v>1560151</v>
      </c>
      <c r="E2350" t="s">
        <v>241</v>
      </c>
      <c r="F2350" t="s">
        <v>20</v>
      </c>
      <c r="G2350" t="s">
        <v>2345</v>
      </c>
      <c r="H2350" t="s">
        <v>2346</v>
      </c>
      <c r="I2350" t="s">
        <v>3267</v>
      </c>
      <c r="J2350">
        <v>51163921599</v>
      </c>
      <c r="K2350" t="s">
        <v>3682</v>
      </c>
      <c r="L2350" t="s">
        <v>4856</v>
      </c>
      <c r="M2350">
        <v>54</v>
      </c>
      <c r="N2350" s="10">
        <v>44.93</v>
      </c>
      <c r="O2350" s="10">
        <f t="shared" si="215"/>
        <v>2426.2199999999998</v>
      </c>
      <c r="P2350" s="10">
        <v>0</v>
      </c>
      <c r="Q2350" s="10">
        <v>0</v>
      </c>
      <c r="R2350" s="10">
        <f>IF(COUNTIF($J$2:J2350,J2350)=1,SUMIFS($O:$O,$J:$J,J2350)+SUMIFS($P:$P,$J:$J,J2350)+SUMIFS($Q:$Q,$J:$J,J2350),"")</f>
        <v>2776.22</v>
      </c>
      <c r="S2350" s="10">
        <v>2926.22</v>
      </c>
      <c r="T2350" s="11" t="str">
        <f t="shared" si="218"/>
        <v>Check</v>
      </c>
      <c r="U2350" s="12">
        <v>45734</v>
      </c>
      <c r="V2350" s="10">
        <v>2926.22</v>
      </c>
      <c r="W2350" s="10" t="str">
        <f t="shared" si="216"/>
        <v>Not Paid</v>
      </c>
      <c r="X2350" t="s">
        <v>478</v>
      </c>
      <c r="Y2350" t="s">
        <v>28</v>
      </c>
      <c r="Z2350">
        <v>100242</v>
      </c>
      <c r="AA2350" t="s">
        <v>3096</v>
      </c>
      <c r="AB2350" t="s">
        <v>521</v>
      </c>
      <c r="AC2350" s="9">
        <v>2</v>
      </c>
      <c r="AD2350" s="9" t="str">
        <f t="shared" si="217"/>
        <v>Check</v>
      </c>
      <c r="AE2350" s="11">
        <f t="shared" si="219"/>
        <v>-150</v>
      </c>
    </row>
    <row r="2351" spans="1:31" x14ac:dyDescent="0.3">
      <c r="A2351">
        <v>127</v>
      </c>
      <c r="B2351">
        <v>4434751</v>
      </c>
      <c r="C2351" t="s">
        <v>240</v>
      </c>
      <c r="D2351">
        <v>1560151</v>
      </c>
      <c r="E2351" t="s">
        <v>241</v>
      </c>
      <c r="F2351" t="s">
        <v>20</v>
      </c>
      <c r="G2351" t="s">
        <v>2345</v>
      </c>
      <c r="H2351" t="s">
        <v>2346</v>
      </c>
      <c r="I2351" t="s">
        <v>3267</v>
      </c>
      <c r="J2351">
        <v>51163921599</v>
      </c>
      <c r="K2351" t="s">
        <v>3682</v>
      </c>
      <c r="L2351" t="s">
        <v>4857</v>
      </c>
      <c r="M2351">
        <v>1</v>
      </c>
      <c r="N2351" s="10">
        <v>350</v>
      </c>
      <c r="O2351" s="10">
        <f t="shared" si="215"/>
        <v>350</v>
      </c>
      <c r="P2351" s="10" t="s">
        <v>5006</v>
      </c>
      <c r="Q2351" s="10" t="s">
        <v>5006</v>
      </c>
      <c r="R2351" s="10" t="str">
        <f>IF(COUNTIF($J$2:J2351,J2351)=1,SUMIFS($O:$O,$J:$J,J2351)+SUMIFS($P:$P,$J:$J,J2351)+SUMIFS($Q:$Q,$J:$J,J2351),"")</f>
        <v/>
      </c>
      <c r="S2351" s="10" t="s">
        <v>5006</v>
      </c>
      <c r="T2351" s="11" t="str">
        <f t="shared" si="218"/>
        <v>Check</v>
      </c>
      <c r="U2351" s="12">
        <v>45734</v>
      </c>
      <c r="V2351" s="10">
        <v>2926.22</v>
      </c>
      <c r="W2351" s="10" t="str">
        <f t="shared" si="216"/>
        <v>N/A</v>
      </c>
      <c r="X2351" t="s">
        <v>478</v>
      </c>
      <c r="Y2351" t="s">
        <v>28</v>
      </c>
      <c r="Z2351">
        <v>100242</v>
      </c>
      <c r="AA2351" t="s">
        <v>3096</v>
      </c>
      <c r="AB2351" t="s">
        <v>521</v>
      </c>
      <c r="AC2351" s="9">
        <v>2</v>
      </c>
      <c r="AD2351" s="9" t="str">
        <f t="shared" si="217"/>
        <v>N/A</v>
      </c>
      <c r="AE2351" s="11" t="e">
        <f t="shared" si="219"/>
        <v>#VALUE!</v>
      </c>
    </row>
    <row r="2352" spans="1:31" x14ac:dyDescent="0.3">
      <c r="A2352">
        <v>133</v>
      </c>
      <c r="B2352">
        <v>4433121</v>
      </c>
      <c r="C2352" t="s">
        <v>239</v>
      </c>
      <c r="D2352">
        <v>1012121</v>
      </c>
      <c r="E2352" t="s">
        <v>555</v>
      </c>
      <c r="F2352" t="s">
        <v>18</v>
      </c>
      <c r="G2352" t="s">
        <v>2285</v>
      </c>
      <c r="H2352" t="s">
        <v>2286</v>
      </c>
      <c r="I2352" t="s">
        <v>3416</v>
      </c>
      <c r="J2352">
        <v>51164192630</v>
      </c>
      <c r="K2352" t="s">
        <v>3229</v>
      </c>
      <c r="L2352" t="s">
        <v>4858</v>
      </c>
      <c r="M2352">
        <v>28000</v>
      </c>
      <c r="N2352" s="10">
        <v>1.8859999999999998E-2</v>
      </c>
      <c r="O2352" s="10">
        <f t="shared" si="215"/>
        <v>528.07999999999993</v>
      </c>
      <c r="P2352" s="10">
        <v>0</v>
      </c>
      <c r="Q2352" s="10">
        <v>61.38</v>
      </c>
      <c r="R2352" s="10">
        <f>IF(COUNTIF($J$2:J2352,J2352)=1,SUMIFS($O:$O,$J:$J,J2352)+SUMIFS($P:$P,$J:$J,J2352)+SUMIFS($Q:$Q,$J:$J,J2352),"")</f>
        <v>1018.66</v>
      </c>
      <c r="S2352" s="10">
        <v>1018.66</v>
      </c>
      <c r="T2352" s="11" t="str">
        <f t="shared" si="218"/>
        <v>Ok</v>
      </c>
      <c r="U2352" s="12">
        <v>46014</v>
      </c>
      <c r="V2352" s="10">
        <v>1018.66</v>
      </c>
      <c r="W2352" s="10" t="str">
        <f t="shared" si="216"/>
        <v>Not Paid</v>
      </c>
      <c r="X2352" t="s">
        <v>476</v>
      </c>
      <c r="Y2352" t="s">
        <v>28</v>
      </c>
      <c r="Z2352">
        <v>100235</v>
      </c>
      <c r="AA2352" t="s">
        <v>509</v>
      </c>
      <c r="AB2352" t="s">
        <v>523</v>
      </c>
      <c r="AC2352" s="9">
        <v>2</v>
      </c>
      <c r="AD2352" s="9" t="str">
        <f t="shared" si="217"/>
        <v>Ok</v>
      </c>
      <c r="AE2352" s="11">
        <f t="shared" si="219"/>
        <v>0</v>
      </c>
    </row>
    <row r="2353" spans="1:31" x14ac:dyDescent="0.3">
      <c r="A2353">
        <v>133</v>
      </c>
      <c r="B2353">
        <v>4433121</v>
      </c>
      <c r="C2353" t="s">
        <v>239</v>
      </c>
      <c r="D2353">
        <v>1012121</v>
      </c>
      <c r="E2353" t="s">
        <v>555</v>
      </c>
      <c r="F2353" t="s">
        <v>18</v>
      </c>
      <c r="G2353" t="s">
        <v>2285</v>
      </c>
      <c r="H2353" t="s">
        <v>2286</v>
      </c>
      <c r="I2353" t="s">
        <v>3416</v>
      </c>
      <c r="J2353">
        <v>51164192630</v>
      </c>
      <c r="K2353" t="s">
        <v>3209</v>
      </c>
      <c r="L2353" t="s">
        <v>4859</v>
      </c>
      <c r="M2353">
        <v>4000</v>
      </c>
      <c r="N2353" s="10">
        <v>0.10730000000000001</v>
      </c>
      <c r="O2353" s="10">
        <f t="shared" si="215"/>
        <v>429.20000000000005</v>
      </c>
      <c r="P2353" s="10" t="s">
        <v>5006</v>
      </c>
      <c r="Q2353" s="10" t="s">
        <v>5006</v>
      </c>
      <c r="R2353" s="10" t="str">
        <f>IF(COUNTIF($J$2:J2353,J2353)=1,SUMIFS($O:$O,$J:$J,J2353)+SUMIFS($P:$P,$J:$J,J2353)+SUMIFS($Q:$Q,$J:$J,J2353),"")</f>
        <v/>
      </c>
      <c r="S2353" s="10" t="s">
        <v>5006</v>
      </c>
      <c r="T2353" s="11" t="str">
        <f t="shared" si="218"/>
        <v>Ok</v>
      </c>
      <c r="U2353" s="12">
        <v>46014</v>
      </c>
      <c r="V2353" s="10">
        <v>1018.66</v>
      </c>
      <c r="W2353" s="10" t="str">
        <f t="shared" si="216"/>
        <v>N/A</v>
      </c>
      <c r="X2353" t="s">
        <v>476</v>
      </c>
      <c r="Y2353" t="s">
        <v>28</v>
      </c>
      <c r="Z2353">
        <v>100235</v>
      </c>
      <c r="AA2353" t="s">
        <v>509</v>
      </c>
      <c r="AB2353" t="s">
        <v>523</v>
      </c>
      <c r="AC2353" s="9">
        <v>2</v>
      </c>
      <c r="AD2353" s="9" t="str">
        <f t="shared" si="217"/>
        <v>N/A</v>
      </c>
      <c r="AE2353" s="11" t="e">
        <f t="shared" si="219"/>
        <v>#VALUE!</v>
      </c>
    </row>
    <row r="2354" spans="1:31" x14ac:dyDescent="0.3">
      <c r="A2354">
        <v>120</v>
      </c>
      <c r="B2354">
        <v>4438001</v>
      </c>
      <c r="C2354" t="s">
        <v>38</v>
      </c>
      <c r="D2354">
        <v>1461333</v>
      </c>
      <c r="E2354" t="s">
        <v>232</v>
      </c>
      <c r="F2354" t="s">
        <v>20</v>
      </c>
      <c r="G2354" t="s">
        <v>2379</v>
      </c>
      <c r="H2354" t="s">
        <v>2380</v>
      </c>
      <c r="I2354" t="s">
        <v>3188</v>
      </c>
      <c r="J2354">
        <v>51164569185</v>
      </c>
      <c r="K2354" t="s">
        <v>3295</v>
      </c>
      <c r="L2354" t="s">
        <v>4860</v>
      </c>
      <c r="M2354">
        <v>1</v>
      </c>
      <c r="N2354" s="10">
        <v>1000</v>
      </c>
      <c r="O2354" s="10">
        <f t="shared" si="215"/>
        <v>1000</v>
      </c>
      <c r="P2354" s="10">
        <v>0</v>
      </c>
      <c r="Q2354" s="10">
        <v>0</v>
      </c>
      <c r="R2354" s="10">
        <f>IF(COUNTIF($J$2:J2354,J2354)=1,SUMIFS($O:$O,$J:$J,J2354)+SUMIFS($P:$P,$J:$J,J2354)+SUMIFS($Q:$Q,$J:$J,J2354),"")</f>
        <v>12884.560000000001</v>
      </c>
      <c r="S2354" s="10">
        <v>15034.56</v>
      </c>
      <c r="T2354" s="11" t="str">
        <f t="shared" si="218"/>
        <v>Check</v>
      </c>
      <c r="U2354" s="12">
        <v>45983</v>
      </c>
      <c r="V2354" s="10">
        <v>1033.44</v>
      </c>
      <c r="W2354" s="10" t="str">
        <f t="shared" si="216"/>
        <v>Short Paid</v>
      </c>
      <c r="X2354" t="s">
        <v>474</v>
      </c>
      <c r="Y2354" t="s">
        <v>28</v>
      </c>
      <c r="Z2354">
        <v>100129</v>
      </c>
      <c r="AA2354" t="s">
        <v>495</v>
      </c>
      <c r="AB2354" t="s">
        <v>521</v>
      </c>
      <c r="AC2354" s="9">
        <v>2</v>
      </c>
      <c r="AD2354" s="9" t="str">
        <f t="shared" si="217"/>
        <v>Check</v>
      </c>
      <c r="AE2354" s="11">
        <f t="shared" si="219"/>
        <v>-2149.9999999999982</v>
      </c>
    </row>
    <row r="2355" spans="1:31" x14ac:dyDescent="0.3">
      <c r="A2355">
        <v>120</v>
      </c>
      <c r="B2355">
        <v>4438001</v>
      </c>
      <c r="C2355" t="s">
        <v>38</v>
      </c>
      <c r="D2355">
        <v>1461333</v>
      </c>
      <c r="E2355" t="s">
        <v>232</v>
      </c>
      <c r="F2355" t="s">
        <v>20</v>
      </c>
      <c r="G2355" t="s">
        <v>2379</v>
      </c>
      <c r="H2355" t="s">
        <v>2380</v>
      </c>
      <c r="I2355" t="s">
        <v>3188</v>
      </c>
      <c r="J2355">
        <v>51164569185</v>
      </c>
      <c r="K2355" t="s">
        <v>3295</v>
      </c>
      <c r="L2355" t="s">
        <v>4861</v>
      </c>
      <c r="M2355">
        <v>46</v>
      </c>
      <c r="N2355" s="10">
        <v>258.36</v>
      </c>
      <c r="O2355" s="10">
        <f t="shared" si="215"/>
        <v>11884.560000000001</v>
      </c>
      <c r="P2355" s="10" t="s">
        <v>5006</v>
      </c>
      <c r="Q2355" s="10" t="s">
        <v>5006</v>
      </c>
      <c r="R2355" s="10" t="str">
        <f>IF(COUNTIF($J$2:J2355,J2355)=1,SUMIFS($O:$O,$J:$J,J2355)+SUMIFS($P:$P,$J:$J,J2355)+SUMIFS($Q:$Q,$J:$J,J2355),"")</f>
        <v/>
      </c>
      <c r="S2355" s="10" t="s">
        <v>5006</v>
      </c>
      <c r="T2355" s="11" t="str">
        <f t="shared" si="218"/>
        <v>Check</v>
      </c>
      <c r="U2355" s="12">
        <v>45983</v>
      </c>
      <c r="V2355" s="10">
        <v>1033.44</v>
      </c>
      <c r="W2355" s="10" t="str">
        <f t="shared" si="216"/>
        <v>N/A</v>
      </c>
      <c r="X2355" t="s">
        <v>474</v>
      </c>
      <c r="Y2355" t="s">
        <v>28</v>
      </c>
      <c r="Z2355">
        <v>100129</v>
      </c>
      <c r="AA2355" t="s">
        <v>495</v>
      </c>
      <c r="AB2355" t="s">
        <v>521</v>
      </c>
      <c r="AC2355" s="9">
        <v>2</v>
      </c>
      <c r="AD2355" s="9" t="str">
        <f t="shared" si="217"/>
        <v>N/A</v>
      </c>
      <c r="AE2355" s="11" t="e">
        <f t="shared" si="219"/>
        <v>#VALUE!</v>
      </c>
    </row>
    <row r="2356" spans="1:31" x14ac:dyDescent="0.3">
      <c r="A2356">
        <v>142</v>
      </c>
      <c r="B2356">
        <v>4427732</v>
      </c>
      <c r="C2356" t="s">
        <v>239</v>
      </c>
      <c r="D2356">
        <v>1029060</v>
      </c>
      <c r="E2356" t="s">
        <v>554</v>
      </c>
      <c r="F2356" t="s">
        <v>19</v>
      </c>
      <c r="G2356" t="s">
        <v>2219</v>
      </c>
      <c r="H2356" t="s">
        <v>2220</v>
      </c>
      <c r="I2356" t="s">
        <v>3344</v>
      </c>
      <c r="J2356">
        <v>51164926072</v>
      </c>
      <c r="K2356" t="s">
        <v>3379</v>
      </c>
      <c r="L2356" t="s">
        <v>4862</v>
      </c>
      <c r="M2356">
        <v>210000</v>
      </c>
      <c r="N2356" s="10">
        <v>3.98E-3</v>
      </c>
      <c r="O2356" s="10">
        <f t="shared" si="215"/>
        <v>835.8</v>
      </c>
      <c r="P2356" s="10">
        <v>0</v>
      </c>
      <c r="Q2356" s="10">
        <v>0</v>
      </c>
      <c r="R2356" s="10">
        <f>IF(COUNTIF($J$2:J2356,J2356)=1,SUMIFS($O:$O,$J:$J,J2356)+SUMIFS($P:$P,$J:$J,J2356)+SUMIFS($Q:$Q,$J:$J,J2356),"")</f>
        <v>7752.3</v>
      </c>
      <c r="S2356" s="10">
        <v>7752.3</v>
      </c>
      <c r="T2356" s="11" t="str">
        <f t="shared" si="218"/>
        <v>Ok</v>
      </c>
      <c r="U2356" s="12">
        <v>45813</v>
      </c>
      <c r="V2356" s="10">
        <v>7752.3</v>
      </c>
      <c r="W2356" s="10" t="str">
        <f t="shared" si="216"/>
        <v>Not Paid</v>
      </c>
      <c r="X2356" t="s">
        <v>476</v>
      </c>
      <c r="Y2356" t="s">
        <v>28</v>
      </c>
      <c r="Z2356">
        <v>100195</v>
      </c>
      <c r="AA2356" t="s">
        <v>3070</v>
      </c>
      <c r="AB2356" t="s">
        <v>524</v>
      </c>
      <c r="AC2356" s="9">
        <v>2</v>
      </c>
      <c r="AD2356" s="9" t="str">
        <f t="shared" si="217"/>
        <v>Ok</v>
      </c>
      <c r="AE2356" s="11">
        <f t="shared" si="219"/>
        <v>0</v>
      </c>
    </row>
    <row r="2357" spans="1:31" x14ac:dyDescent="0.3">
      <c r="A2357">
        <v>142</v>
      </c>
      <c r="B2357">
        <v>4427732</v>
      </c>
      <c r="C2357" t="s">
        <v>239</v>
      </c>
      <c r="D2357">
        <v>1029060</v>
      </c>
      <c r="E2357" t="s">
        <v>554</v>
      </c>
      <c r="F2357" t="s">
        <v>19</v>
      </c>
      <c r="G2357" t="s">
        <v>2219</v>
      </c>
      <c r="H2357" t="s">
        <v>2220</v>
      </c>
      <c r="I2357" t="s">
        <v>3344</v>
      </c>
      <c r="J2357">
        <v>51164926072</v>
      </c>
      <c r="K2357" t="s">
        <v>3389</v>
      </c>
      <c r="L2357" t="s">
        <v>4863</v>
      </c>
      <c r="M2357">
        <v>150000</v>
      </c>
      <c r="N2357" s="10">
        <v>4.6109999999999998E-2</v>
      </c>
      <c r="O2357" s="10">
        <f t="shared" si="215"/>
        <v>6916.5</v>
      </c>
      <c r="P2357" s="10" t="s">
        <v>5006</v>
      </c>
      <c r="Q2357" s="10" t="s">
        <v>5006</v>
      </c>
      <c r="R2357" s="10" t="str">
        <f>IF(COUNTIF($J$2:J2357,J2357)=1,SUMIFS($O:$O,$J:$J,J2357)+SUMIFS($P:$P,$J:$J,J2357)+SUMIFS($Q:$Q,$J:$J,J2357),"")</f>
        <v/>
      </c>
      <c r="S2357" s="10" t="s">
        <v>5006</v>
      </c>
      <c r="T2357" s="11" t="str">
        <f t="shared" si="218"/>
        <v>Ok</v>
      </c>
      <c r="U2357" s="12">
        <v>45813</v>
      </c>
      <c r="V2357" s="10">
        <v>7752.3</v>
      </c>
      <c r="W2357" s="10" t="str">
        <f t="shared" si="216"/>
        <v>N/A</v>
      </c>
      <c r="X2357" t="s">
        <v>476</v>
      </c>
      <c r="Y2357" t="s">
        <v>28</v>
      </c>
      <c r="Z2357">
        <v>100195</v>
      </c>
      <c r="AA2357" t="s">
        <v>3070</v>
      </c>
      <c r="AB2357" t="s">
        <v>524</v>
      </c>
      <c r="AC2357" s="9">
        <v>2</v>
      </c>
      <c r="AD2357" s="9" t="str">
        <f t="shared" si="217"/>
        <v>N/A</v>
      </c>
      <c r="AE2357" s="11" t="e">
        <f t="shared" si="219"/>
        <v>#VALUE!</v>
      </c>
    </row>
    <row r="2358" spans="1:31" x14ac:dyDescent="0.3">
      <c r="A2358">
        <v>9</v>
      </c>
      <c r="B2358">
        <v>4909286</v>
      </c>
      <c r="C2358" t="s">
        <v>239</v>
      </c>
      <c r="D2358">
        <v>1059882</v>
      </c>
      <c r="E2358" t="s">
        <v>633</v>
      </c>
      <c r="F2358" t="s">
        <v>51</v>
      </c>
      <c r="G2358" t="s">
        <v>1747</v>
      </c>
      <c r="H2358" t="s">
        <v>1748</v>
      </c>
      <c r="I2358" t="s">
        <v>3525</v>
      </c>
      <c r="J2358">
        <v>52104118817</v>
      </c>
      <c r="K2358" t="s">
        <v>3981</v>
      </c>
      <c r="L2358" t="s">
        <v>4864</v>
      </c>
      <c r="M2358">
        <v>7000</v>
      </c>
      <c r="N2358" s="10">
        <v>0.81799999999999995</v>
      </c>
      <c r="O2358" s="10">
        <f t="shared" si="215"/>
        <v>5726</v>
      </c>
      <c r="P2358" s="10">
        <v>0</v>
      </c>
      <c r="Q2358" s="10">
        <v>0</v>
      </c>
      <c r="R2358" s="10">
        <f>IF(COUNTIF($J$2:J2358,J2358)=1,SUMIFS($O:$O,$J:$J,J2358)+SUMIFS($P:$P,$J:$J,J2358)+SUMIFS($Q:$Q,$J:$J,J2358),"")</f>
        <v>17598</v>
      </c>
      <c r="S2358" s="10">
        <v>17598</v>
      </c>
      <c r="T2358" s="11" t="str">
        <f t="shared" si="218"/>
        <v>Ok</v>
      </c>
      <c r="U2358" s="12">
        <v>46129</v>
      </c>
      <c r="V2358" s="10">
        <v>5726</v>
      </c>
      <c r="W2358" s="10" t="str">
        <f t="shared" si="216"/>
        <v>Short Paid</v>
      </c>
      <c r="X2358" t="s">
        <v>476</v>
      </c>
      <c r="Y2358" t="s">
        <v>436</v>
      </c>
      <c r="Z2358">
        <v>100215</v>
      </c>
      <c r="AA2358" t="s">
        <v>3091</v>
      </c>
      <c r="AB2358" t="s">
        <v>3043</v>
      </c>
      <c r="AC2358" s="9">
        <v>2</v>
      </c>
      <c r="AD2358" s="9" t="str">
        <f t="shared" si="217"/>
        <v>Ok</v>
      </c>
      <c r="AE2358" s="11">
        <f t="shared" si="219"/>
        <v>0</v>
      </c>
    </row>
    <row r="2359" spans="1:31" x14ac:dyDescent="0.3">
      <c r="A2359">
        <v>9</v>
      </c>
      <c r="B2359">
        <v>4909286</v>
      </c>
      <c r="C2359" t="s">
        <v>239</v>
      </c>
      <c r="D2359">
        <v>1059882</v>
      </c>
      <c r="E2359" t="s">
        <v>633</v>
      </c>
      <c r="F2359" t="s">
        <v>51</v>
      </c>
      <c r="G2359" t="s">
        <v>1747</v>
      </c>
      <c r="H2359" t="s">
        <v>1748</v>
      </c>
      <c r="I2359" t="s">
        <v>3551</v>
      </c>
      <c r="J2359">
        <v>52104118817</v>
      </c>
      <c r="K2359" t="s">
        <v>3226</v>
      </c>
      <c r="L2359" t="s">
        <v>4100</v>
      </c>
      <c r="M2359">
        <v>16000</v>
      </c>
      <c r="N2359" s="10">
        <v>0.74199999999999999</v>
      </c>
      <c r="O2359" s="10">
        <f t="shared" si="215"/>
        <v>11872</v>
      </c>
      <c r="P2359" s="10" t="s">
        <v>5006</v>
      </c>
      <c r="Q2359" s="10" t="s">
        <v>5006</v>
      </c>
      <c r="R2359" s="10" t="str">
        <f>IF(COUNTIF($J$2:J2359,J2359)=1,SUMIFS($O:$O,$J:$J,J2359)+SUMIFS($P:$P,$J:$J,J2359)+SUMIFS($Q:$Q,$J:$J,J2359),"")</f>
        <v/>
      </c>
      <c r="S2359" s="10" t="s">
        <v>5006</v>
      </c>
      <c r="T2359" s="11" t="str">
        <f t="shared" si="218"/>
        <v>Ok</v>
      </c>
      <c r="U2359" s="12">
        <v>46129</v>
      </c>
      <c r="V2359" s="10">
        <v>5726</v>
      </c>
      <c r="W2359" s="10" t="str">
        <f t="shared" si="216"/>
        <v>N/A</v>
      </c>
      <c r="X2359" t="s">
        <v>476</v>
      </c>
      <c r="Y2359" t="s">
        <v>436</v>
      </c>
      <c r="Z2359">
        <v>100215</v>
      </c>
      <c r="AA2359" t="s">
        <v>3091</v>
      </c>
      <c r="AB2359" t="s">
        <v>3043</v>
      </c>
      <c r="AC2359" s="9">
        <v>2</v>
      </c>
      <c r="AD2359" s="9" t="str">
        <f t="shared" si="217"/>
        <v>N/A</v>
      </c>
      <c r="AE2359" s="11" t="e">
        <f t="shared" si="219"/>
        <v>#VALUE!</v>
      </c>
    </row>
    <row r="2360" spans="1:31" x14ac:dyDescent="0.3">
      <c r="A2360">
        <v>7</v>
      </c>
      <c r="B2360">
        <v>4927097</v>
      </c>
      <c r="C2360" t="s">
        <v>94</v>
      </c>
      <c r="D2360">
        <v>1449770</v>
      </c>
      <c r="E2360" t="s">
        <v>560</v>
      </c>
      <c r="F2360" t="s">
        <v>47</v>
      </c>
      <c r="G2360" t="s">
        <v>1776</v>
      </c>
      <c r="H2360" t="s">
        <v>1777</v>
      </c>
      <c r="I2360" t="s">
        <v>3296</v>
      </c>
      <c r="J2360">
        <v>54206234643</v>
      </c>
      <c r="K2360" t="s">
        <v>3431</v>
      </c>
      <c r="L2360" t="s">
        <v>3777</v>
      </c>
      <c r="M2360">
        <v>23000</v>
      </c>
      <c r="N2360" s="10">
        <v>0.35365999999999997</v>
      </c>
      <c r="O2360" s="10">
        <f t="shared" si="215"/>
        <v>8134.1799999999994</v>
      </c>
      <c r="P2360" s="10">
        <v>0</v>
      </c>
      <c r="Q2360" s="10">
        <v>2628.49</v>
      </c>
      <c r="R2360" s="10">
        <f>IF(COUNTIF($J$2:J2360,J2360)=1,SUMIFS($O:$O,$J:$J,J2360)+SUMIFS($P:$P,$J:$J,J2360)+SUMIFS($Q:$Q,$J:$J,J2360),"")</f>
        <v>13042.67</v>
      </c>
      <c r="S2360" s="10">
        <v>13042.67</v>
      </c>
      <c r="T2360" s="11" t="str">
        <f t="shared" si="218"/>
        <v>Ok</v>
      </c>
      <c r="U2360" s="12">
        <v>46088</v>
      </c>
      <c r="V2360" s="10">
        <v>3363</v>
      </c>
      <c r="W2360" s="10" t="str">
        <f t="shared" si="216"/>
        <v>Short Paid</v>
      </c>
      <c r="X2360" t="s">
        <v>450</v>
      </c>
      <c r="Y2360" t="s">
        <v>28</v>
      </c>
      <c r="Z2360">
        <v>100237</v>
      </c>
      <c r="AA2360" t="s">
        <v>3094</v>
      </c>
      <c r="AB2360" t="s">
        <v>3039</v>
      </c>
      <c r="AC2360" s="9">
        <v>2</v>
      </c>
      <c r="AD2360" s="9" t="str">
        <f t="shared" si="217"/>
        <v>Ok</v>
      </c>
      <c r="AE2360" s="11">
        <f t="shared" si="219"/>
        <v>0</v>
      </c>
    </row>
    <row r="2361" spans="1:31" x14ac:dyDescent="0.3">
      <c r="A2361">
        <v>7</v>
      </c>
      <c r="B2361">
        <v>4927097</v>
      </c>
      <c r="C2361" t="s">
        <v>94</v>
      </c>
      <c r="D2361">
        <v>1449770</v>
      </c>
      <c r="E2361" t="s">
        <v>560</v>
      </c>
      <c r="F2361" t="s">
        <v>47</v>
      </c>
      <c r="G2361" t="s">
        <v>1776</v>
      </c>
      <c r="H2361" t="s">
        <v>1777</v>
      </c>
      <c r="I2361" t="s">
        <v>3424</v>
      </c>
      <c r="J2361">
        <v>54206234643</v>
      </c>
      <c r="K2361" t="s">
        <v>3611</v>
      </c>
      <c r="L2361" t="s">
        <v>3886</v>
      </c>
      <c r="M2361">
        <v>6000</v>
      </c>
      <c r="N2361" s="10">
        <v>0.38</v>
      </c>
      <c r="O2361" s="10">
        <f t="shared" si="215"/>
        <v>2280</v>
      </c>
      <c r="P2361" s="10" t="s">
        <v>5006</v>
      </c>
      <c r="Q2361" s="10" t="s">
        <v>5006</v>
      </c>
      <c r="R2361" s="10" t="str">
        <f>IF(COUNTIF($J$2:J2361,J2361)=1,SUMIFS($O:$O,$J:$J,J2361)+SUMIFS($P:$P,$J:$J,J2361)+SUMIFS($Q:$Q,$J:$J,J2361),"")</f>
        <v/>
      </c>
      <c r="S2361" s="10" t="s">
        <v>5006</v>
      </c>
      <c r="T2361" s="11" t="str">
        <f t="shared" si="218"/>
        <v>Ok</v>
      </c>
      <c r="U2361" s="12">
        <v>46088</v>
      </c>
      <c r="V2361" s="10">
        <v>3363</v>
      </c>
      <c r="W2361" s="10" t="str">
        <f t="shared" si="216"/>
        <v>N/A</v>
      </c>
      <c r="X2361" t="s">
        <v>450</v>
      </c>
      <c r="Y2361" t="s">
        <v>28</v>
      </c>
      <c r="Z2361">
        <v>100237</v>
      </c>
      <c r="AA2361" t="s">
        <v>3094</v>
      </c>
      <c r="AB2361" t="s">
        <v>3039</v>
      </c>
      <c r="AC2361" s="9">
        <v>2</v>
      </c>
      <c r="AD2361" s="9" t="str">
        <f t="shared" si="217"/>
        <v>N/A</v>
      </c>
      <c r="AE2361" s="11" t="e">
        <f t="shared" si="219"/>
        <v>#VALUE!</v>
      </c>
    </row>
    <row r="2362" spans="1:31" x14ac:dyDescent="0.3">
      <c r="A2362">
        <v>15</v>
      </c>
      <c r="B2362">
        <v>4886189</v>
      </c>
      <c r="C2362" t="s">
        <v>239</v>
      </c>
      <c r="D2362">
        <v>1870250</v>
      </c>
      <c r="E2362" t="s">
        <v>585</v>
      </c>
      <c r="F2362" t="s">
        <v>18</v>
      </c>
      <c r="G2362" t="s">
        <v>1688</v>
      </c>
      <c r="H2362" t="s">
        <v>1689</v>
      </c>
      <c r="I2362" t="s">
        <v>3169</v>
      </c>
      <c r="J2362">
        <v>55113130270</v>
      </c>
      <c r="K2362" t="s">
        <v>3375</v>
      </c>
      <c r="L2362" t="s">
        <v>4865</v>
      </c>
      <c r="M2362">
        <v>1640</v>
      </c>
      <c r="N2362" s="10">
        <v>2.4750000000000001</v>
      </c>
      <c r="O2362" s="10">
        <f t="shared" si="215"/>
        <v>4059</v>
      </c>
      <c r="P2362" s="10">
        <v>0</v>
      </c>
      <c r="Q2362" s="10">
        <v>0</v>
      </c>
      <c r="R2362" s="10">
        <f>IF(COUNTIF($J$2:J2362,J2362)=1,SUMIFS($O:$O,$J:$J,J2362)+SUMIFS($P:$P,$J:$J,J2362)+SUMIFS($Q:$Q,$J:$J,J2362),"")</f>
        <v>28531.800000000003</v>
      </c>
      <c r="S2362" s="10">
        <v>29150.559999999998</v>
      </c>
      <c r="T2362" s="11" t="str">
        <f t="shared" si="218"/>
        <v>Check</v>
      </c>
      <c r="U2362" s="12">
        <v>46160</v>
      </c>
      <c r="V2362" s="10">
        <v>4677.76</v>
      </c>
      <c r="W2362" s="10" t="str">
        <f t="shared" si="216"/>
        <v>Short Paid</v>
      </c>
      <c r="X2362" t="s">
        <v>476</v>
      </c>
      <c r="Y2362" t="s">
        <v>28</v>
      </c>
      <c r="Z2362">
        <v>100285</v>
      </c>
      <c r="AA2362" t="s">
        <v>501</v>
      </c>
      <c r="AB2362" t="s">
        <v>523</v>
      </c>
      <c r="AC2362" s="9">
        <v>2</v>
      </c>
      <c r="AD2362" s="9" t="str">
        <f t="shared" si="217"/>
        <v>Check</v>
      </c>
      <c r="AE2362" s="11">
        <f t="shared" si="219"/>
        <v>-618.75999999999476</v>
      </c>
    </row>
    <row r="2363" spans="1:31" x14ac:dyDescent="0.3">
      <c r="A2363">
        <v>15</v>
      </c>
      <c r="B2363">
        <v>4886189</v>
      </c>
      <c r="C2363" t="s">
        <v>239</v>
      </c>
      <c r="D2363">
        <v>1870250</v>
      </c>
      <c r="E2363" t="s">
        <v>585</v>
      </c>
      <c r="F2363" t="s">
        <v>18</v>
      </c>
      <c r="G2363" t="s">
        <v>1688</v>
      </c>
      <c r="H2363" t="s">
        <v>1689</v>
      </c>
      <c r="I2363" t="s">
        <v>3423</v>
      </c>
      <c r="J2363">
        <v>55113130270</v>
      </c>
      <c r="K2363" t="s">
        <v>3375</v>
      </c>
      <c r="L2363" t="s">
        <v>4578</v>
      </c>
      <c r="M2363">
        <v>24000</v>
      </c>
      <c r="N2363" s="10">
        <v>1.0197000000000001</v>
      </c>
      <c r="O2363" s="10">
        <f t="shared" si="215"/>
        <v>24472.800000000003</v>
      </c>
      <c r="P2363" s="10" t="s">
        <v>5006</v>
      </c>
      <c r="Q2363" s="10" t="s">
        <v>5006</v>
      </c>
      <c r="R2363" s="10" t="str">
        <f>IF(COUNTIF($J$2:J2363,J2363)=1,SUMIFS($O:$O,$J:$J,J2363)+SUMIFS($P:$P,$J:$J,J2363)+SUMIFS($Q:$Q,$J:$J,J2363),"")</f>
        <v/>
      </c>
      <c r="S2363" s="10" t="s">
        <v>5006</v>
      </c>
      <c r="T2363" s="11" t="str">
        <f t="shared" si="218"/>
        <v>Check</v>
      </c>
      <c r="U2363" s="12">
        <v>46160</v>
      </c>
      <c r="V2363" s="10">
        <v>4677.76</v>
      </c>
      <c r="W2363" s="10" t="str">
        <f t="shared" si="216"/>
        <v>N/A</v>
      </c>
      <c r="X2363" t="s">
        <v>476</v>
      </c>
      <c r="Y2363" t="s">
        <v>28</v>
      </c>
      <c r="Z2363">
        <v>100285</v>
      </c>
      <c r="AA2363" t="s">
        <v>501</v>
      </c>
      <c r="AB2363" t="s">
        <v>523</v>
      </c>
      <c r="AC2363" s="9">
        <v>2</v>
      </c>
      <c r="AD2363" s="9" t="str">
        <f t="shared" si="217"/>
        <v>N/A</v>
      </c>
      <c r="AE2363" s="11" t="e">
        <f t="shared" si="219"/>
        <v>#VALUE!</v>
      </c>
    </row>
    <row r="2364" spans="1:31" x14ac:dyDescent="0.3">
      <c r="A2364">
        <v>15</v>
      </c>
      <c r="B2364">
        <v>4886745</v>
      </c>
      <c r="C2364" t="s">
        <v>217</v>
      </c>
      <c r="D2364">
        <v>1160621</v>
      </c>
      <c r="E2364" t="s">
        <v>571</v>
      </c>
      <c r="F2364" t="s">
        <v>20</v>
      </c>
      <c r="G2364" t="s">
        <v>1692</v>
      </c>
      <c r="H2364" t="s">
        <v>1693</v>
      </c>
      <c r="I2364" t="s">
        <v>3361</v>
      </c>
      <c r="J2364">
        <v>55113170088</v>
      </c>
      <c r="K2364" t="s">
        <v>3168</v>
      </c>
      <c r="L2364" t="s">
        <v>3541</v>
      </c>
      <c r="M2364">
        <v>45000</v>
      </c>
      <c r="N2364" s="10">
        <v>6.88E-2</v>
      </c>
      <c r="O2364" s="10">
        <f t="shared" si="215"/>
        <v>3096</v>
      </c>
      <c r="P2364" s="10">
        <v>0</v>
      </c>
      <c r="Q2364" s="10">
        <v>0</v>
      </c>
      <c r="R2364" s="10">
        <f>IF(COUNTIF($J$2:J2364,J2364)=1,SUMIFS($O:$O,$J:$J,J2364)+SUMIFS($P:$P,$J:$J,J2364)+SUMIFS($Q:$Q,$J:$J,J2364),"")</f>
        <v>21079.14</v>
      </c>
      <c r="S2364" s="10">
        <v>21079.14</v>
      </c>
      <c r="T2364" s="11" t="str">
        <f t="shared" si="218"/>
        <v>Ok</v>
      </c>
      <c r="U2364" s="12">
        <v>46114</v>
      </c>
      <c r="V2364" s="10">
        <v>17983.14</v>
      </c>
      <c r="W2364" s="10" t="str">
        <f t="shared" si="216"/>
        <v>Short Paid</v>
      </c>
      <c r="X2364" t="s">
        <v>468</v>
      </c>
      <c r="Y2364" t="s">
        <v>28</v>
      </c>
      <c r="Z2364">
        <v>100126</v>
      </c>
      <c r="AA2364" t="s">
        <v>3123</v>
      </c>
      <c r="AB2364" t="s">
        <v>521</v>
      </c>
      <c r="AC2364" s="9">
        <v>2</v>
      </c>
      <c r="AD2364" s="9" t="str">
        <f t="shared" si="217"/>
        <v>Ok</v>
      </c>
      <c r="AE2364" s="11">
        <f t="shared" si="219"/>
        <v>0</v>
      </c>
    </row>
    <row r="2365" spans="1:31" x14ac:dyDescent="0.3">
      <c r="A2365">
        <v>15</v>
      </c>
      <c r="B2365">
        <v>4886745</v>
      </c>
      <c r="C2365" t="s">
        <v>217</v>
      </c>
      <c r="D2365">
        <v>1160621</v>
      </c>
      <c r="E2365" t="s">
        <v>571</v>
      </c>
      <c r="F2365" t="s">
        <v>20</v>
      </c>
      <c r="G2365" t="s">
        <v>1692</v>
      </c>
      <c r="H2365" t="s">
        <v>1693</v>
      </c>
      <c r="I2365" t="s">
        <v>3485</v>
      </c>
      <c r="J2365">
        <v>55113170088</v>
      </c>
      <c r="K2365" t="s">
        <v>3194</v>
      </c>
      <c r="L2365" t="s">
        <v>4866</v>
      </c>
      <c r="M2365">
        <v>6</v>
      </c>
      <c r="N2365" s="10">
        <v>2997.19</v>
      </c>
      <c r="O2365" s="10">
        <f t="shared" si="215"/>
        <v>17983.14</v>
      </c>
      <c r="P2365" s="10" t="s">
        <v>5006</v>
      </c>
      <c r="Q2365" s="10" t="s">
        <v>5006</v>
      </c>
      <c r="R2365" s="10" t="str">
        <f>IF(COUNTIF($J$2:J2365,J2365)=1,SUMIFS($O:$O,$J:$J,J2365)+SUMIFS($P:$P,$J:$J,J2365)+SUMIFS($Q:$Q,$J:$J,J2365),"")</f>
        <v/>
      </c>
      <c r="S2365" s="10" t="s">
        <v>5006</v>
      </c>
      <c r="T2365" s="11" t="str">
        <f t="shared" si="218"/>
        <v>Ok</v>
      </c>
      <c r="U2365" s="12">
        <v>46114</v>
      </c>
      <c r="V2365" s="10">
        <v>17983.14</v>
      </c>
      <c r="W2365" s="10" t="str">
        <f t="shared" si="216"/>
        <v>N/A</v>
      </c>
      <c r="X2365" t="s">
        <v>468</v>
      </c>
      <c r="Y2365" t="s">
        <v>28</v>
      </c>
      <c r="Z2365">
        <v>100126</v>
      </c>
      <c r="AA2365" t="s">
        <v>3123</v>
      </c>
      <c r="AB2365" t="s">
        <v>521</v>
      </c>
      <c r="AC2365" s="9">
        <v>2</v>
      </c>
      <c r="AD2365" s="9" t="str">
        <f t="shared" si="217"/>
        <v>N/A</v>
      </c>
      <c r="AE2365" s="11" t="e">
        <f t="shared" si="219"/>
        <v>#VALUE!</v>
      </c>
    </row>
    <row r="2366" spans="1:31" x14ac:dyDescent="0.3">
      <c r="A2366">
        <v>13</v>
      </c>
      <c r="B2366">
        <v>4894259</v>
      </c>
      <c r="C2366" t="s">
        <v>239</v>
      </c>
      <c r="D2366">
        <v>1098309</v>
      </c>
      <c r="E2366" t="s">
        <v>544</v>
      </c>
      <c r="F2366" t="s">
        <v>49</v>
      </c>
      <c r="G2366" t="s">
        <v>1717</v>
      </c>
      <c r="H2366" t="s">
        <v>1718</v>
      </c>
      <c r="I2366" t="s">
        <v>3198</v>
      </c>
      <c r="J2366">
        <v>55113189531</v>
      </c>
      <c r="K2366" t="s">
        <v>3266</v>
      </c>
      <c r="L2366" t="s">
        <v>4867</v>
      </c>
      <c r="M2366">
        <v>48</v>
      </c>
      <c r="N2366" s="10">
        <v>38.146500000000003</v>
      </c>
      <c r="O2366" s="10">
        <f t="shared" si="215"/>
        <v>1831.0320000000002</v>
      </c>
      <c r="P2366" s="10">
        <v>114.44</v>
      </c>
      <c r="Q2366" s="10">
        <v>173.95</v>
      </c>
      <c r="R2366" s="10">
        <f>IF(COUNTIF($J$2:J2366,J2366)=1,SUMIFS($O:$O,$J:$J,J2366)+SUMIFS($P:$P,$J:$J,J2366)+SUMIFS($Q:$Q,$J:$J,J2366),"")</f>
        <v>3401.922</v>
      </c>
      <c r="S2366" s="10">
        <v>3401.92</v>
      </c>
      <c r="T2366" s="11" t="str">
        <f t="shared" si="218"/>
        <v>Check</v>
      </c>
      <c r="U2366" s="12">
        <v>46118</v>
      </c>
      <c r="V2366" s="10">
        <v>114.44</v>
      </c>
      <c r="W2366" s="10" t="str">
        <f t="shared" si="216"/>
        <v>Short Paid</v>
      </c>
      <c r="X2366" t="s">
        <v>476</v>
      </c>
      <c r="Y2366" t="s">
        <v>29</v>
      </c>
      <c r="Z2366">
        <v>100295</v>
      </c>
      <c r="AA2366" t="s">
        <v>3127</v>
      </c>
      <c r="AB2366" t="s">
        <v>3041</v>
      </c>
      <c r="AC2366" s="9">
        <v>2</v>
      </c>
      <c r="AD2366" s="9" t="str">
        <f t="shared" si="217"/>
        <v>Check</v>
      </c>
      <c r="AE2366" s="11">
        <f t="shared" si="219"/>
        <v>1.9999999999527063E-3</v>
      </c>
    </row>
    <row r="2367" spans="1:31" x14ac:dyDescent="0.3">
      <c r="A2367">
        <v>13</v>
      </c>
      <c r="B2367">
        <v>4894259</v>
      </c>
      <c r="C2367" t="s">
        <v>239</v>
      </c>
      <c r="D2367">
        <v>1098309</v>
      </c>
      <c r="E2367" t="s">
        <v>544</v>
      </c>
      <c r="F2367" t="s">
        <v>49</v>
      </c>
      <c r="G2367" t="s">
        <v>1717</v>
      </c>
      <c r="H2367" t="s">
        <v>1718</v>
      </c>
      <c r="I2367" t="s">
        <v>3446</v>
      </c>
      <c r="J2367">
        <v>55113189531</v>
      </c>
      <c r="K2367" t="s">
        <v>3574</v>
      </c>
      <c r="L2367" t="s">
        <v>3573</v>
      </c>
      <c r="M2367">
        <v>1</v>
      </c>
      <c r="N2367" s="10">
        <v>1282.5</v>
      </c>
      <c r="O2367" s="10">
        <f t="shared" si="215"/>
        <v>1282.5</v>
      </c>
      <c r="P2367" s="10" t="s">
        <v>5006</v>
      </c>
      <c r="Q2367" s="10" t="s">
        <v>5006</v>
      </c>
      <c r="R2367" s="10" t="str">
        <f>IF(COUNTIF($J$2:J2367,J2367)=1,SUMIFS($O:$O,$J:$J,J2367)+SUMIFS($P:$P,$J:$J,J2367)+SUMIFS($Q:$Q,$J:$J,J2367),"")</f>
        <v/>
      </c>
      <c r="S2367" s="10" t="s">
        <v>5006</v>
      </c>
      <c r="T2367" s="11" t="str">
        <f t="shared" si="218"/>
        <v>Check</v>
      </c>
      <c r="U2367" s="12">
        <v>46118</v>
      </c>
      <c r="V2367" s="10">
        <v>114.44</v>
      </c>
      <c r="W2367" s="10" t="str">
        <f t="shared" si="216"/>
        <v>N/A</v>
      </c>
      <c r="X2367" t="s">
        <v>476</v>
      </c>
      <c r="Y2367" t="s">
        <v>29</v>
      </c>
      <c r="Z2367">
        <v>100295</v>
      </c>
      <c r="AA2367" t="s">
        <v>3127</v>
      </c>
      <c r="AB2367" t="s">
        <v>3041</v>
      </c>
      <c r="AC2367" s="9">
        <v>2</v>
      </c>
      <c r="AD2367" s="9" t="str">
        <f t="shared" si="217"/>
        <v>N/A</v>
      </c>
      <c r="AE2367" s="11" t="e">
        <f t="shared" si="219"/>
        <v>#VALUE!</v>
      </c>
    </row>
    <row r="2368" spans="1:31" x14ac:dyDescent="0.3">
      <c r="A2368">
        <v>7</v>
      </c>
      <c r="B2368">
        <v>4926540</v>
      </c>
      <c r="C2368" t="s">
        <v>94</v>
      </c>
      <c r="D2368">
        <v>1449770</v>
      </c>
      <c r="E2368" t="s">
        <v>560</v>
      </c>
      <c r="F2368" t="s">
        <v>47</v>
      </c>
      <c r="G2368" t="s">
        <v>1772</v>
      </c>
      <c r="H2368" t="s">
        <v>1773</v>
      </c>
      <c r="I2368" t="s">
        <v>3291</v>
      </c>
      <c r="J2368">
        <v>55113258555</v>
      </c>
      <c r="K2368" t="s">
        <v>3479</v>
      </c>
      <c r="L2368" t="s">
        <v>4868</v>
      </c>
      <c r="M2368">
        <v>1000000</v>
      </c>
      <c r="N2368" s="10">
        <v>1.17E-2</v>
      </c>
      <c r="O2368" s="10">
        <f t="shared" si="215"/>
        <v>11700</v>
      </c>
      <c r="P2368" s="10">
        <v>0</v>
      </c>
      <c r="Q2368" s="10">
        <v>492.69</v>
      </c>
      <c r="R2368" s="10">
        <f>IF(COUNTIF($J$2:J2368,J2368)=1,SUMIFS($O:$O,$J:$J,J2368)+SUMIFS($P:$P,$J:$J,J2368)+SUMIFS($Q:$Q,$J:$J,J2368),"")</f>
        <v>14785.77</v>
      </c>
      <c r="S2368" s="10">
        <v>26485.77</v>
      </c>
      <c r="T2368" s="11" t="str">
        <f t="shared" si="218"/>
        <v>Check</v>
      </c>
      <c r="U2368" s="12">
        <v>46077</v>
      </c>
      <c r="V2368" s="10">
        <v>3085.77</v>
      </c>
      <c r="W2368" s="10" t="str">
        <f t="shared" si="216"/>
        <v>Short Paid</v>
      </c>
      <c r="X2368" t="s">
        <v>450</v>
      </c>
      <c r="Y2368" t="s">
        <v>28</v>
      </c>
      <c r="Z2368">
        <v>100197</v>
      </c>
      <c r="AA2368" t="s">
        <v>493</v>
      </c>
      <c r="AB2368" t="s">
        <v>3039</v>
      </c>
      <c r="AC2368" s="9">
        <v>2</v>
      </c>
      <c r="AD2368" s="9" t="str">
        <f t="shared" si="217"/>
        <v>Check</v>
      </c>
      <c r="AE2368" s="11">
        <f t="shared" si="219"/>
        <v>-11700</v>
      </c>
    </row>
    <row r="2369" spans="1:31" x14ac:dyDescent="0.3">
      <c r="A2369">
        <v>7</v>
      </c>
      <c r="B2369">
        <v>4926540</v>
      </c>
      <c r="C2369" t="s">
        <v>94</v>
      </c>
      <c r="D2369">
        <v>1449770</v>
      </c>
      <c r="E2369" t="s">
        <v>560</v>
      </c>
      <c r="F2369" t="s">
        <v>47</v>
      </c>
      <c r="G2369" t="s">
        <v>1772</v>
      </c>
      <c r="H2369" t="s">
        <v>1773</v>
      </c>
      <c r="I2369" t="s">
        <v>3253</v>
      </c>
      <c r="J2369">
        <v>55113258555</v>
      </c>
      <c r="K2369" t="s">
        <v>3750</v>
      </c>
      <c r="L2369" t="s">
        <v>4869</v>
      </c>
      <c r="M2369">
        <v>210</v>
      </c>
      <c r="N2369" s="10">
        <v>12.348000000000001</v>
      </c>
      <c r="O2369" s="10">
        <f t="shared" si="215"/>
        <v>2593.0800000000004</v>
      </c>
      <c r="P2369" s="10" t="s">
        <v>5006</v>
      </c>
      <c r="Q2369" s="10" t="s">
        <v>5006</v>
      </c>
      <c r="R2369" s="10" t="str">
        <f>IF(COUNTIF($J$2:J2369,J2369)=1,SUMIFS($O:$O,$J:$J,J2369)+SUMIFS($P:$P,$J:$J,J2369)+SUMIFS($Q:$Q,$J:$J,J2369),"")</f>
        <v/>
      </c>
      <c r="S2369" s="10" t="s">
        <v>5006</v>
      </c>
      <c r="T2369" s="11" t="str">
        <f t="shared" si="218"/>
        <v>Check</v>
      </c>
      <c r="U2369" s="12">
        <v>46077</v>
      </c>
      <c r="V2369" s="10">
        <v>3085.77</v>
      </c>
      <c r="W2369" s="10" t="str">
        <f t="shared" si="216"/>
        <v>N/A</v>
      </c>
      <c r="X2369" t="s">
        <v>450</v>
      </c>
      <c r="Y2369" t="s">
        <v>28</v>
      </c>
      <c r="Z2369">
        <v>100197</v>
      </c>
      <c r="AA2369" t="s">
        <v>493</v>
      </c>
      <c r="AB2369" t="s">
        <v>3039</v>
      </c>
      <c r="AC2369" s="9">
        <v>2</v>
      </c>
      <c r="AD2369" s="9" t="str">
        <f t="shared" si="217"/>
        <v>N/A</v>
      </c>
      <c r="AE2369" s="11" t="e">
        <f t="shared" si="219"/>
        <v>#VALUE!</v>
      </c>
    </row>
    <row r="2370" spans="1:31" x14ac:dyDescent="0.3">
      <c r="A2370">
        <v>7</v>
      </c>
      <c r="B2370">
        <v>4927375</v>
      </c>
      <c r="C2370" t="s">
        <v>94</v>
      </c>
      <c r="D2370">
        <v>1449770</v>
      </c>
      <c r="E2370" t="s">
        <v>560</v>
      </c>
      <c r="F2370" t="s">
        <v>47</v>
      </c>
      <c r="G2370" t="s">
        <v>1778</v>
      </c>
      <c r="H2370" t="s">
        <v>1779</v>
      </c>
      <c r="I2370" t="s">
        <v>3298</v>
      </c>
      <c r="J2370">
        <v>55113270542</v>
      </c>
      <c r="K2370" t="s">
        <v>3537</v>
      </c>
      <c r="L2370" t="s">
        <v>3728</v>
      </c>
      <c r="M2370">
        <v>2000</v>
      </c>
      <c r="N2370" s="10">
        <v>0.29099999999999998</v>
      </c>
      <c r="O2370" s="10">
        <f t="shared" ref="O2370:O2373" si="220">M2370*N2370</f>
        <v>582</v>
      </c>
      <c r="P2370" s="10">
        <v>0</v>
      </c>
      <c r="Q2370" s="10">
        <v>84.36</v>
      </c>
      <c r="R2370" s="10">
        <f>IF(COUNTIF($J$2:J2370,J2370)=1,SUMIFS($O:$O,$J:$J,J2370)+SUMIFS($P:$P,$J:$J,J2370)+SUMIFS($Q:$Q,$J:$J,J2370),"")</f>
        <v>819.36</v>
      </c>
      <c r="S2370" s="10">
        <v>819.3599999999999</v>
      </c>
      <c r="T2370" s="11" t="str">
        <f t="shared" si="218"/>
        <v>Ok</v>
      </c>
      <c r="U2370" s="12">
        <v>46092</v>
      </c>
      <c r="V2370" s="10">
        <v>637.29</v>
      </c>
      <c r="W2370" s="10" t="str">
        <f t="shared" ref="W2370:W2373" si="221">IF(OR(S2370="",V2370=""),"N/A",IF(S2370&lt;&gt;V2370,"Short Paid","Not Paid"))</f>
        <v>Short Paid</v>
      </c>
      <c r="X2370" t="s">
        <v>450</v>
      </c>
      <c r="Y2370" t="s">
        <v>28</v>
      </c>
      <c r="Z2370">
        <v>100247</v>
      </c>
      <c r="AA2370" t="s">
        <v>452</v>
      </c>
      <c r="AB2370" t="s">
        <v>3039</v>
      </c>
      <c r="AC2370" s="9">
        <v>2</v>
      </c>
      <c r="AD2370" s="9" t="str">
        <f t="shared" ref="AD2370:AD2373" si="222">IF(AND(R2370="",S2370=""),"N/A",IF(R2370=S2370,"Ok","Check"))</f>
        <v>Ok</v>
      </c>
      <c r="AE2370" s="11">
        <f t="shared" si="219"/>
        <v>0</v>
      </c>
    </row>
    <row r="2371" spans="1:31" x14ac:dyDescent="0.3">
      <c r="A2371">
        <v>7</v>
      </c>
      <c r="B2371">
        <v>4927375</v>
      </c>
      <c r="C2371" t="s">
        <v>94</v>
      </c>
      <c r="D2371">
        <v>1449770</v>
      </c>
      <c r="E2371" t="s">
        <v>560</v>
      </c>
      <c r="F2371" t="s">
        <v>47</v>
      </c>
      <c r="G2371" t="s">
        <v>1778</v>
      </c>
      <c r="H2371" t="s">
        <v>1779</v>
      </c>
      <c r="I2371" t="s">
        <v>3476</v>
      </c>
      <c r="J2371">
        <v>55113270542</v>
      </c>
      <c r="K2371" t="s">
        <v>3314</v>
      </c>
      <c r="L2371" t="s">
        <v>3887</v>
      </c>
      <c r="M2371">
        <v>500</v>
      </c>
      <c r="N2371" s="10">
        <v>0.30599999999999999</v>
      </c>
      <c r="O2371" s="10">
        <f t="shared" si="220"/>
        <v>153</v>
      </c>
      <c r="P2371" s="10" t="s">
        <v>5006</v>
      </c>
      <c r="Q2371" s="10" t="s">
        <v>5006</v>
      </c>
      <c r="R2371" s="10" t="str">
        <f>IF(COUNTIF($J$2:J2371,J2371)=1,SUMIFS($O:$O,$J:$J,J2371)+SUMIFS($P:$P,$J:$J,J2371)+SUMIFS($Q:$Q,$J:$J,J2371),"")</f>
        <v/>
      </c>
      <c r="S2371" s="10" t="s">
        <v>5006</v>
      </c>
      <c r="T2371" s="11" t="str">
        <f t="shared" ref="T2371:T2373" si="223">IFERROR(INDEX(AD:AD,MATCH(J2371,J:J,0)),"")</f>
        <v>Ok</v>
      </c>
      <c r="U2371" s="12">
        <v>46092</v>
      </c>
      <c r="V2371" s="10">
        <v>637.29</v>
      </c>
      <c r="W2371" s="10" t="str">
        <f t="shared" si="221"/>
        <v>N/A</v>
      </c>
      <c r="X2371" t="s">
        <v>450</v>
      </c>
      <c r="Y2371" t="s">
        <v>28</v>
      </c>
      <c r="Z2371">
        <v>100247</v>
      </c>
      <c r="AA2371" t="s">
        <v>452</v>
      </c>
      <c r="AB2371" t="s">
        <v>3039</v>
      </c>
      <c r="AC2371" s="9">
        <v>2</v>
      </c>
      <c r="AD2371" s="9" t="str">
        <f t="shared" si="222"/>
        <v>N/A</v>
      </c>
      <c r="AE2371" s="11" t="e">
        <f t="shared" si="219"/>
        <v>#VALUE!</v>
      </c>
    </row>
    <row r="2372" spans="1:31" x14ac:dyDescent="0.3">
      <c r="A2372">
        <v>231</v>
      </c>
      <c r="B2372">
        <v>4392907</v>
      </c>
      <c r="C2372" t="s">
        <v>217</v>
      </c>
      <c r="D2372">
        <v>1243774</v>
      </c>
      <c r="E2372" t="s">
        <v>542</v>
      </c>
      <c r="F2372" t="s">
        <v>17</v>
      </c>
      <c r="G2372" t="s">
        <v>1973</v>
      </c>
      <c r="H2372" t="s">
        <v>1974</v>
      </c>
      <c r="I2372" t="s">
        <v>3419</v>
      </c>
      <c r="J2372">
        <v>55113373968</v>
      </c>
      <c r="K2372" t="s">
        <v>3302</v>
      </c>
      <c r="L2372" t="s">
        <v>4870</v>
      </c>
      <c r="M2372">
        <v>3000</v>
      </c>
      <c r="N2372" s="10">
        <v>0.1721</v>
      </c>
      <c r="O2372" s="10">
        <f t="shared" si="220"/>
        <v>516.29999999999995</v>
      </c>
      <c r="P2372" s="10">
        <v>111.73</v>
      </c>
      <c r="Q2372" s="10">
        <v>118.75</v>
      </c>
      <c r="R2372" s="10">
        <f>IF(COUNTIF($J$2:J2372,J2372)=1,SUMIFS($O:$O,$J:$J,J2372)+SUMIFS($P:$P,$J:$J,J2372)+SUMIFS($Q:$Q,$J:$J,J2372),"")</f>
        <v>1707.88</v>
      </c>
      <c r="S2372" s="10">
        <v>1707.88</v>
      </c>
      <c r="T2372" s="11" t="str">
        <f t="shared" si="223"/>
        <v>Ok</v>
      </c>
      <c r="U2372" s="12">
        <v>45818</v>
      </c>
      <c r="V2372" s="10">
        <v>1707.88</v>
      </c>
      <c r="W2372" s="10" t="str">
        <f t="shared" si="221"/>
        <v>Not Paid</v>
      </c>
      <c r="X2372" t="s">
        <v>468</v>
      </c>
      <c r="Y2372" t="s">
        <v>436</v>
      </c>
      <c r="Z2372">
        <v>100176</v>
      </c>
      <c r="AA2372" t="s">
        <v>3109</v>
      </c>
      <c r="AB2372" t="s">
        <v>528</v>
      </c>
      <c r="AC2372" s="9">
        <v>2</v>
      </c>
      <c r="AD2372" s="9" t="str">
        <f t="shared" si="222"/>
        <v>Ok</v>
      </c>
      <c r="AE2372" s="11">
        <f t="shared" si="219"/>
        <v>0</v>
      </c>
    </row>
    <row r="2373" spans="1:31" x14ac:dyDescent="0.3">
      <c r="A2373">
        <v>231</v>
      </c>
      <c r="B2373">
        <v>4392907</v>
      </c>
      <c r="C2373" t="s">
        <v>217</v>
      </c>
      <c r="D2373">
        <v>1243774</v>
      </c>
      <c r="E2373" t="s">
        <v>542</v>
      </c>
      <c r="F2373" t="s">
        <v>17</v>
      </c>
      <c r="G2373" t="s">
        <v>1973</v>
      </c>
      <c r="H2373" t="s">
        <v>1974</v>
      </c>
      <c r="I2373" t="s">
        <v>3419</v>
      </c>
      <c r="J2373">
        <v>55113373968</v>
      </c>
      <c r="K2373" t="s">
        <v>3168</v>
      </c>
      <c r="L2373" t="s">
        <v>4871</v>
      </c>
      <c r="M2373">
        <v>7000</v>
      </c>
      <c r="N2373" s="10">
        <v>0.13730000000000001</v>
      </c>
      <c r="O2373" s="10">
        <f t="shared" si="220"/>
        <v>961.1</v>
      </c>
      <c r="P2373" s="10" t="s">
        <v>5006</v>
      </c>
      <c r="Q2373" s="10" t="s">
        <v>5006</v>
      </c>
      <c r="R2373" s="10" t="str">
        <f>IF(COUNTIF($J$2:J2373,J2373)=1,SUMIFS($O:$O,$J:$J,J2373)+SUMIFS($P:$P,$J:$J,J2373)+SUMIFS($Q:$Q,$J:$J,J2373),"")</f>
        <v/>
      </c>
      <c r="S2373" s="10" t="s">
        <v>5006</v>
      </c>
      <c r="T2373" s="11" t="str">
        <f t="shared" si="223"/>
        <v>Ok</v>
      </c>
      <c r="U2373" s="12">
        <v>45818</v>
      </c>
      <c r="V2373" s="10">
        <v>1707.88</v>
      </c>
      <c r="W2373" s="10" t="str">
        <f t="shared" si="221"/>
        <v>N/A</v>
      </c>
      <c r="X2373" t="s">
        <v>468</v>
      </c>
      <c r="Y2373" t="s">
        <v>436</v>
      </c>
      <c r="Z2373">
        <v>100176</v>
      </c>
      <c r="AA2373" t="s">
        <v>3109</v>
      </c>
      <c r="AB2373" t="s">
        <v>528</v>
      </c>
      <c r="AC2373" s="9">
        <v>2</v>
      </c>
      <c r="AD2373" s="9" t="str">
        <f t="shared" si="222"/>
        <v>N/A</v>
      </c>
      <c r="AE2373" s="11" t="e">
        <f t="shared" si="219"/>
        <v>#VALUE!</v>
      </c>
    </row>
    <row r="2374" spans="1:31" x14ac:dyDescent="0.3">
      <c r="AD2374" s="16"/>
      <c r="AE2374" s="11"/>
    </row>
    <row r="2375" spans="1:31" x14ac:dyDescent="0.3">
      <c r="AD2375" s="16"/>
      <c r="AE2375" s="11"/>
    </row>
    <row r="2376" spans="1:31" x14ac:dyDescent="0.3">
      <c r="AD2376" s="16"/>
      <c r="AE2376" s="11"/>
    </row>
    <row r="2377" spans="1:31" x14ac:dyDescent="0.3">
      <c r="AD2377" s="16"/>
      <c r="AE2377" s="11"/>
    </row>
    <row r="2378" spans="1:31" x14ac:dyDescent="0.3">
      <c r="AD2378" s="16"/>
      <c r="AE2378" s="11"/>
    </row>
    <row r="2379" spans="1:31" x14ac:dyDescent="0.3">
      <c r="AD2379" s="16"/>
      <c r="AE2379" s="11"/>
    </row>
    <row r="2380" spans="1:31" x14ac:dyDescent="0.3">
      <c r="AD2380" s="16"/>
      <c r="AE2380" s="11"/>
    </row>
    <row r="2381" spans="1:31" x14ac:dyDescent="0.3">
      <c r="AD2381" s="16"/>
      <c r="AE2381" s="11"/>
    </row>
    <row r="2382" spans="1:31" x14ac:dyDescent="0.3">
      <c r="AD2382" s="16"/>
      <c r="AE2382" s="11"/>
    </row>
    <row r="2383" spans="1:31" x14ac:dyDescent="0.3">
      <c r="AD2383" s="16"/>
      <c r="AE2383" s="11"/>
    </row>
    <row r="2384" spans="1:31" x14ac:dyDescent="0.3">
      <c r="AD2384" s="16"/>
      <c r="AE2384" s="11"/>
    </row>
    <row r="2385" spans="30:31" x14ac:dyDescent="0.3">
      <c r="AD2385" s="16"/>
      <c r="AE2385" s="11"/>
    </row>
    <row r="2386" spans="30:31" x14ac:dyDescent="0.3">
      <c r="AD2386" s="16"/>
      <c r="AE2386" s="11"/>
    </row>
    <row r="2387" spans="30:31" x14ac:dyDescent="0.3">
      <c r="AD2387" s="16"/>
      <c r="AE2387" s="11"/>
    </row>
    <row r="2388" spans="30:31" x14ac:dyDescent="0.3">
      <c r="AD2388" s="16"/>
      <c r="AE2388" s="11"/>
    </row>
    <row r="2389" spans="30:31" x14ac:dyDescent="0.3">
      <c r="AD2389" s="16"/>
      <c r="AE2389" s="11"/>
    </row>
    <row r="2390" spans="30:31" x14ac:dyDescent="0.3">
      <c r="AD2390" s="16"/>
      <c r="AE2390" s="11"/>
    </row>
    <row r="2391" spans="30:31" x14ac:dyDescent="0.3">
      <c r="AD2391" s="16"/>
      <c r="AE2391" s="11"/>
    </row>
    <row r="2392" spans="30:31" x14ac:dyDescent="0.3">
      <c r="AD2392" s="16"/>
      <c r="AE2392" s="11"/>
    </row>
    <row r="2393" spans="30:31" x14ac:dyDescent="0.3">
      <c r="AD2393" s="16"/>
      <c r="AE2393" s="11"/>
    </row>
    <row r="2394" spans="30:31" x14ac:dyDescent="0.3">
      <c r="AD2394" s="16"/>
      <c r="AE2394" s="11"/>
    </row>
    <row r="2395" spans="30:31" x14ac:dyDescent="0.3">
      <c r="AD2395" s="16"/>
      <c r="AE2395" s="11"/>
    </row>
    <row r="2396" spans="30:31" x14ac:dyDescent="0.3">
      <c r="AD2396" s="16"/>
      <c r="AE2396" s="11"/>
    </row>
    <row r="2397" spans="30:31" x14ac:dyDescent="0.3">
      <c r="AD2397" s="16"/>
      <c r="AE2397" s="11"/>
    </row>
    <row r="2398" spans="30:31" x14ac:dyDescent="0.3">
      <c r="AD2398" s="16"/>
      <c r="AE2398" s="11"/>
    </row>
    <row r="2399" spans="30:31" x14ac:dyDescent="0.3">
      <c r="AD2399" s="16"/>
      <c r="AE2399" s="11"/>
    </row>
    <row r="2400" spans="30:31" x14ac:dyDescent="0.3">
      <c r="AD2400" s="16"/>
      <c r="AE2400" s="11"/>
    </row>
    <row r="2401" spans="30:31" x14ac:dyDescent="0.3">
      <c r="AD2401" s="16"/>
      <c r="AE2401" s="11"/>
    </row>
    <row r="2402" spans="30:31" x14ac:dyDescent="0.3">
      <c r="AD2402" s="16"/>
      <c r="AE2402" s="11"/>
    </row>
    <row r="2403" spans="30:31" x14ac:dyDescent="0.3">
      <c r="AD2403" s="16"/>
      <c r="AE2403" s="11"/>
    </row>
    <row r="2404" spans="30:31" x14ac:dyDescent="0.3">
      <c r="AD2404" s="16"/>
      <c r="AE2404" s="11"/>
    </row>
    <row r="2405" spans="30:31" x14ac:dyDescent="0.3">
      <c r="AD2405" s="16"/>
      <c r="AE2405" s="11"/>
    </row>
    <row r="2406" spans="30:31" x14ac:dyDescent="0.3">
      <c r="AD2406" s="16"/>
      <c r="AE2406" s="11"/>
    </row>
    <row r="2407" spans="30:31" x14ac:dyDescent="0.3">
      <c r="AD2407" s="16"/>
      <c r="AE2407" s="11"/>
    </row>
    <row r="2408" spans="30:31" x14ac:dyDescent="0.3">
      <c r="AD2408" s="16"/>
      <c r="AE2408" s="11"/>
    </row>
    <row r="2409" spans="30:31" x14ac:dyDescent="0.3">
      <c r="AD2409" s="16"/>
      <c r="AE2409" s="11"/>
    </row>
    <row r="2410" spans="30:31" x14ac:dyDescent="0.3">
      <c r="AD2410" s="16"/>
      <c r="AE2410" s="11"/>
    </row>
    <row r="2411" spans="30:31" x14ac:dyDescent="0.3">
      <c r="AD2411" s="16"/>
      <c r="AE2411" s="11"/>
    </row>
    <row r="2412" spans="30:31" x14ac:dyDescent="0.3">
      <c r="AD2412" s="16"/>
      <c r="AE2412" s="11"/>
    </row>
    <row r="2413" spans="30:31" x14ac:dyDescent="0.3">
      <c r="AD2413" s="16"/>
      <c r="AE2413" s="11"/>
    </row>
    <row r="2414" spans="30:31" x14ac:dyDescent="0.3">
      <c r="AD2414" s="16"/>
      <c r="AE2414" s="11"/>
    </row>
    <row r="2415" spans="30:31" x14ac:dyDescent="0.3">
      <c r="AD2415" s="16"/>
      <c r="AE2415" s="11"/>
    </row>
    <row r="2416" spans="30:31" x14ac:dyDescent="0.3">
      <c r="AD2416" s="16"/>
      <c r="AE2416" s="11"/>
    </row>
    <row r="2417" spans="30:31" x14ac:dyDescent="0.3">
      <c r="AD2417" s="16"/>
      <c r="AE2417" s="11"/>
    </row>
    <row r="2418" spans="30:31" x14ac:dyDescent="0.3">
      <c r="AD2418" s="16"/>
      <c r="AE2418" s="11"/>
    </row>
    <row r="2419" spans="30:31" x14ac:dyDescent="0.3">
      <c r="AD2419" s="16"/>
      <c r="AE2419" s="11"/>
    </row>
    <row r="2420" spans="30:31" x14ac:dyDescent="0.3">
      <c r="AD2420" s="16"/>
      <c r="AE2420" s="11"/>
    </row>
    <row r="2421" spans="30:31" x14ac:dyDescent="0.3">
      <c r="AD2421" s="16"/>
      <c r="AE2421" s="11"/>
    </row>
    <row r="2422" spans="30:31" x14ac:dyDescent="0.3">
      <c r="AD2422" s="16"/>
      <c r="AE2422" s="11"/>
    </row>
    <row r="2423" spans="30:31" x14ac:dyDescent="0.3">
      <c r="AD2423" s="16"/>
      <c r="AE2423" s="11"/>
    </row>
    <row r="2424" spans="30:31" x14ac:dyDescent="0.3">
      <c r="AD2424" s="16"/>
      <c r="AE2424" s="11"/>
    </row>
    <row r="2425" spans="30:31" x14ac:dyDescent="0.3">
      <c r="AD2425" s="16"/>
      <c r="AE2425" s="11"/>
    </row>
    <row r="2426" spans="30:31" x14ac:dyDescent="0.3">
      <c r="AD2426" s="16"/>
      <c r="AE2426" s="11"/>
    </row>
    <row r="2427" spans="30:31" x14ac:dyDescent="0.3">
      <c r="AD2427" s="16"/>
      <c r="AE2427" s="11"/>
    </row>
    <row r="2428" spans="30:31" x14ac:dyDescent="0.3">
      <c r="AD2428" s="16"/>
      <c r="AE2428" s="11"/>
    </row>
    <row r="2429" spans="30:31" x14ac:dyDescent="0.3">
      <c r="AD2429" s="16"/>
      <c r="AE2429" s="11"/>
    </row>
    <row r="2430" spans="30:31" x14ac:dyDescent="0.3">
      <c r="AD2430" s="16"/>
      <c r="AE2430" s="11"/>
    </row>
    <row r="2431" spans="30:31" x14ac:dyDescent="0.3">
      <c r="AD2431" s="16"/>
      <c r="AE2431" s="11"/>
    </row>
    <row r="2432" spans="30:31" x14ac:dyDescent="0.3">
      <c r="AD2432" s="16"/>
      <c r="AE2432" s="11"/>
    </row>
    <row r="2433" spans="30:31" x14ac:dyDescent="0.3">
      <c r="AD2433" s="16"/>
      <c r="AE2433" s="11"/>
    </row>
    <row r="2434" spans="30:31" x14ac:dyDescent="0.3">
      <c r="AD2434" s="16"/>
      <c r="AE2434" s="11"/>
    </row>
    <row r="2435" spans="30:31" x14ac:dyDescent="0.3">
      <c r="AD2435" s="16"/>
      <c r="AE2435" s="11"/>
    </row>
    <row r="2436" spans="30:31" x14ac:dyDescent="0.3">
      <c r="AD2436" s="16"/>
      <c r="AE2436" s="11"/>
    </row>
    <row r="2437" spans="30:31" x14ac:dyDescent="0.3">
      <c r="AD2437" s="16"/>
      <c r="AE2437" s="11"/>
    </row>
    <row r="2438" spans="30:31" x14ac:dyDescent="0.3">
      <c r="AD2438" s="16"/>
      <c r="AE2438" s="11"/>
    </row>
    <row r="2439" spans="30:31" x14ac:dyDescent="0.3">
      <c r="AD2439" s="16"/>
      <c r="AE2439" s="11"/>
    </row>
    <row r="2440" spans="30:31" x14ac:dyDescent="0.3">
      <c r="AD2440" s="16"/>
      <c r="AE2440" s="11"/>
    </row>
    <row r="2441" spans="30:31" x14ac:dyDescent="0.3">
      <c r="AD2441" s="16"/>
      <c r="AE2441" s="11"/>
    </row>
    <row r="2442" spans="30:31" x14ac:dyDescent="0.3">
      <c r="AD2442" s="16"/>
      <c r="AE2442" s="11"/>
    </row>
    <row r="2443" spans="30:31" x14ac:dyDescent="0.3">
      <c r="AD2443" s="16"/>
      <c r="AE2443" s="11"/>
    </row>
    <row r="2444" spans="30:31" x14ac:dyDescent="0.3">
      <c r="AD2444" s="16"/>
      <c r="AE2444" s="11"/>
    </row>
    <row r="2445" spans="30:31" x14ac:dyDescent="0.3">
      <c r="AD2445" s="16"/>
      <c r="AE2445" s="11"/>
    </row>
    <row r="2446" spans="30:31" x14ac:dyDescent="0.3">
      <c r="AD2446" s="16"/>
      <c r="AE2446" s="11"/>
    </row>
    <row r="2447" spans="30:31" x14ac:dyDescent="0.3">
      <c r="AD2447" s="16"/>
      <c r="AE2447" s="11"/>
    </row>
    <row r="2448" spans="30:31" x14ac:dyDescent="0.3">
      <c r="AD2448" s="16"/>
      <c r="AE2448" s="11"/>
    </row>
    <row r="2449" spans="30:31" x14ac:dyDescent="0.3">
      <c r="AD2449" s="16"/>
      <c r="AE2449" s="11"/>
    </row>
    <row r="2450" spans="30:31" x14ac:dyDescent="0.3">
      <c r="AD2450" s="16"/>
      <c r="AE2450" s="11"/>
    </row>
    <row r="2451" spans="30:31" x14ac:dyDescent="0.3">
      <c r="AD2451" s="16"/>
      <c r="AE2451" s="11"/>
    </row>
    <row r="2452" spans="30:31" x14ac:dyDescent="0.3">
      <c r="AD2452" s="16"/>
      <c r="AE2452" s="11"/>
    </row>
    <row r="2453" spans="30:31" x14ac:dyDescent="0.3">
      <c r="AD2453" s="16"/>
      <c r="AE2453" s="11"/>
    </row>
    <row r="2454" spans="30:31" x14ac:dyDescent="0.3">
      <c r="AD2454" s="16"/>
      <c r="AE2454" s="11"/>
    </row>
    <row r="2455" spans="30:31" x14ac:dyDescent="0.3">
      <c r="AD2455" s="16"/>
      <c r="AE2455" s="11"/>
    </row>
    <row r="2456" spans="30:31" x14ac:dyDescent="0.3">
      <c r="AD2456" s="16"/>
      <c r="AE2456" s="11"/>
    </row>
    <row r="2457" spans="30:31" x14ac:dyDescent="0.3">
      <c r="AD2457" s="16"/>
      <c r="AE2457" s="11"/>
    </row>
    <row r="2458" spans="30:31" x14ac:dyDescent="0.3">
      <c r="AD2458" s="16"/>
      <c r="AE2458" s="11"/>
    </row>
    <row r="2459" spans="30:31" x14ac:dyDescent="0.3">
      <c r="AD2459" s="16"/>
      <c r="AE2459" s="11"/>
    </row>
    <row r="2460" spans="30:31" x14ac:dyDescent="0.3">
      <c r="AD2460" s="16"/>
      <c r="AE2460" s="11"/>
    </row>
    <row r="2461" spans="30:31" x14ac:dyDescent="0.3">
      <c r="AD2461" s="16"/>
      <c r="AE2461" s="11"/>
    </row>
    <row r="2462" spans="30:31" x14ac:dyDescent="0.3">
      <c r="AD2462" s="16"/>
      <c r="AE2462" s="11"/>
    </row>
    <row r="2463" spans="30:31" x14ac:dyDescent="0.3">
      <c r="AD2463" s="16"/>
      <c r="AE2463" s="11"/>
    </row>
    <row r="2464" spans="30:31" x14ac:dyDescent="0.3">
      <c r="AD2464" s="16"/>
      <c r="AE2464" s="11"/>
    </row>
    <row r="2465" spans="30:31" x14ac:dyDescent="0.3">
      <c r="AD2465" s="16"/>
      <c r="AE2465" s="11"/>
    </row>
    <row r="2466" spans="30:31" x14ac:dyDescent="0.3">
      <c r="AD2466" s="16"/>
      <c r="AE2466" s="11"/>
    </row>
    <row r="2467" spans="30:31" x14ac:dyDescent="0.3">
      <c r="AD2467" s="16"/>
      <c r="AE2467" s="11"/>
    </row>
    <row r="2468" spans="30:31" x14ac:dyDescent="0.3">
      <c r="AD2468" s="16"/>
      <c r="AE2468" s="11"/>
    </row>
    <row r="2469" spans="30:31" x14ac:dyDescent="0.3">
      <c r="AD2469" s="16"/>
      <c r="AE2469" s="11"/>
    </row>
    <row r="2470" spans="30:31" x14ac:dyDescent="0.3">
      <c r="AD2470" s="16"/>
      <c r="AE2470" s="11"/>
    </row>
    <row r="2471" spans="30:31" x14ac:dyDescent="0.3">
      <c r="AD2471" s="16"/>
      <c r="AE2471" s="11"/>
    </row>
    <row r="2472" spans="30:31" x14ac:dyDescent="0.3">
      <c r="AD2472" s="16"/>
      <c r="AE2472" s="11"/>
    </row>
    <row r="2473" spans="30:31" x14ac:dyDescent="0.3">
      <c r="AD2473" s="16"/>
      <c r="AE2473" s="11"/>
    </row>
    <row r="2474" spans="30:31" x14ac:dyDescent="0.3">
      <c r="AD2474" s="16"/>
      <c r="AE2474" s="11"/>
    </row>
    <row r="2475" spans="30:31" x14ac:dyDescent="0.3">
      <c r="AD2475" s="16"/>
      <c r="AE2475" s="11"/>
    </row>
    <row r="2476" spans="30:31" x14ac:dyDescent="0.3">
      <c r="AD2476" s="16"/>
      <c r="AE2476" s="11"/>
    </row>
    <row r="2477" spans="30:31" x14ac:dyDescent="0.3">
      <c r="AD2477" s="16"/>
      <c r="AE2477" s="11"/>
    </row>
    <row r="2478" spans="30:31" x14ac:dyDescent="0.3">
      <c r="AD2478" s="16"/>
      <c r="AE2478" s="11"/>
    </row>
    <row r="2479" spans="30:31" x14ac:dyDescent="0.3">
      <c r="AD2479" s="16"/>
      <c r="AE2479" s="11"/>
    </row>
    <row r="2480" spans="30:31" x14ac:dyDescent="0.3">
      <c r="AD2480" s="16"/>
      <c r="AE2480" s="11"/>
    </row>
    <row r="2481" spans="30:31" x14ac:dyDescent="0.3">
      <c r="AD2481" s="16"/>
      <c r="AE2481" s="11"/>
    </row>
    <row r="2482" spans="30:31" x14ac:dyDescent="0.3">
      <c r="AD2482" s="16"/>
      <c r="AE2482" s="11"/>
    </row>
    <row r="2483" spans="30:31" x14ac:dyDescent="0.3">
      <c r="AD2483" s="16"/>
      <c r="AE2483" s="11"/>
    </row>
    <row r="2484" spans="30:31" x14ac:dyDescent="0.3">
      <c r="AD2484" s="16"/>
      <c r="AE2484" s="11"/>
    </row>
    <row r="2485" spans="30:31" x14ac:dyDescent="0.3">
      <c r="AD2485" s="16"/>
      <c r="AE2485" s="11"/>
    </row>
    <row r="2486" spans="30:31" x14ac:dyDescent="0.3">
      <c r="AD2486" s="16"/>
      <c r="AE2486" s="11"/>
    </row>
    <row r="2487" spans="30:31" x14ac:dyDescent="0.3">
      <c r="AD2487" s="16"/>
      <c r="AE2487" s="11"/>
    </row>
    <row r="2488" spans="30:31" x14ac:dyDescent="0.3">
      <c r="AD2488" s="16"/>
      <c r="AE2488" s="11"/>
    </row>
    <row r="2489" spans="30:31" x14ac:dyDescent="0.3">
      <c r="AD2489" s="16"/>
      <c r="AE2489" s="11"/>
    </row>
    <row r="2490" spans="30:31" x14ac:dyDescent="0.3">
      <c r="AD2490" s="16"/>
      <c r="AE2490" s="11"/>
    </row>
    <row r="2491" spans="30:31" x14ac:dyDescent="0.3">
      <c r="AD2491" s="16"/>
      <c r="AE2491" s="11"/>
    </row>
    <row r="2492" spans="30:31" x14ac:dyDescent="0.3">
      <c r="AD2492" s="16"/>
      <c r="AE2492" s="11"/>
    </row>
    <row r="2493" spans="30:31" x14ac:dyDescent="0.3">
      <c r="AD2493" s="16"/>
      <c r="AE2493" s="11"/>
    </row>
    <row r="2494" spans="30:31" x14ac:dyDescent="0.3">
      <c r="AD2494" s="16"/>
      <c r="AE2494" s="11"/>
    </row>
    <row r="2495" spans="30:31" x14ac:dyDescent="0.3">
      <c r="AD2495" s="16"/>
      <c r="AE2495" s="11"/>
    </row>
    <row r="2496" spans="30:31" x14ac:dyDescent="0.3">
      <c r="AD2496" s="16"/>
      <c r="AE2496" s="11"/>
    </row>
    <row r="2497" spans="30:31" x14ac:dyDescent="0.3">
      <c r="AD2497" s="16"/>
      <c r="AE2497" s="11"/>
    </row>
    <row r="2498" spans="30:31" x14ac:dyDescent="0.3">
      <c r="AD2498" s="16"/>
      <c r="AE2498" s="11"/>
    </row>
    <row r="2499" spans="30:31" x14ac:dyDescent="0.3">
      <c r="AD2499" s="16"/>
      <c r="AE2499" s="11"/>
    </row>
    <row r="2500" spans="30:31" x14ac:dyDescent="0.3">
      <c r="AD2500" s="16"/>
      <c r="AE2500" s="11"/>
    </row>
    <row r="2501" spans="30:31" x14ac:dyDescent="0.3">
      <c r="AD2501" s="16"/>
      <c r="AE2501" s="11"/>
    </row>
    <row r="2502" spans="30:31" x14ac:dyDescent="0.3">
      <c r="AD2502" s="16"/>
      <c r="AE2502" s="11"/>
    </row>
    <row r="2503" spans="30:31" x14ac:dyDescent="0.3">
      <c r="AD2503" s="16"/>
      <c r="AE2503" s="11"/>
    </row>
    <row r="2504" spans="30:31" x14ac:dyDescent="0.3">
      <c r="AD2504" s="16"/>
      <c r="AE2504" s="11"/>
    </row>
    <row r="2505" spans="30:31" x14ac:dyDescent="0.3">
      <c r="AD2505" s="16"/>
      <c r="AE2505" s="11"/>
    </row>
    <row r="2506" spans="30:31" x14ac:dyDescent="0.3">
      <c r="AD2506" s="16"/>
      <c r="AE2506" s="11"/>
    </row>
    <row r="2507" spans="30:31" x14ac:dyDescent="0.3">
      <c r="AD2507" s="16"/>
    </row>
    <row r="2508" spans="30:31" x14ac:dyDescent="0.3">
      <c r="AD2508" s="16"/>
    </row>
    <row r="2509" spans="30:31" x14ac:dyDescent="0.3">
      <c r="AD2509" s="16"/>
    </row>
    <row r="2510" spans="30:31" x14ac:dyDescent="0.3">
      <c r="AD2510" s="16"/>
    </row>
    <row r="2511" spans="30:31" x14ac:dyDescent="0.3">
      <c r="AD2511" s="16"/>
    </row>
    <row r="2512" spans="30:31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  <row r="27171" spans="30:30" x14ac:dyDescent="0.3">
      <c r="AD27171" s="16"/>
    </row>
    <row r="27172" spans="30:30" x14ac:dyDescent="0.3">
      <c r="AD27172" s="16"/>
    </row>
    <row r="27173" spans="30:30" x14ac:dyDescent="0.3">
      <c r="AD27173" s="16"/>
    </row>
    <row r="27174" spans="30:30" x14ac:dyDescent="0.3">
      <c r="AD27174" s="16"/>
    </row>
    <row r="27175" spans="30:30" x14ac:dyDescent="0.3">
      <c r="AD27175" s="16"/>
    </row>
    <row r="27176" spans="30:30" x14ac:dyDescent="0.3">
      <c r="AD27176" s="16"/>
    </row>
    <row r="27177" spans="30:30" x14ac:dyDescent="0.3">
      <c r="AD27177" s="16"/>
    </row>
    <row r="27178" spans="30:30" x14ac:dyDescent="0.3">
      <c r="AD27178" s="16"/>
    </row>
    <row r="27179" spans="30:30" x14ac:dyDescent="0.3">
      <c r="AD27179" s="16"/>
    </row>
    <row r="27180" spans="30:30" x14ac:dyDescent="0.3">
      <c r="AD27180" s="16"/>
    </row>
    <row r="27181" spans="30:30" x14ac:dyDescent="0.3">
      <c r="AD27181" s="16"/>
    </row>
    <row r="27182" spans="30:30" x14ac:dyDescent="0.3">
      <c r="AD27182" s="16"/>
    </row>
    <row r="27183" spans="30:30" x14ac:dyDescent="0.3">
      <c r="AD27183" s="16"/>
    </row>
    <row r="27184" spans="30:30" x14ac:dyDescent="0.3">
      <c r="AD27184" s="16"/>
    </row>
    <row r="27185" spans="30:30" x14ac:dyDescent="0.3">
      <c r="AD27185" s="16"/>
    </row>
    <row r="27186" spans="30:30" x14ac:dyDescent="0.3">
      <c r="AD27186" s="16"/>
    </row>
    <row r="27187" spans="30:30" x14ac:dyDescent="0.3">
      <c r="AD27187" s="16"/>
    </row>
    <row r="27188" spans="30:30" x14ac:dyDescent="0.3">
      <c r="AD27188" s="16"/>
    </row>
    <row r="27189" spans="30:30" x14ac:dyDescent="0.3">
      <c r="AD27189" s="16"/>
    </row>
    <row r="27190" spans="30:30" x14ac:dyDescent="0.3">
      <c r="AD27190" s="16"/>
    </row>
    <row r="27191" spans="30:30" x14ac:dyDescent="0.3">
      <c r="AD27191" s="16"/>
    </row>
    <row r="27192" spans="30:30" x14ac:dyDescent="0.3">
      <c r="AD27192" s="16"/>
    </row>
    <row r="27193" spans="30:30" x14ac:dyDescent="0.3">
      <c r="AD27193" s="16"/>
    </row>
    <row r="27194" spans="30:30" x14ac:dyDescent="0.3">
      <c r="AD27194" s="16"/>
    </row>
    <row r="27195" spans="30:30" x14ac:dyDescent="0.3">
      <c r="AD27195" s="16"/>
    </row>
    <row r="27196" spans="30:30" x14ac:dyDescent="0.3">
      <c r="AD27196" s="16"/>
    </row>
    <row r="27197" spans="30:30" x14ac:dyDescent="0.3">
      <c r="AD27197" s="16"/>
    </row>
    <row r="27198" spans="30:30" x14ac:dyDescent="0.3">
      <c r="AD27198" s="16"/>
    </row>
    <row r="27199" spans="30:30" x14ac:dyDescent="0.3">
      <c r="AD27199" s="16"/>
    </row>
    <row r="27200" spans="30:30" x14ac:dyDescent="0.3">
      <c r="AD27200" s="16"/>
    </row>
    <row r="27201" spans="30:30" x14ac:dyDescent="0.3">
      <c r="AD27201" s="16"/>
    </row>
    <row r="27202" spans="30:30" x14ac:dyDescent="0.3">
      <c r="AD27202" s="16"/>
    </row>
    <row r="27203" spans="30:30" x14ac:dyDescent="0.3">
      <c r="AD27203" s="16"/>
    </row>
    <row r="27204" spans="30:30" x14ac:dyDescent="0.3">
      <c r="AD27204" s="16"/>
    </row>
    <row r="27205" spans="30:30" x14ac:dyDescent="0.3">
      <c r="AD27205" s="16"/>
    </row>
    <row r="27206" spans="30:30" x14ac:dyDescent="0.3">
      <c r="AD27206" s="16"/>
    </row>
    <row r="27207" spans="30:30" x14ac:dyDescent="0.3">
      <c r="AD27207" s="16"/>
    </row>
    <row r="27208" spans="30:30" x14ac:dyDescent="0.3">
      <c r="AD27208" s="16"/>
    </row>
    <row r="27209" spans="30:30" x14ac:dyDescent="0.3">
      <c r="AD27209" s="16"/>
    </row>
    <row r="27210" spans="30:30" x14ac:dyDescent="0.3">
      <c r="AD27210" s="16"/>
    </row>
    <row r="27211" spans="30:30" x14ac:dyDescent="0.3">
      <c r="AD27211" s="16"/>
    </row>
    <row r="27212" spans="30:30" x14ac:dyDescent="0.3">
      <c r="AD27212" s="16"/>
    </row>
    <row r="27213" spans="30:30" x14ac:dyDescent="0.3">
      <c r="AD27213" s="16"/>
    </row>
    <row r="27214" spans="30:30" x14ac:dyDescent="0.3">
      <c r="AD27214" s="16"/>
    </row>
    <row r="27215" spans="30:30" x14ac:dyDescent="0.3">
      <c r="AD27215" s="16"/>
    </row>
    <row r="27216" spans="30:30" x14ac:dyDescent="0.3">
      <c r="AD27216" s="16"/>
    </row>
    <row r="27217" spans="30:30" x14ac:dyDescent="0.3">
      <c r="AD27217" s="16"/>
    </row>
    <row r="27218" spans="30:30" x14ac:dyDescent="0.3">
      <c r="AD27218" s="16"/>
    </row>
    <row r="27219" spans="30:30" x14ac:dyDescent="0.3">
      <c r="AD27219" s="16"/>
    </row>
    <row r="27220" spans="30:30" x14ac:dyDescent="0.3">
      <c r="AD27220" s="16"/>
    </row>
    <row r="27221" spans="30:30" x14ac:dyDescent="0.3">
      <c r="AD27221" s="16"/>
    </row>
    <row r="27222" spans="30:30" x14ac:dyDescent="0.3">
      <c r="AD27222" s="16"/>
    </row>
    <row r="27223" spans="30:30" x14ac:dyDescent="0.3">
      <c r="AD27223" s="16"/>
    </row>
    <row r="27224" spans="30:30" x14ac:dyDescent="0.3">
      <c r="AD27224" s="16"/>
    </row>
    <row r="27225" spans="30:30" x14ac:dyDescent="0.3">
      <c r="AD27225" s="16"/>
    </row>
    <row r="27226" spans="30:30" x14ac:dyDescent="0.3">
      <c r="AD27226" s="16"/>
    </row>
    <row r="27227" spans="30:30" x14ac:dyDescent="0.3">
      <c r="AD27227" s="16"/>
    </row>
    <row r="27228" spans="30:30" x14ac:dyDescent="0.3">
      <c r="AD27228" s="16"/>
    </row>
    <row r="27229" spans="30:30" x14ac:dyDescent="0.3">
      <c r="AD27229" s="16"/>
    </row>
    <row r="27230" spans="30:30" x14ac:dyDescent="0.3">
      <c r="AD27230" s="16"/>
    </row>
    <row r="27231" spans="30:30" x14ac:dyDescent="0.3">
      <c r="AD27231" s="16"/>
    </row>
    <row r="27232" spans="30:30" x14ac:dyDescent="0.3">
      <c r="AD27232" s="16"/>
    </row>
    <row r="27233" spans="30:30" x14ac:dyDescent="0.3">
      <c r="AD27233" s="16"/>
    </row>
    <row r="27234" spans="30:30" x14ac:dyDescent="0.3">
      <c r="AD27234" s="16"/>
    </row>
    <row r="27235" spans="30:30" x14ac:dyDescent="0.3">
      <c r="AD27235" s="16"/>
    </row>
    <row r="27236" spans="30:30" x14ac:dyDescent="0.3">
      <c r="AD27236" s="16"/>
    </row>
    <row r="27237" spans="30:30" x14ac:dyDescent="0.3">
      <c r="AD27237" s="16"/>
    </row>
    <row r="27238" spans="30:30" x14ac:dyDescent="0.3">
      <c r="AD27238" s="16"/>
    </row>
    <row r="27239" spans="30:30" x14ac:dyDescent="0.3">
      <c r="AD27239" s="16"/>
    </row>
    <row r="27240" spans="30:30" x14ac:dyDescent="0.3">
      <c r="AD27240" s="16"/>
    </row>
    <row r="27241" spans="30:30" x14ac:dyDescent="0.3">
      <c r="AD27241" s="16"/>
    </row>
    <row r="27242" spans="30:30" x14ac:dyDescent="0.3">
      <c r="AD27242" s="16"/>
    </row>
    <row r="27243" spans="30:30" x14ac:dyDescent="0.3">
      <c r="AD27243" s="16"/>
    </row>
    <row r="27244" spans="30:30" x14ac:dyDescent="0.3">
      <c r="AD27244" s="16"/>
    </row>
    <row r="27245" spans="30:30" x14ac:dyDescent="0.3">
      <c r="AD27245" s="16"/>
    </row>
    <row r="27246" spans="30:30" x14ac:dyDescent="0.3">
      <c r="AD27246" s="16"/>
    </row>
    <row r="27247" spans="30:30" x14ac:dyDescent="0.3">
      <c r="AD27247" s="16"/>
    </row>
    <row r="27248" spans="30:30" x14ac:dyDescent="0.3">
      <c r="AD27248" s="16"/>
    </row>
    <row r="27249" spans="30:30" x14ac:dyDescent="0.3">
      <c r="AD27249" s="16"/>
    </row>
    <row r="27250" spans="30:30" x14ac:dyDescent="0.3">
      <c r="AD27250" s="16"/>
    </row>
    <row r="27251" spans="30:30" x14ac:dyDescent="0.3">
      <c r="AD27251" s="16"/>
    </row>
    <row r="27252" spans="30:30" x14ac:dyDescent="0.3">
      <c r="AD27252" s="16"/>
    </row>
    <row r="27253" spans="30:30" x14ac:dyDescent="0.3">
      <c r="AD27253" s="16"/>
    </row>
    <row r="27254" spans="30:30" x14ac:dyDescent="0.3">
      <c r="AD27254" s="16"/>
    </row>
    <row r="27255" spans="30:30" x14ac:dyDescent="0.3">
      <c r="AD27255" s="16"/>
    </row>
    <row r="27256" spans="30:30" x14ac:dyDescent="0.3">
      <c r="AD27256" s="16"/>
    </row>
    <row r="27257" spans="30:30" x14ac:dyDescent="0.3">
      <c r="AD27257" s="16"/>
    </row>
    <row r="27258" spans="30:30" x14ac:dyDescent="0.3">
      <c r="AD27258" s="16"/>
    </row>
    <row r="27259" spans="30:30" x14ac:dyDescent="0.3">
      <c r="AD27259" s="16"/>
    </row>
    <row r="27260" spans="30:30" x14ac:dyDescent="0.3">
      <c r="AD27260" s="16"/>
    </row>
    <row r="27261" spans="30:30" x14ac:dyDescent="0.3">
      <c r="AD27261" s="16"/>
    </row>
    <row r="27262" spans="30:30" x14ac:dyDescent="0.3">
      <c r="AD27262" s="16"/>
    </row>
    <row r="27263" spans="30:30" x14ac:dyDescent="0.3">
      <c r="AD27263" s="16"/>
    </row>
    <row r="27264" spans="30:30" x14ac:dyDescent="0.3">
      <c r="AD27264" s="16"/>
    </row>
    <row r="27265" spans="30:30" x14ac:dyDescent="0.3">
      <c r="AD27265" s="16"/>
    </row>
    <row r="27266" spans="30:30" x14ac:dyDescent="0.3">
      <c r="AD27266" s="16"/>
    </row>
    <row r="27267" spans="30:30" x14ac:dyDescent="0.3">
      <c r="AD27267" s="16"/>
    </row>
    <row r="27268" spans="30:30" x14ac:dyDescent="0.3">
      <c r="AD27268" s="16"/>
    </row>
    <row r="27269" spans="30:30" x14ac:dyDescent="0.3">
      <c r="AD27269" s="16"/>
    </row>
    <row r="27270" spans="30:30" x14ac:dyDescent="0.3">
      <c r="AD27270" s="16"/>
    </row>
    <row r="27271" spans="30:30" x14ac:dyDescent="0.3">
      <c r="AD27271" s="16"/>
    </row>
    <row r="27272" spans="30:30" x14ac:dyDescent="0.3">
      <c r="AD27272" s="16"/>
    </row>
    <row r="27273" spans="30:30" x14ac:dyDescent="0.3">
      <c r="AD27273" s="16"/>
    </row>
    <row r="27274" spans="30:30" x14ac:dyDescent="0.3">
      <c r="AD27274" s="16"/>
    </row>
    <row r="27275" spans="30:30" x14ac:dyDescent="0.3">
      <c r="AD27275" s="16"/>
    </row>
    <row r="27276" spans="30:30" x14ac:dyDescent="0.3">
      <c r="AD27276" s="16"/>
    </row>
    <row r="27277" spans="30:30" x14ac:dyDescent="0.3">
      <c r="AD27277" s="16"/>
    </row>
    <row r="27278" spans="30:30" x14ac:dyDescent="0.3">
      <c r="AD27278" s="16"/>
    </row>
    <row r="27279" spans="30:30" x14ac:dyDescent="0.3">
      <c r="AD27279" s="16"/>
    </row>
    <row r="27280" spans="30:30" x14ac:dyDescent="0.3">
      <c r="AD27280" s="16"/>
    </row>
    <row r="27281" spans="30:30" x14ac:dyDescent="0.3">
      <c r="AD27281" s="16"/>
    </row>
    <row r="27282" spans="30:30" x14ac:dyDescent="0.3">
      <c r="AD27282" s="16"/>
    </row>
    <row r="27283" spans="30:30" x14ac:dyDescent="0.3">
      <c r="AD27283" s="16"/>
    </row>
    <row r="27284" spans="30:30" x14ac:dyDescent="0.3">
      <c r="AD27284" s="16"/>
    </row>
    <row r="27285" spans="30:30" x14ac:dyDescent="0.3">
      <c r="AD27285" s="16"/>
    </row>
    <row r="27286" spans="30:30" x14ac:dyDescent="0.3">
      <c r="AD27286" s="16"/>
    </row>
    <row r="27287" spans="30:30" x14ac:dyDescent="0.3">
      <c r="AD27287" s="16"/>
    </row>
    <row r="27288" spans="30:30" x14ac:dyDescent="0.3">
      <c r="AD27288" s="16"/>
    </row>
    <row r="27289" spans="30:30" x14ac:dyDescent="0.3">
      <c r="AD27289" s="16"/>
    </row>
    <row r="27290" spans="30:30" x14ac:dyDescent="0.3">
      <c r="AD27290" s="16"/>
    </row>
    <row r="27291" spans="30:30" x14ac:dyDescent="0.3">
      <c r="AD27291" s="16"/>
    </row>
    <row r="27292" spans="30:30" x14ac:dyDescent="0.3">
      <c r="AD27292" s="16"/>
    </row>
    <row r="27293" spans="30:30" x14ac:dyDescent="0.3">
      <c r="AD27293" s="16"/>
    </row>
    <row r="27294" spans="30:30" x14ac:dyDescent="0.3">
      <c r="AD27294" s="16"/>
    </row>
    <row r="27295" spans="30:30" x14ac:dyDescent="0.3">
      <c r="AD27295" s="16"/>
    </row>
    <row r="27296" spans="30:30" x14ac:dyDescent="0.3">
      <c r="AD27296" s="16"/>
    </row>
    <row r="27297" spans="30:30" x14ac:dyDescent="0.3">
      <c r="AD27297" s="16"/>
    </row>
    <row r="27298" spans="30:30" x14ac:dyDescent="0.3">
      <c r="AD27298" s="16"/>
    </row>
    <row r="27299" spans="30:30" x14ac:dyDescent="0.3">
      <c r="AD27299" s="16"/>
    </row>
    <row r="27300" spans="30:30" x14ac:dyDescent="0.3">
      <c r="AD27300" s="16"/>
    </row>
    <row r="27301" spans="30:30" x14ac:dyDescent="0.3">
      <c r="AD27301" s="16"/>
    </row>
    <row r="27302" spans="30:30" x14ac:dyDescent="0.3">
      <c r="AD27302" s="16"/>
    </row>
    <row r="27303" spans="30:30" x14ac:dyDescent="0.3">
      <c r="AD27303" s="16"/>
    </row>
    <row r="27304" spans="30:30" x14ac:dyDescent="0.3">
      <c r="AD27304" s="16"/>
    </row>
    <row r="27305" spans="30:30" x14ac:dyDescent="0.3">
      <c r="AD27305" s="16"/>
    </row>
    <row r="27306" spans="30:30" x14ac:dyDescent="0.3">
      <c r="AD27306" s="16"/>
    </row>
    <row r="27307" spans="30:30" x14ac:dyDescent="0.3">
      <c r="AD27307" s="16"/>
    </row>
    <row r="27308" spans="30:30" x14ac:dyDescent="0.3">
      <c r="AD27308" s="16"/>
    </row>
    <row r="27309" spans="30:30" x14ac:dyDescent="0.3">
      <c r="AD27309" s="16"/>
    </row>
    <row r="27310" spans="30:30" x14ac:dyDescent="0.3">
      <c r="AD27310" s="16"/>
    </row>
    <row r="27311" spans="30:30" x14ac:dyDescent="0.3">
      <c r="AD27311" s="16"/>
    </row>
    <row r="27312" spans="30:30" x14ac:dyDescent="0.3">
      <c r="AD27312" s="16"/>
    </row>
    <row r="27313" spans="30:30" x14ac:dyDescent="0.3">
      <c r="AD27313" s="16"/>
    </row>
    <row r="27314" spans="30:30" x14ac:dyDescent="0.3">
      <c r="AD27314" s="16"/>
    </row>
    <row r="27315" spans="30:30" x14ac:dyDescent="0.3">
      <c r="AD27315" s="16"/>
    </row>
    <row r="27316" spans="30:30" x14ac:dyDescent="0.3">
      <c r="AD27316" s="16"/>
    </row>
    <row r="27317" spans="30:30" x14ac:dyDescent="0.3">
      <c r="AD27317" s="16"/>
    </row>
    <row r="27318" spans="30:30" x14ac:dyDescent="0.3">
      <c r="AD27318" s="16"/>
    </row>
    <row r="27319" spans="30:30" x14ac:dyDescent="0.3">
      <c r="AD27319" s="16"/>
    </row>
    <row r="27320" spans="30:30" x14ac:dyDescent="0.3">
      <c r="AD27320" s="16"/>
    </row>
    <row r="27321" spans="30:30" x14ac:dyDescent="0.3">
      <c r="AD27321" s="16"/>
    </row>
    <row r="27322" spans="30:30" x14ac:dyDescent="0.3">
      <c r="AD27322" s="16"/>
    </row>
    <row r="27323" spans="30:30" x14ac:dyDescent="0.3">
      <c r="AD27323" s="16"/>
    </row>
    <row r="27324" spans="30:30" x14ac:dyDescent="0.3">
      <c r="AD27324" s="16"/>
    </row>
    <row r="27325" spans="30:30" x14ac:dyDescent="0.3">
      <c r="AD27325" s="16"/>
    </row>
    <row r="27326" spans="30:30" x14ac:dyDescent="0.3">
      <c r="AD27326" s="16"/>
    </row>
    <row r="27327" spans="30:30" x14ac:dyDescent="0.3">
      <c r="AD27327" s="16"/>
    </row>
    <row r="27328" spans="30:30" x14ac:dyDescent="0.3">
      <c r="AD27328" s="16"/>
    </row>
    <row r="27329" spans="30:30" x14ac:dyDescent="0.3">
      <c r="AD27329" s="16"/>
    </row>
    <row r="27330" spans="30:30" x14ac:dyDescent="0.3">
      <c r="AD27330" s="16"/>
    </row>
    <row r="27331" spans="30:30" x14ac:dyDescent="0.3">
      <c r="AD27331" s="16"/>
    </row>
    <row r="27332" spans="30:30" x14ac:dyDescent="0.3">
      <c r="AD27332" s="16"/>
    </row>
    <row r="27333" spans="30:30" x14ac:dyDescent="0.3">
      <c r="AD27333" s="16"/>
    </row>
    <row r="27334" spans="30:30" x14ac:dyDescent="0.3">
      <c r="AD27334" s="16"/>
    </row>
    <row r="27335" spans="30:30" x14ac:dyDescent="0.3">
      <c r="AD27335" s="16"/>
    </row>
    <row r="27336" spans="30:30" x14ac:dyDescent="0.3">
      <c r="AD27336" s="16"/>
    </row>
    <row r="27337" spans="30:30" x14ac:dyDescent="0.3">
      <c r="AD27337" s="16"/>
    </row>
    <row r="27338" spans="30:30" x14ac:dyDescent="0.3">
      <c r="AD27338" s="16"/>
    </row>
    <row r="27339" spans="30:30" x14ac:dyDescent="0.3">
      <c r="AD27339" s="16"/>
    </row>
    <row r="27340" spans="30:30" x14ac:dyDescent="0.3">
      <c r="AD27340" s="16"/>
    </row>
    <row r="27341" spans="30:30" x14ac:dyDescent="0.3">
      <c r="AD27341" s="16"/>
    </row>
    <row r="27342" spans="30:30" x14ac:dyDescent="0.3">
      <c r="AD27342" s="16"/>
    </row>
    <row r="27343" spans="30:30" x14ac:dyDescent="0.3">
      <c r="AD27343" s="16"/>
    </row>
    <row r="27344" spans="30:30" x14ac:dyDescent="0.3">
      <c r="AD27344" s="16"/>
    </row>
    <row r="27345" spans="30:30" x14ac:dyDescent="0.3">
      <c r="AD27345" s="16"/>
    </row>
    <row r="27346" spans="30:30" x14ac:dyDescent="0.3">
      <c r="AD27346" s="16"/>
    </row>
    <row r="27347" spans="30:30" x14ac:dyDescent="0.3">
      <c r="AD27347" s="16"/>
    </row>
    <row r="27348" spans="30:30" x14ac:dyDescent="0.3">
      <c r="AD27348" s="16"/>
    </row>
    <row r="27349" spans="30:30" x14ac:dyDescent="0.3">
      <c r="AD27349" s="16"/>
    </row>
    <row r="27350" spans="30:30" x14ac:dyDescent="0.3">
      <c r="AD27350" s="16"/>
    </row>
    <row r="27351" spans="30:30" x14ac:dyDescent="0.3">
      <c r="AD27351" s="16"/>
    </row>
    <row r="27352" spans="30:30" x14ac:dyDescent="0.3">
      <c r="AD27352" s="16"/>
    </row>
    <row r="27353" spans="30:30" x14ac:dyDescent="0.3">
      <c r="AD27353" s="16"/>
    </row>
    <row r="27354" spans="30:30" x14ac:dyDescent="0.3">
      <c r="AD27354" s="16"/>
    </row>
    <row r="27355" spans="30:30" x14ac:dyDescent="0.3">
      <c r="AD27355" s="16"/>
    </row>
    <row r="27356" spans="30:30" x14ac:dyDescent="0.3">
      <c r="AD27356" s="16"/>
    </row>
    <row r="27357" spans="30:30" x14ac:dyDescent="0.3">
      <c r="AD27357" s="16"/>
    </row>
    <row r="27358" spans="30:30" x14ac:dyDescent="0.3">
      <c r="AD27358" s="16"/>
    </row>
    <row r="27359" spans="30:30" x14ac:dyDescent="0.3">
      <c r="AD27359" s="16"/>
    </row>
    <row r="27360" spans="30:30" x14ac:dyDescent="0.3">
      <c r="AD27360" s="16"/>
    </row>
    <row r="27361" spans="30:30" x14ac:dyDescent="0.3">
      <c r="AD27361" s="16"/>
    </row>
    <row r="27362" spans="30:30" x14ac:dyDescent="0.3">
      <c r="AD27362" s="16"/>
    </row>
    <row r="27363" spans="30:30" x14ac:dyDescent="0.3">
      <c r="AD27363" s="16"/>
    </row>
    <row r="27364" spans="30:30" x14ac:dyDescent="0.3">
      <c r="AD27364" s="16"/>
    </row>
    <row r="27365" spans="30:30" x14ac:dyDescent="0.3">
      <c r="AD27365" s="16"/>
    </row>
    <row r="27366" spans="30:30" x14ac:dyDescent="0.3">
      <c r="AD27366" s="16"/>
    </row>
    <row r="27367" spans="30:30" x14ac:dyDescent="0.3">
      <c r="AD27367" s="16"/>
    </row>
    <row r="27368" spans="30:30" x14ac:dyDescent="0.3">
      <c r="AD27368" s="16"/>
    </row>
    <row r="27369" spans="30:30" x14ac:dyDescent="0.3">
      <c r="AD27369" s="16"/>
    </row>
    <row r="27370" spans="30:30" x14ac:dyDescent="0.3">
      <c r="AD27370" s="16"/>
    </row>
    <row r="27371" spans="30:30" x14ac:dyDescent="0.3">
      <c r="AD27371" s="16"/>
    </row>
    <row r="27372" spans="30:30" x14ac:dyDescent="0.3">
      <c r="AD27372" s="16"/>
    </row>
    <row r="27373" spans="30:30" x14ac:dyDescent="0.3">
      <c r="AD27373" s="16"/>
    </row>
    <row r="27374" spans="30:30" x14ac:dyDescent="0.3">
      <c r="AD27374" s="16"/>
    </row>
    <row r="27375" spans="30:30" x14ac:dyDescent="0.3">
      <c r="AD27375" s="16"/>
    </row>
    <row r="27376" spans="30:30" x14ac:dyDescent="0.3">
      <c r="AD27376" s="16"/>
    </row>
    <row r="27377" spans="30:30" x14ac:dyDescent="0.3">
      <c r="AD27377" s="16"/>
    </row>
    <row r="27378" spans="30:30" x14ac:dyDescent="0.3">
      <c r="AD27378" s="16"/>
    </row>
    <row r="27379" spans="30:30" x14ac:dyDescent="0.3">
      <c r="AD27379" s="16"/>
    </row>
    <row r="27380" spans="30:30" x14ac:dyDescent="0.3">
      <c r="AD27380" s="16"/>
    </row>
    <row r="27381" spans="30:30" x14ac:dyDescent="0.3">
      <c r="AD27381" s="16"/>
    </row>
    <row r="27382" spans="30:30" x14ac:dyDescent="0.3">
      <c r="AD27382" s="16"/>
    </row>
    <row r="27383" spans="30:30" x14ac:dyDescent="0.3">
      <c r="AD27383" s="16"/>
    </row>
    <row r="27384" spans="30:30" x14ac:dyDescent="0.3">
      <c r="AD27384" s="16"/>
    </row>
    <row r="27385" spans="30:30" x14ac:dyDescent="0.3">
      <c r="AD27385" s="16"/>
    </row>
    <row r="27386" spans="30:30" x14ac:dyDescent="0.3">
      <c r="AD27386" s="16"/>
    </row>
    <row r="27387" spans="30:30" x14ac:dyDescent="0.3">
      <c r="AD27387" s="16"/>
    </row>
    <row r="27388" spans="30:30" x14ac:dyDescent="0.3">
      <c r="AD27388" s="16"/>
    </row>
    <row r="27389" spans="30:30" x14ac:dyDescent="0.3">
      <c r="AD27389" s="16"/>
    </row>
    <row r="27390" spans="30:30" x14ac:dyDescent="0.3">
      <c r="AD27390" s="16"/>
    </row>
    <row r="27391" spans="30:30" x14ac:dyDescent="0.3">
      <c r="AD27391" s="16"/>
    </row>
    <row r="27392" spans="30:30" x14ac:dyDescent="0.3">
      <c r="AD27392" s="16"/>
    </row>
    <row r="27393" spans="30:30" x14ac:dyDescent="0.3">
      <c r="AD27393" s="16"/>
    </row>
    <row r="27394" spans="30:30" x14ac:dyDescent="0.3">
      <c r="AD27394" s="16"/>
    </row>
    <row r="27395" spans="30:30" x14ac:dyDescent="0.3">
      <c r="AD27395" s="16"/>
    </row>
    <row r="27396" spans="30:30" x14ac:dyDescent="0.3">
      <c r="AD27396" s="16"/>
    </row>
    <row r="27397" spans="30:30" x14ac:dyDescent="0.3">
      <c r="AD27397" s="16"/>
    </row>
    <row r="27398" spans="30:30" x14ac:dyDescent="0.3">
      <c r="AD27398" s="16"/>
    </row>
    <row r="27399" spans="30:30" x14ac:dyDescent="0.3">
      <c r="AD27399" s="16"/>
    </row>
    <row r="27400" spans="30:30" x14ac:dyDescent="0.3">
      <c r="AD27400" s="16"/>
    </row>
    <row r="27401" spans="30:30" x14ac:dyDescent="0.3">
      <c r="AD27401" s="16"/>
    </row>
    <row r="27402" spans="30:30" x14ac:dyDescent="0.3">
      <c r="AD27402" s="16"/>
    </row>
    <row r="27403" spans="30:30" x14ac:dyDescent="0.3">
      <c r="AD27403" s="16"/>
    </row>
    <row r="27404" spans="30:30" x14ac:dyDescent="0.3">
      <c r="AD27404" s="16"/>
    </row>
    <row r="27405" spans="30:30" x14ac:dyDescent="0.3">
      <c r="AD27405" s="16"/>
    </row>
    <row r="27406" spans="30:30" x14ac:dyDescent="0.3">
      <c r="AD27406" s="16"/>
    </row>
    <row r="27407" spans="30:30" x14ac:dyDescent="0.3">
      <c r="AD27407" s="16"/>
    </row>
    <row r="27408" spans="30:30" x14ac:dyDescent="0.3">
      <c r="AD27408" s="16"/>
    </row>
    <row r="27409" spans="30:30" x14ac:dyDescent="0.3">
      <c r="AD27409" s="16"/>
    </row>
    <row r="27410" spans="30:30" x14ac:dyDescent="0.3">
      <c r="AD27410" s="16"/>
    </row>
    <row r="27411" spans="30:30" x14ac:dyDescent="0.3">
      <c r="AD27411" s="16"/>
    </row>
    <row r="27412" spans="30:30" x14ac:dyDescent="0.3">
      <c r="AD27412" s="16"/>
    </row>
    <row r="27413" spans="30:30" x14ac:dyDescent="0.3">
      <c r="AD27413" s="16"/>
    </row>
    <row r="27414" spans="30:30" x14ac:dyDescent="0.3">
      <c r="AD27414" s="16"/>
    </row>
    <row r="27415" spans="30:30" x14ac:dyDescent="0.3">
      <c r="AD27415" s="16"/>
    </row>
    <row r="27416" spans="30:30" x14ac:dyDescent="0.3">
      <c r="AD27416" s="16"/>
    </row>
    <row r="27417" spans="30:30" x14ac:dyDescent="0.3">
      <c r="AD27417" s="16"/>
    </row>
    <row r="27418" spans="30:30" x14ac:dyDescent="0.3">
      <c r="AD27418" s="16"/>
    </row>
    <row r="27419" spans="30:30" x14ac:dyDescent="0.3">
      <c r="AD27419" s="16"/>
    </row>
    <row r="27420" spans="30:30" x14ac:dyDescent="0.3">
      <c r="AD27420" s="16"/>
    </row>
    <row r="27421" spans="30:30" x14ac:dyDescent="0.3">
      <c r="AD27421" s="16"/>
    </row>
    <row r="27422" spans="30:30" x14ac:dyDescent="0.3">
      <c r="AD27422" s="16"/>
    </row>
    <row r="27423" spans="30:30" x14ac:dyDescent="0.3">
      <c r="AD27423" s="16"/>
    </row>
    <row r="27424" spans="30:30" x14ac:dyDescent="0.3">
      <c r="AD27424" s="16"/>
    </row>
    <row r="27425" spans="30:30" x14ac:dyDescent="0.3">
      <c r="AD27425" s="16"/>
    </row>
    <row r="27426" spans="30:30" x14ac:dyDescent="0.3">
      <c r="AD27426" s="16"/>
    </row>
    <row r="27427" spans="30:30" x14ac:dyDescent="0.3">
      <c r="AD27427" s="16"/>
    </row>
    <row r="27428" spans="30:30" x14ac:dyDescent="0.3">
      <c r="AD27428" s="16"/>
    </row>
    <row r="27429" spans="30:30" x14ac:dyDescent="0.3">
      <c r="AD27429" s="16"/>
    </row>
    <row r="27430" spans="30:30" x14ac:dyDescent="0.3">
      <c r="AD27430" s="16"/>
    </row>
    <row r="27431" spans="30:30" x14ac:dyDescent="0.3">
      <c r="AD27431" s="16"/>
    </row>
    <row r="27432" spans="30:30" x14ac:dyDescent="0.3">
      <c r="AD27432" s="16"/>
    </row>
    <row r="27433" spans="30:30" x14ac:dyDescent="0.3">
      <c r="AD27433" s="16"/>
    </row>
    <row r="27434" spans="30:30" x14ac:dyDescent="0.3">
      <c r="AD27434" s="16"/>
    </row>
    <row r="27435" spans="30:30" x14ac:dyDescent="0.3">
      <c r="AD27435" s="16"/>
    </row>
    <row r="27436" spans="30:30" x14ac:dyDescent="0.3">
      <c r="AD27436" s="16"/>
    </row>
    <row r="27437" spans="30:30" x14ac:dyDescent="0.3">
      <c r="AD27437" s="16"/>
    </row>
    <row r="27438" spans="30:30" x14ac:dyDescent="0.3">
      <c r="AD27438" s="16"/>
    </row>
    <row r="27439" spans="30:30" x14ac:dyDescent="0.3">
      <c r="AD27439" s="16"/>
    </row>
    <row r="27440" spans="30:30" x14ac:dyDescent="0.3">
      <c r="AD27440" s="16"/>
    </row>
    <row r="27441" spans="30:30" x14ac:dyDescent="0.3">
      <c r="AD27441" s="16"/>
    </row>
    <row r="27442" spans="30:30" x14ac:dyDescent="0.3">
      <c r="AD27442" s="16"/>
    </row>
    <row r="27443" spans="30:30" x14ac:dyDescent="0.3">
      <c r="AD27443" s="16"/>
    </row>
    <row r="27444" spans="30:30" x14ac:dyDescent="0.3">
      <c r="AD27444" s="16"/>
    </row>
    <row r="27445" spans="30:30" x14ac:dyDescent="0.3">
      <c r="AD27445" s="16"/>
    </row>
    <row r="27446" spans="30:30" x14ac:dyDescent="0.3">
      <c r="AD27446" s="16"/>
    </row>
    <row r="27447" spans="30:30" x14ac:dyDescent="0.3">
      <c r="AD27447" s="16"/>
    </row>
    <row r="27448" spans="30:30" x14ac:dyDescent="0.3">
      <c r="AD27448" s="16"/>
    </row>
    <row r="27449" spans="30:30" x14ac:dyDescent="0.3">
      <c r="AD27449" s="16"/>
    </row>
    <row r="27450" spans="30:30" x14ac:dyDescent="0.3">
      <c r="AD27450" s="16"/>
    </row>
    <row r="27451" spans="30:30" x14ac:dyDescent="0.3">
      <c r="AD27451" s="16"/>
    </row>
    <row r="27452" spans="30:30" x14ac:dyDescent="0.3">
      <c r="AD27452" s="16"/>
    </row>
    <row r="27453" spans="30:30" x14ac:dyDescent="0.3">
      <c r="AD27453" s="16"/>
    </row>
    <row r="27454" spans="30:30" x14ac:dyDescent="0.3">
      <c r="AD27454" s="16"/>
    </row>
    <row r="27455" spans="30:30" x14ac:dyDescent="0.3">
      <c r="AD27455" s="16"/>
    </row>
    <row r="27456" spans="30:30" x14ac:dyDescent="0.3">
      <c r="AD27456" s="16"/>
    </row>
    <row r="27457" spans="30:30" x14ac:dyDescent="0.3">
      <c r="AD27457" s="16"/>
    </row>
    <row r="27458" spans="30:30" x14ac:dyDescent="0.3">
      <c r="AD27458" s="16"/>
    </row>
    <row r="27459" spans="30:30" x14ac:dyDescent="0.3">
      <c r="AD27459" s="16"/>
    </row>
    <row r="27460" spans="30:30" x14ac:dyDescent="0.3">
      <c r="AD27460" s="16"/>
    </row>
    <row r="27461" spans="30:30" x14ac:dyDescent="0.3">
      <c r="AD27461" s="16"/>
    </row>
    <row r="27462" spans="30:30" x14ac:dyDescent="0.3">
      <c r="AD27462" s="16"/>
    </row>
    <row r="27463" spans="30:30" x14ac:dyDescent="0.3">
      <c r="AD27463" s="16"/>
    </row>
    <row r="27464" spans="30:30" x14ac:dyDescent="0.3">
      <c r="AD27464" s="16"/>
    </row>
    <row r="27465" spans="30:30" x14ac:dyDescent="0.3">
      <c r="AD27465" s="16"/>
    </row>
    <row r="27466" spans="30:30" x14ac:dyDescent="0.3">
      <c r="AD27466" s="16"/>
    </row>
    <row r="27467" spans="30:30" x14ac:dyDescent="0.3">
      <c r="AD27467" s="16"/>
    </row>
    <row r="27468" spans="30:30" x14ac:dyDescent="0.3">
      <c r="AD27468" s="16"/>
    </row>
    <row r="27469" spans="30:30" x14ac:dyDescent="0.3">
      <c r="AD27469" s="16"/>
    </row>
    <row r="27470" spans="30:30" x14ac:dyDescent="0.3">
      <c r="AD27470" s="16"/>
    </row>
    <row r="27471" spans="30:30" x14ac:dyDescent="0.3">
      <c r="AD27471" s="16"/>
    </row>
    <row r="27472" spans="30:30" x14ac:dyDescent="0.3">
      <c r="AD27472" s="16"/>
    </row>
    <row r="27473" spans="30:30" x14ac:dyDescent="0.3">
      <c r="AD27473" s="16"/>
    </row>
    <row r="27474" spans="30:30" x14ac:dyDescent="0.3">
      <c r="AD27474" s="16"/>
    </row>
    <row r="27475" spans="30:30" x14ac:dyDescent="0.3">
      <c r="AD27475" s="16"/>
    </row>
    <row r="27476" spans="30:30" x14ac:dyDescent="0.3">
      <c r="AD27476" s="16"/>
    </row>
    <row r="27477" spans="30:30" x14ac:dyDescent="0.3">
      <c r="AD27477" s="16"/>
    </row>
    <row r="27478" spans="30:30" x14ac:dyDescent="0.3">
      <c r="AD27478" s="16"/>
    </row>
    <row r="27479" spans="30:30" x14ac:dyDescent="0.3">
      <c r="AD27479" s="16"/>
    </row>
    <row r="27480" spans="30:30" x14ac:dyDescent="0.3">
      <c r="AD27480" s="16"/>
    </row>
    <row r="27481" spans="30:30" x14ac:dyDescent="0.3">
      <c r="AD27481" s="16"/>
    </row>
    <row r="27482" spans="30:30" x14ac:dyDescent="0.3">
      <c r="AD27482" s="16"/>
    </row>
    <row r="27483" spans="30:30" x14ac:dyDescent="0.3">
      <c r="AD27483" s="16"/>
    </row>
    <row r="27484" spans="30:30" x14ac:dyDescent="0.3">
      <c r="AD27484" s="16"/>
    </row>
    <row r="27485" spans="30:30" x14ac:dyDescent="0.3">
      <c r="AD27485" s="16"/>
    </row>
    <row r="27486" spans="30:30" x14ac:dyDescent="0.3">
      <c r="AD27486" s="16"/>
    </row>
    <row r="27487" spans="30:30" x14ac:dyDescent="0.3">
      <c r="AD27487" s="16"/>
    </row>
    <row r="27488" spans="30:30" x14ac:dyDescent="0.3">
      <c r="AD27488" s="16"/>
    </row>
    <row r="27489" spans="30:30" x14ac:dyDescent="0.3">
      <c r="AD27489" s="16"/>
    </row>
    <row r="27490" spans="30:30" x14ac:dyDescent="0.3">
      <c r="AD27490" s="16"/>
    </row>
    <row r="27491" spans="30:30" x14ac:dyDescent="0.3">
      <c r="AD27491" s="16"/>
    </row>
    <row r="27492" spans="30:30" x14ac:dyDescent="0.3">
      <c r="AD27492" s="16"/>
    </row>
    <row r="27493" spans="30:30" x14ac:dyDescent="0.3">
      <c r="AD27493" s="16"/>
    </row>
    <row r="27494" spans="30:30" x14ac:dyDescent="0.3">
      <c r="AD27494" s="16"/>
    </row>
    <row r="27495" spans="30:30" x14ac:dyDescent="0.3">
      <c r="AD27495" s="16"/>
    </row>
    <row r="27496" spans="30:30" x14ac:dyDescent="0.3">
      <c r="AD27496" s="16"/>
    </row>
    <row r="27497" spans="30:30" x14ac:dyDescent="0.3">
      <c r="AD27497" s="16"/>
    </row>
    <row r="27498" spans="30:30" x14ac:dyDescent="0.3">
      <c r="AD27498" s="16"/>
    </row>
    <row r="27499" spans="30:30" x14ac:dyDescent="0.3">
      <c r="AD27499" s="16"/>
    </row>
    <row r="27500" spans="30:30" x14ac:dyDescent="0.3">
      <c r="AD27500" s="16"/>
    </row>
    <row r="27501" spans="30:30" x14ac:dyDescent="0.3">
      <c r="AD27501" s="16"/>
    </row>
    <row r="27502" spans="30:30" x14ac:dyDescent="0.3">
      <c r="AD27502" s="16"/>
    </row>
    <row r="27503" spans="30:30" x14ac:dyDescent="0.3">
      <c r="AD27503" s="16"/>
    </row>
    <row r="27504" spans="30:30" x14ac:dyDescent="0.3">
      <c r="AD27504" s="16"/>
    </row>
    <row r="27505" spans="30:30" x14ac:dyDescent="0.3">
      <c r="AD27505" s="16"/>
    </row>
    <row r="27506" spans="30:30" x14ac:dyDescent="0.3">
      <c r="AD27506" s="16"/>
    </row>
    <row r="27507" spans="30:30" x14ac:dyDescent="0.3">
      <c r="AD27507" s="16"/>
    </row>
    <row r="27508" spans="30:30" x14ac:dyDescent="0.3">
      <c r="AD27508" s="16"/>
    </row>
    <row r="27509" spans="30:30" x14ac:dyDescent="0.3">
      <c r="AD27509" s="16"/>
    </row>
    <row r="27510" spans="30:30" x14ac:dyDescent="0.3">
      <c r="AD27510" s="16"/>
    </row>
    <row r="27511" spans="30:30" x14ac:dyDescent="0.3">
      <c r="AD27511" s="16"/>
    </row>
    <row r="27512" spans="30:30" x14ac:dyDescent="0.3">
      <c r="AD27512" s="16"/>
    </row>
    <row r="27513" spans="30:30" x14ac:dyDescent="0.3">
      <c r="AD27513" s="16"/>
    </row>
    <row r="27514" spans="30:30" x14ac:dyDescent="0.3">
      <c r="AD27514" s="16"/>
    </row>
    <row r="27515" spans="30:30" x14ac:dyDescent="0.3">
      <c r="AD27515" s="16"/>
    </row>
    <row r="27516" spans="30:30" x14ac:dyDescent="0.3">
      <c r="AD27516" s="16"/>
    </row>
    <row r="27517" spans="30:30" x14ac:dyDescent="0.3">
      <c r="AD27517" s="16"/>
    </row>
    <row r="27518" spans="30:30" x14ac:dyDescent="0.3">
      <c r="AD27518" s="16"/>
    </row>
    <row r="27519" spans="30:30" x14ac:dyDescent="0.3">
      <c r="AD27519" s="16"/>
    </row>
    <row r="27520" spans="30:30" x14ac:dyDescent="0.3">
      <c r="AD27520" s="16"/>
    </row>
    <row r="27521" spans="30:30" x14ac:dyDescent="0.3">
      <c r="AD27521" s="16"/>
    </row>
    <row r="27522" spans="30:30" x14ac:dyDescent="0.3">
      <c r="AD27522" s="16"/>
    </row>
    <row r="27523" spans="30:30" x14ac:dyDescent="0.3">
      <c r="AD27523" s="16"/>
    </row>
    <row r="27524" spans="30:30" x14ac:dyDescent="0.3">
      <c r="AD27524" s="16"/>
    </row>
    <row r="27525" spans="30:30" x14ac:dyDescent="0.3">
      <c r="AD27525" s="16"/>
    </row>
    <row r="27526" spans="30:30" x14ac:dyDescent="0.3">
      <c r="AD27526" s="16"/>
    </row>
    <row r="27527" spans="30:30" x14ac:dyDescent="0.3">
      <c r="AD27527" s="16"/>
    </row>
    <row r="27528" spans="30:30" x14ac:dyDescent="0.3">
      <c r="AD27528" s="16"/>
    </row>
    <row r="27529" spans="30:30" x14ac:dyDescent="0.3">
      <c r="AD27529" s="16"/>
    </row>
    <row r="27530" spans="30:30" x14ac:dyDescent="0.3">
      <c r="AD27530" s="16"/>
    </row>
    <row r="27531" spans="30:30" x14ac:dyDescent="0.3">
      <c r="AD27531" s="16"/>
    </row>
    <row r="27532" spans="30:30" x14ac:dyDescent="0.3">
      <c r="AD27532" s="16"/>
    </row>
    <row r="27533" spans="30:30" x14ac:dyDescent="0.3">
      <c r="AD27533" s="16"/>
    </row>
    <row r="27534" spans="30:30" x14ac:dyDescent="0.3">
      <c r="AD27534" s="16"/>
    </row>
    <row r="27535" spans="30:30" x14ac:dyDescent="0.3">
      <c r="AD27535" s="16"/>
    </row>
    <row r="27536" spans="30:30" x14ac:dyDescent="0.3">
      <c r="AD27536" s="16"/>
    </row>
    <row r="27537" spans="30:30" x14ac:dyDescent="0.3">
      <c r="AD27537" s="16"/>
    </row>
    <row r="27538" spans="30:30" x14ac:dyDescent="0.3">
      <c r="AD27538" s="16"/>
    </row>
    <row r="27539" spans="30:30" x14ac:dyDescent="0.3">
      <c r="AD27539" s="16"/>
    </row>
    <row r="27540" spans="30:30" x14ac:dyDescent="0.3">
      <c r="AD27540" s="16"/>
    </row>
    <row r="27541" spans="30:30" x14ac:dyDescent="0.3">
      <c r="AD27541" s="16"/>
    </row>
    <row r="27542" spans="30:30" x14ac:dyDescent="0.3">
      <c r="AD27542" s="16"/>
    </row>
    <row r="27543" spans="30:30" x14ac:dyDescent="0.3">
      <c r="AD27543" s="16"/>
    </row>
    <row r="27544" spans="30:30" x14ac:dyDescent="0.3">
      <c r="AD27544" s="16"/>
    </row>
    <row r="27545" spans="30:30" x14ac:dyDescent="0.3">
      <c r="AD27545" s="16"/>
    </row>
    <row r="27546" spans="30:30" x14ac:dyDescent="0.3">
      <c r="AD27546" s="16"/>
    </row>
    <row r="27547" spans="30:30" x14ac:dyDescent="0.3">
      <c r="AD27547" s="16"/>
    </row>
    <row r="27548" spans="30:30" x14ac:dyDescent="0.3">
      <c r="AD27548" s="16"/>
    </row>
    <row r="27549" spans="30:30" x14ac:dyDescent="0.3">
      <c r="AD27549" s="16"/>
    </row>
    <row r="27550" spans="30:30" x14ac:dyDescent="0.3">
      <c r="AD27550" s="16"/>
    </row>
    <row r="27551" spans="30:30" x14ac:dyDescent="0.3">
      <c r="AD27551" s="16"/>
    </row>
    <row r="27552" spans="30:30" x14ac:dyDescent="0.3">
      <c r="AD27552" s="16"/>
    </row>
    <row r="27553" spans="30:30" x14ac:dyDescent="0.3">
      <c r="AD27553" s="16"/>
    </row>
    <row r="27554" spans="30:30" x14ac:dyDescent="0.3">
      <c r="AD27554" s="16"/>
    </row>
    <row r="27555" spans="30:30" x14ac:dyDescent="0.3">
      <c r="AD27555" s="16"/>
    </row>
    <row r="27556" spans="30:30" x14ac:dyDescent="0.3">
      <c r="AD27556" s="16"/>
    </row>
    <row r="27557" spans="30:30" x14ac:dyDescent="0.3">
      <c r="AD27557" s="16"/>
    </row>
    <row r="27558" spans="30:30" x14ac:dyDescent="0.3">
      <c r="AD27558" s="16"/>
    </row>
    <row r="27559" spans="30:30" x14ac:dyDescent="0.3">
      <c r="AD27559" s="16"/>
    </row>
    <row r="27560" spans="30:30" x14ac:dyDescent="0.3">
      <c r="AD27560" s="16"/>
    </row>
    <row r="27561" spans="30:30" x14ac:dyDescent="0.3">
      <c r="AD27561" s="16"/>
    </row>
    <row r="27562" spans="30:30" x14ac:dyDescent="0.3">
      <c r="AD27562" s="16"/>
    </row>
    <row r="27563" spans="30:30" x14ac:dyDescent="0.3">
      <c r="AD27563" s="16"/>
    </row>
    <row r="27564" spans="30:30" x14ac:dyDescent="0.3">
      <c r="AD27564" s="16"/>
    </row>
    <row r="27565" spans="30:30" x14ac:dyDescent="0.3">
      <c r="AD27565" s="16"/>
    </row>
    <row r="27566" spans="30:30" x14ac:dyDescent="0.3">
      <c r="AD27566" s="16"/>
    </row>
    <row r="27567" spans="30:30" x14ac:dyDescent="0.3">
      <c r="AD27567" s="16"/>
    </row>
    <row r="27568" spans="30:30" x14ac:dyDescent="0.3">
      <c r="AD27568" s="16"/>
    </row>
    <row r="27569" spans="30:30" x14ac:dyDescent="0.3">
      <c r="AD27569" s="16"/>
    </row>
    <row r="27570" spans="30:30" x14ac:dyDescent="0.3">
      <c r="AD27570" s="16"/>
    </row>
    <row r="27571" spans="30:30" x14ac:dyDescent="0.3">
      <c r="AD27571" s="16"/>
    </row>
    <row r="27572" spans="30:30" x14ac:dyDescent="0.3">
      <c r="AD27572" s="16"/>
    </row>
    <row r="27573" spans="30:30" x14ac:dyDescent="0.3">
      <c r="AD27573" s="16"/>
    </row>
    <row r="27574" spans="30:30" x14ac:dyDescent="0.3">
      <c r="AD27574" s="16"/>
    </row>
    <row r="27575" spans="30:30" x14ac:dyDescent="0.3">
      <c r="AD27575" s="16"/>
    </row>
    <row r="27576" spans="30:30" x14ac:dyDescent="0.3">
      <c r="AD27576" s="16"/>
    </row>
    <row r="27577" spans="30:30" x14ac:dyDescent="0.3">
      <c r="AD27577" s="16"/>
    </row>
    <row r="27578" spans="30:30" x14ac:dyDescent="0.3">
      <c r="AD27578" s="16"/>
    </row>
    <row r="27579" spans="30:30" x14ac:dyDescent="0.3">
      <c r="AD27579" s="16"/>
    </row>
    <row r="27580" spans="30:30" x14ac:dyDescent="0.3">
      <c r="AD27580" s="16"/>
    </row>
    <row r="27581" spans="30:30" x14ac:dyDescent="0.3">
      <c r="AD27581" s="16"/>
    </row>
    <row r="27582" spans="30:30" x14ac:dyDescent="0.3">
      <c r="AD27582" s="16"/>
    </row>
    <row r="27583" spans="30:30" x14ac:dyDescent="0.3">
      <c r="AD27583" s="16"/>
    </row>
    <row r="27584" spans="30:30" x14ac:dyDescent="0.3">
      <c r="AD27584" s="16"/>
    </row>
    <row r="27585" spans="30:30" x14ac:dyDescent="0.3">
      <c r="AD27585" s="16"/>
    </row>
    <row r="27586" spans="30:30" x14ac:dyDescent="0.3">
      <c r="AD27586" s="16"/>
    </row>
    <row r="27587" spans="30:30" x14ac:dyDescent="0.3">
      <c r="AD27587" s="16"/>
    </row>
    <row r="27588" spans="30:30" x14ac:dyDescent="0.3">
      <c r="AD27588" s="16"/>
    </row>
    <row r="27589" spans="30:30" x14ac:dyDescent="0.3">
      <c r="AD27589" s="16"/>
    </row>
    <row r="27590" spans="30:30" x14ac:dyDescent="0.3">
      <c r="AD27590" s="16"/>
    </row>
    <row r="27591" spans="30:30" x14ac:dyDescent="0.3">
      <c r="AD27591" s="16"/>
    </row>
    <row r="27592" spans="30:30" x14ac:dyDescent="0.3">
      <c r="AD27592" s="16"/>
    </row>
    <row r="27593" spans="30:30" x14ac:dyDescent="0.3">
      <c r="AD27593" s="16"/>
    </row>
    <row r="27594" spans="30:30" x14ac:dyDescent="0.3">
      <c r="AD27594" s="16"/>
    </row>
    <row r="27595" spans="30:30" x14ac:dyDescent="0.3">
      <c r="AD27595" s="16"/>
    </row>
    <row r="27596" spans="30:30" x14ac:dyDescent="0.3">
      <c r="AD27596" s="16"/>
    </row>
    <row r="27597" spans="30:30" x14ac:dyDescent="0.3">
      <c r="AD27597" s="16"/>
    </row>
    <row r="27598" spans="30:30" x14ac:dyDescent="0.3">
      <c r="AD27598" s="16"/>
    </row>
    <row r="27599" spans="30:30" x14ac:dyDescent="0.3">
      <c r="AD27599" s="16"/>
    </row>
    <row r="27600" spans="30:30" x14ac:dyDescent="0.3">
      <c r="AD27600" s="16"/>
    </row>
    <row r="27601" spans="30:30" x14ac:dyDescent="0.3">
      <c r="AD27601" s="16"/>
    </row>
    <row r="27602" spans="30:30" x14ac:dyDescent="0.3">
      <c r="AD27602" s="16"/>
    </row>
    <row r="27603" spans="30:30" x14ac:dyDescent="0.3">
      <c r="AD27603" s="16"/>
    </row>
    <row r="27604" spans="30:30" x14ac:dyDescent="0.3">
      <c r="AD27604" s="16"/>
    </row>
    <row r="27605" spans="30:30" x14ac:dyDescent="0.3">
      <c r="AD27605" s="16"/>
    </row>
    <row r="27606" spans="30:30" x14ac:dyDescent="0.3">
      <c r="AD27606" s="16"/>
    </row>
    <row r="27607" spans="30:30" x14ac:dyDescent="0.3">
      <c r="AD27607" s="16"/>
    </row>
    <row r="27608" spans="30:30" x14ac:dyDescent="0.3">
      <c r="AD27608" s="16"/>
    </row>
    <row r="27609" spans="30:30" x14ac:dyDescent="0.3">
      <c r="AD27609" s="16"/>
    </row>
    <row r="27610" spans="30:30" x14ac:dyDescent="0.3">
      <c r="AD27610" s="16"/>
    </row>
    <row r="27611" spans="30:30" x14ac:dyDescent="0.3">
      <c r="AD27611" s="16"/>
    </row>
    <row r="27612" spans="30:30" x14ac:dyDescent="0.3">
      <c r="AD27612" s="16"/>
    </row>
    <row r="27613" spans="30:30" x14ac:dyDescent="0.3">
      <c r="AD27613" s="16"/>
    </row>
    <row r="27614" spans="30:30" x14ac:dyDescent="0.3">
      <c r="AD27614" s="16"/>
    </row>
    <row r="27615" spans="30:30" x14ac:dyDescent="0.3">
      <c r="AD27615" s="16"/>
    </row>
    <row r="27616" spans="30:30" x14ac:dyDescent="0.3">
      <c r="AD27616" s="16"/>
    </row>
    <row r="27617" spans="30:30" x14ac:dyDescent="0.3">
      <c r="AD27617" s="16"/>
    </row>
    <row r="27618" spans="30:30" x14ac:dyDescent="0.3">
      <c r="AD27618" s="16"/>
    </row>
    <row r="27619" spans="30:30" x14ac:dyDescent="0.3">
      <c r="AD27619" s="16"/>
    </row>
    <row r="27620" spans="30:30" x14ac:dyDescent="0.3">
      <c r="AD27620" s="16"/>
    </row>
    <row r="27621" spans="30:30" x14ac:dyDescent="0.3">
      <c r="AD27621" s="16"/>
    </row>
    <row r="27622" spans="30:30" x14ac:dyDescent="0.3">
      <c r="AD27622" s="16"/>
    </row>
    <row r="27623" spans="30:30" x14ac:dyDescent="0.3">
      <c r="AD27623" s="16"/>
    </row>
    <row r="27624" spans="30:30" x14ac:dyDescent="0.3">
      <c r="AD27624" s="16"/>
    </row>
    <row r="27625" spans="30:30" x14ac:dyDescent="0.3">
      <c r="AD27625" s="16"/>
    </row>
    <row r="27626" spans="30:30" x14ac:dyDescent="0.3">
      <c r="AD27626" s="16"/>
    </row>
    <row r="27627" spans="30:30" x14ac:dyDescent="0.3">
      <c r="AD27627" s="16"/>
    </row>
    <row r="27628" spans="30:30" x14ac:dyDescent="0.3">
      <c r="AD27628" s="16"/>
    </row>
    <row r="27629" spans="30:30" x14ac:dyDescent="0.3">
      <c r="AD27629" s="16"/>
    </row>
    <row r="27630" spans="30:30" x14ac:dyDescent="0.3">
      <c r="AD27630" s="16"/>
    </row>
    <row r="27631" spans="30:30" x14ac:dyDescent="0.3">
      <c r="AD27631" s="16"/>
    </row>
    <row r="27632" spans="30:30" x14ac:dyDescent="0.3">
      <c r="AD27632" s="16"/>
    </row>
    <row r="27633" spans="30:30" x14ac:dyDescent="0.3">
      <c r="AD27633" s="16"/>
    </row>
    <row r="27634" spans="30:30" x14ac:dyDescent="0.3">
      <c r="AD27634" s="16"/>
    </row>
    <row r="27635" spans="30:30" x14ac:dyDescent="0.3">
      <c r="AD27635" s="16"/>
    </row>
    <row r="27636" spans="30:30" x14ac:dyDescent="0.3">
      <c r="AD27636" s="16"/>
    </row>
    <row r="27637" spans="30:30" x14ac:dyDescent="0.3">
      <c r="AD27637" s="16"/>
    </row>
    <row r="27638" spans="30:30" x14ac:dyDescent="0.3">
      <c r="AD27638" s="16"/>
    </row>
    <row r="27639" spans="30:30" x14ac:dyDescent="0.3">
      <c r="AD27639" s="16"/>
    </row>
    <row r="27640" spans="30:30" x14ac:dyDescent="0.3">
      <c r="AD27640" s="16"/>
    </row>
    <row r="27641" spans="30:30" x14ac:dyDescent="0.3">
      <c r="AD27641" s="16"/>
    </row>
    <row r="27642" spans="30:30" x14ac:dyDescent="0.3">
      <c r="AD27642" s="16"/>
    </row>
    <row r="27643" spans="30:30" x14ac:dyDescent="0.3">
      <c r="AD27643" s="16"/>
    </row>
    <row r="27644" spans="30:30" x14ac:dyDescent="0.3">
      <c r="AD27644" s="16"/>
    </row>
    <row r="27645" spans="30:30" x14ac:dyDescent="0.3">
      <c r="AD27645" s="16"/>
    </row>
    <row r="27646" spans="30:30" x14ac:dyDescent="0.3">
      <c r="AD27646" s="16"/>
    </row>
    <row r="27647" spans="30:30" x14ac:dyDescent="0.3">
      <c r="AD27647" s="16"/>
    </row>
    <row r="27648" spans="30:30" x14ac:dyDescent="0.3">
      <c r="AD27648" s="16"/>
    </row>
    <row r="27649" spans="30:30" x14ac:dyDescent="0.3">
      <c r="AD27649" s="16"/>
    </row>
    <row r="27650" spans="30:30" x14ac:dyDescent="0.3">
      <c r="AD27650" s="16"/>
    </row>
    <row r="27651" spans="30:30" x14ac:dyDescent="0.3">
      <c r="AD27651" s="16"/>
    </row>
    <row r="27652" spans="30:30" x14ac:dyDescent="0.3">
      <c r="AD27652" s="16"/>
    </row>
    <row r="27653" spans="30:30" x14ac:dyDescent="0.3">
      <c r="AD27653" s="16"/>
    </row>
    <row r="27654" spans="30:30" x14ac:dyDescent="0.3">
      <c r="AD27654" s="16"/>
    </row>
    <row r="27655" spans="30:30" x14ac:dyDescent="0.3">
      <c r="AD27655" s="16"/>
    </row>
    <row r="27656" spans="30:30" x14ac:dyDescent="0.3">
      <c r="AD27656" s="16"/>
    </row>
    <row r="27657" spans="30:30" x14ac:dyDescent="0.3">
      <c r="AD27657" s="16"/>
    </row>
    <row r="27658" spans="30:30" x14ac:dyDescent="0.3">
      <c r="AD27658" s="16"/>
    </row>
    <row r="27659" spans="30:30" x14ac:dyDescent="0.3">
      <c r="AD27659" s="16"/>
    </row>
    <row r="27660" spans="30:30" x14ac:dyDescent="0.3">
      <c r="AD27660" s="16"/>
    </row>
    <row r="27661" spans="30:30" x14ac:dyDescent="0.3">
      <c r="AD27661" s="16"/>
    </row>
    <row r="27662" spans="30:30" x14ac:dyDescent="0.3">
      <c r="AD27662" s="16"/>
    </row>
    <row r="27663" spans="30:30" x14ac:dyDescent="0.3">
      <c r="AD27663" s="16"/>
    </row>
    <row r="27664" spans="30:30" x14ac:dyDescent="0.3">
      <c r="AD27664" s="16"/>
    </row>
    <row r="27665" spans="30:30" x14ac:dyDescent="0.3">
      <c r="AD27665" s="16"/>
    </row>
    <row r="27666" spans="30:30" x14ac:dyDescent="0.3">
      <c r="AD27666" s="16"/>
    </row>
    <row r="27667" spans="30:30" x14ac:dyDescent="0.3">
      <c r="AD27667" s="16"/>
    </row>
    <row r="27668" spans="30:30" x14ac:dyDescent="0.3">
      <c r="AD27668" s="16"/>
    </row>
    <row r="27669" spans="30:30" x14ac:dyDescent="0.3">
      <c r="AD27669" s="16"/>
    </row>
    <row r="27670" spans="30:30" x14ac:dyDescent="0.3">
      <c r="AD27670" s="16"/>
    </row>
    <row r="27671" spans="30:30" x14ac:dyDescent="0.3">
      <c r="AD27671" s="16"/>
    </row>
    <row r="27672" spans="30:30" x14ac:dyDescent="0.3">
      <c r="AD27672" s="16"/>
    </row>
    <row r="27673" spans="30:30" x14ac:dyDescent="0.3">
      <c r="AD27673" s="16"/>
    </row>
    <row r="27674" spans="30:30" x14ac:dyDescent="0.3">
      <c r="AD27674" s="16"/>
    </row>
    <row r="27675" spans="30:30" x14ac:dyDescent="0.3">
      <c r="AD27675" s="16"/>
    </row>
    <row r="27676" spans="30:30" x14ac:dyDescent="0.3">
      <c r="AD27676" s="16"/>
    </row>
    <row r="27677" spans="30:30" x14ac:dyDescent="0.3">
      <c r="AD27677" s="16"/>
    </row>
    <row r="27678" spans="30:30" x14ac:dyDescent="0.3">
      <c r="AD27678" s="16"/>
    </row>
    <row r="27679" spans="30:30" x14ac:dyDescent="0.3">
      <c r="AD27679" s="16"/>
    </row>
    <row r="27680" spans="30:30" x14ac:dyDescent="0.3">
      <c r="AD27680" s="16"/>
    </row>
    <row r="27681" spans="30:30" x14ac:dyDescent="0.3">
      <c r="AD27681" s="16"/>
    </row>
    <row r="27682" spans="30:30" x14ac:dyDescent="0.3">
      <c r="AD27682" s="16"/>
    </row>
    <row r="27683" spans="30:30" x14ac:dyDescent="0.3">
      <c r="AD27683" s="16"/>
    </row>
    <row r="27684" spans="30:30" x14ac:dyDescent="0.3">
      <c r="AD27684" s="16"/>
    </row>
    <row r="27685" spans="30:30" x14ac:dyDescent="0.3">
      <c r="AD27685" s="16"/>
    </row>
    <row r="27686" spans="30:30" x14ac:dyDescent="0.3">
      <c r="AD27686" s="16"/>
    </row>
    <row r="27687" spans="30:30" x14ac:dyDescent="0.3">
      <c r="AD27687" s="16"/>
    </row>
    <row r="27688" spans="30:30" x14ac:dyDescent="0.3">
      <c r="AD27688" s="16"/>
    </row>
    <row r="27689" spans="30:30" x14ac:dyDescent="0.3">
      <c r="AD27689" s="16"/>
    </row>
    <row r="27690" spans="30:30" x14ac:dyDescent="0.3">
      <c r="AD27690" s="16"/>
    </row>
    <row r="27691" spans="30:30" x14ac:dyDescent="0.3">
      <c r="AD27691" s="16"/>
    </row>
    <row r="27692" spans="30:30" x14ac:dyDescent="0.3">
      <c r="AD27692" s="16"/>
    </row>
    <row r="27693" spans="30:30" x14ac:dyDescent="0.3">
      <c r="AD27693" s="16"/>
    </row>
    <row r="27694" spans="30:30" x14ac:dyDescent="0.3">
      <c r="AD27694" s="16"/>
    </row>
    <row r="27695" spans="30:30" x14ac:dyDescent="0.3">
      <c r="AD27695" s="16"/>
    </row>
    <row r="27696" spans="30:30" x14ac:dyDescent="0.3">
      <c r="AD27696" s="16"/>
    </row>
    <row r="27697" spans="30:30" x14ac:dyDescent="0.3">
      <c r="AD27697" s="16"/>
    </row>
    <row r="27698" spans="30:30" x14ac:dyDescent="0.3">
      <c r="AD27698" s="16"/>
    </row>
    <row r="27699" spans="30:30" x14ac:dyDescent="0.3">
      <c r="AD27699" s="16"/>
    </row>
    <row r="27700" spans="30:30" x14ac:dyDescent="0.3">
      <c r="AD27700" s="16"/>
    </row>
    <row r="27701" spans="30:30" x14ac:dyDescent="0.3">
      <c r="AD27701" s="16"/>
    </row>
    <row r="27702" spans="30:30" x14ac:dyDescent="0.3">
      <c r="AD27702" s="16"/>
    </row>
    <row r="27703" spans="30:30" x14ac:dyDescent="0.3">
      <c r="AD27703" s="16"/>
    </row>
    <row r="27704" spans="30:30" x14ac:dyDescent="0.3">
      <c r="AD27704" s="16"/>
    </row>
    <row r="27705" spans="30:30" x14ac:dyDescent="0.3">
      <c r="AD27705" s="16"/>
    </row>
    <row r="27706" spans="30:30" x14ac:dyDescent="0.3">
      <c r="AD27706" s="16"/>
    </row>
    <row r="27707" spans="30:30" x14ac:dyDescent="0.3">
      <c r="AD27707" s="16"/>
    </row>
    <row r="27708" spans="30:30" x14ac:dyDescent="0.3">
      <c r="AD27708" s="16"/>
    </row>
    <row r="27709" spans="30:30" x14ac:dyDescent="0.3">
      <c r="AD27709" s="16"/>
    </row>
    <row r="27710" spans="30:30" x14ac:dyDescent="0.3">
      <c r="AD27710" s="16"/>
    </row>
    <row r="27711" spans="30:30" x14ac:dyDescent="0.3">
      <c r="AD27711" s="16"/>
    </row>
    <row r="27712" spans="30:30" x14ac:dyDescent="0.3">
      <c r="AD27712" s="16"/>
    </row>
    <row r="27713" spans="30:30" x14ac:dyDescent="0.3">
      <c r="AD27713" s="16"/>
    </row>
    <row r="27714" spans="30:30" x14ac:dyDescent="0.3">
      <c r="AD27714" s="16"/>
    </row>
    <row r="27715" spans="30:30" x14ac:dyDescent="0.3">
      <c r="AD27715" s="16"/>
    </row>
    <row r="27716" spans="30:30" x14ac:dyDescent="0.3">
      <c r="AD27716" s="16"/>
    </row>
    <row r="27717" spans="30:30" x14ac:dyDescent="0.3">
      <c r="AD27717" s="16"/>
    </row>
    <row r="27718" spans="30:30" x14ac:dyDescent="0.3">
      <c r="AD27718" s="16"/>
    </row>
    <row r="27719" spans="30:30" x14ac:dyDescent="0.3">
      <c r="AD27719" s="16"/>
    </row>
    <row r="27720" spans="30:30" x14ac:dyDescent="0.3">
      <c r="AD27720" s="16"/>
    </row>
    <row r="27721" spans="30:30" x14ac:dyDescent="0.3">
      <c r="AD27721" s="16"/>
    </row>
    <row r="27722" spans="30:30" x14ac:dyDescent="0.3">
      <c r="AD27722" s="16"/>
    </row>
    <row r="27723" spans="30:30" x14ac:dyDescent="0.3">
      <c r="AD27723" s="16"/>
    </row>
    <row r="27724" spans="30:30" x14ac:dyDescent="0.3">
      <c r="AD27724" s="16"/>
    </row>
    <row r="27725" spans="30:30" x14ac:dyDescent="0.3">
      <c r="AD27725" s="16"/>
    </row>
    <row r="27726" spans="30:30" x14ac:dyDescent="0.3">
      <c r="AD27726" s="16"/>
    </row>
    <row r="27727" spans="30:30" x14ac:dyDescent="0.3">
      <c r="AD27727" s="16"/>
    </row>
    <row r="27728" spans="30:30" x14ac:dyDescent="0.3">
      <c r="AD27728" s="16"/>
    </row>
    <row r="27729" spans="30:30" x14ac:dyDescent="0.3">
      <c r="AD27729" s="16"/>
    </row>
    <row r="27730" spans="30:30" x14ac:dyDescent="0.3">
      <c r="AD27730" s="16"/>
    </row>
    <row r="27731" spans="30:30" x14ac:dyDescent="0.3">
      <c r="AD27731" s="16"/>
    </row>
    <row r="27732" spans="30:30" x14ac:dyDescent="0.3">
      <c r="AD27732" s="16"/>
    </row>
    <row r="27733" spans="30:30" x14ac:dyDescent="0.3">
      <c r="AD27733" s="16"/>
    </row>
    <row r="27734" spans="30:30" x14ac:dyDescent="0.3">
      <c r="AD27734" s="16"/>
    </row>
    <row r="27735" spans="30:30" x14ac:dyDescent="0.3">
      <c r="AD27735" s="16"/>
    </row>
    <row r="27736" spans="30:30" x14ac:dyDescent="0.3">
      <c r="AD27736" s="16"/>
    </row>
    <row r="27737" spans="30:30" x14ac:dyDescent="0.3">
      <c r="AD27737" s="16"/>
    </row>
    <row r="27738" spans="30:30" x14ac:dyDescent="0.3">
      <c r="AD27738" s="16"/>
    </row>
    <row r="27739" spans="30:30" x14ac:dyDescent="0.3">
      <c r="AD27739" s="16"/>
    </row>
    <row r="27740" spans="30:30" x14ac:dyDescent="0.3">
      <c r="AD27740" s="16"/>
    </row>
    <row r="27741" spans="30:30" x14ac:dyDescent="0.3">
      <c r="AD27741" s="16"/>
    </row>
    <row r="27742" spans="30:30" x14ac:dyDescent="0.3">
      <c r="AD27742" s="16"/>
    </row>
    <row r="27743" spans="30:30" x14ac:dyDescent="0.3">
      <c r="AD27743" s="16"/>
    </row>
    <row r="27744" spans="30:30" x14ac:dyDescent="0.3">
      <c r="AD27744" s="16"/>
    </row>
    <row r="27745" spans="30:30" x14ac:dyDescent="0.3">
      <c r="AD27745" s="16"/>
    </row>
    <row r="27746" spans="30:30" x14ac:dyDescent="0.3">
      <c r="AD27746" s="16"/>
    </row>
    <row r="27747" spans="30:30" x14ac:dyDescent="0.3">
      <c r="AD27747" s="16"/>
    </row>
    <row r="27748" spans="30:30" x14ac:dyDescent="0.3">
      <c r="AD27748" s="16"/>
    </row>
    <row r="27749" spans="30:30" x14ac:dyDescent="0.3">
      <c r="AD27749" s="16"/>
    </row>
    <row r="27750" spans="30:30" x14ac:dyDescent="0.3">
      <c r="AD27750" s="16"/>
    </row>
    <row r="27751" spans="30:30" x14ac:dyDescent="0.3">
      <c r="AD27751" s="16"/>
    </row>
    <row r="27752" spans="30:30" x14ac:dyDescent="0.3">
      <c r="AD27752" s="16"/>
    </row>
    <row r="27753" spans="30:30" x14ac:dyDescent="0.3">
      <c r="AD27753" s="16"/>
    </row>
    <row r="27754" spans="30:30" x14ac:dyDescent="0.3">
      <c r="AD27754" s="16"/>
    </row>
    <row r="27755" spans="30:30" x14ac:dyDescent="0.3">
      <c r="AD27755" s="16"/>
    </row>
    <row r="27756" spans="30:30" x14ac:dyDescent="0.3">
      <c r="AD27756" s="16"/>
    </row>
    <row r="27757" spans="30:30" x14ac:dyDescent="0.3">
      <c r="AD27757" s="16"/>
    </row>
    <row r="27758" spans="30:30" x14ac:dyDescent="0.3">
      <c r="AD27758" s="16"/>
    </row>
    <row r="27759" spans="30:30" x14ac:dyDescent="0.3">
      <c r="AD27759" s="16"/>
    </row>
    <row r="27760" spans="30:30" x14ac:dyDescent="0.3">
      <c r="AD27760" s="16"/>
    </row>
    <row r="27761" spans="30:30" x14ac:dyDescent="0.3">
      <c r="AD27761" s="16"/>
    </row>
    <row r="27762" spans="30:30" x14ac:dyDescent="0.3">
      <c r="AD27762" s="16"/>
    </row>
    <row r="27763" spans="30:30" x14ac:dyDescent="0.3">
      <c r="AD27763" s="16"/>
    </row>
    <row r="27764" spans="30:30" x14ac:dyDescent="0.3">
      <c r="AD27764" s="16"/>
    </row>
    <row r="27765" spans="30:30" x14ac:dyDescent="0.3">
      <c r="AD27765" s="16"/>
    </row>
    <row r="27766" spans="30:30" x14ac:dyDescent="0.3">
      <c r="AD27766" s="16"/>
    </row>
    <row r="27767" spans="30:30" x14ac:dyDescent="0.3">
      <c r="AD27767" s="16"/>
    </row>
    <row r="27768" spans="30:30" x14ac:dyDescent="0.3">
      <c r="AD27768" s="16"/>
    </row>
    <row r="27769" spans="30:30" x14ac:dyDescent="0.3">
      <c r="AD27769" s="16"/>
    </row>
    <row r="27770" spans="30:30" x14ac:dyDescent="0.3">
      <c r="AD27770" s="16"/>
    </row>
    <row r="27771" spans="30:30" x14ac:dyDescent="0.3">
      <c r="AD27771" s="16"/>
    </row>
    <row r="27772" spans="30:30" x14ac:dyDescent="0.3">
      <c r="AD27772" s="16"/>
    </row>
    <row r="27773" spans="30:30" x14ac:dyDescent="0.3">
      <c r="AD27773" s="16"/>
    </row>
    <row r="27774" spans="30:30" x14ac:dyDescent="0.3">
      <c r="AD27774" s="16"/>
    </row>
    <row r="27775" spans="30:30" x14ac:dyDescent="0.3">
      <c r="AD27775" s="16"/>
    </row>
    <row r="27776" spans="30:30" x14ac:dyDescent="0.3">
      <c r="AD27776" s="16"/>
    </row>
    <row r="27777" spans="30:30" x14ac:dyDescent="0.3">
      <c r="AD27777" s="16"/>
    </row>
    <row r="27778" spans="30:30" x14ac:dyDescent="0.3">
      <c r="AD27778" s="16"/>
    </row>
    <row r="27779" spans="30:30" x14ac:dyDescent="0.3">
      <c r="AD27779" s="16"/>
    </row>
    <row r="27780" spans="30:30" x14ac:dyDescent="0.3">
      <c r="AD27780" s="16"/>
    </row>
    <row r="27781" spans="30:30" x14ac:dyDescent="0.3">
      <c r="AD27781" s="16"/>
    </row>
    <row r="27782" spans="30:30" x14ac:dyDescent="0.3">
      <c r="AD27782" s="16"/>
    </row>
    <row r="27783" spans="30:30" x14ac:dyDescent="0.3">
      <c r="AD27783" s="16"/>
    </row>
    <row r="27784" spans="30:30" x14ac:dyDescent="0.3">
      <c r="AD27784" s="16"/>
    </row>
    <row r="27785" spans="30:30" x14ac:dyDescent="0.3">
      <c r="AD27785" s="16"/>
    </row>
    <row r="27786" spans="30:30" x14ac:dyDescent="0.3">
      <c r="AD27786" s="16"/>
    </row>
    <row r="27787" spans="30:30" x14ac:dyDescent="0.3">
      <c r="AD27787" s="16"/>
    </row>
    <row r="27788" spans="30:30" x14ac:dyDescent="0.3">
      <c r="AD27788" s="16"/>
    </row>
    <row r="27789" spans="30:30" x14ac:dyDescent="0.3">
      <c r="AD27789" s="16"/>
    </row>
    <row r="27790" spans="30:30" x14ac:dyDescent="0.3">
      <c r="AD27790" s="16"/>
    </row>
    <row r="27791" spans="30:30" x14ac:dyDescent="0.3">
      <c r="AD27791" s="16"/>
    </row>
    <row r="27792" spans="30:30" x14ac:dyDescent="0.3">
      <c r="AD27792" s="16"/>
    </row>
    <row r="27793" spans="30:30" x14ac:dyDescent="0.3">
      <c r="AD27793" s="16"/>
    </row>
    <row r="27794" spans="30:30" x14ac:dyDescent="0.3">
      <c r="AD27794" s="16"/>
    </row>
    <row r="27795" spans="30:30" x14ac:dyDescent="0.3">
      <c r="AD27795" s="16"/>
    </row>
    <row r="27796" spans="30:30" x14ac:dyDescent="0.3">
      <c r="AD27796" s="16"/>
    </row>
    <row r="27797" spans="30:30" x14ac:dyDescent="0.3">
      <c r="AD27797" s="16"/>
    </row>
    <row r="27798" spans="30:30" x14ac:dyDescent="0.3">
      <c r="AD27798" s="16"/>
    </row>
    <row r="27799" spans="30:30" x14ac:dyDescent="0.3">
      <c r="AD27799" s="16"/>
    </row>
    <row r="27800" spans="30:30" x14ac:dyDescent="0.3">
      <c r="AD27800" s="16"/>
    </row>
    <row r="27801" spans="30:30" x14ac:dyDescent="0.3">
      <c r="AD27801" s="16"/>
    </row>
    <row r="27802" spans="30:30" x14ac:dyDescent="0.3">
      <c r="AD27802" s="16"/>
    </row>
    <row r="27803" spans="30:30" x14ac:dyDescent="0.3">
      <c r="AD27803" s="16"/>
    </row>
    <row r="27804" spans="30:30" x14ac:dyDescent="0.3">
      <c r="AD27804" s="16"/>
    </row>
    <row r="27805" spans="30:30" x14ac:dyDescent="0.3">
      <c r="AD27805" s="16"/>
    </row>
    <row r="27806" spans="30:30" x14ac:dyDescent="0.3">
      <c r="AD27806" s="16"/>
    </row>
    <row r="27807" spans="30:30" x14ac:dyDescent="0.3">
      <c r="AD27807" s="16"/>
    </row>
    <row r="27808" spans="30:30" x14ac:dyDescent="0.3">
      <c r="AD27808" s="16"/>
    </row>
    <row r="27809" spans="30:30" x14ac:dyDescent="0.3">
      <c r="AD27809" s="16"/>
    </row>
    <row r="27810" spans="30:30" x14ac:dyDescent="0.3">
      <c r="AD27810" s="16"/>
    </row>
    <row r="27811" spans="30:30" x14ac:dyDescent="0.3">
      <c r="AD27811" s="16"/>
    </row>
    <row r="27812" spans="30:30" x14ac:dyDescent="0.3">
      <c r="AD27812" s="16"/>
    </row>
    <row r="27813" spans="30:30" x14ac:dyDescent="0.3">
      <c r="AD27813" s="16"/>
    </row>
    <row r="27814" spans="30:30" x14ac:dyDescent="0.3">
      <c r="AD27814" s="16"/>
    </row>
    <row r="27815" spans="30:30" x14ac:dyDescent="0.3">
      <c r="AD27815" s="16"/>
    </row>
    <row r="27816" spans="30:30" x14ac:dyDescent="0.3">
      <c r="AD27816" s="16"/>
    </row>
    <row r="27817" spans="30:30" x14ac:dyDescent="0.3">
      <c r="AD27817" s="16"/>
    </row>
    <row r="27818" spans="30:30" x14ac:dyDescent="0.3">
      <c r="AD27818" s="16"/>
    </row>
    <row r="27819" spans="30:30" x14ac:dyDescent="0.3">
      <c r="AD27819" s="16"/>
    </row>
    <row r="27820" spans="30:30" x14ac:dyDescent="0.3">
      <c r="AD27820" s="16"/>
    </row>
    <row r="27821" spans="30:30" x14ac:dyDescent="0.3">
      <c r="AD27821" s="16"/>
    </row>
    <row r="27822" spans="30:30" x14ac:dyDescent="0.3">
      <c r="AD27822" s="16"/>
    </row>
    <row r="27823" spans="30:30" x14ac:dyDescent="0.3">
      <c r="AD27823" s="16"/>
    </row>
    <row r="27824" spans="30:30" x14ac:dyDescent="0.3">
      <c r="AD27824" s="16"/>
    </row>
    <row r="27825" spans="30:30" x14ac:dyDescent="0.3">
      <c r="AD27825" s="16"/>
    </row>
    <row r="27826" spans="30:30" x14ac:dyDescent="0.3">
      <c r="AD27826" s="16"/>
    </row>
    <row r="27827" spans="30:30" x14ac:dyDescent="0.3">
      <c r="AD27827" s="16"/>
    </row>
    <row r="27828" spans="30:30" x14ac:dyDescent="0.3">
      <c r="AD27828" s="16"/>
    </row>
    <row r="27829" spans="30:30" x14ac:dyDescent="0.3">
      <c r="AD27829" s="16"/>
    </row>
    <row r="27830" spans="30:30" x14ac:dyDescent="0.3">
      <c r="AD27830" s="16"/>
    </row>
    <row r="27831" spans="30:30" x14ac:dyDescent="0.3">
      <c r="AD27831" s="16"/>
    </row>
    <row r="27832" spans="30:30" x14ac:dyDescent="0.3">
      <c r="AD27832" s="16"/>
    </row>
    <row r="27833" spans="30:30" x14ac:dyDescent="0.3">
      <c r="AD27833" s="16"/>
    </row>
    <row r="27834" spans="30:30" x14ac:dyDescent="0.3">
      <c r="AD27834" s="16"/>
    </row>
    <row r="27835" spans="30:30" x14ac:dyDescent="0.3">
      <c r="AD27835" s="16"/>
    </row>
    <row r="27836" spans="30:30" x14ac:dyDescent="0.3">
      <c r="AD27836" s="16"/>
    </row>
    <row r="27837" spans="30:30" x14ac:dyDescent="0.3">
      <c r="AD27837" s="16"/>
    </row>
    <row r="27838" spans="30:30" x14ac:dyDescent="0.3">
      <c r="AD27838" s="16"/>
    </row>
    <row r="27839" spans="30:30" x14ac:dyDescent="0.3">
      <c r="AD27839" s="16"/>
    </row>
    <row r="27840" spans="30:30" x14ac:dyDescent="0.3">
      <c r="AD27840" s="16"/>
    </row>
    <row r="27841" spans="30:30" x14ac:dyDescent="0.3">
      <c r="AD27841" s="16"/>
    </row>
    <row r="27842" spans="30:30" x14ac:dyDescent="0.3">
      <c r="AD27842" s="16"/>
    </row>
    <row r="27843" spans="30:30" x14ac:dyDescent="0.3">
      <c r="AD27843" s="16"/>
    </row>
    <row r="27844" spans="30:30" x14ac:dyDescent="0.3">
      <c r="AD27844" s="16"/>
    </row>
    <row r="27845" spans="30:30" x14ac:dyDescent="0.3">
      <c r="AD27845" s="16"/>
    </row>
    <row r="27846" spans="30:30" x14ac:dyDescent="0.3">
      <c r="AD27846" s="16"/>
    </row>
    <row r="27847" spans="30:30" x14ac:dyDescent="0.3">
      <c r="AD27847" s="16"/>
    </row>
    <row r="27848" spans="30:30" x14ac:dyDescent="0.3">
      <c r="AD27848" s="16"/>
    </row>
    <row r="27849" spans="30:30" x14ac:dyDescent="0.3">
      <c r="AD27849" s="16"/>
    </row>
    <row r="27850" spans="30:30" x14ac:dyDescent="0.3">
      <c r="AD27850" s="16"/>
    </row>
    <row r="27851" spans="30:30" x14ac:dyDescent="0.3">
      <c r="AD27851" s="16"/>
    </row>
    <row r="27852" spans="30:30" x14ac:dyDescent="0.3">
      <c r="AD27852" s="16"/>
    </row>
    <row r="27853" spans="30:30" x14ac:dyDescent="0.3">
      <c r="AD27853" s="16"/>
    </row>
    <row r="27854" spans="30:30" x14ac:dyDescent="0.3">
      <c r="AD27854" s="16"/>
    </row>
    <row r="27855" spans="30:30" x14ac:dyDescent="0.3">
      <c r="AD27855" s="16"/>
    </row>
    <row r="27856" spans="30:30" x14ac:dyDescent="0.3">
      <c r="AD27856" s="16"/>
    </row>
    <row r="27857" spans="30:30" x14ac:dyDescent="0.3">
      <c r="AD27857" s="16"/>
    </row>
    <row r="27858" spans="30:30" x14ac:dyDescent="0.3">
      <c r="AD27858" s="16"/>
    </row>
    <row r="27859" spans="30:30" x14ac:dyDescent="0.3">
      <c r="AD27859" s="16"/>
    </row>
    <row r="27860" spans="30:30" x14ac:dyDescent="0.3">
      <c r="AD27860" s="16"/>
    </row>
    <row r="27861" spans="30:30" x14ac:dyDescent="0.3">
      <c r="AD27861" s="16"/>
    </row>
    <row r="27862" spans="30:30" x14ac:dyDescent="0.3">
      <c r="AD27862" s="16"/>
    </row>
    <row r="27863" spans="30:30" x14ac:dyDescent="0.3">
      <c r="AD27863" s="16"/>
    </row>
    <row r="27864" spans="30:30" x14ac:dyDescent="0.3">
      <c r="AD27864" s="16"/>
    </row>
    <row r="27865" spans="30:30" x14ac:dyDescent="0.3">
      <c r="AD27865" s="16"/>
    </row>
    <row r="27866" spans="30:30" x14ac:dyDescent="0.3">
      <c r="AD27866" s="16"/>
    </row>
    <row r="27867" spans="30:30" x14ac:dyDescent="0.3">
      <c r="AD27867" s="16"/>
    </row>
    <row r="27868" spans="30:30" x14ac:dyDescent="0.3">
      <c r="AD27868" s="16"/>
    </row>
    <row r="27869" spans="30:30" x14ac:dyDescent="0.3">
      <c r="AD27869" s="16"/>
    </row>
    <row r="27870" spans="30:30" x14ac:dyDescent="0.3">
      <c r="AD27870" s="16"/>
    </row>
    <row r="27871" spans="30:30" x14ac:dyDescent="0.3">
      <c r="AD27871" s="16"/>
    </row>
    <row r="27872" spans="30:30" x14ac:dyDescent="0.3">
      <c r="AD27872" s="16"/>
    </row>
    <row r="27873" spans="30:30" x14ac:dyDescent="0.3">
      <c r="AD27873" s="16"/>
    </row>
    <row r="27874" spans="30:30" x14ac:dyDescent="0.3">
      <c r="AD27874" s="16"/>
    </row>
    <row r="27875" spans="30:30" x14ac:dyDescent="0.3">
      <c r="AD27875" s="16"/>
    </row>
    <row r="27876" spans="30:30" x14ac:dyDescent="0.3">
      <c r="AD27876" s="16"/>
    </row>
    <row r="27877" spans="30:30" x14ac:dyDescent="0.3">
      <c r="AD27877" s="16"/>
    </row>
    <row r="27878" spans="30:30" x14ac:dyDescent="0.3">
      <c r="AD27878" s="16"/>
    </row>
    <row r="27879" spans="30:30" x14ac:dyDescent="0.3">
      <c r="AD27879" s="16"/>
    </row>
    <row r="27880" spans="30:30" x14ac:dyDescent="0.3">
      <c r="AD27880" s="16"/>
    </row>
    <row r="27881" spans="30:30" x14ac:dyDescent="0.3">
      <c r="AD27881" s="16"/>
    </row>
    <row r="27882" spans="30:30" x14ac:dyDescent="0.3">
      <c r="AD27882" s="16"/>
    </row>
    <row r="27883" spans="30:30" x14ac:dyDescent="0.3">
      <c r="AD27883" s="16"/>
    </row>
    <row r="27884" spans="30:30" x14ac:dyDescent="0.3">
      <c r="AD27884" s="16"/>
    </row>
    <row r="27885" spans="30:30" x14ac:dyDescent="0.3">
      <c r="AD27885" s="16"/>
    </row>
    <row r="27886" spans="30:30" x14ac:dyDescent="0.3">
      <c r="AD27886" s="16"/>
    </row>
    <row r="27887" spans="30:30" x14ac:dyDescent="0.3">
      <c r="AD27887" s="16"/>
    </row>
    <row r="27888" spans="30:30" x14ac:dyDescent="0.3">
      <c r="AD27888" s="16"/>
    </row>
    <row r="27889" spans="30:30" x14ac:dyDescent="0.3">
      <c r="AD27889" s="16"/>
    </row>
    <row r="27890" spans="30:30" x14ac:dyDescent="0.3">
      <c r="AD27890" s="16"/>
    </row>
    <row r="27891" spans="30:30" x14ac:dyDescent="0.3">
      <c r="AD27891" s="16"/>
    </row>
    <row r="27892" spans="30:30" x14ac:dyDescent="0.3">
      <c r="AD27892" s="16"/>
    </row>
    <row r="27893" spans="30:30" x14ac:dyDescent="0.3">
      <c r="AD27893" s="16"/>
    </row>
    <row r="27894" spans="30:30" x14ac:dyDescent="0.3">
      <c r="AD27894" s="16"/>
    </row>
    <row r="27895" spans="30:30" x14ac:dyDescent="0.3">
      <c r="AD27895" s="16"/>
    </row>
    <row r="27896" spans="30:30" x14ac:dyDescent="0.3">
      <c r="AD27896" s="16"/>
    </row>
    <row r="27897" spans="30:30" x14ac:dyDescent="0.3">
      <c r="AD27897" s="16"/>
    </row>
    <row r="27898" spans="30:30" x14ac:dyDescent="0.3">
      <c r="AD27898" s="16"/>
    </row>
    <row r="27899" spans="30:30" x14ac:dyDescent="0.3">
      <c r="AD27899" s="16"/>
    </row>
    <row r="27900" spans="30:30" x14ac:dyDescent="0.3">
      <c r="AD27900" s="16"/>
    </row>
    <row r="27901" spans="30:30" x14ac:dyDescent="0.3">
      <c r="AD27901" s="16"/>
    </row>
    <row r="27902" spans="30:30" x14ac:dyDescent="0.3">
      <c r="AD27902" s="16"/>
    </row>
    <row r="27903" spans="30:30" x14ac:dyDescent="0.3">
      <c r="AD27903" s="16"/>
    </row>
    <row r="27904" spans="30:30" x14ac:dyDescent="0.3">
      <c r="AD27904" s="16"/>
    </row>
    <row r="27905" spans="30:30" x14ac:dyDescent="0.3">
      <c r="AD27905" s="16"/>
    </row>
    <row r="27906" spans="30:30" x14ac:dyDescent="0.3">
      <c r="AD27906" s="16"/>
    </row>
    <row r="27907" spans="30:30" x14ac:dyDescent="0.3">
      <c r="AD27907" s="16"/>
    </row>
    <row r="27908" spans="30:30" x14ac:dyDescent="0.3">
      <c r="AD27908" s="16"/>
    </row>
    <row r="27909" spans="30:30" x14ac:dyDescent="0.3">
      <c r="AD27909" s="16"/>
    </row>
    <row r="27910" spans="30:30" x14ac:dyDescent="0.3">
      <c r="AD27910" s="16"/>
    </row>
    <row r="27911" spans="30:30" x14ac:dyDescent="0.3">
      <c r="AD27911" s="16"/>
    </row>
    <row r="27912" spans="30:30" x14ac:dyDescent="0.3">
      <c r="AD27912" s="16"/>
    </row>
    <row r="27913" spans="30:30" x14ac:dyDescent="0.3">
      <c r="AD27913" s="16"/>
    </row>
    <row r="27914" spans="30:30" x14ac:dyDescent="0.3">
      <c r="AD27914" s="16"/>
    </row>
    <row r="27915" spans="30:30" x14ac:dyDescent="0.3">
      <c r="AD27915" s="16"/>
    </row>
    <row r="27916" spans="30:30" x14ac:dyDescent="0.3">
      <c r="AD27916" s="16"/>
    </row>
    <row r="27917" spans="30:30" x14ac:dyDescent="0.3">
      <c r="AD27917" s="16"/>
    </row>
    <row r="27918" spans="30:30" x14ac:dyDescent="0.3">
      <c r="AD27918" s="16"/>
    </row>
    <row r="27919" spans="30:30" x14ac:dyDescent="0.3">
      <c r="AD27919" s="16"/>
    </row>
    <row r="27920" spans="30:30" x14ac:dyDescent="0.3">
      <c r="AD27920" s="16"/>
    </row>
    <row r="27921" spans="30:30" x14ac:dyDescent="0.3">
      <c r="AD27921" s="16"/>
    </row>
    <row r="27922" spans="30:30" x14ac:dyDescent="0.3">
      <c r="AD27922" s="16"/>
    </row>
    <row r="27923" spans="30:30" x14ac:dyDescent="0.3">
      <c r="AD27923" s="16"/>
    </row>
    <row r="27924" spans="30:30" x14ac:dyDescent="0.3">
      <c r="AD27924" s="16"/>
    </row>
    <row r="27925" spans="30:30" x14ac:dyDescent="0.3">
      <c r="AD27925" s="16"/>
    </row>
    <row r="27926" spans="30:30" x14ac:dyDescent="0.3">
      <c r="AD27926" s="16"/>
    </row>
    <row r="27927" spans="30:30" x14ac:dyDescent="0.3">
      <c r="AD27927" s="16"/>
    </row>
    <row r="27928" spans="30:30" x14ac:dyDescent="0.3">
      <c r="AD27928" s="16"/>
    </row>
    <row r="27929" spans="30:30" x14ac:dyDescent="0.3">
      <c r="AD27929" s="16"/>
    </row>
    <row r="27930" spans="30:30" x14ac:dyDescent="0.3">
      <c r="AD27930" s="16"/>
    </row>
    <row r="27931" spans="30:30" x14ac:dyDescent="0.3">
      <c r="AD27931" s="16"/>
    </row>
    <row r="27932" spans="30:30" x14ac:dyDescent="0.3">
      <c r="AD27932" s="16"/>
    </row>
    <row r="27933" spans="30:30" x14ac:dyDescent="0.3">
      <c r="AD27933" s="16"/>
    </row>
    <row r="27934" spans="30:30" x14ac:dyDescent="0.3">
      <c r="AD27934" s="16"/>
    </row>
    <row r="27935" spans="30:30" x14ac:dyDescent="0.3">
      <c r="AD27935" s="16"/>
    </row>
    <row r="27936" spans="30:30" x14ac:dyDescent="0.3">
      <c r="AD27936" s="16"/>
    </row>
    <row r="27937" spans="30:30" x14ac:dyDescent="0.3">
      <c r="AD27937" s="16"/>
    </row>
    <row r="27938" spans="30:30" x14ac:dyDescent="0.3">
      <c r="AD27938" s="16"/>
    </row>
    <row r="27939" spans="30:30" x14ac:dyDescent="0.3">
      <c r="AD27939" s="16"/>
    </row>
    <row r="27940" spans="30:30" x14ac:dyDescent="0.3">
      <c r="AD27940" s="16"/>
    </row>
    <row r="27941" spans="30:30" x14ac:dyDescent="0.3">
      <c r="AD27941" s="16"/>
    </row>
    <row r="27942" spans="30:30" x14ac:dyDescent="0.3">
      <c r="AD27942" s="16"/>
    </row>
    <row r="27943" spans="30:30" x14ac:dyDescent="0.3">
      <c r="AD27943" s="16"/>
    </row>
    <row r="27944" spans="30:30" x14ac:dyDescent="0.3">
      <c r="AD27944" s="16"/>
    </row>
    <row r="27945" spans="30:30" x14ac:dyDescent="0.3">
      <c r="AD27945" s="16"/>
    </row>
    <row r="27946" spans="30:30" x14ac:dyDescent="0.3">
      <c r="AD27946" s="16"/>
    </row>
    <row r="27947" spans="30:30" x14ac:dyDescent="0.3">
      <c r="AD27947" s="16"/>
    </row>
    <row r="27948" spans="30:30" x14ac:dyDescent="0.3">
      <c r="AD27948" s="16"/>
    </row>
    <row r="27949" spans="30:30" x14ac:dyDescent="0.3">
      <c r="AD27949" s="16"/>
    </row>
    <row r="27950" spans="30:30" x14ac:dyDescent="0.3">
      <c r="AD27950" s="16"/>
    </row>
    <row r="27951" spans="30:30" x14ac:dyDescent="0.3">
      <c r="AD27951" s="16"/>
    </row>
    <row r="27952" spans="30:30" x14ac:dyDescent="0.3">
      <c r="AD27952" s="16"/>
    </row>
    <row r="27953" spans="30:30" x14ac:dyDescent="0.3">
      <c r="AD27953" s="16"/>
    </row>
    <row r="27954" spans="30:30" x14ac:dyDescent="0.3">
      <c r="AD27954" s="16"/>
    </row>
    <row r="27955" spans="30:30" x14ac:dyDescent="0.3">
      <c r="AD27955" s="16"/>
    </row>
    <row r="27956" spans="30:30" x14ac:dyDescent="0.3">
      <c r="AD27956" s="16"/>
    </row>
    <row r="27957" spans="30:30" x14ac:dyDescent="0.3">
      <c r="AD27957" s="16"/>
    </row>
    <row r="27958" spans="30:30" x14ac:dyDescent="0.3">
      <c r="AD27958" s="16"/>
    </row>
    <row r="27959" spans="30:30" x14ac:dyDescent="0.3">
      <c r="AD27959" s="16"/>
    </row>
    <row r="27960" spans="30:30" x14ac:dyDescent="0.3">
      <c r="AD27960" s="16"/>
    </row>
    <row r="27961" spans="30:30" x14ac:dyDescent="0.3">
      <c r="AD27961" s="16"/>
    </row>
    <row r="27962" spans="30:30" x14ac:dyDescent="0.3">
      <c r="AD27962" s="16"/>
    </row>
    <row r="27963" spans="30:30" x14ac:dyDescent="0.3">
      <c r="AD27963" s="16"/>
    </row>
    <row r="27964" spans="30:30" x14ac:dyDescent="0.3">
      <c r="AD27964" s="16"/>
    </row>
    <row r="27965" spans="30:30" x14ac:dyDescent="0.3">
      <c r="AD27965" s="16"/>
    </row>
    <row r="27966" spans="30:30" x14ac:dyDescent="0.3">
      <c r="AD27966" s="16"/>
    </row>
    <row r="27967" spans="30:30" x14ac:dyDescent="0.3">
      <c r="AD27967" s="16"/>
    </row>
    <row r="27968" spans="30:30" x14ac:dyDescent="0.3">
      <c r="AD27968" s="16"/>
    </row>
    <row r="27969" spans="30:30" x14ac:dyDescent="0.3">
      <c r="AD27969" s="16"/>
    </row>
    <row r="27970" spans="30:30" x14ac:dyDescent="0.3">
      <c r="AD27970" s="16"/>
    </row>
    <row r="27971" spans="30:30" x14ac:dyDescent="0.3">
      <c r="AD27971" s="16"/>
    </row>
    <row r="27972" spans="30:30" x14ac:dyDescent="0.3">
      <c r="AD27972" s="16"/>
    </row>
    <row r="27973" spans="30:30" x14ac:dyDescent="0.3">
      <c r="AD27973" s="16"/>
    </row>
    <row r="27974" spans="30:30" x14ac:dyDescent="0.3">
      <c r="AD27974" s="16"/>
    </row>
    <row r="27975" spans="30:30" x14ac:dyDescent="0.3">
      <c r="AD27975" s="16"/>
    </row>
    <row r="27976" spans="30:30" x14ac:dyDescent="0.3">
      <c r="AD27976" s="16"/>
    </row>
    <row r="27977" spans="30:30" x14ac:dyDescent="0.3">
      <c r="AD27977" s="16"/>
    </row>
    <row r="27978" spans="30:30" x14ac:dyDescent="0.3">
      <c r="AD27978" s="16"/>
    </row>
    <row r="27979" spans="30:30" x14ac:dyDescent="0.3">
      <c r="AD27979" s="16"/>
    </row>
    <row r="27980" spans="30:30" x14ac:dyDescent="0.3">
      <c r="AD27980" s="16"/>
    </row>
    <row r="27981" spans="30:30" x14ac:dyDescent="0.3">
      <c r="AD27981" s="16"/>
    </row>
    <row r="27982" spans="30:30" x14ac:dyDescent="0.3">
      <c r="AD27982" s="16"/>
    </row>
    <row r="27983" spans="30:30" x14ac:dyDescent="0.3">
      <c r="AD27983" s="16"/>
    </row>
    <row r="27984" spans="30:30" x14ac:dyDescent="0.3">
      <c r="AD27984" s="16"/>
    </row>
    <row r="27985" spans="30:30" x14ac:dyDescent="0.3">
      <c r="AD27985" s="16"/>
    </row>
    <row r="27986" spans="30:30" x14ac:dyDescent="0.3">
      <c r="AD27986" s="16"/>
    </row>
    <row r="27987" spans="30:30" x14ac:dyDescent="0.3">
      <c r="AD27987" s="16"/>
    </row>
    <row r="27988" spans="30:30" x14ac:dyDescent="0.3">
      <c r="AD27988" s="16"/>
    </row>
    <row r="27989" spans="30:30" x14ac:dyDescent="0.3">
      <c r="AD27989" s="16"/>
    </row>
    <row r="27990" spans="30:30" x14ac:dyDescent="0.3">
      <c r="AD27990" s="16"/>
    </row>
    <row r="27991" spans="30:30" x14ac:dyDescent="0.3">
      <c r="AD27991" s="16"/>
    </row>
    <row r="27992" spans="30:30" x14ac:dyDescent="0.3">
      <c r="AD27992" s="16"/>
    </row>
    <row r="27993" spans="30:30" x14ac:dyDescent="0.3">
      <c r="AD27993" s="16"/>
    </row>
    <row r="27994" spans="30:30" x14ac:dyDescent="0.3">
      <c r="AD27994" s="16"/>
    </row>
    <row r="27995" spans="30:30" x14ac:dyDescent="0.3">
      <c r="AD27995" s="16"/>
    </row>
    <row r="27996" spans="30:30" x14ac:dyDescent="0.3">
      <c r="AD27996" s="16"/>
    </row>
    <row r="27997" spans="30:30" x14ac:dyDescent="0.3">
      <c r="AD27997" s="16"/>
    </row>
    <row r="27998" spans="30:30" x14ac:dyDescent="0.3">
      <c r="AD27998" s="16"/>
    </row>
    <row r="27999" spans="30:30" x14ac:dyDescent="0.3">
      <c r="AD27999" s="16"/>
    </row>
    <row r="28000" spans="30:30" x14ac:dyDescent="0.3">
      <c r="AD28000" s="16"/>
    </row>
    <row r="28001" spans="30:30" x14ac:dyDescent="0.3">
      <c r="AD28001" s="16"/>
    </row>
    <row r="28002" spans="30:30" x14ac:dyDescent="0.3">
      <c r="AD28002" s="16"/>
    </row>
    <row r="28003" spans="30:30" x14ac:dyDescent="0.3">
      <c r="AD28003" s="16"/>
    </row>
    <row r="28004" spans="30:30" x14ac:dyDescent="0.3">
      <c r="AD28004" s="16"/>
    </row>
    <row r="28005" spans="30:30" x14ac:dyDescent="0.3">
      <c r="AD28005" s="16"/>
    </row>
    <row r="28006" spans="30:30" x14ac:dyDescent="0.3">
      <c r="AD28006" s="16"/>
    </row>
    <row r="28007" spans="30:30" x14ac:dyDescent="0.3">
      <c r="AD28007" s="16"/>
    </row>
    <row r="28008" spans="30:30" x14ac:dyDescent="0.3">
      <c r="AD28008" s="16"/>
    </row>
    <row r="28009" spans="30:30" x14ac:dyDescent="0.3">
      <c r="AD28009" s="16"/>
    </row>
    <row r="28010" spans="30:30" x14ac:dyDescent="0.3">
      <c r="AD28010" s="16"/>
    </row>
    <row r="28011" spans="30:30" x14ac:dyDescent="0.3">
      <c r="AD28011" s="16"/>
    </row>
    <row r="28012" spans="30:30" x14ac:dyDescent="0.3">
      <c r="AD28012" s="16"/>
    </row>
    <row r="28013" spans="30:30" x14ac:dyDescent="0.3">
      <c r="AD28013" s="16"/>
    </row>
    <row r="28014" spans="30:30" x14ac:dyDescent="0.3">
      <c r="AD28014" s="16"/>
    </row>
    <row r="28015" spans="30:30" x14ac:dyDescent="0.3">
      <c r="AD28015" s="16"/>
    </row>
    <row r="28016" spans="30:30" x14ac:dyDescent="0.3">
      <c r="AD28016" s="16"/>
    </row>
    <row r="28017" spans="30:30" x14ac:dyDescent="0.3">
      <c r="AD28017" s="16"/>
    </row>
    <row r="28018" spans="30:30" x14ac:dyDescent="0.3">
      <c r="AD28018" s="16"/>
    </row>
    <row r="28019" spans="30:30" x14ac:dyDescent="0.3">
      <c r="AD28019" s="16"/>
    </row>
    <row r="28020" spans="30:30" x14ac:dyDescent="0.3">
      <c r="AD28020" s="16"/>
    </row>
    <row r="28021" spans="30:30" x14ac:dyDescent="0.3">
      <c r="AD28021" s="16"/>
    </row>
    <row r="28022" spans="30:30" x14ac:dyDescent="0.3">
      <c r="AD28022" s="16"/>
    </row>
    <row r="28023" spans="30:30" x14ac:dyDescent="0.3">
      <c r="AD28023" s="16"/>
    </row>
    <row r="28024" spans="30:30" x14ac:dyDescent="0.3">
      <c r="AD28024" s="16"/>
    </row>
    <row r="28025" spans="30:30" x14ac:dyDescent="0.3">
      <c r="AD28025" s="16"/>
    </row>
    <row r="28026" spans="30:30" x14ac:dyDescent="0.3">
      <c r="AD28026" s="16"/>
    </row>
    <row r="28027" spans="30:30" x14ac:dyDescent="0.3">
      <c r="AD28027" s="16"/>
    </row>
    <row r="28028" spans="30:30" x14ac:dyDescent="0.3">
      <c r="AD28028" s="16"/>
    </row>
    <row r="28029" spans="30:30" x14ac:dyDescent="0.3">
      <c r="AD28029" s="16"/>
    </row>
    <row r="28030" spans="30:30" x14ac:dyDescent="0.3">
      <c r="AD28030" s="16"/>
    </row>
    <row r="28031" spans="30:30" x14ac:dyDescent="0.3">
      <c r="AD28031" s="16"/>
    </row>
    <row r="28032" spans="30:30" x14ac:dyDescent="0.3">
      <c r="AD28032" s="16"/>
    </row>
    <row r="28033" spans="30:30" x14ac:dyDescent="0.3">
      <c r="AD28033" s="16"/>
    </row>
    <row r="28034" spans="30:30" x14ac:dyDescent="0.3">
      <c r="AD28034" s="16"/>
    </row>
    <row r="28035" spans="30:30" x14ac:dyDescent="0.3">
      <c r="AD28035" s="16"/>
    </row>
    <row r="28036" spans="30:30" x14ac:dyDescent="0.3">
      <c r="AD28036" s="16"/>
    </row>
    <row r="28037" spans="30:30" x14ac:dyDescent="0.3">
      <c r="AD28037" s="16"/>
    </row>
    <row r="28038" spans="30:30" x14ac:dyDescent="0.3">
      <c r="AD28038" s="16"/>
    </row>
    <row r="28039" spans="30:30" x14ac:dyDescent="0.3">
      <c r="AD28039" s="16"/>
    </row>
    <row r="28040" spans="30:30" x14ac:dyDescent="0.3">
      <c r="AD28040" s="16"/>
    </row>
    <row r="28041" spans="30:30" x14ac:dyDescent="0.3">
      <c r="AD28041" s="16"/>
    </row>
    <row r="28042" spans="30:30" x14ac:dyDescent="0.3">
      <c r="AD28042" s="16"/>
    </row>
    <row r="28043" spans="30:30" x14ac:dyDescent="0.3">
      <c r="AD28043" s="16"/>
    </row>
    <row r="28044" spans="30:30" x14ac:dyDescent="0.3">
      <c r="AD28044" s="16"/>
    </row>
    <row r="28045" spans="30:30" x14ac:dyDescent="0.3">
      <c r="AD28045" s="16"/>
    </row>
    <row r="28046" spans="30:30" x14ac:dyDescent="0.3">
      <c r="AD28046" s="16"/>
    </row>
    <row r="28047" spans="30:30" x14ac:dyDescent="0.3">
      <c r="AD28047" s="16"/>
    </row>
    <row r="28048" spans="30:30" x14ac:dyDescent="0.3">
      <c r="AD28048" s="16"/>
    </row>
    <row r="28049" spans="30:30" x14ac:dyDescent="0.3">
      <c r="AD28049" s="16"/>
    </row>
    <row r="28050" spans="30:30" x14ac:dyDescent="0.3">
      <c r="AD28050" s="16"/>
    </row>
    <row r="28051" spans="30:30" x14ac:dyDescent="0.3">
      <c r="AD28051" s="16"/>
    </row>
    <row r="28052" spans="30:30" x14ac:dyDescent="0.3">
      <c r="AD28052" s="16"/>
    </row>
    <row r="28053" spans="30:30" x14ac:dyDescent="0.3">
      <c r="AD28053" s="16"/>
    </row>
    <row r="28054" spans="30:30" x14ac:dyDescent="0.3">
      <c r="AD28054" s="16"/>
    </row>
    <row r="28055" spans="30:30" x14ac:dyDescent="0.3">
      <c r="AD28055" s="16"/>
    </row>
    <row r="28056" spans="30:30" x14ac:dyDescent="0.3">
      <c r="AD28056" s="16"/>
    </row>
    <row r="28057" spans="30:30" x14ac:dyDescent="0.3">
      <c r="AD28057" s="16"/>
    </row>
    <row r="28058" spans="30:30" x14ac:dyDescent="0.3">
      <c r="AD28058" s="16"/>
    </row>
    <row r="28059" spans="30:30" x14ac:dyDescent="0.3">
      <c r="AD28059" s="16"/>
    </row>
    <row r="28060" spans="30:30" x14ac:dyDescent="0.3">
      <c r="AD28060" s="16"/>
    </row>
    <row r="28061" spans="30:30" x14ac:dyDescent="0.3">
      <c r="AD28061" s="16"/>
    </row>
    <row r="28062" spans="30:30" x14ac:dyDescent="0.3">
      <c r="AD28062" s="16"/>
    </row>
    <row r="28063" spans="30:30" x14ac:dyDescent="0.3">
      <c r="AD28063" s="16"/>
    </row>
    <row r="28064" spans="30:30" x14ac:dyDescent="0.3">
      <c r="AD28064" s="16"/>
    </row>
    <row r="28065" spans="30:30" x14ac:dyDescent="0.3">
      <c r="AD28065" s="16"/>
    </row>
    <row r="28066" spans="30:30" x14ac:dyDescent="0.3">
      <c r="AD28066" s="16"/>
    </row>
    <row r="28067" spans="30:30" x14ac:dyDescent="0.3">
      <c r="AD28067" s="16"/>
    </row>
    <row r="28068" spans="30:30" x14ac:dyDescent="0.3">
      <c r="AD28068" s="16"/>
    </row>
    <row r="28069" spans="30:30" x14ac:dyDescent="0.3">
      <c r="AD28069" s="16"/>
    </row>
    <row r="28070" spans="30:30" x14ac:dyDescent="0.3">
      <c r="AD28070" s="16"/>
    </row>
    <row r="28071" spans="30:30" x14ac:dyDescent="0.3">
      <c r="AD28071" s="16"/>
    </row>
    <row r="28072" spans="30:30" x14ac:dyDescent="0.3">
      <c r="AD28072" s="16"/>
    </row>
    <row r="28073" spans="30:30" x14ac:dyDescent="0.3">
      <c r="AD28073" s="16"/>
    </row>
    <row r="28074" spans="30:30" x14ac:dyDescent="0.3">
      <c r="AD28074" s="16"/>
    </row>
    <row r="28075" spans="30:30" x14ac:dyDescent="0.3">
      <c r="AD28075" s="16"/>
    </row>
    <row r="28076" spans="30:30" x14ac:dyDescent="0.3">
      <c r="AD28076" s="16"/>
    </row>
    <row r="28077" spans="30:30" x14ac:dyDescent="0.3">
      <c r="AD28077" s="16"/>
    </row>
    <row r="28078" spans="30:30" x14ac:dyDescent="0.3">
      <c r="AD28078" s="16"/>
    </row>
    <row r="28079" spans="30:30" x14ac:dyDescent="0.3">
      <c r="AD28079" s="16"/>
    </row>
    <row r="28080" spans="30:30" x14ac:dyDescent="0.3">
      <c r="AD28080" s="16"/>
    </row>
    <row r="28081" spans="30:30" x14ac:dyDescent="0.3">
      <c r="AD28081" s="16"/>
    </row>
    <row r="28082" spans="30:30" x14ac:dyDescent="0.3">
      <c r="AD28082" s="16"/>
    </row>
    <row r="28083" spans="30:30" x14ac:dyDescent="0.3">
      <c r="AD28083" s="16"/>
    </row>
    <row r="28084" spans="30:30" x14ac:dyDescent="0.3">
      <c r="AD28084" s="16"/>
    </row>
    <row r="28085" spans="30:30" x14ac:dyDescent="0.3">
      <c r="AD28085" s="16"/>
    </row>
    <row r="28086" spans="30:30" x14ac:dyDescent="0.3">
      <c r="AD28086" s="16"/>
    </row>
    <row r="28087" spans="30:30" x14ac:dyDescent="0.3">
      <c r="AD28087" s="16"/>
    </row>
    <row r="28088" spans="30:30" x14ac:dyDescent="0.3">
      <c r="AD28088" s="16"/>
    </row>
    <row r="28089" spans="30:30" x14ac:dyDescent="0.3">
      <c r="AD28089" s="16"/>
    </row>
    <row r="28090" spans="30:30" x14ac:dyDescent="0.3">
      <c r="AD28090" s="16"/>
    </row>
    <row r="28091" spans="30:30" x14ac:dyDescent="0.3">
      <c r="AD28091" s="16"/>
    </row>
    <row r="28092" spans="30:30" x14ac:dyDescent="0.3">
      <c r="AD28092" s="16"/>
    </row>
    <row r="28093" spans="30:30" x14ac:dyDescent="0.3">
      <c r="AD28093" s="16"/>
    </row>
    <row r="28094" spans="30:30" x14ac:dyDescent="0.3">
      <c r="AD28094" s="16"/>
    </row>
    <row r="28095" spans="30:30" x14ac:dyDescent="0.3">
      <c r="AD28095" s="16"/>
    </row>
    <row r="28096" spans="30:30" x14ac:dyDescent="0.3">
      <c r="AD28096" s="16"/>
    </row>
    <row r="28097" spans="30:30" x14ac:dyDescent="0.3">
      <c r="AD28097" s="16"/>
    </row>
    <row r="28098" spans="30:30" x14ac:dyDescent="0.3">
      <c r="AD28098" s="16"/>
    </row>
    <row r="28099" spans="30:30" x14ac:dyDescent="0.3">
      <c r="AD28099" s="16"/>
    </row>
    <row r="28100" spans="30:30" x14ac:dyDescent="0.3">
      <c r="AD28100" s="16"/>
    </row>
    <row r="28101" spans="30:30" x14ac:dyDescent="0.3">
      <c r="AD28101" s="16"/>
    </row>
    <row r="28102" spans="30:30" x14ac:dyDescent="0.3">
      <c r="AD28102" s="16"/>
    </row>
    <row r="28103" spans="30:30" x14ac:dyDescent="0.3">
      <c r="AD28103" s="16"/>
    </row>
    <row r="28104" spans="30:30" x14ac:dyDescent="0.3">
      <c r="AD28104" s="16"/>
    </row>
    <row r="28105" spans="30:30" x14ac:dyDescent="0.3">
      <c r="AD28105" s="16"/>
    </row>
    <row r="28106" spans="30:30" x14ac:dyDescent="0.3">
      <c r="AD28106" s="16"/>
    </row>
    <row r="28107" spans="30:30" x14ac:dyDescent="0.3">
      <c r="AD28107" s="16"/>
    </row>
    <row r="28108" spans="30:30" x14ac:dyDescent="0.3">
      <c r="AD28108" s="16"/>
    </row>
    <row r="28109" spans="30:30" x14ac:dyDescent="0.3">
      <c r="AD28109" s="16"/>
    </row>
    <row r="28110" spans="30:30" x14ac:dyDescent="0.3">
      <c r="AD28110" s="16"/>
    </row>
    <row r="28111" spans="30:30" x14ac:dyDescent="0.3">
      <c r="AD28111" s="16"/>
    </row>
    <row r="28112" spans="30:30" x14ac:dyDescent="0.3">
      <c r="AD28112" s="16"/>
    </row>
    <row r="28113" spans="30:30" x14ac:dyDescent="0.3">
      <c r="AD28113" s="16"/>
    </row>
    <row r="28114" spans="30:30" x14ac:dyDescent="0.3">
      <c r="AD28114" s="16"/>
    </row>
    <row r="28115" spans="30:30" x14ac:dyDescent="0.3">
      <c r="AD28115" s="16"/>
    </row>
    <row r="28116" spans="30:30" x14ac:dyDescent="0.3">
      <c r="AD28116" s="16"/>
    </row>
    <row r="28117" spans="30:30" x14ac:dyDescent="0.3">
      <c r="AD28117" s="16"/>
    </row>
    <row r="28118" spans="30:30" x14ac:dyDescent="0.3">
      <c r="AD28118" s="16"/>
    </row>
    <row r="28119" spans="30:30" x14ac:dyDescent="0.3">
      <c r="AD28119" s="16"/>
    </row>
    <row r="28120" spans="30:30" x14ac:dyDescent="0.3">
      <c r="AD28120" s="16"/>
    </row>
    <row r="28121" spans="30:30" x14ac:dyDescent="0.3">
      <c r="AD28121" s="16"/>
    </row>
    <row r="28122" spans="30:30" x14ac:dyDescent="0.3">
      <c r="AD28122" s="16"/>
    </row>
    <row r="28123" spans="30:30" x14ac:dyDescent="0.3">
      <c r="AD28123" s="16"/>
    </row>
    <row r="28124" spans="30:30" x14ac:dyDescent="0.3">
      <c r="AD28124" s="16"/>
    </row>
    <row r="28125" spans="30:30" x14ac:dyDescent="0.3">
      <c r="AD28125" s="16"/>
    </row>
    <row r="28126" spans="30:30" x14ac:dyDescent="0.3">
      <c r="AD28126" s="16"/>
    </row>
    <row r="28127" spans="30:30" x14ac:dyDescent="0.3">
      <c r="AD28127" s="16"/>
    </row>
    <row r="28128" spans="30:30" x14ac:dyDescent="0.3">
      <c r="AD28128" s="16"/>
    </row>
    <row r="28129" spans="30:30" x14ac:dyDescent="0.3">
      <c r="AD28129" s="16"/>
    </row>
    <row r="28130" spans="30:30" x14ac:dyDescent="0.3">
      <c r="AD28130" s="16"/>
    </row>
    <row r="28131" spans="30:30" x14ac:dyDescent="0.3">
      <c r="AD28131" s="16"/>
    </row>
    <row r="28132" spans="30:30" x14ac:dyDescent="0.3">
      <c r="AD28132" s="16"/>
    </row>
    <row r="28133" spans="30:30" x14ac:dyDescent="0.3">
      <c r="AD28133" s="16"/>
    </row>
    <row r="28134" spans="30:30" x14ac:dyDescent="0.3">
      <c r="AD28134" s="16"/>
    </row>
    <row r="28135" spans="30:30" x14ac:dyDescent="0.3">
      <c r="AD28135" s="16"/>
    </row>
    <row r="28136" spans="30:30" x14ac:dyDescent="0.3">
      <c r="AD28136" s="16"/>
    </row>
    <row r="28137" spans="30:30" x14ac:dyDescent="0.3">
      <c r="AD28137" s="16"/>
    </row>
    <row r="28138" spans="30:30" x14ac:dyDescent="0.3">
      <c r="AD28138" s="16"/>
    </row>
    <row r="28139" spans="30:30" x14ac:dyDescent="0.3">
      <c r="AD28139" s="16"/>
    </row>
    <row r="28140" spans="30:30" x14ac:dyDescent="0.3">
      <c r="AD28140" s="16"/>
    </row>
    <row r="28141" spans="30:30" x14ac:dyDescent="0.3">
      <c r="AD28141" s="16"/>
    </row>
    <row r="28142" spans="30:30" x14ac:dyDescent="0.3">
      <c r="AD28142" s="16"/>
    </row>
    <row r="28143" spans="30:30" x14ac:dyDescent="0.3">
      <c r="AD28143" s="16"/>
    </row>
    <row r="28144" spans="30:30" x14ac:dyDescent="0.3">
      <c r="AD28144" s="16"/>
    </row>
    <row r="28145" spans="30:30" x14ac:dyDescent="0.3">
      <c r="AD28145" s="16"/>
    </row>
    <row r="28146" spans="30:30" x14ac:dyDescent="0.3">
      <c r="AD28146" s="16"/>
    </row>
    <row r="28147" spans="30:30" x14ac:dyDescent="0.3">
      <c r="AD28147" s="16"/>
    </row>
    <row r="28148" spans="30:30" x14ac:dyDescent="0.3">
      <c r="AD28148" s="16"/>
    </row>
    <row r="28149" spans="30:30" x14ac:dyDescent="0.3">
      <c r="AD28149" s="16"/>
    </row>
    <row r="28150" spans="30:30" x14ac:dyDescent="0.3">
      <c r="AD28150" s="16"/>
    </row>
    <row r="28151" spans="30:30" x14ac:dyDescent="0.3">
      <c r="AD28151" s="16"/>
    </row>
    <row r="28152" spans="30:30" x14ac:dyDescent="0.3">
      <c r="AD28152" s="16"/>
    </row>
    <row r="28153" spans="30:30" x14ac:dyDescent="0.3">
      <c r="AD28153" s="16"/>
    </row>
    <row r="28154" spans="30:30" x14ac:dyDescent="0.3">
      <c r="AD28154" s="16"/>
    </row>
    <row r="28155" spans="30:30" x14ac:dyDescent="0.3">
      <c r="AD28155" s="16"/>
    </row>
    <row r="28156" spans="30:30" x14ac:dyDescent="0.3">
      <c r="AD28156" s="16"/>
    </row>
    <row r="28157" spans="30:30" x14ac:dyDescent="0.3">
      <c r="AD28157" s="16"/>
    </row>
    <row r="28158" spans="30:30" x14ac:dyDescent="0.3">
      <c r="AD28158" s="16"/>
    </row>
    <row r="28159" spans="30:30" x14ac:dyDescent="0.3">
      <c r="AD28159" s="16"/>
    </row>
    <row r="28160" spans="30:30" x14ac:dyDescent="0.3">
      <c r="AD28160" s="16"/>
    </row>
    <row r="28161" spans="30:30" x14ac:dyDescent="0.3">
      <c r="AD28161" s="16"/>
    </row>
    <row r="28162" spans="30:30" x14ac:dyDescent="0.3">
      <c r="AD28162" s="16"/>
    </row>
    <row r="28163" spans="30:30" x14ac:dyDescent="0.3">
      <c r="AD28163" s="16"/>
    </row>
    <row r="28164" spans="30:30" x14ac:dyDescent="0.3">
      <c r="AD28164" s="16"/>
    </row>
    <row r="28165" spans="30:30" x14ac:dyDescent="0.3">
      <c r="AD28165" s="16"/>
    </row>
    <row r="28166" spans="30:30" x14ac:dyDescent="0.3">
      <c r="AD28166" s="16"/>
    </row>
    <row r="28167" spans="30:30" x14ac:dyDescent="0.3">
      <c r="AD28167" s="16"/>
    </row>
    <row r="28168" spans="30:30" x14ac:dyDescent="0.3">
      <c r="AD28168" s="16"/>
    </row>
    <row r="28169" spans="30:30" x14ac:dyDescent="0.3">
      <c r="AD28169" s="16"/>
    </row>
    <row r="28170" spans="30:30" x14ac:dyDescent="0.3">
      <c r="AD28170" s="16"/>
    </row>
    <row r="28171" spans="30:30" x14ac:dyDescent="0.3">
      <c r="AD28171" s="16"/>
    </row>
    <row r="28172" spans="30:30" x14ac:dyDescent="0.3">
      <c r="AD28172" s="16"/>
    </row>
    <row r="28173" spans="30:30" x14ac:dyDescent="0.3">
      <c r="AD28173" s="16"/>
    </row>
    <row r="28174" spans="30:30" x14ac:dyDescent="0.3">
      <c r="AD28174" s="16"/>
    </row>
    <row r="28175" spans="30:30" x14ac:dyDescent="0.3">
      <c r="AD28175" s="16"/>
    </row>
    <row r="28176" spans="30:30" x14ac:dyDescent="0.3">
      <c r="AD28176" s="16"/>
    </row>
    <row r="28177" spans="30:30" x14ac:dyDescent="0.3">
      <c r="AD28177" s="16"/>
    </row>
    <row r="28178" spans="30:30" x14ac:dyDescent="0.3">
      <c r="AD28178" s="16"/>
    </row>
    <row r="28179" spans="30:30" x14ac:dyDescent="0.3">
      <c r="AD28179" s="16"/>
    </row>
    <row r="28180" spans="30:30" x14ac:dyDescent="0.3">
      <c r="AD28180" s="16"/>
    </row>
    <row r="28181" spans="30:30" x14ac:dyDescent="0.3">
      <c r="AD28181" s="16"/>
    </row>
    <row r="28182" spans="30:30" x14ac:dyDescent="0.3">
      <c r="AD28182" s="16"/>
    </row>
    <row r="28183" spans="30:30" x14ac:dyDescent="0.3">
      <c r="AD28183" s="16"/>
    </row>
    <row r="28184" spans="30:30" x14ac:dyDescent="0.3">
      <c r="AD28184" s="16"/>
    </row>
    <row r="28185" spans="30:30" x14ac:dyDescent="0.3">
      <c r="AD28185" s="16"/>
    </row>
    <row r="28186" spans="30:30" x14ac:dyDescent="0.3">
      <c r="AD28186" s="16"/>
    </row>
    <row r="28187" spans="30:30" x14ac:dyDescent="0.3">
      <c r="AD28187" s="16"/>
    </row>
    <row r="28188" spans="30:30" x14ac:dyDescent="0.3">
      <c r="AD28188" s="16"/>
    </row>
    <row r="28189" spans="30:30" x14ac:dyDescent="0.3">
      <c r="AD28189" s="16"/>
    </row>
    <row r="28190" spans="30:30" x14ac:dyDescent="0.3">
      <c r="AD28190" s="16"/>
    </row>
    <row r="28191" spans="30:30" x14ac:dyDescent="0.3">
      <c r="AD28191" s="16"/>
    </row>
    <row r="28192" spans="30:30" x14ac:dyDescent="0.3">
      <c r="AD28192" s="16"/>
    </row>
    <row r="28193" spans="30:30" x14ac:dyDescent="0.3">
      <c r="AD28193" s="16"/>
    </row>
    <row r="28194" spans="30:30" x14ac:dyDescent="0.3">
      <c r="AD28194" s="16"/>
    </row>
    <row r="28195" spans="30:30" x14ac:dyDescent="0.3">
      <c r="AD28195" s="16"/>
    </row>
    <row r="28196" spans="30:30" x14ac:dyDescent="0.3">
      <c r="AD28196" s="16"/>
    </row>
    <row r="28197" spans="30:30" x14ac:dyDescent="0.3">
      <c r="AD28197" s="16"/>
    </row>
    <row r="28198" spans="30:30" x14ac:dyDescent="0.3">
      <c r="AD28198" s="16"/>
    </row>
    <row r="28199" spans="30:30" x14ac:dyDescent="0.3">
      <c r="AD28199" s="16"/>
    </row>
    <row r="28200" spans="30:30" x14ac:dyDescent="0.3">
      <c r="AD28200" s="16"/>
    </row>
    <row r="28201" spans="30:30" x14ac:dyDescent="0.3">
      <c r="AD28201" s="16"/>
    </row>
    <row r="28202" spans="30:30" x14ac:dyDescent="0.3">
      <c r="AD28202" s="16"/>
    </row>
    <row r="28203" spans="30:30" x14ac:dyDescent="0.3">
      <c r="AD28203" s="16"/>
    </row>
    <row r="28204" spans="30:30" x14ac:dyDescent="0.3">
      <c r="AD28204" s="16"/>
    </row>
    <row r="28205" spans="30:30" x14ac:dyDescent="0.3">
      <c r="AD28205" s="16"/>
    </row>
    <row r="28206" spans="30:30" x14ac:dyDescent="0.3">
      <c r="AD28206" s="16"/>
    </row>
    <row r="28207" spans="30:30" x14ac:dyDescent="0.3">
      <c r="AD28207" s="16"/>
    </row>
    <row r="28208" spans="30:30" x14ac:dyDescent="0.3">
      <c r="AD28208" s="16"/>
    </row>
    <row r="28209" spans="30:30" x14ac:dyDescent="0.3">
      <c r="AD28209" s="16"/>
    </row>
    <row r="28210" spans="30:30" x14ac:dyDescent="0.3">
      <c r="AD28210" s="16"/>
    </row>
    <row r="28211" spans="30:30" x14ac:dyDescent="0.3">
      <c r="AD28211" s="16"/>
    </row>
    <row r="28212" spans="30:30" x14ac:dyDescent="0.3">
      <c r="AD28212" s="16"/>
    </row>
    <row r="28213" spans="30:30" x14ac:dyDescent="0.3">
      <c r="AD28213" s="16"/>
    </row>
    <row r="28214" spans="30:30" x14ac:dyDescent="0.3">
      <c r="AD28214" s="16"/>
    </row>
    <row r="28215" spans="30:30" x14ac:dyDescent="0.3">
      <c r="AD28215" s="16"/>
    </row>
    <row r="28216" spans="30:30" x14ac:dyDescent="0.3">
      <c r="AD28216" s="16"/>
    </row>
    <row r="28217" spans="30:30" x14ac:dyDescent="0.3">
      <c r="AD28217" s="16"/>
    </row>
    <row r="28218" spans="30:30" x14ac:dyDescent="0.3">
      <c r="AD28218" s="16"/>
    </row>
    <row r="28219" spans="30:30" x14ac:dyDescent="0.3">
      <c r="AD28219" s="16"/>
    </row>
    <row r="28220" spans="30:30" x14ac:dyDescent="0.3">
      <c r="AD28220" s="16"/>
    </row>
    <row r="28221" spans="30:30" x14ac:dyDescent="0.3">
      <c r="AD28221" s="16"/>
    </row>
    <row r="28222" spans="30:30" x14ac:dyDescent="0.3">
      <c r="AD28222" s="16"/>
    </row>
    <row r="28223" spans="30:30" x14ac:dyDescent="0.3">
      <c r="AD28223" s="16"/>
    </row>
    <row r="28224" spans="30:30" x14ac:dyDescent="0.3">
      <c r="AD28224" s="16"/>
    </row>
    <row r="28225" spans="30:30" x14ac:dyDescent="0.3">
      <c r="AD28225" s="16"/>
    </row>
    <row r="28226" spans="30:30" x14ac:dyDescent="0.3">
      <c r="AD28226" s="16"/>
    </row>
    <row r="28227" spans="30:30" x14ac:dyDescent="0.3">
      <c r="AD28227" s="16"/>
    </row>
    <row r="28228" spans="30:30" x14ac:dyDescent="0.3">
      <c r="AD28228" s="16"/>
    </row>
    <row r="28229" spans="30:30" x14ac:dyDescent="0.3">
      <c r="AD28229" s="16"/>
    </row>
    <row r="28230" spans="30:30" x14ac:dyDescent="0.3">
      <c r="AD28230" s="16"/>
    </row>
    <row r="28231" spans="30:30" x14ac:dyDescent="0.3">
      <c r="AD28231" s="16"/>
    </row>
    <row r="28232" spans="30:30" x14ac:dyDescent="0.3">
      <c r="AD28232" s="16"/>
    </row>
    <row r="28233" spans="30:30" x14ac:dyDescent="0.3">
      <c r="AD28233" s="16"/>
    </row>
    <row r="28234" spans="30:30" x14ac:dyDescent="0.3">
      <c r="AD28234" s="16"/>
    </row>
    <row r="28235" spans="30:30" x14ac:dyDescent="0.3">
      <c r="AD28235" s="16"/>
    </row>
    <row r="28236" spans="30:30" x14ac:dyDescent="0.3">
      <c r="AD28236" s="16"/>
    </row>
    <row r="28237" spans="30:30" x14ac:dyDescent="0.3">
      <c r="AD28237" s="16"/>
    </row>
    <row r="28238" spans="30:30" x14ac:dyDescent="0.3">
      <c r="AD28238" s="16"/>
    </row>
    <row r="28239" spans="30:30" x14ac:dyDescent="0.3">
      <c r="AD28239" s="16"/>
    </row>
    <row r="28240" spans="30:30" x14ac:dyDescent="0.3">
      <c r="AD28240" s="16"/>
    </row>
    <row r="28241" spans="30:30" x14ac:dyDescent="0.3">
      <c r="AD28241" s="16"/>
    </row>
    <row r="28242" spans="30:30" x14ac:dyDescent="0.3">
      <c r="AD28242" s="16"/>
    </row>
    <row r="28243" spans="30:30" x14ac:dyDescent="0.3">
      <c r="AD28243" s="16"/>
    </row>
    <row r="28244" spans="30:30" x14ac:dyDescent="0.3">
      <c r="AD28244" s="16"/>
    </row>
    <row r="28245" spans="30:30" x14ac:dyDescent="0.3">
      <c r="AD28245" s="16"/>
    </row>
    <row r="28246" spans="30:30" x14ac:dyDescent="0.3">
      <c r="AD28246" s="16"/>
    </row>
    <row r="28247" spans="30:30" x14ac:dyDescent="0.3">
      <c r="AD28247" s="16"/>
    </row>
    <row r="28248" spans="30:30" x14ac:dyDescent="0.3">
      <c r="AD28248" s="16"/>
    </row>
    <row r="28249" spans="30:30" x14ac:dyDescent="0.3">
      <c r="AD28249" s="16"/>
    </row>
    <row r="28250" spans="30:30" x14ac:dyDescent="0.3">
      <c r="AD28250" s="16"/>
    </row>
    <row r="28251" spans="30:30" x14ac:dyDescent="0.3">
      <c r="AD28251" s="16"/>
    </row>
    <row r="28252" spans="30:30" x14ac:dyDescent="0.3">
      <c r="AD28252" s="16"/>
    </row>
    <row r="28253" spans="30:30" x14ac:dyDescent="0.3">
      <c r="AD28253" s="16"/>
    </row>
    <row r="28254" spans="30:30" x14ac:dyDescent="0.3">
      <c r="AD28254" s="16"/>
    </row>
    <row r="28255" spans="30:30" x14ac:dyDescent="0.3">
      <c r="AD28255" s="16"/>
    </row>
    <row r="28256" spans="30:30" x14ac:dyDescent="0.3">
      <c r="AD28256" s="16"/>
    </row>
    <row r="28257" spans="30:30" x14ac:dyDescent="0.3">
      <c r="AD28257" s="16"/>
    </row>
    <row r="28258" spans="30:30" x14ac:dyDescent="0.3">
      <c r="AD28258" s="16"/>
    </row>
    <row r="28259" spans="30:30" x14ac:dyDescent="0.3">
      <c r="AD28259" s="16"/>
    </row>
    <row r="28260" spans="30:30" x14ac:dyDescent="0.3">
      <c r="AD28260" s="16"/>
    </row>
    <row r="28261" spans="30:30" x14ac:dyDescent="0.3">
      <c r="AD28261" s="16"/>
    </row>
    <row r="28262" spans="30:30" x14ac:dyDescent="0.3">
      <c r="AD28262" s="16"/>
    </row>
    <row r="28263" spans="30:30" x14ac:dyDescent="0.3">
      <c r="AD28263" s="16"/>
    </row>
    <row r="28264" spans="30:30" x14ac:dyDescent="0.3">
      <c r="AD28264" s="16"/>
    </row>
    <row r="28265" spans="30:30" x14ac:dyDescent="0.3">
      <c r="AD28265" s="16"/>
    </row>
    <row r="28266" spans="30:30" x14ac:dyDescent="0.3">
      <c r="AD28266" s="16"/>
    </row>
    <row r="28267" spans="30:30" x14ac:dyDescent="0.3">
      <c r="AD28267" s="16"/>
    </row>
    <row r="28268" spans="30:30" x14ac:dyDescent="0.3">
      <c r="AD28268" s="16"/>
    </row>
    <row r="28269" spans="30:30" x14ac:dyDescent="0.3">
      <c r="AD28269" s="16"/>
    </row>
    <row r="28270" spans="30:30" x14ac:dyDescent="0.3">
      <c r="AD28270" s="16"/>
    </row>
    <row r="28271" spans="30:30" x14ac:dyDescent="0.3">
      <c r="AD28271" s="16"/>
    </row>
    <row r="28272" spans="30:30" x14ac:dyDescent="0.3">
      <c r="AD28272" s="16"/>
    </row>
    <row r="28273" spans="30:30" x14ac:dyDescent="0.3">
      <c r="AD28273" s="16"/>
    </row>
    <row r="28274" spans="30:30" x14ac:dyDescent="0.3">
      <c r="AD28274" s="16"/>
    </row>
    <row r="28275" spans="30:30" x14ac:dyDescent="0.3">
      <c r="AD28275" s="16"/>
    </row>
    <row r="28276" spans="30:30" x14ac:dyDescent="0.3">
      <c r="AD28276" s="16"/>
    </row>
    <row r="28277" spans="30:30" x14ac:dyDescent="0.3">
      <c r="AD28277" s="16"/>
    </row>
    <row r="28278" spans="30:30" x14ac:dyDescent="0.3">
      <c r="AD28278" s="16"/>
    </row>
    <row r="28279" spans="30:30" x14ac:dyDescent="0.3">
      <c r="AD28279" s="16"/>
    </row>
    <row r="28280" spans="30:30" x14ac:dyDescent="0.3">
      <c r="AD28280" s="16"/>
    </row>
    <row r="28281" spans="30:30" x14ac:dyDescent="0.3">
      <c r="AD28281" s="16"/>
    </row>
    <row r="28282" spans="30:30" x14ac:dyDescent="0.3">
      <c r="AD28282" s="16"/>
    </row>
    <row r="28283" spans="30:30" x14ac:dyDescent="0.3">
      <c r="AD28283" s="16"/>
    </row>
    <row r="28284" spans="30:30" x14ac:dyDescent="0.3">
      <c r="AD28284" s="16"/>
    </row>
    <row r="28285" spans="30:30" x14ac:dyDescent="0.3">
      <c r="AD28285" s="16"/>
    </row>
    <row r="28286" spans="30:30" x14ac:dyDescent="0.3">
      <c r="AD28286" s="16"/>
    </row>
    <row r="28287" spans="30:30" x14ac:dyDescent="0.3">
      <c r="AD28287" s="16"/>
    </row>
    <row r="28288" spans="30:30" x14ac:dyDescent="0.3">
      <c r="AD28288" s="16"/>
    </row>
    <row r="28289" spans="30:30" x14ac:dyDescent="0.3">
      <c r="AD28289" s="16"/>
    </row>
    <row r="28290" spans="30:30" x14ac:dyDescent="0.3">
      <c r="AD28290" s="16"/>
    </row>
    <row r="28291" spans="30:30" x14ac:dyDescent="0.3">
      <c r="AD28291" s="16"/>
    </row>
    <row r="28292" spans="30:30" x14ac:dyDescent="0.3">
      <c r="AD28292" s="16"/>
    </row>
    <row r="28293" spans="30:30" x14ac:dyDescent="0.3">
      <c r="AD28293" s="16"/>
    </row>
    <row r="28294" spans="30:30" x14ac:dyDescent="0.3">
      <c r="AD28294" s="16"/>
    </row>
    <row r="28295" spans="30:30" x14ac:dyDescent="0.3">
      <c r="AD28295" s="16"/>
    </row>
    <row r="28296" spans="30:30" x14ac:dyDescent="0.3">
      <c r="AD28296" s="16"/>
    </row>
    <row r="28297" spans="30:30" x14ac:dyDescent="0.3">
      <c r="AD28297" s="16"/>
    </row>
    <row r="28298" spans="30:30" x14ac:dyDescent="0.3">
      <c r="AD28298" s="16"/>
    </row>
    <row r="28299" spans="30:30" x14ac:dyDescent="0.3">
      <c r="AD28299" s="16"/>
    </row>
    <row r="28300" spans="30:30" x14ac:dyDescent="0.3">
      <c r="AD28300" s="16"/>
    </row>
    <row r="28301" spans="30:30" x14ac:dyDescent="0.3">
      <c r="AD28301" s="16"/>
    </row>
    <row r="28302" spans="30:30" x14ac:dyDescent="0.3">
      <c r="AD28302" s="16"/>
    </row>
    <row r="28303" spans="30:30" x14ac:dyDescent="0.3">
      <c r="AD28303" s="16"/>
    </row>
    <row r="28304" spans="30:30" x14ac:dyDescent="0.3">
      <c r="AD28304" s="16"/>
    </row>
    <row r="28305" spans="30:30" x14ac:dyDescent="0.3">
      <c r="AD28305" s="16"/>
    </row>
    <row r="28306" spans="30:30" x14ac:dyDescent="0.3">
      <c r="AD28306" s="16"/>
    </row>
    <row r="28307" spans="30:30" x14ac:dyDescent="0.3">
      <c r="AD28307" s="16"/>
    </row>
    <row r="28308" spans="30:30" x14ac:dyDescent="0.3">
      <c r="AD28308" s="16"/>
    </row>
    <row r="28309" spans="30:30" x14ac:dyDescent="0.3">
      <c r="AD28309" s="16"/>
    </row>
    <row r="28310" spans="30:30" x14ac:dyDescent="0.3">
      <c r="AD28310" s="16"/>
    </row>
    <row r="28311" spans="30:30" x14ac:dyDescent="0.3">
      <c r="AD28311" s="16"/>
    </row>
    <row r="28312" spans="30:30" x14ac:dyDescent="0.3">
      <c r="AD28312" s="16"/>
    </row>
    <row r="28313" spans="30:30" x14ac:dyDescent="0.3">
      <c r="AD28313" s="16"/>
    </row>
    <row r="28314" spans="30:30" x14ac:dyDescent="0.3">
      <c r="AD28314" s="16"/>
    </row>
    <row r="28315" spans="30:30" x14ac:dyDescent="0.3">
      <c r="AD28315" s="16"/>
    </row>
    <row r="28316" spans="30:30" x14ac:dyDescent="0.3">
      <c r="AD28316" s="16"/>
    </row>
    <row r="28317" spans="30:30" x14ac:dyDescent="0.3">
      <c r="AD28317" s="16"/>
    </row>
    <row r="28318" spans="30:30" x14ac:dyDescent="0.3">
      <c r="AD28318" s="16"/>
    </row>
    <row r="28319" spans="30:30" x14ac:dyDescent="0.3">
      <c r="AD28319" s="16"/>
    </row>
    <row r="28320" spans="30:30" x14ac:dyDescent="0.3">
      <c r="AD28320" s="16"/>
    </row>
    <row r="28321" spans="30:30" x14ac:dyDescent="0.3">
      <c r="AD28321" s="16"/>
    </row>
    <row r="28322" spans="30:30" x14ac:dyDescent="0.3">
      <c r="AD28322" s="16"/>
    </row>
    <row r="28323" spans="30:30" x14ac:dyDescent="0.3">
      <c r="AD28323" s="16"/>
    </row>
    <row r="28324" spans="30:30" x14ac:dyDescent="0.3">
      <c r="AD28324" s="16"/>
    </row>
    <row r="28325" spans="30:30" x14ac:dyDescent="0.3">
      <c r="AD28325" s="16"/>
    </row>
    <row r="28326" spans="30:30" x14ac:dyDescent="0.3">
      <c r="AD28326" s="16"/>
    </row>
    <row r="28327" spans="30:30" x14ac:dyDescent="0.3">
      <c r="AD28327" s="16"/>
    </row>
    <row r="28328" spans="30:30" x14ac:dyDescent="0.3">
      <c r="AD28328" s="16"/>
    </row>
    <row r="28329" spans="30:30" x14ac:dyDescent="0.3">
      <c r="AD28329" s="16"/>
    </row>
    <row r="28330" spans="30:30" x14ac:dyDescent="0.3">
      <c r="AD28330" s="16"/>
    </row>
    <row r="28331" spans="30:30" x14ac:dyDescent="0.3">
      <c r="AD28331" s="16"/>
    </row>
    <row r="28332" spans="30:30" x14ac:dyDescent="0.3">
      <c r="AD28332" s="16"/>
    </row>
    <row r="28333" spans="30:30" x14ac:dyDescent="0.3">
      <c r="AD28333" s="16"/>
    </row>
    <row r="28334" spans="30:30" x14ac:dyDescent="0.3">
      <c r="AD28334" s="16"/>
    </row>
    <row r="28335" spans="30:30" x14ac:dyDescent="0.3">
      <c r="AD28335" s="16"/>
    </row>
    <row r="28336" spans="30:30" x14ac:dyDescent="0.3">
      <c r="AD28336" s="16"/>
    </row>
    <row r="28337" spans="30:30" x14ac:dyDescent="0.3">
      <c r="AD28337" s="16"/>
    </row>
    <row r="28338" spans="30:30" x14ac:dyDescent="0.3">
      <c r="AD28338" s="16"/>
    </row>
    <row r="28339" spans="30:30" x14ac:dyDescent="0.3">
      <c r="AD28339" s="16"/>
    </row>
    <row r="28340" spans="30:30" x14ac:dyDescent="0.3">
      <c r="AD28340" s="16"/>
    </row>
    <row r="28341" spans="30:30" x14ac:dyDescent="0.3">
      <c r="AD28341" s="16"/>
    </row>
    <row r="28342" spans="30:30" x14ac:dyDescent="0.3">
      <c r="AD28342" s="16"/>
    </row>
    <row r="28343" spans="30:30" x14ac:dyDescent="0.3">
      <c r="AD28343" s="16"/>
    </row>
    <row r="28344" spans="30:30" x14ac:dyDescent="0.3">
      <c r="AD28344" s="16"/>
    </row>
    <row r="28345" spans="30:30" x14ac:dyDescent="0.3">
      <c r="AD28345" s="16"/>
    </row>
    <row r="28346" spans="30:30" x14ac:dyDescent="0.3">
      <c r="AD28346" s="16"/>
    </row>
    <row r="28347" spans="30:30" x14ac:dyDescent="0.3">
      <c r="AD28347" s="16"/>
    </row>
    <row r="28348" spans="30:30" x14ac:dyDescent="0.3">
      <c r="AD28348" s="16"/>
    </row>
    <row r="28349" spans="30:30" x14ac:dyDescent="0.3">
      <c r="AD28349" s="16"/>
    </row>
    <row r="28350" spans="30:30" x14ac:dyDescent="0.3">
      <c r="AD28350" s="16"/>
    </row>
    <row r="28351" spans="30:30" x14ac:dyDescent="0.3">
      <c r="AD28351" s="16"/>
    </row>
    <row r="28352" spans="30:30" x14ac:dyDescent="0.3">
      <c r="AD28352" s="16"/>
    </row>
    <row r="28353" spans="30:30" x14ac:dyDescent="0.3">
      <c r="AD28353" s="16"/>
    </row>
    <row r="28354" spans="30:30" x14ac:dyDescent="0.3">
      <c r="AD28354" s="16"/>
    </row>
    <row r="28355" spans="30:30" x14ac:dyDescent="0.3">
      <c r="AD28355" s="16"/>
    </row>
    <row r="28356" spans="30:30" x14ac:dyDescent="0.3">
      <c r="AD28356" s="16"/>
    </row>
    <row r="28357" spans="30:30" x14ac:dyDescent="0.3">
      <c r="AD28357" s="16"/>
    </row>
    <row r="28358" spans="30:30" x14ac:dyDescent="0.3">
      <c r="AD28358" s="16"/>
    </row>
    <row r="28359" spans="30:30" x14ac:dyDescent="0.3">
      <c r="AD28359" s="16"/>
    </row>
    <row r="28360" spans="30:30" x14ac:dyDescent="0.3">
      <c r="AD28360" s="16"/>
    </row>
    <row r="28361" spans="30:30" x14ac:dyDescent="0.3">
      <c r="AD28361" s="16"/>
    </row>
    <row r="28362" spans="30:30" x14ac:dyDescent="0.3">
      <c r="AD28362" s="16"/>
    </row>
    <row r="28363" spans="30:30" x14ac:dyDescent="0.3">
      <c r="AD28363" s="16"/>
    </row>
    <row r="28364" spans="30:30" x14ac:dyDescent="0.3">
      <c r="AD28364" s="16"/>
    </row>
    <row r="28365" spans="30:30" x14ac:dyDescent="0.3">
      <c r="AD28365" s="16"/>
    </row>
    <row r="28366" spans="30:30" x14ac:dyDescent="0.3">
      <c r="AD28366" s="16"/>
    </row>
    <row r="28367" spans="30:30" x14ac:dyDescent="0.3">
      <c r="AD28367" s="16"/>
    </row>
    <row r="28368" spans="30:30" x14ac:dyDescent="0.3">
      <c r="AD28368" s="16"/>
    </row>
    <row r="28369" spans="30:30" x14ac:dyDescent="0.3">
      <c r="AD28369" s="16"/>
    </row>
    <row r="28370" spans="30:30" x14ac:dyDescent="0.3">
      <c r="AD28370" s="16"/>
    </row>
    <row r="28371" spans="30:30" x14ac:dyDescent="0.3">
      <c r="AD28371" s="16"/>
    </row>
    <row r="28372" spans="30:30" x14ac:dyDescent="0.3">
      <c r="AD28372" s="16"/>
    </row>
    <row r="28373" spans="30:30" x14ac:dyDescent="0.3">
      <c r="AD28373" s="16"/>
    </row>
    <row r="28374" spans="30:30" x14ac:dyDescent="0.3">
      <c r="AD28374" s="16"/>
    </row>
    <row r="28375" spans="30:30" x14ac:dyDescent="0.3">
      <c r="AD28375" s="16"/>
    </row>
    <row r="28376" spans="30:30" x14ac:dyDescent="0.3">
      <c r="AD28376" s="16"/>
    </row>
    <row r="28377" spans="30:30" x14ac:dyDescent="0.3">
      <c r="AD28377" s="16"/>
    </row>
    <row r="28378" spans="30:30" x14ac:dyDescent="0.3">
      <c r="AD28378" s="16"/>
    </row>
    <row r="28379" spans="30:30" x14ac:dyDescent="0.3">
      <c r="AD28379" s="16"/>
    </row>
    <row r="28380" spans="30:30" x14ac:dyDescent="0.3">
      <c r="AD28380" s="16"/>
    </row>
    <row r="28381" spans="30:30" x14ac:dyDescent="0.3">
      <c r="AD28381" s="16"/>
    </row>
    <row r="28382" spans="30:30" x14ac:dyDescent="0.3">
      <c r="AD28382" s="16"/>
    </row>
    <row r="28383" spans="30:30" x14ac:dyDescent="0.3">
      <c r="AD28383" s="16"/>
    </row>
    <row r="28384" spans="30:30" x14ac:dyDescent="0.3">
      <c r="AD28384" s="16"/>
    </row>
    <row r="28385" spans="30:30" x14ac:dyDescent="0.3">
      <c r="AD28385" s="16"/>
    </row>
    <row r="28386" spans="30:30" x14ac:dyDescent="0.3">
      <c r="AD28386" s="16"/>
    </row>
    <row r="28387" spans="30:30" x14ac:dyDescent="0.3">
      <c r="AD28387" s="16"/>
    </row>
    <row r="28388" spans="30:30" x14ac:dyDescent="0.3">
      <c r="AD28388" s="16"/>
    </row>
    <row r="28389" spans="30:30" x14ac:dyDescent="0.3">
      <c r="AD28389" s="16"/>
    </row>
    <row r="28390" spans="30:30" x14ac:dyDescent="0.3">
      <c r="AD28390" s="16"/>
    </row>
    <row r="28391" spans="30:30" x14ac:dyDescent="0.3">
      <c r="AD28391" s="16"/>
    </row>
    <row r="28392" spans="30:30" x14ac:dyDescent="0.3">
      <c r="AD28392" s="16"/>
    </row>
    <row r="28393" spans="30:30" x14ac:dyDescent="0.3">
      <c r="AD28393" s="16"/>
    </row>
    <row r="28394" spans="30:30" x14ac:dyDescent="0.3">
      <c r="AD28394" s="16"/>
    </row>
    <row r="28395" spans="30:30" x14ac:dyDescent="0.3">
      <c r="AD28395" s="16"/>
    </row>
    <row r="28396" spans="30:30" x14ac:dyDescent="0.3">
      <c r="AD28396" s="16"/>
    </row>
    <row r="28397" spans="30:30" x14ac:dyDescent="0.3">
      <c r="AD28397" s="16"/>
    </row>
    <row r="28398" spans="30:30" x14ac:dyDescent="0.3">
      <c r="AD28398" s="16"/>
    </row>
    <row r="28399" spans="30:30" x14ac:dyDescent="0.3">
      <c r="AD28399" s="16"/>
    </row>
    <row r="28400" spans="30:30" x14ac:dyDescent="0.3">
      <c r="AD28400" s="16"/>
    </row>
    <row r="28401" spans="30:30" x14ac:dyDescent="0.3">
      <c r="AD28401" s="16"/>
    </row>
    <row r="28402" spans="30:30" x14ac:dyDescent="0.3">
      <c r="AD28402" s="16"/>
    </row>
    <row r="28403" spans="30:30" x14ac:dyDescent="0.3">
      <c r="AD28403" s="16"/>
    </row>
    <row r="28404" spans="30:30" x14ac:dyDescent="0.3">
      <c r="AD28404" s="16"/>
    </row>
    <row r="28405" spans="30:30" x14ac:dyDescent="0.3">
      <c r="AD28405" s="16"/>
    </row>
    <row r="28406" spans="30:30" x14ac:dyDescent="0.3">
      <c r="AD28406" s="16"/>
    </row>
    <row r="28407" spans="30:30" x14ac:dyDescent="0.3">
      <c r="AD28407" s="16"/>
    </row>
    <row r="28408" spans="30:30" x14ac:dyDescent="0.3">
      <c r="AD28408" s="16"/>
    </row>
    <row r="28409" spans="30:30" x14ac:dyDescent="0.3">
      <c r="AD28409" s="16"/>
    </row>
    <row r="28410" spans="30:30" x14ac:dyDescent="0.3">
      <c r="AD28410" s="16"/>
    </row>
    <row r="28411" spans="30:30" x14ac:dyDescent="0.3">
      <c r="AD28411" s="16"/>
    </row>
    <row r="28412" spans="30:30" x14ac:dyDescent="0.3">
      <c r="AD28412" s="16"/>
    </row>
    <row r="28413" spans="30:30" x14ac:dyDescent="0.3">
      <c r="AD28413" s="16"/>
    </row>
    <row r="28414" spans="30:30" x14ac:dyDescent="0.3">
      <c r="AD28414" s="16"/>
    </row>
    <row r="28415" spans="30:30" x14ac:dyDescent="0.3">
      <c r="AD28415" s="16"/>
    </row>
    <row r="28416" spans="30:30" x14ac:dyDescent="0.3">
      <c r="AD28416" s="16"/>
    </row>
    <row r="28417" spans="30:30" x14ac:dyDescent="0.3">
      <c r="AD28417" s="16"/>
    </row>
    <row r="28418" spans="30:30" x14ac:dyDescent="0.3">
      <c r="AD28418" s="16"/>
    </row>
    <row r="28419" spans="30:30" x14ac:dyDescent="0.3">
      <c r="AD28419" s="16"/>
    </row>
    <row r="28420" spans="30:30" x14ac:dyDescent="0.3">
      <c r="AD28420" s="16"/>
    </row>
    <row r="28421" spans="30:30" x14ac:dyDescent="0.3">
      <c r="AD28421" s="16"/>
    </row>
    <row r="28422" spans="30:30" x14ac:dyDescent="0.3">
      <c r="AD28422" s="16"/>
    </row>
    <row r="28423" spans="30:30" x14ac:dyDescent="0.3">
      <c r="AD28423" s="16"/>
    </row>
    <row r="28424" spans="30:30" x14ac:dyDescent="0.3">
      <c r="AD28424" s="16"/>
    </row>
    <row r="28425" spans="30:30" x14ac:dyDescent="0.3">
      <c r="AD28425" s="16"/>
    </row>
    <row r="28426" spans="30:30" x14ac:dyDescent="0.3">
      <c r="AD28426" s="16"/>
    </row>
    <row r="28427" spans="30:30" x14ac:dyDescent="0.3">
      <c r="AD28427" s="16"/>
    </row>
    <row r="28428" spans="30:30" x14ac:dyDescent="0.3">
      <c r="AD28428" s="16"/>
    </row>
    <row r="28429" spans="30:30" x14ac:dyDescent="0.3">
      <c r="AD28429" s="16"/>
    </row>
    <row r="28430" spans="30:30" x14ac:dyDescent="0.3">
      <c r="AD28430" s="16"/>
    </row>
    <row r="28431" spans="30:30" x14ac:dyDescent="0.3">
      <c r="AD28431" s="16"/>
    </row>
    <row r="28432" spans="30:30" x14ac:dyDescent="0.3">
      <c r="AD28432" s="16"/>
    </row>
    <row r="28433" spans="30:30" x14ac:dyDescent="0.3">
      <c r="AD28433" s="16"/>
    </row>
    <row r="28434" spans="30:30" x14ac:dyDescent="0.3">
      <c r="AD28434" s="16"/>
    </row>
    <row r="28435" spans="30:30" x14ac:dyDescent="0.3">
      <c r="AD28435" s="16"/>
    </row>
    <row r="28436" spans="30:30" x14ac:dyDescent="0.3">
      <c r="AD28436" s="16"/>
    </row>
    <row r="28437" spans="30:30" x14ac:dyDescent="0.3">
      <c r="AD28437" s="16"/>
    </row>
    <row r="28438" spans="30:30" x14ac:dyDescent="0.3">
      <c r="AD28438" s="16"/>
    </row>
    <row r="28439" spans="30:30" x14ac:dyDescent="0.3">
      <c r="AD28439" s="16"/>
    </row>
    <row r="28440" spans="30:30" x14ac:dyDescent="0.3">
      <c r="AD28440" s="16"/>
    </row>
    <row r="28441" spans="30:30" x14ac:dyDescent="0.3">
      <c r="AD28441" s="16"/>
    </row>
    <row r="28442" spans="30:30" x14ac:dyDescent="0.3">
      <c r="AD28442" s="16"/>
    </row>
    <row r="28443" spans="30:30" x14ac:dyDescent="0.3">
      <c r="AD28443" s="16"/>
    </row>
    <row r="28444" spans="30:30" x14ac:dyDescent="0.3">
      <c r="AD28444" s="16"/>
    </row>
    <row r="28445" spans="30:30" x14ac:dyDescent="0.3">
      <c r="AD28445" s="16"/>
    </row>
    <row r="28446" spans="30:30" x14ac:dyDescent="0.3">
      <c r="AD28446" s="16"/>
    </row>
    <row r="28447" spans="30:30" x14ac:dyDescent="0.3">
      <c r="AD28447" s="16"/>
    </row>
    <row r="28448" spans="30:30" x14ac:dyDescent="0.3">
      <c r="AD28448" s="16"/>
    </row>
    <row r="28449" spans="30:30" x14ac:dyDescent="0.3">
      <c r="AD28449" s="16"/>
    </row>
    <row r="28450" spans="30:30" x14ac:dyDescent="0.3">
      <c r="AD28450" s="16"/>
    </row>
    <row r="28451" spans="30:30" x14ac:dyDescent="0.3">
      <c r="AD28451" s="16"/>
    </row>
    <row r="28452" spans="30:30" x14ac:dyDescent="0.3">
      <c r="AD28452" s="16"/>
    </row>
    <row r="28453" spans="30:30" x14ac:dyDescent="0.3">
      <c r="AD28453" s="16"/>
    </row>
    <row r="28454" spans="30:30" x14ac:dyDescent="0.3">
      <c r="AD28454" s="16"/>
    </row>
    <row r="28455" spans="30:30" x14ac:dyDescent="0.3">
      <c r="AD28455" s="16"/>
    </row>
    <row r="28456" spans="30:30" x14ac:dyDescent="0.3">
      <c r="AD28456" s="16"/>
    </row>
    <row r="28457" spans="30:30" x14ac:dyDescent="0.3">
      <c r="AD28457" s="16"/>
    </row>
    <row r="28458" spans="30:30" x14ac:dyDescent="0.3">
      <c r="AD28458" s="16"/>
    </row>
    <row r="28459" spans="30:30" x14ac:dyDescent="0.3">
      <c r="AD28459" s="16"/>
    </row>
    <row r="28460" spans="30:30" x14ac:dyDescent="0.3">
      <c r="AD28460" s="16"/>
    </row>
    <row r="28461" spans="30:30" x14ac:dyDescent="0.3">
      <c r="AD28461" s="16"/>
    </row>
    <row r="28462" spans="30:30" x14ac:dyDescent="0.3">
      <c r="AD28462" s="16"/>
    </row>
    <row r="28463" spans="30:30" x14ac:dyDescent="0.3">
      <c r="AD28463" s="16"/>
    </row>
    <row r="28464" spans="30:30" x14ac:dyDescent="0.3">
      <c r="AD28464" s="16"/>
    </row>
    <row r="28465" spans="30:30" x14ac:dyDescent="0.3">
      <c r="AD28465" s="16"/>
    </row>
    <row r="28466" spans="30:30" x14ac:dyDescent="0.3">
      <c r="AD28466" s="16"/>
    </row>
    <row r="28467" spans="30:30" x14ac:dyDescent="0.3">
      <c r="AD28467" s="16"/>
    </row>
    <row r="28468" spans="30:30" x14ac:dyDescent="0.3">
      <c r="AD28468" s="16"/>
    </row>
    <row r="28469" spans="30:30" x14ac:dyDescent="0.3">
      <c r="AD28469" s="16"/>
    </row>
    <row r="28470" spans="30:30" x14ac:dyDescent="0.3">
      <c r="AD28470" s="16"/>
    </row>
    <row r="28471" spans="30:30" x14ac:dyDescent="0.3">
      <c r="AD28471" s="16"/>
    </row>
    <row r="28472" spans="30:30" x14ac:dyDescent="0.3">
      <c r="AD28472" s="16"/>
    </row>
    <row r="28473" spans="30:30" x14ac:dyDescent="0.3">
      <c r="AD28473" s="16"/>
    </row>
    <row r="28474" spans="30:30" x14ac:dyDescent="0.3">
      <c r="AD28474" s="16"/>
    </row>
    <row r="28475" spans="30:30" x14ac:dyDescent="0.3">
      <c r="AD28475" s="16"/>
    </row>
    <row r="28476" spans="30:30" x14ac:dyDescent="0.3">
      <c r="AD28476" s="16"/>
    </row>
    <row r="28477" spans="30:30" x14ac:dyDescent="0.3">
      <c r="AD28477" s="16"/>
    </row>
    <row r="28478" spans="30:30" x14ac:dyDescent="0.3">
      <c r="AD28478" s="16"/>
    </row>
    <row r="28479" spans="30:30" x14ac:dyDescent="0.3">
      <c r="AD28479" s="16"/>
    </row>
    <row r="28480" spans="30:30" x14ac:dyDescent="0.3">
      <c r="AD28480" s="16"/>
    </row>
    <row r="28481" spans="30:30" x14ac:dyDescent="0.3">
      <c r="AD28481" s="16"/>
    </row>
    <row r="28482" spans="30:30" x14ac:dyDescent="0.3">
      <c r="AD28482" s="16"/>
    </row>
    <row r="28483" spans="30:30" x14ac:dyDescent="0.3">
      <c r="AD28483" s="16"/>
    </row>
    <row r="28484" spans="30:30" x14ac:dyDescent="0.3">
      <c r="AD28484" s="16"/>
    </row>
    <row r="28485" spans="30:30" x14ac:dyDescent="0.3">
      <c r="AD28485" s="16"/>
    </row>
    <row r="28486" spans="30:30" x14ac:dyDescent="0.3">
      <c r="AD28486" s="16"/>
    </row>
    <row r="28487" spans="30:30" x14ac:dyDescent="0.3">
      <c r="AD28487" s="16"/>
    </row>
    <row r="28488" spans="30:30" x14ac:dyDescent="0.3">
      <c r="AD28488" s="16"/>
    </row>
    <row r="28489" spans="30:30" x14ac:dyDescent="0.3">
      <c r="AD28489" s="16"/>
    </row>
    <row r="28490" spans="30:30" x14ac:dyDescent="0.3">
      <c r="AD28490" s="16"/>
    </row>
    <row r="28491" spans="30:30" x14ac:dyDescent="0.3">
      <c r="AD28491" s="16"/>
    </row>
    <row r="28492" spans="30:30" x14ac:dyDescent="0.3">
      <c r="AD28492" s="16"/>
    </row>
    <row r="28493" spans="30:30" x14ac:dyDescent="0.3">
      <c r="AD28493" s="16"/>
    </row>
    <row r="28494" spans="30:30" x14ac:dyDescent="0.3">
      <c r="AD28494" s="16"/>
    </row>
    <row r="28495" spans="30:30" x14ac:dyDescent="0.3">
      <c r="AD28495" s="16"/>
    </row>
    <row r="28496" spans="30:30" x14ac:dyDescent="0.3">
      <c r="AD28496" s="16"/>
    </row>
    <row r="28497" spans="30:30" x14ac:dyDescent="0.3">
      <c r="AD28497" s="16"/>
    </row>
    <row r="28498" spans="30:30" x14ac:dyDescent="0.3">
      <c r="AD28498" s="16"/>
    </row>
    <row r="28499" spans="30:30" x14ac:dyDescent="0.3">
      <c r="AD28499" s="16"/>
    </row>
    <row r="28500" spans="30:30" x14ac:dyDescent="0.3">
      <c r="AD28500" s="16"/>
    </row>
    <row r="28501" spans="30:30" x14ac:dyDescent="0.3">
      <c r="AD28501" s="16"/>
    </row>
    <row r="28502" spans="30:30" x14ac:dyDescent="0.3">
      <c r="AD28502" s="16"/>
    </row>
    <row r="28503" spans="30:30" x14ac:dyDescent="0.3">
      <c r="AD28503" s="16"/>
    </row>
    <row r="28504" spans="30:30" x14ac:dyDescent="0.3">
      <c r="AD28504" s="16"/>
    </row>
    <row r="28505" spans="30:30" x14ac:dyDescent="0.3">
      <c r="AD28505" s="16"/>
    </row>
    <row r="28506" spans="30:30" x14ac:dyDescent="0.3">
      <c r="AD28506" s="16"/>
    </row>
    <row r="28507" spans="30:30" x14ac:dyDescent="0.3">
      <c r="AD28507" s="16"/>
    </row>
    <row r="28508" spans="30:30" x14ac:dyDescent="0.3">
      <c r="AD28508" s="16"/>
    </row>
    <row r="28509" spans="30:30" x14ac:dyDescent="0.3">
      <c r="AD28509" s="16"/>
    </row>
    <row r="28510" spans="30:30" x14ac:dyDescent="0.3">
      <c r="AD28510" s="16"/>
    </row>
    <row r="28511" spans="30:30" x14ac:dyDescent="0.3">
      <c r="AD28511" s="16"/>
    </row>
    <row r="28512" spans="30:30" x14ac:dyDescent="0.3">
      <c r="AD28512" s="16"/>
    </row>
    <row r="28513" spans="30:30" x14ac:dyDescent="0.3">
      <c r="AD28513" s="16"/>
    </row>
    <row r="28514" spans="30:30" x14ac:dyDescent="0.3">
      <c r="AD28514" s="16"/>
    </row>
    <row r="28515" spans="30:30" x14ac:dyDescent="0.3">
      <c r="AD28515" s="16"/>
    </row>
    <row r="28516" spans="30:30" x14ac:dyDescent="0.3">
      <c r="AD28516" s="16"/>
    </row>
    <row r="28517" spans="30:30" x14ac:dyDescent="0.3">
      <c r="AD28517" s="16"/>
    </row>
    <row r="28518" spans="30:30" x14ac:dyDescent="0.3">
      <c r="AD28518" s="16"/>
    </row>
    <row r="28519" spans="30:30" x14ac:dyDescent="0.3">
      <c r="AD28519" s="16"/>
    </row>
    <row r="28520" spans="30:30" x14ac:dyDescent="0.3">
      <c r="AD28520" s="16"/>
    </row>
    <row r="28521" spans="30:30" x14ac:dyDescent="0.3">
      <c r="AD28521" s="16"/>
    </row>
    <row r="28522" spans="30:30" x14ac:dyDescent="0.3">
      <c r="AD28522" s="16"/>
    </row>
    <row r="28523" spans="30:30" x14ac:dyDescent="0.3">
      <c r="AD28523" s="16"/>
    </row>
    <row r="28524" spans="30:30" x14ac:dyDescent="0.3">
      <c r="AD28524" s="16"/>
    </row>
    <row r="28525" spans="30:30" x14ac:dyDescent="0.3">
      <c r="AD28525" s="16"/>
    </row>
    <row r="28526" spans="30:30" x14ac:dyDescent="0.3">
      <c r="AD28526" s="16"/>
    </row>
    <row r="28527" spans="30:30" x14ac:dyDescent="0.3">
      <c r="AD28527" s="16"/>
    </row>
    <row r="28528" spans="30:30" x14ac:dyDescent="0.3">
      <c r="AD28528" s="16"/>
    </row>
    <row r="28529" spans="30:30" x14ac:dyDescent="0.3">
      <c r="AD28529" s="16"/>
    </row>
    <row r="28530" spans="30:30" x14ac:dyDescent="0.3">
      <c r="AD28530" s="16"/>
    </row>
    <row r="28531" spans="30:30" x14ac:dyDescent="0.3">
      <c r="AD28531" s="16"/>
    </row>
    <row r="28532" spans="30:30" x14ac:dyDescent="0.3">
      <c r="AD28532" s="16"/>
    </row>
    <row r="28533" spans="30:30" x14ac:dyDescent="0.3">
      <c r="AD28533" s="16"/>
    </row>
    <row r="28534" spans="30:30" x14ac:dyDescent="0.3">
      <c r="AD28534" s="16"/>
    </row>
    <row r="28535" spans="30:30" x14ac:dyDescent="0.3">
      <c r="AD28535" s="16"/>
    </row>
    <row r="28536" spans="30:30" x14ac:dyDescent="0.3">
      <c r="AD28536" s="16"/>
    </row>
    <row r="28537" spans="30:30" x14ac:dyDescent="0.3">
      <c r="AD28537" s="16"/>
    </row>
    <row r="28538" spans="30:30" x14ac:dyDescent="0.3">
      <c r="AD28538" s="16"/>
    </row>
    <row r="28539" spans="30:30" x14ac:dyDescent="0.3">
      <c r="AD28539" s="16"/>
    </row>
    <row r="28540" spans="30:30" x14ac:dyDescent="0.3">
      <c r="AD28540" s="16"/>
    </row>
    <row r="28541" spans="30:30" x14ac:dyDescent="0.3">
      <c r="AD28541" s="16"/>
    </row>
    <row r="28542" spans="30:30" x14ac:dyDescent="0.3">
      <c r="AD28542" s="16"/>
    </row>
    <row r="28543" spans="30:30" x14ac:dyDescent="0.3">
      <c r="AD28543" s="16"/>
    </row>
    <row r="28544" spans="30:30" x14ac:dyDescent="0.3">
      <c r="AD28544" s="16"/>
    </row>
    <row r="28545" spans="30:30" x14ac:dyDescent="0.3">
      <c r="AD28545" s="16"/>
    </row>
    <row r="28546" spans="30:30" x14ac:dyDescent="0.3">
      <c r="AD28546" s="16"/>
    </row>
    <row r="28547" spans="30:30" x14ac:dyDescent="0.3">
      <c r="AD28547" s="16"/>
    </row>
    <row r="28548" spans="30:30" x14ac:dyDescent="0.3">
      <c r="AD28548" s="16"/>
    </row>
    <row r="28549" spans="30:30" x14ac:dyDescent="0.3">
      <c r="AD28549" s="16"/>
    </row>
    <row r="28550" spans="30:30" x14ac:dyDescent="0.3">
      <c r="AD28550" s="16"/>
    </row>
    <row r="28551" spans="30:30" x14ac:dyDescent="0.3">
      <c r="AD28551" s="16"/>
    </row>
    <row r="28552" spans="30:30" x14ac:dyDescent="0.3">
      <c r="AD28552" s="16"/>
    </row>
    <row r="28553" spans="30:30" x14ac:dyDescent="0.3">
      <c r="AD28553" s="16"/>
    </row>
    <row r="28554" spans="30:30" x14ac:dyDescent="0.3">
      <c r="AD28554" s="16"/>
    </row>
    <row r="28555" spans="30:30" x14ac:dyDescent="0.3">
      <c r="AD28555" s="16"/>
    </row>
    <row r="28556" spans="30:30" x14ac:dyDescent="0.3">
      <c r="AD28556" s="16"/>
    </row>
    <row r="28557" spans="30:30" x14ac:dyDescent="0.3">
      <c r="AD28557" s="16"/>
    </row>
    <row r="28558" spans="30:30" x14ac:dyDescent="0.3">
      <c r="AD28558" s="16"/>
    </row>
    <row r="28559" spans="30:30" x14ac:dyDescent="0.3">
      <c r="AD28559" s="16"/>
    </row>
    <row r="28560" spans="30:30" x14ac:dyDescent="0.3">
      <c r="AD28560" s="16"/>
    </row>
    <row r="28561" spans="30:30" x14ac:dyDescent="0.3">
      <c r="AD28561" s="16"/>
    </row>
    <row r="28562" spans="30:30" x14ac:dyDescent="0.3">
      <c r="AD28562" s="16"/>
    </row>
    <row r="28563" spans="30:30" x14ac:dyDescent="0.3">
      <c r="AD28563" s="16"/>
    </row>
    <row r="28564" spans="30:30" x14ac:dyDescent="0.3">
      <c r="AD28564" s="16"/>
    </row>
    <row r="28565" spans="30:30" x14ac:dyDescent="0.3">
      <c r="AD28565" s="16"/>
    </row>
    <row r="28566" spans="30:30" x14ac:dyDescent="0.3">
      <c r="AD28566" s="16"/>
    </row>
    <row r="28567" spans="30:30" x14ac:dyDescent="0.3">
      <c r="AD28567" s="16"/>
    </row>
    <row r="28568" spans="30:30" x14ac:dyDescent="0.3">
      <c r="AD28568" s="16"/>
    </row>
    <row r="28569" spans="30:30" x14ac:dyDescent="0.3">
      <c r="AD28569" s="16"/>
    </row>
    <row r="28570" spans="30:30" x14ac:dyDescent="0.3">
      <c r="AD28570" s="16"/>
    </row>
    <row r="28571" spans="30:30" x14ac:dyDescent="0.3">
      <c r="AD28571" s="16"/>
    </row>
    <row r="28572" spans="30:30" x14ac:dyDescent="0.3">
      <c r="AD28572" s="16"/>
    </row>
    <row r="28573" spans="30:30" x14ac:dyDescent="0.3">
      <c r="AD28573" s="16"/>
    </row>
    <row r="28574" spans="30:30" x14ac:dyDescent="0.3">
      <c r="AD28574" s="16"/>
    </row>
    <row r="28575" spans="30:30" x14ac:dyDescent="0.3">
      <c r="AD28575" s="16"/>
    </row>
    <row r="28576" spans="30:30" x14ac:dyDescent="0.3">
      <c r="AD28576" s="16"/>
    </row>
    <row r="28577" spans="30:30" x14ac:dyDescent="0.3">
      <c r="AD28577" s="16"/>
    </row>
    <row r="28578" spans="30:30" x14ac:dyDescent="0.3">
      <c r="AD28578" s="16"/>
    </row>
    <row r="28579" spans="30:30" x14ac:dyDescent="0.3">
      <c r="AD28579" s="16"/>
    </row>
    <row r="28580" spans="30:30" x14ac:dyDescent="0.3">
      <c r="AD28580" s="16"/>
    </row>
    <row r="28581" spans="30:30" x14ac:dyDescent="0.3">
      <c r="AD28581" s="16"/>
    </row>
    <row r="28582" spans="30:30" x14ac:dyDescent="0.3">
      <c r="AD28582" s="16"/>
    </row>
    <row r="28583" spans="30:30" x14ac:dyDescent="0.3">
      <c r="AD28583" s="16"/>
    </row>
    <row r="28584" spans="30:30" x14ac:dyDescent="0.3">
      <c r="AD28584" s="16"/>
    </row>
    <row r="28585" spans="30:30" x14ac:dyDescent="0.3">
      <c r="AD28585" s="16"/>
    </row>
    <row r="28586" spans="30:30" x14ac:dyDescent="0.3">
      <c r="AD28586" s="16"/>
    </row>
    <row r="28587" spans="30:30" x14ac:dyDescent="0.3">
      <c r="AD28587" s="16"/>
    </row>
    <row r="28588" spans="30:30" x14ac:dyDescent="0.3">
      <c r="AD28588" s="16"/>
    </row>
    <row r="28589" spans="30:30" x14ac:dyDescent="0.3">
      <c r="AD28589" s="16"/>
    </row>
    <row r="28590" spans="30:30" x14ac:dyDescent="0.3">
      <c r="AD28590" s="16"/>
    </row>
    <row r="28591" spans="30:30" x14ac:dyDescent="0.3">
      <c r="AD28591" s="16"/>
    </row>
    <row r="28592" spans="30:30" x14ac:dyDescent="0.3">
      <c r="AD28592" s="16"/>
    </row>
    <row r="28593" spans="30:30" x14ac:dyDescent="0.3">
      <c r="AD28593" s="16"/>
    </row>
    <row r="28594" spans="30:30" x14ac:dyDescent="0.3">
      <c r="AD28594" s="16"/>
    </row>
    <row r="28595" spans="30:30" x14ac:dyDescent="0.3">
      <c r="AD28595" s="16"/>
    </row>
    <row r="28596" spans="30:30" x14ac:dyDescent="0.3">
      <c r="AD28596" s="16"/>
    </row>
    <row r="28597" spans="30:30" x14ac:dyDescent="0.3">
      <c r="AD28597" s="16"/>
    </row>
    <row r="28598" spans="30:30" x14ac:dyDescent="0.3">
      <c r="AD28598" s="16"/>
    </row>
    <row r="28599" spans="30:30" x14ac:dyDescent="0.3">
      <c r="AD28599" s="16"/>
    </row>
    <row r="28600" spans="30:30" x14ac:dyDescent="0.3">
      <c r="AD28600" s="16"/>
    </row>
    <row r="28601" spans="30:30" x14ac:dyDescent="0.3">
      <c r="AD28601" s="16"/>
    </row>
    <row r="28602" spans="30:30" x14ac:dyDescent="0.3">
      <c r="AD28602" s="16"/>
    </row>
    <row r="28603" spans="30:30" x14ac:dyDescent="0.3">
      <c r="AD28603" s="16"/>
    </row>
    <row r="28604" spans="30:30" x14ac:dyDescent="0.3">
      <c r="AD28604" s="16"/>
    </row>
    <row r="28605" spans="30:30" x14ac:dyDescent="0.3">
      <c r="AD28605" s="16"/>
    </row>
    <row r="28606" spans="30:30" x14ac:dyDescent="0.3">
      <c r="AD28606" s="16"/>
    </row>
    <row r="28607" spans="30:30" x14ac:dyDescent="0.3">
      <c r="AD28607" s="16"/>
    </row>
    <row r="28608" spans="30:30" x14ac:dyDescent="0.3">
      <c r="AD28608" s="16"/>
    </row>
    <row r="28609" spans="30:30" x14ac:dyDescent="0.3">
      <c r="AD28609" s="16"/>
    </row>
    <row r="28610" spans="30:30" x14ac:dyDescent="0.3">
      <c r="AD28610" s="16"/>
    </row>
    <row r="28611" spans="30:30" x14ac:dyDescent="0.3">
      <c r="AD28611" s="16"/>
    </row>
    <row r="28612" spans="30:30" x14ac:dyDescent="0.3">
      <c r="AD28612" s="16"/>
    </row>
    <row r="28613" spans="30:30" x14ac:dyDescent="0.3">
      <c r="AD28613" s="16"/>
    </row>
    <row r="28614" spans="30:30" x14ac:dyDescent="0.3">
      <c r="AD28614" s="16"/>
    </row>
    <row r="28615" spans="30:30" x14ac:dyDescent="0.3">
      <c r="AD28615" s="16"/>
    </row>
    <row r="28616" spans="30:30" x14ac:dyDescent="0.3">
      <c r="AD28616" s="16"/>
    </row>
    <row r="28617" spans="30:30" x14ac:dyDescent="0.3">
      <c r="AD28617" s="16"/>
    </row>
    <row r="28618" spans="30:30" x14ac:dyDescent="0.3">
      <c r="AD28618" s="16"/>
    </row>
    <row r="28619" spans="30:30" x14ac:dyDescent="0.3">
      <c r="AD28619" s="16"/>
    </row>
    <row r="28620" spans="30:30" x14ac:dyDescent="0.3">
      <c r="AD28620" s="16"/>
    </row>
    <row r="28621" spans="30:30" x14ac:dyDescent="0.3">
      <c r="AD28621" s="16"/>
    </row>
    <row r="28622" spans="30:30" x14ac:dyDescent="0.3">
      <c r="AD28622" s="16"/>
    </row>
    <row r="28623" spans="30:30" x14ac:dyDescent="0.3">
      <c r="AD28623" s="16"/>
    </row>
    <row r="28624" spans="30:30" x14ac:dyDescent="0.3">
      <c r="AD28624" s="16"/>
    </row>
    <row r="28625" spans="30:30" x14ac:dyDescent="0.3">
      <c r="AD28625" s="16"/>
    </row>
    <row r="28626" spans="30:30" x14ac:dyDescent="0.3">
      <c r="AD28626" s="16"/>
    </row>
    <row r="28627" spans="30:30" x14ac:dyDescent="0.3">
      <c r="AD28627" s="16"/>
    </row>
    <row r="28628" spans="30:30" x14ac:dyDescent="0.3">
      <c r="AD28628" s="16"/>
    </row>
    <row r="28629" spans="30:30" x14ac:dyDescent="0.3">
      <c r="AD28629" s="16"/>
    </row>
    <row r="28630" spans="30:30" x14ac:dyDescent="0.3">
      <c r="AD28630" s="16"/>
    </row>
    <row r="28631" spans="30:30" x14ac:dyDescent="0.3">
      <c r="AD28631" s="16"/>
    </row>
    <row r="28632" spans="30:30" x14ac:dyDescent="0.3">
      <c r="AD28632" s="16"/>
    </row>
    <row r="28633" spans="30:30" x14ac:dyDescent="0.3">
      <c r="AD28633" s="16"/>
    </row>
    <row r="28634" spans="30:30" x14ac:dyDescent="0.3">
      <c r="AD28634" s="16"/>
    </row>
    <row r="28635" spans="30:30" x14ac:dyDescent="0.3">
      <c r="AD28635" s="16"/>
    </row>
    <row r="28636" spans="30:30" x14ac:dyDescent="0.3">
      <c r="AD28636" s="16"/>
    </row>
    <row r="28637" spans="30:30" x14ac:dyDescent="0.3">
      <c r="AD28637" s="16"/>
    </row>
    <row r="28638" spans="30:30" x14ac:dyDescent="0.3">
      <c r="AD28638" s="16"/>
    </row>
    <row r="28639" spans="30:30" x14ac:dyDescent="0.3">
      <c r="AD28639" s="16"/>
    </row>
    <row r="28640" spans="30:30" x14ac:dyDescent="0.3">
      <c r="AD28640" s="16"/>
    </row>
    <row r="28641" spans="30:30" x14ac:dyDescent="0.3">
      <c r="AD28641" s="16"/>
    </row>
    <row r="28642" spans="30:30" x14ac:dyDescent="0.3">
      <c r="AD28642" s="16"/>
    </row>
    <row r="28643" spans="30:30" x14ac:dyDescent="0.3">
      <c r="AD28643" s="16"/>
    </row>
    <row r="28644" spans="30:30" x14ac:dyDescent="0.3">
      <c r="AD28644" s="16"/>
    </row>
    <row r="28645" spans="30:30" x14ac:dyDescent="0.3">
      <c r="AD28645" s="16"/>
    </row>
    <row r="28646" spans="30:30" x14ac:dyDescent="0.3">
      <c r="AD28646" s="16"/>
    </row>
    <row r="28647" spans="30:30" x14ac:dyDescent="0.3">
      <c r="AD28647" s="16"/>
    </row>
    <row r="28648" spans="30:30" x14ac:dyDescent="0.3">
      <c r="AD28648" s="16"/>
    </row>
    <row r="28649" spans="30:30" x14ac:dyDescent="0.3">
      <c r="AD28649" s="16"/>
    </row>
    <row r="28650" spans="30:30" x14ac:dyDescent="0.3">
      <c r="AD28650" s="16"/>
    </row>
    <row r="28651" spans="30:30" x14ac:dyDescent="0.3">
      <c r="AD28651" s="16"/>
    </row>
    <row r="28652" spans="30:30" x14ac:dyDescent="0.3">
      <c r="AD28652" s="16"/>
    </row>
    <row r="28653" spans="30:30" x14ac:dyDescent="0.3">
      <c r="AD28653" s="16"/>
    </row>
    <row r="28654" spans="30:30" x14ac:dyDescent="0.3">
      <c r="AD28654" s="16"/>
    </row>
    <row r="28655" spans="30:30" x14ac:dyDescent="0.3">
      <c r="AD28655" s="16"/>
    </row>
    <row r="28656" spans="30:30" x14ac:dyDescent="0.3">
      <c r="AD28656" s="16"/>
    </row>
    <row r="28657" spans="30:30" x14ac:dyDescent="0.3">
      <c r="AD28657" s="16"/>
    </row>
    <row r="28658" spans="30:30" x14ac:dyDescent="0.3">
      <c r="AD28658" s="16"/>
    </row>
    <row r="28659" spans="30:30" x14ac:dyDescent="0.3">
      <c r="AD28659" s="16"/>
    </row>
    <row r="28660" spans="30:30" x14ac:dyDescent="0.3">
      <c r="AD28660" s="16"/>
    </row>
    <row r="28661" spans="30:30" x14ac:dyDescent="0.3">
      <c r="AD28661" s="16"/>
    </row>
    <row r="28662" spans="30:30" x14ac:dyDescent="0.3">
      <c r="AD28662" s="16"/>
    </row>
    <row r="28663" spans="30:30" x14ac:dyDescent="0.3">
      <c r="AD28663" s="16"/>
    </row>
    <row r="28664" spans="30:30" x14ac:dyDescent="0.3">
      <c r="AD28664" s="16"/>
    </row>
    <row r="28665" spans="30:30" x14ac:dyDescent="0.3">
      <c r="AD28665" s="16"/>
    </row>
    <row r="28666" spans="30:30" x14ac:dyDescent="0.3">
      <c r="AD28666" s="16"/>
    </row>
    <row r="28667" spans="30:30" x14ac:dyDescent="0.3">
      <c r="AD28667" s="16"/>
    </row>
    <row r="28668" spans="30:30" x14ac:dyDescent="0.3">
      <c r="AD28668" s="16"/>
    </row>
    <row r="28669" spans="30:30" x14ac:dyDescent="0.3">
      <c r="AD28669" s="16"/>
    </row>
    <row r="28670" spans="30:30" x14ac:dyDescent="0.3">
      <c r="AD28670" s="16"/>
    </row>
    <row r="28671" spans="30:30" x14ac:dyDescent="0.3">
      <c r="AD28671" s="16"/>
    </row>
    <row r="28672" spans="30:30" x14ac:dyDescent="0.3">
      <c r="AD28672" s="16"/>
    </row>
    <row r="28673" spans="30:30" x14ac:dyDescent="0.3">
      <c r="AD28673" s="16"/>
    </row>
    <row r="28674" spans="30:30" x14ac:dyDescent="0.3">
      <c r="AD28674" s="16"/>
    </row>
    <row r="28675" spans="30:30" x14ac:dyDescent="0.3">
      <c r="AD28675" s="16"/>
    </row>
    <row r="28676" spans="30:30" x14ac:dyDescent="0.3">
      <c r="AD28676" s="16"/>
    </row>
    <row r="28677" spans="30:30" x14ac:dyDescent="0.3">
      <c r="AD28677" s="16"/>
    </row>
    <row r="28678" spans="30:30" x14ac:dyDescent="0.3">
      <c r="AD28678" s="16"/>
    </row>
    <row r="28679" spans="30:30" x14ac:dyDescent="0.3">
      <c r="AD28679" s="16"/>
    </row>
    <row r="28680" spans="30:30" x14ac:dyDescent="0.3">
      <c r="AD28680" s="16"/>
    </row>
    <row r="28681" spans="30:30" x14ac:dyDescent="0.3">
      <c r="AD28681" s="16"/>
    </row>
    <row r="28682" spans="30:30" x14ac:dyDescent="0.3">
      <c r="AD28682" s="16"/>
    </row>
    <row r="28683" spans="30:30" x14ac:dyDescent="0.3">
      <c r="AD28683" s="16"/>
    </row>
    <row r="28684" spans="30:30" x14ac:dyDescent="0.3">
      <c r="AD28684" s="16"/>
    </row>
    <row r="28685" spans="30:30" x14ac:dyDescent="0.3">
      <c r="AD28685" s="16"/>
    </row>
    <row r="28686" spans="30:30" x14ac:dyDescent="0.3">
      <c r="AD28686" s="16"/>
    </row>
    <row r="28687" spans="30:30" x14ac:dyDescent="0.3">
      <c r="AD28687" s="16"/>
    </row>
    <row r="28688" spans="30:30" x14ac:dyDescent="0.3">
      <c r="AD28688" s="16"/>
    </row>
    <row r="28689" spans="30:30" x14ac:dyDescent="0.3">
      <c r="AD28689" s="16"/>
    </row>
    <row r="28690" spans="30:30" x14ac:dyDescent="0.3">
      <c r="AD28690" s="16"/>
    </row>
    <row r="28691" spans="30:30" x14ac:dyDescent="0.3">
      <c r="AD28691" s="16"/>
    </row>
    <row r="28692" spans="30:30" x14ac:dyDescent="0.3">
      <c r="AD28692" s="16"/>
    </row>
    <row r="28693" spans="30:30" x14ac:dyDescent="0.3">
      <c r="AD28693" s="16"/>
    </row>
    <row r="28694" spans="30:30" x14ac:dyDescent="0.3">
      <c r="AD28694" s="16"/>
    </row>
    <row r="28695" spans="30:30" x14ac:dyDescent="0.3">
      <c r="AD28695" s="16"/>
    </row>
    <row r="28696" spans="30:30" x14ac:dyDescent="0.3">
      <c r="AD28696" s="16"/>
    </row>
    <row r="28697" spans="30:30" x14ac:dyDescent="0.3">
      <c r="AD28697" s="16"/>
    </row>
    <row r="28698" spans="30:30" x14ac:dyDescent="0.3">
      <c r="AD28698" s="16"/>
    </row>
    <row r="28699" spans="30:30" x14ac:dyDescent="0.3">
      <c r="AD28699" s="16"/>
    </row>
    <row r="28700" spans="30:30" x14ac:dyDescent="0.3">
      <c r="AD28700" s="16"/>
    </row>
    <row r="28701" spans="30:30" x14ac:dyDescent="0.3">
      <c r="AD28701" s="16"/>
    </row>
    <row r="28702" spans="30:30" x14ac:dyDescent="0.3">
      <c r="AD28702" s="16"/>
    </row>
    <row r="28703" spans="30:30" x14ac:dyDescent="0.3">
      <c r="AD28703" s="16"/>
    </row>
    <row r="28704" spans="30:30" x14ac:dyDescent="0.3">
      <c r="AD28704" s="16"/>
    </row>
    <row r="28705" spans="30:30" x14ac:dyDescent="0.3">
      <c r="AD28705" s="16"/>
    </row>
    <row r="28706" spans="30:30" x14ac:dyDescent="0.3">
      <c r="AD28706" s="16"/>
    </row>
    <row r="28707" spans="30:30" x14ac:dyDescent="0.3">
      <c r="AD28707" s="16"/>
    </row>
    <row r="28708" spans="30:30" x14ac:dyDescent="0.3">
      <c r="AD28708" s="16"/>
    </row>
    <row r="28709" spans="30:30" x14ac:dyDescent="0.3">
      <c r="AD28709" s="16"/>
    </row>
    <row r="28710" spans="30:30" x14ac:dyDescent="0.3">
      <c r="AD28710" s="16"/>
    </row>
    <row r="28711" spans="30:30" x14ac:dyDescent="0.3">
      <c r="AD28711" s="16"/>
    </row>
    <row r="28712" spans="30:30" x14ac:dyDescent="0.3">
      <c r="AD28712" s="16"/>
    </row>
    <row r="28713" spans="30:30" x14ac:dyDescent="0.3">
      <c r="AD28713" s="16"/>
    </row>
    <row r="28714" spans="30:30" x14ac:dyDescent="0.3">
      <c r="AD28714" s="16"/>
    </row>
    <row r="28715" spans="30:30" x14ac:dyDescent="0.3">
      <c r="AD28715" s="16"/>
    </row>
    <row r="28716" spans="30:30" x14ac:dyDescent="0.3">
      <c r="AD28716" s="16"/>
    </row>
    <row r="28717" spans="30:30" x14ac:dyDescent="0.3">
      <c r="AD28717" s="16"/>
    </row>
    <row r="28718" spans="30:30" x14ac:dyDescent="0.3">
      <c r="AD28718" s="16"/>
    </row>
    <row r="28719" spans="30:30" x14ac:dyDescent="0.3">
      <c r="AD28719" s="16"/>
    </row>
    <row r="28720" spans="30:30" x14ac:dyDescent="0.3">
      <c r="AD28720" s="16"/>
    </row>
    <row r="28721" spans="30:30" x14ac:dyDescent="0.3">
      <c r="AD28721" s="16"/>
    </row>
    <row r="28722" spans="30:30" x14ac:dyDescent="0.3">
      <c r="AD28722" s="16"/>
    </row>
    <row r="28723" spans="30:30" x14ac:dyDescent="0.3">
      <c r="AD28723" s="16"/>
    </row>
    <row r="28724" spans="30:30" x14ac:dyDescent="0.3">
      <c r="AD28724" s="16"/>
    </row>
    <row r="28725" spans="30:30" x14ac:dyDescent="0.3">
      <c r="AD28725" s="16"/>
    </row>
    <row r="28726" spans="30:30" x14ac:dyDescent="0.3">
      <c r="AD28726" s="16"/>
    </row>
    <row r="28727" spans="30:30" x14ac:dyDescent="0.3">
      <c r="AD28727" s="16"/>
    </row>
    <row r="28728" spans="30:30" x14ac:dyDescent="0.3">
      <c r="AD28728" s="16"/>
    </row>
    <row r="28729" spans="30:30" x14ac:dyDescent="0.3">
      <c r="AD28729" s="16"/>
    </row>
    <row r="28730" spans="30:30" x14ac:dyDescent="0.3">
      <c r="AD28730" s="16"/>
    </row>
    <row r="28731" spans="30:30" x14ac:dyDescent="0.3">
      <c r="AD28731" s="16"/>
    </row>
    <row r="28732" spans="30:30" x14ac:dyDescent="0.3">
      <c r="AD28732" s="16"/>
    </row>
    <row r="28733" spans="30:30" x14ac:dyDescent="0.3">
      <c r="AD28733" s="16"/>
    </row>
    <row r="28734" spans="30:30" x14ac:dyDescent="0.3">
      <c r="AD28734" s="16"/>
    </row>
    <row r="28735" spans="30:30" x14ac:dyDescent="0.3">
      <c r="AD28735" s="16"/>
    </row>
    <row r="28736" spans="30:30" x14ac:dyDescent="0.3">
      <c r="AD28736" s="16"/>
    </row>
    <row r="28737" spans="30:30" x14ac:dyDescent="0.3">
      <c r="AD28737" s="16"/>
    </row>
    <row r="28738" spans="30:30" x14ac:dyDescent="0.3">
      <c r="AD28738" s="16"/>
    </row>
    <row r="28739" spans="30:30" x14ac:dyDescent="0.3">
      <c r="AD28739" s="16"/>
    </row>
    <row r="28740" spans="30:30" x14ac:dyDescent="0.3">
      <c r="AD28740" s="16"/>
    </row>
    <row r="28741" spans="30:30" x14ac:dyDescent="0.3">
      <c r="AD28741" s="16"/>
    </row>
    <row r="28742" spans="30:30" x14ac:dyDescent="0.3">
      <c r="AD28742" s="16"/>
    </row>
    <row r="28743" spans="30:30" x14ac:dyDescent="0.3">
      <c r="AD28743" s="16"/>
    </row>
    <row r="28744" spans="30:30" x14ac:dyDescent="0.3">
      <c r="AD28744" s="16"/>
    </row>
    <row r="28745" spans="30:30" x14ac:dyDescent="0.3">
      <c r="AD28745" s="16"/>
    </row>
    <row r="28746" spans="30:30" x14ac:dyDescent="0.3">
      <c r="AD28746" s="16"/>
    </row>
    <row r="28747" spans="30:30" x14ac:dyDescent="0.3">
      <c r="AD28747" s="16"/>
    </row>
    <row r="28748" spans="30:30" x14ac:dyDescent="0.3">
      <c r="AD28748" s="16"/>
    </row>
    <row r="28749" spans="30:30" x14ac:dyDescent="0.3">
      <c r="AD28749" s="16"/>
    </row>
    <row r="28750" spans="30:30" x14ac:dyDescent="0.3">
      <c r="AD28750" s="16"/>
    </row>
    <row r="28751" spans="30:30" x14ac:dyDescent="0.3">
      <c r="AD28751" s="16"/>
    </row>
    <row r="28752" spans="30:30" x14ac:dyDescent="0.3">
      <c r="AD28752" s="16"/>
    </row>
    <row r="28753" spans="30:30" x14ac:dyDescent="0.3">
      <c r="AD28753" s="16"/>
    </row>
    <row r="28754" spans="30:30" x14ac:dyDescent="0.3">
      <c r="AD28754" s="16"/>
    </row>
    <row r="28755" spans="30:30" x14ac:dyDescent="0.3">
      <c r="AD28755" s="16"/>
    </row>
    <row r="28756" spans="30:30" x14ac:dyDescent="0.3">
      <c r="AD28756" s="16"/>
    </row>
    <row r="28757" spans="30:30" x14ac:dyDescent="0.3">
      <c r="AD28757" s="16"/>
    </row>
    <row r="28758" spans="30:30" x14ac:dyDescent="0.3">
      <c r="AD28758" s="16"/>
    </row>
    <row r="28759" spans="30:30" x14ac:dyDescent="0.3">
      <c r="AD28759" s="16"/>
    </row>
    <row r="28760" spans="30:30" x14ac:dyDescent="0.3">
      <c r="AD28760" s="16"/>
    </row>
    <row r="28761" spans="30:30" x14ac:dyDescent="0.3">
      <c r="AD28761" s="16"/>
    </row>
    <row r="28762" spans="30:30" x14ac:dyDescent="0.3">
      <c r="AD28762" s="16"/>
    </row>
    <row r="28763" spans="30:30" x14ac:dyDescent="0.3">
      <c r="AD28763" s="16"/>
    </row>
    <row r="28764" spans="30:30" x14ac:dyDescent="0.3">
      <c r="AD28764" s="16"/>
    </row>
    <row r="28765" spans="30:30" x14ac:dyDescent="0.3">
      <c r="AD28765" s="16"/>
    </row>
    <row r="28766" spans="30:30" x14ac:dyDescent="0.3">
      <c r="AD28766" s="16"/>
    </row>
    <row r="28767" spans="30:30" x14ac:dyDescent="0.3">
      <c r="AD28767" s="16"/>
    </row>
    <row r="28768" spans="30:30" x14ac:dyDescent="0.3">
      <c r="AD28768" s="16"/>
    </row>
    <row r="28769" spans="30:30" x14ac:dyDescent="0.3">
      <c r="AD28769" s="16"/>
    </row>
    <row r="28770" spans="30:30" x14ac:dyDescent="0.3">
      <c r="AD28770" s="16"/>
    </row>
    <row r="28771" spans="30:30" x14ac:dyDescent="0.3">
      <c r="AD28771" s="16"/>
    </row>
    <row r="28772" spans="30:30" x14ac:dyDescent="0.3">
      <c r="AD28772" s="16"/>
    </row>
    <row r="28773" spans="30:30" x14ac:dyDescent="0.3">
      <c r="AD28773" s="16"/>
    </row>
    <row r="28774" spans="30:30" x14ac:dyDescent="0.3">
      <c r="AD28774" s="16"/>
    </row>
    <row r="28775" spans="30:30" x14ac:dyDescent="0.3">
      <c r="AD28775" s="16"/>
    </row>
    <row r="28776" spans="30:30" x14ac:dyDescent="0.3">
      <c r="AD28776" s="16"/>
    </row>
    <row r="28777" spans="30:30" x14ac:dyDescent="0.3">
      <c r="AD28777" s="16"/>
    </row>
    <row r="28778" spans="30:30" x14ac:dyDescent="0.3">
      <c r="AD28778" s="16"/>
    </row>
    <row r="28779" spans="30:30" x14ac:dyDescent="0.3">
      <c r="AD28779" s="16"/>
    </row>
    <row r="28780" spans="30:30" x14ac:dyDescent="0.3">
      <c r="AD28780" s="16"/>
    </row>
    <row r="28781" spans="30:30" x14ac:dyDescent="0.3">
      <c r="AD28781" s="16"/>
    </row>
    <row r="28782" spans="30:30" x14ac:dyDescent="0.3">
      <c r="AD28782" s="16"/>
    </row>
    <row r="28783" spans="30:30" x14ac:dyDescent="0.3">
      <c r="AD28783" s="16"/>
    </row>
    <row r="28784" spans="30:30" x14ac:dyDescent="0.3">
      <c r="AD28784" s="16"/>
    </row>
    <row r="28785" spans="30:30" x14ac:dyDescent="0.3">
      <c r="AD28785" s="16"/>
    </row>
    <row r="28786" spans="30:30" x14ac:dyDescent="0.3">
      <c r="AD28786" s="16"/>
    </row>
    <row r="28787" spans="30:30" x14ac:dyDescent="0.3">
      <c r="AD28787" s="16"/>
    </row>
    <row r="28788" spans="30:30" x14ac:dyDescent="0.3">
      <c r="AD28788" s="16"/>
    </row>
    <row r="28789" spans="30:30" x14ac:dyDescent="0.3">
      <c r="AD28789" s="16"/>
    </row>
    <row r="28790" spans="30:30" x14ac:dyDescent="0.3">
      <c r="AD28790" s="16"/>
    </row>
    <row r="28791" spans="30:30" x14ac:dyDescent="0.3">
      <c r="AD28791" s="16"/>
    </row>
    <row r="28792" spans="30:30" x14ac:dyDescent="0.3">
      <c r="AD28792" s="16"/>
    </row>
    <row r="28793" spans="30:30" x14ac:dyDescent="0.3">
      <c r="AD28793" s="16"/>
    </row>
    <row r="28794" spans="30:30" x14ac:dyDescent="0.3">
      <c r="AD28794" s="16"/>
    </row>
    <row r="28795" spans="30:30" x14ac:dyDescent="0.3">
      <c r="AD28795" s="16"/>
    </row>
    <row r="28796" spans="30:30" x14ac:dyDescent="0.3">
      <c r="AD28796" s="16"/>
    </row>
    <row r="28797" spans="30:30" x14ac:dyDescent="0.3">
      <c r="AD28797" s="16"/>
    </row>
    <row r="28798" spans="30:30" x14ac:dyDescent="0.3">
      <c r="AD28798" s="16"/>
    </row>
    <row r="28799" spans="30:30" x14ac:dyDescent="0.3">
      <c r="AD28799" s="16"/>
    </row>
    <row r="28800" spans="30:30" x14ac:dyDescent="0.3">
      <c r="AD28800" s="16"/>
    </row>
    <row r="28801" spans="30:30" x14ac:dyDescent="0.3">
      <c r="AD28801" s="16"/>
    </row>
    <row r="28802" spans="30:30" x14ac:dyDescent="0.3">
      <c r="AD28802" s="16"/>
    </row>
    <row r="28803" spans="30:30" x14ac:dyDescent="0.3">
      <c r="AD28803" s="16"/>
    </row>
    <row r="28804" spans="30:30" x14ac:dyDescent="0.3">
      <c r="AD28804" s="16"/>
    </row>
    <row r="28805" spans="30:30" x14ac:dyDescent="0.3">
      <c r="AD28805" s="16"/>
    </row>
    <row r="28806" spans="30:30" x14ac:dyDescent="0.3">
      <c r="AD28806" s="16"/>
    </row>
    <row r="28807" spans="30:30" x14ac:dyDescent="0.3">
      <c r="AD28807" s="16"/>
    </row>
    <row r="28808" spans="30:30" x14ac:dyDescent="0.3">
      <c r="AD28808" s="16"/>
    </row>
    <row r="28809" spans="30:30" x14ac:dyDescent="0.3">
      <c r="AD28809" s="16"/>
    </row>
    <row r="28810" spans="30:30" x14ac:dyDescent="0.3">
      <c r="AD28810" s="16"/>
    </row>
    <row r="28811" spans="30:30" x14ac:dyDescent="0.3">
      <c r="AD28811" s="16"/>
    </row>
    <row r="28812" spans="30:30" x14ac:dyDescent="0.3">
      <c r="AD28812" s="16"/>
    </row>
    <row r="28813" spans="30:30" x14ac:dyDescent="0.3">
      <c r="AD28813" s="16"/>
    </row>
    <row r="28814" spans="30:30" x14ac:dyDescent="0.3">
      <c r="AD28814" s="16"/>
    </row>
    <row r="28815" spans="30:30" x14ac:dyDescent="0.3">
      <c r="AD28815" s="16"/>
    </row>
    <row r="28816" spans="30:30" x14ac:dyDescent="0.3">
      <c r="AD28816" s="16"/>
    </row>
    <row r="28817" spans="30:30" x14ac:dyDescent="0.3">
      <c r="AD28817" s="16"/>
    </row>
    <row r="28818" spans="30:30" x14ac:dyDescent="0.3">
      <c r="AD28818" s="16"/>
    </row>
    <row r="28819" spans="30:30" x14ac:dyDescent="0.3">
      <c r="AD28819" s="16"/>
    </row>
    <row r="28820" spans="30:30" x14ac:dyDescent="0.3">
      <c r="AD28820" s="16"/>
    </row>
    <row r="28821" spans="30:30" x14ac:dyDescent="0.3">
      <c r="AD28821" s="16"/>
    </row>
    <row r="28822" spans="30:30" x14ac:dyDescent="0.3">
      <c r="AD28822" s="16"/>
    </row>
    <row r="28823" spans="30:30" x14ac:dyDescent="0.3">
      <c r="AD28823" s="16"/>
    </row>
    <row r="28824" spans="30:30" x14ac:dyDescent="0.3">
      <c r="AD28824" s="16"/>
    </row>
    <row r="28825" spans="30:30" x14ac:dyDescent="0.3">
      <c r="AD28825" s="16"/>
    </row>
    <row r="28826" spans="30:30" x14ac:dyDescent="0.3">
      <c r="AD28826" s="16"/>
    </row>
    <row r="28827" spans="30:30" x14ac:dyDescent="0.3">
      <c r="AD28827" s="16"/>
    </row>
    <row r="28828" spans="30:30" x14ac:dyDescent="0.3">
      <c r="AD28828" s="16"/>
    </row>
    <row r="28829" spans="30:30" x14ac:dyDescent="0.3">
      <c r="AD28829" s="16"/>
    </row>
    <row r="28830" spans="30:30" x14ac:dyDescent="0.3">
      <c r="AD28830" s="16"/>
    </row>
    <row r="28831" spans="30:30" x14ac:dyDescent="0.3">
      <c r="AD28831" s="16"/>
    </row>
    <row r="28832" spans="30:30" x14ac:dyDescent="0.3">
      <c r="AD28832" s="16"/>
    </row>
    <row r="28833" spans="30:30" x14ac:dyDescent="0.3">
      <c r="AD28833" s="16"/>
    </row>
    <row r="28834" spans="30:30" x14ac:dyDescent="0.3">
      <c r="AD28834" s="16"/>
    </row>
    <row r="28835" spans="30:30" x14ac:dyDescent="0.3">
      <c r="AD28835" s="16"/>
    </row>
    <row r="28836" spans="30:30" x14ac:dyDescent="0.3">
      <c r="AD28836" s="16"/>
    </row>
    <row r="28837" spans="30:30" x14ac:dyDescent="0.3">
      <c r="AD28837" s="16"/>
    </row>
    <row r="28838" spans="30:30" x14ac:dyDescent="0.3">
      <c r="AD28838" s="16"/>
    </row>
    <row r="28839" spans="30:30" x14ac:dyDescent="0.3">
      <c r="AD28839" s="16"/>
    </row>
    <row r="28840" spans="30:30" x14ac:dyDescent="0.3">
      <c r="AD28840" s="16"/>
    </row>
    <row r="28841" spans="30:30" x14ac:dyDescent="0.3">
      <c r="AD28841" s="16"/>
    </row>
    <row r="28842" spans="30:30" x14ac:dyDescent="0.3">
      <c r="AD28842" s="16"/>
    </row>
    <row r="28843" spans="30:30" x14ac:dyDescent="0.3">
      <c r="AD28843" s="16"/>
    </row>
    <row r="28844" spans="30:30" x14ac:dyDescent="0.3">
      <c r="AD28844" s="16"/>
    </row>
    <row r="28845" spans="30:30" x14ac:dyDescent="0.3">
      <c r="AD28845" s="16"/>
    </row>
    <row r="28846" spans="30:30" x14ac:dyDescent="0.3">
      <c r="AD28846" s="16"/>
    </row>
    <row r="28847" spans="30:30" x14ac:dyDescent="0.3">
      <c r="AD28847" s="16"/>
    </row>
    <row r="28848" spans="30:30" x14ac:dyDescent="0.3">
      <c r="AD28848" s="16"/>
    </row>
    <row r="28849" spans="30:30" x14ac:dyDescent="0.3">
      <c r="AD28849" s="16"/>
    </row>
    <row r="28850" spans="30:30" x14ac:dyDescent="0.3">
      <c r="AD28850" s="16"/>
    </row>
    <row r="28851" spans="30:30" x14ac:dyDescent="0.3">
      <c r="AD28851" s="16"/>
    </row>
    <row r="28852" spans="30:30" x14ac:dyDescent="0.3">
      <c r="AD28852" s="16"/>
    </row>
    <row r="28853" spans="30:30" x14ac:dyDescent="0.3">
      <c r="AD28853" s="16"/>
    </row>
    <row r="28854" spans="30:30" x14ac:dyDescent="0.3">
      <c r="AD28854" s="16"/>
    </row>
    <row r="28855" spans="30:30" x14ac:dyDescent="0.3">
      <c r="AD28855" s="16"/>
    </row>
    <row r="28856" spans="30:30" x14ac:dyDescent="0.3">
      <c r="AD28856" s="16"/>
    </row>
    <row r="28857" spans="30:30" x14ac:dyDescent="0.3">
      <c r="AD28857" s="16"/>
    </row>
    <row r="28858" spans="30:30" x14ac:dyDescent="0.3">
      <c r="AD28858" s="16"/>
    </row>
    <row r="28859" spans="30:30" x14ac:dyDescent="0.3">
      <c r="AD28859" s="16"/>
    </row>
    <row r="28860" spans="30:30" x14ac:dyDescent="0.3">
      <c r="AD28860" s="16"/>
    </row>
    <row r="28861" spans="30:30" x14ac:dyDescent="0.3">
      <c r="AD28861" s="16"/>
    </row>
    <row r="28862" spans="30:30" x14ac:dyDescent="0.3">
      <c r="AD28862" s="16"/>
    </row>
    <row r="28863" spans="30:30" x14ac:dyDescent="0.3">
      <c r="AD28863" s="16"/>
    </row>
    <row r="28864" spans="30:30" x14ac:dyDescent="0.3">
      <c r="AD28864" s="16"/>
    </row>
    <row r="28865" spans="30:30" x14ac:dyDescent="0.3">
      <c r="AD28865" s="16"/>
    </row>
    <row r="28866" spans="30:30" x14ac:dyDescent="0.3">
      <c r="AD28866" s="16"/>
    </row>
    <row r="28867" spans="30:30" x14ac:dyDescent="0.3">
      <c r="AD28867" s="16"/>
    </row>
    <row r="28868" spans="30:30" x14ac:dyDescent="0.3">
      <c r="AD28868" s="16"/>
    </row>
    <row r="28869" spans="30:30" x14ac:dyDescent="0.3">
      <c r="AD28869" s="16"/>
    </row>
    <row r="28870" spans="30:30" x14ac:dyDescent="0.3">
      <c r="AD28870" s="16"/>
    </row>
    <row r="28871" spans="30:30" x14ac:dyDescent="0.3">
      <c r="AD28871" s="16"/>
    </row>
    <row r="28872" spans="30:30" x14ac:dyDescent="0.3">
      <c r="AD28872" s="16"/>
    </row>
    <row r="28873" spans="30:30" x14ac:dyDescent="0.3">
      <c r="AD28873" s="16"/>
    </row>
    <row r="28874" spans="30:30" x14ac:dyDescent="0.3">
      <c r="AD28874" s="16"/>
    </row>
    <row r="28875" spans="30:30" x14ac:dyDescent="0.3">
      <c r="AD28875" s="16"/>
    </row>
    <row r="28876" spans="30:30" x14ac:dyDescent="0.3">
      <c r="AD28876" s="16"/>
    </row>
    <row r="28877" spans="30:30" x14ac:dyDescent="0.3">
      <c r="AD28877" s="16"/>
    </row>
    <row r="28878" spans="30:30" x14ac:dyDescent="0.3">
      <c r="AD28878" s="16"/>
    </row>
    <row r="28879" spans="30:30" x14ac:dyDescent="0.3">
      <c r="AD28879" s="16"/>
    </row>
    <row r="28880" spans="30:30" x14ac:dyDescent="0.3">
      <c r="AD28880" s="16"/>
    </row>
    <row r="28881" spans="30:30" x14ac:dyDescent="0.3">
      <c r="AD28881" s="16"/>
    </row>
    <row r="28882" spans="30:30" x14ac:dyDescent="0.3">
      <c r="AD28882" s="16"/>
    </row>
    <row r="28883" spans="30:30" x14ac:dyDescent="0.3">
      <c r="AD28883" s="16"/>
    </row>
    <row r="28884" spans="30:30" x14ac:dyDescent="0.3">
      <c r="AD28884" s="16"/>
    </row>
    <row r="28885" spans="30:30" x14ac:dyDescent="0.3">
      <c r="AD28885" s="16"/>
    </row>
    <row r="28886" spans="30:30" x14ac:dyDescent="0.3">
      <c r="AD28886" s="16"/>
    </row>
    <row r="28887" spans="30:30" x14ac:dyDescent="0.3">
      <c r="AD28887" s="16"/>
    </row>
    <row r="28888" spans="30:30" x14ac:dyDescent="0.3">
      <c r="AD28888" s="16"/>
    </row>
    <row r="28889" spans="30:30" x14ac:dyDescent="0.3">
      <c r="AD28889" s="16"/>
    </row>
    <row r="28890" spans="30:30" x14ac:dyDescent="0.3">
      <c r="AD28890" s="16"/>
    </row>
    <row r="28891" spans="30:30" x14ac:dyDescent="0.3">
      <c r="AD28891" s="16"/>
    </row>
    <row r="28892" spans="30:30" x14ac:dyDescent="0.3">
      <c r="AD28892" s="16"/>
    </row>
    <row r="28893" spans="30:30" x14ac:dyDescent="0.3">
      <c r="AD28893" s="16"/>
    </row>
    <row r="28894" spans="30:30" x14ac:dyDescent="0.3">
      <c r="AD28894" s="16"/>
    </row>
    <row r="28895" spans="30:30" x14ac:dyDescent="0.3">
      <c r="AD28895" s="16"/>
    </row>
    <row r="28896" spans="30:30" x14ac:dyDescent="0.3">
      <c r="AD28896" s="16"/>
    </row>
    <row r="28897" spans="30:30" x14ac:dyDescent="0.3">
      <c r="AD28897" s="16"/>
    </row>
    <row r="28898" spans="30:30" x14ac:dyDescent="0.3">
      <c r="AD28898" s="16"/>
    </row>
    <row r="28899" spans="30:30" x14ac:dyDescent="0.3">
      <c r="AD28899" s="16"/>
    </row>
    <row r="28900" spans="30:30" x14ac:dyDescent="0.3">
      <c r="AD28900" s="16"/>
    </row>
    <row r="28901" spans="30:30" x14ac:dyDescent="0.3">
      <c r="AD28901" s="16"/>
    </row>
    <row r="28902" spans="30:30" x14ac:dyDescent="0.3">
      <c r="AD28902" s="16"/>
    </row>
    <row r="28903" spans="30:30" x14ac:dyDescent="0.3">
      <c r="AD28903" s="16"/>
    </row>
    <row r="28904" spans="30:30" x14ac:dyDescent="0.3">
      <c r="AD28904" s="16"/>
    </row>
    <row r="28905" spans="30:30" x14ac:dyDescent="0.3">
      <c r="AD28905" s="16"/>
    </row>
    <row r="28906" spans="30:30" x14ac:dyDescent="0.3">
      <c r="AD28906" s="16"/>
    </row>
    <row r="28907" spans="30:30" x14ac:dyDescent="0.3">
      <c r="AD28907" s="16"/>
    </row>
    <row r="28908" spans="30:30" x14ac:dyDescent="0.3">
      <c r="AD28908" s="16"/>
    </row>
    <row r="28909" spans="30:30" x14ac:dyDescent="0.3">
      <c r="AD28909" s="16"/>
    </row>
    <row r="28910" spans="30:30" x14ac:dyDescent="0.3">
      <c r="AD28910" s="16"/>
    </row>
    <row r="28911" spans="30:30" x14ac:dyDescent="0.3">
      <c r="AD28911" s="16"/>
    </row>
    <row r="28912" spans="30:30" x14ac:dyDescent="0.3">
      <c r="AD28912" s="16"/>
    </row>
    <row r="28913" spans="30:30" x14ac:dyDescent="0.3">
      <c r="AD28913" s="16"/>
    </row>
    <row r="28914" spans="30:30" x14ac:dyDescent="0.3">
      <c r="AD28914" s="16"/>
    </row>
    <row r="28915" spans="30:30" x14ac:dyDescent="0.3">
      <c r="AD28915" s="16"/>
    </row>
    <row r="28916" spans="30:30" x14ac:dyDescent="0.3">
      <c r="AD28916" s="16"/>
    </row>
    <row r="28917" spans="30:30" x14ac:dyDescent="0.3">
      <c r="AD28917" s="16"/>
    </row>
    <row r="28918" spans="30:30" x14ac:dyDescent="0.3">
      <c r="AD28918" s="16"/>
    </row>
    <row r="28919" spans="30:30" x14ac:dyDescent="0.3">
      <c r="AD28919" s="16"/>
    </row>
    <row r="28920" spans="30:30" x14ac:dyDescent="0.3">
      <c r="AD28920" s="16"/>
    </row>
    <row r="28921" spans="30:30" x14ac:dyDescent="0.3">
      <c r="AD28921" s="16"/>
    </row>
    <row r="28922" spans="30:30" x14ac:dyDescent="0.3">
      <c r="AD28922" s="16"/>
    </row>
    <row r="28923" spans="30:30" x14ac:dyDescent="0.3">
      <c r="AD28923" s="16"/>
    </row>
    <row r="28924" spans="30:30" x14ac:dyDescent="0.3">
      <c r="AD28924" s="16"/>
    </row>
    <row r="28925" spans="30:30" x14ac:dyDescent="0.3">
      <c r="AD28925" s="16"/>
    </row>
    <row r="28926" spans="30:30" x14ac:dyDescent="0.3">
      <c r="AD28926" s="16"/>
    </row>
    <row r="28927" spans="30:30" x14ac:dyDescent="0.3">
      <c r="AD28927" s="16"/>
    </row>
    <row r="28928" spans="30:30" x14ac:dyDescent="0.3">
      <c r="AD28928" s="16"/>
    </row>
    <row r="28929" spans="30:30" x14ac:dyDescent="0.3">
      <c r="AD28929" s="16"/>
    </row>
    <row r="28930" spans="30:30" x14ac:dyDescent="0.3">
      <c r="AD28930" s="16"/>
    </row>
    <row r="28931" spans="30:30" x14ac:dyDescent="0.3">
      <c r="AD28931" s="16"/>
    </row>
    <row r="28932" spans="30:30" x14ac:dyDescent="0.3">
      <c r="AD28932" s="16"/>
    </row>
    <row r="28933" spans="30:30" x14ac:dyDescent="0.3">
      <c r="AD28933" s="16"/>
    </row>
    <row r="28934" spans="30:30" x14ac:dyDescent="0.3">
      <c r="AD28934" s="16"/>
    </row>
    <row r="28935" spans="30:30" x14ac:dyDescent="0.3">
      <c r="AD28935" s="16"/>
    </row>
    <row r="28936" spans="30:30" x14ac:dyDescent="0.3">
      <c r="AD28936" s="16"/>
    </row>
    <row r="28937" spans="30:30" x14ac:dyDescent="0.3">
      <c r="AD28937" s="16"/>
    </row>
    <row r="28938" spans="30:30" x14ac:dyDescent="0.3">
      <c r="AD28938" s="16"/>
    </row>
    <row r="28939" spans="30:30" x14ac:dyDescent="0.3">
      <c r="AD28939" s="16"/>
    </row>
    <row r="28940" spans="30:30" x14ac:dyDescent="0.3">
      <c r="AD28940" s="16"/>
    </row>
    <row r="28941" spans="30:30" x14ac:dyDescent="0.3">
      <c r="AD28941" s="16"/>
    </row>
    <row r="28942" spans="30:30" x14ac:dyDescent="0.3">
      <c r="AD28942" s="16"/>
    </row>
    <row r="28943" spans="30:30" x14ac:dyDescent="0.3">
      <c r="AD28943" s="16"/>
    </row>
    <row r="28944" spans="30:30" x14ac:dyDescent="0.3">
      <c r="AD28944" s="16"/>
    </row>
    <row r="28945" spans="30:30" x14ac:dyDescent="0.3">
      <c r="AD28945" s="16"/>
    </row>
    <row r="28946" spans="30:30" x14ac:dyDescent="0.3">
      <c r="AD28946" s="16"/>
    </row>
    <row r="28947" spans="30:30" x14ac:dyDescent="0.3">
      <c r="AD28947" s="16"/>
    </row>
    <row r="28948" spans="30:30" x14ac:dyDescent="0.3">
      <c r="AD28948" s="16"/>
    </row>
    <row r="28949" spans="30:30" x14ac:dyDescent="0.3">
      <c r="AD28949" s="16"/>
    </row>
    <row r="28950" spans="30:30" x14ac:dyDescent="0.3">
      <c r="AD28950" s="16"/>
    </row>
    <row r="28951" spans="30:30" x14ac:dyDescent="0.3">
      <c r="AD28951" s="16"/>
    </row>
    <row r="28952" spans="30:30" x14ac:dyDescent="0.3">
      <c r="AD28952" s="16"/>
    </row>
    <row r="28953" spans="30:30" x14ac:dyDescent="0.3">
      <c r="AD28953" s="16"/>
    </row>
    <row r="28954" spans="30:30" x14ac:dyDescent="0.3">
      <c r="AD28954" s="16"/>
    </row>
    <row r="28955" spans="30:30" x14ac:dyDescent="0.3">
      <c r="AD28955" s="16"/>
    </row>
    <row r="28956" spans="30:30" x14ac:dyDescent="0.3">
      <c r="AD28956" s="16"/>
    </row>
    <row r="28957" spans="30:30" x14ac:dyDescent="0.3">
      <c r="AD28957" s="16"/>
    </row>
    <row r="28958" spans="30:30" x14ac:dyDescent="0.3">
      <c r="AD28958" s="16"/>
    </row>
    <row r="28959" spans="30:30" x14ac:dyDescent="0.3">
      <c r="AD28959" s="16"/>
    </row>
    <row r="28960" spans="30:30" x14ac:dyDescent="0.3">
      <c r="AD28960" s="16"/>
    </row>
    <row r="28961" spans="30:30" x14ac:dyDescent="0.3">
      <c r="AD28961" s="16"/>
    </row>
    <row r="28962" spans="30:30" x14ac:dyDescent="0.3">
      <c r="AD28962" s="16"/>
    </row>
    <row r="28963" spans="30:30" x14ac:dyDescent="0.3">
      <c r="AD28963" s="16"/>
    </row>
    <row r="28964" spans="30:30" x14ac:dyDescent="0.3">
      <c r="AD28964" s="16"/>
    </row>
    <row r="28965" spans="30:30" x14ac:dyDescent="0.3">
      <c r="AD28965" s="16"/>
    </row>
    <row r="28966" spans="30:30" x14ac:dyDescent="0.3">
      <c r="AD28966" s="16"/>
    </row>
    <row r="28967" spans="30:30" x14ac:dyDescent="0.3">
      <c r="AD28967" s="16"/>
    </row>
    <row r="28968" spans="30:30" x14ac:dyDescent="0.3">
      <c r="AD28968" s="16"/>
    </row>
    <row r="28969" spans="30:30" x14ac:dyDescent="0.3">
      <c r="AD28969" s="16"/>
    </row>
    <row r="28970" spans="30:30" x14ac:dyDescent="0.3">
      <c r="AD28970" s="16"/>
    </row>
    <row r="28971" spans="30:30" x14ac:dyDescent="0.3">
      <c r="AD28971" s="16"/>
    </row>
    <row r="28972" spans="30:30" x14ac:dyDescent="0.3">
      <c r="AD28972" s="16"/>
    </row>
    <row r="28973" spans="30:30" x14ac:dyDescent="0.3">
      <c r="AD28973" s="16"/>
    </row>
    <row r="28974" spans="30:30" x14ac:dyDescent="0.3">
      <c r="AD28974" s="16"/>
    </row>
    <row r="28975" spans="30:30" x14ac:dyDescent="0.3">
      <c r="AD28975" s="16"/>
    </row>
    <row r="28976" spans="30:30" x14ac:dyDescent="0.3">
      <c r="AD28976" s="16"/>
    </row>
    <row r="28977" spans="30:30" x14ac:dyDescent="0.3">
      <c r="AD28977" s="16"/>
    </row>
    <row r="28978" spans="30:30" x14ac:dyDescent="0.3">
      <c r="AD28978" s="16"/>
    </row>
    <row r="28979" spans="30:30" x14ac:dyDescent="0.3">
      <c r="AD28979" s="16"/>
    </row>
    <row r="28980" spans="30:30" x14ac:dyDescent="0.3">
      <c r="AD28980" s="16"/>
    </row>
    <row r="28981" spans="30:30" x14ac:dyDescent="0.3">
      <c r="AD28981" s="16"/>
    </row>
    <row r="28982" spans="30:30" x14ac:dyDescent="0.3">
      <c r="AD28982" s="16"/>
    </row>
    <row r="28983" spans="30:30" x14ac:dyDescent="0.3">
      <c r="AD28983" s="16"/>
    </row>
    <row r="28984" spans="30:30" x14ac:dyDescent="0.3">
      <c r="AD28984" s="16"/>
    </row>
    <row r="28985" spans="30:30" x14ac:dyDescent="0.3">
      <c r="AD28985" s="16"/>
    </row>
    <row r="28986" spans="30:30" x14ac:dyDescent="0.3">
      <c r="AD28986" s="16"/>
    </row>
    <row r="28987" spans="30:30" x14ac:dyDescent="0.3">
      <c r="AD28987" s="16"/>
    </row>
    <row r="28988" spans="30:30" x14ac:dyDescent="0.3">
      <c r="AD28988" s="16"/>
    </row>
    <row r="28989" spans="30:30" x14ac:dyDescent="0.3">
      <c r="AD28989" s="16"/>
    </row>
    <row r="28990" spans="30:30" x14ac:dyDescent="0.3">
      <c r="AD28990" s="16"/>
    </row>
    <row r="28991" spans="30:30" x14ac:dyDescent="0.3">
      <c r="AD28991" s="16"/>
    </row>
    <row r="28992" spans="30:30" x14ac:dyDescent="0.3">
      <c r="AD28992" s="16"/>
    </row>
    <row r="28993" spans="30:30" x14ac:dyDescent="0.3">
      <c r="AD28993" s="16"/>
    </row>
    <row r="28994" spans="30:30" x14ac:dyDescent="0.3">
      <c r="AD28994" s="16"/>
    </row>
    <row r="28995" spans="30:30" x14ac:dyDescent="0.3">
      <c r="AD28995" s="16"/>
    </row>
    <row r="28996" spans="30:30" x14ac:dyDescent="0.3">
      <c r="AD28996" s="16"/>
    </row>
    <row r="28997" spans="30:30" x14ac:dyDescent="0.3">
      <c r="AD28997" s="16"/>
    </row>
    <row r="28998" spans="30:30" x14ac:dyDescent="0.3">
      <c r="AD28998" s="16"/>
    </row>
    <row r="28999" spans="30:30" x14ac:dyDescent="0.3">
      <c r="AD28999" s="16"/>
    </row>
    <row r="29000" spans="30:30" x14ac:dyDescent="0.3">
      <c r="AD29000" s="16"/>
    </row>
    <row r="29001" spans="30:30" x14ac:dyDescent="0.3">
      <c r="AD29001" s="16"/>
    </row>
    <row r="29002" spans="30:30" x14ac:dyDescent="0.3">
      <c r="AD29002" s="16"/>
    </row>
    <row r="29003" spans="30:30" x14ac:dyDescent="0.3">
      <c r="AD29003" s="16"/>
    </row>
    <row r="29004" spans="30:30" x14ac:dyDescent="0.3">
      <c r="AD29004" s="16"/>
    </row>
    <row r="29005" spans="30:30" x14ac:dyDescent="0.3">
      <c r="AD29005" s="16"/>
    </row>
    <row r="29006" spans="30:30" x14ac:dyDescent="0.3">
      <c r="AD29006" s="16"/>
    </row>
    <row r="29007" spans="30:30" x14ac:dyDescent="0.3">
      <c r="AD29007" s="16"/>
    </row>
    <row r="29008" spans="30:30" x14ac:dyDescent="0.3">
      <c r="AD29008" s="16"/>
    </row>
    <row r="29009" spans="30:30" x14ac:dyDescent="0.3">
      <c r="AD29009" s="16"/>
    </row>
    <row r="29010" spans="30:30" x14ac:dyDescent="0.3">
      <c r="AD29010" s="16"/>
    </row>
    <row r="29011" spans="30:30" x14ac:dyDescent="0.3">
      <c r="AD29011" s="16"/>
    </row>
    <row r="29012" spans="30:30" x14ac:dyDescent="0.3">
      <c r="AD29012" s="16"/>
    </row>
    <row r="29013" spans="30:30" x14ac:dyDescent="0.3">
      <c r="AD29013" s="16"/>
    </row>
    <row r="29014" spans="30:30" x14ac:dyDescent="0.3">
      <c r="AD29014" s="16"/>
    </row>
    <row r="29015" spans="30:30" x14ac:dyDescent="0.3">
      <c r="AD29015" s="16"/>
    </row>
    <row r="29016" spans="30:30" x14ac:dyDescent="0.3">
      <c r="AD29016" s="16"/>
    </row>
    <row r="29017" spans="30:30" x14ac:dyDescent="0.3">
      <c r="AD29017" s="16"/>
    </row>
    <row r="29018" spans="30:30" x14ac:dyDescent="0.3">
      <c r="AD29018" s="16"/>
    </row>
    <row r="29019" spans="30:30" x14ac:dyDescent="0.3">
      <c r="AD29019" s="16"/>
    </row>
    <row r="29020" spans="30:30" x14ac:dyDescent="0.3">
      <c r="AD29020" s="16"/>
    </row>
    <row r="29021" spans="30:30" x14ac:dyDescent="0.3">
      <c r="AD29021" s="16"/>
    </row>
    <row r="29022" spans="30:30" x14ac:dyDescent="0.3">
      <c r="AD29022" s="16"/>
    </row>
    <row r="29023" spans="30:30" x14ac:dyDescent="0.3">
      <c r="AD29023" s="16"/>
    </row>
    <row r="29024" spans="30:30" x14ac:dyDescent="0.3">
      <c r="AD29024" s="16"/>
    </row>
    <row r="29025" spans="30:30" x14ac:dyDescent="0.3">
      <c r="AD29025" s="16"/>
    </row>
    <row r="29026" spans="30:30" x14ac:dyDescent="0.3">
      <c r="AD29026" s="16"/>
    </row>
    <row r="29027" spans="30:30" x14ac:dyDescent="0.3">
      <c r="AD29027" s="16"/>
    </row>
    <row r="29028" spans="30:30" x14ac:dyDescent="0.3">
      <c r="AD29028" s="16"/>
    </row>
    <row r="29029" spans="30:30" x14ac:dyDescent="0.3">
      <c r="AD29029" s="16"/>
    </row>
    <row r="29030" spans="30:30" x14ac:dyDescent="0.3">
      <c r="AD29030" s="16"/>
    </row>
    <row r="29031" spans="30:30" x14ac:dyDescent="0.3">
      <c r="AD29031" s="16"/>
    </row>
    <row r="29032" spans="30:30" x14ac:dyDescent="0.3">
      <c r="AD29032" s="16"/>
    </row>
    <row r="29033" spans="30:30" x14ac:dyDescent="0.3">
      <c r="AD29033" s="16"/>
    </row>
    <row r="29034" spans="30:30" x14ac:dyDescent="0.3">
      <c r="AD29034" s="16"/>
    </row>
    <row r="29035" spans="30:30" x14ac:dyDescent="0.3">
      <c r="AD29035" s="16"/>
    </row>
    <row r="29036" spans="30:30" x14ac:dyDescent="0.3">
      <c r="AD29036" s="16"/>
    </row>
    <row r="29037" spans="30:30" x14ac:dyDescent="0.3">
      <c r="AD29037" s="16"/>
    </row>
    <row r="29038" spans="30:30" x14ac:dyDescent="0.3">
      <c r="AD29038" s="16"/>
    </row>
    <row r="29039" spans="30:30" x14ac:dyDescent="0.3">
      <c r="AD29039" s="16"/>
    </row>
    <row r="29040" spans="30:30" x14ac:dyDescent="0.3">
      <c r="AD29040" s="16"/>
    </row>
    <row r="29041" spans="30:30" x14ac:dyDescent="0.3">
      <c r="AD29041" s="16"/>
    </row>
    <row r="29042" spans="30:30" x14ac:dyDescent="0.3">
      <c r="AD29042" s="16"/>
    </row>
    <row r="29043" spans="30:30" x14ac:dyDescent="0.3">
      <c r="AD29043" s="16"/>
    </row>
    <row r="29044" spans="30:30" x14ac:dyDescent="0.3">
      <c r="AD29044" s="16"/>
    </row>
    <row r="29045" spans="30:30" x14ac:dyDescent="0.3">
      <c r="AD29045" s="16"/>
    </row>
    <row r="29046" spans="30:30" x14ac:dyDescent="0.3">
      <c r="AD29046" s="16"/>
    </row>
    <row r="29047" spans="30:30" x14ac:dyDescent="0.3">
      <c r="AD29047" s="16"/>
    </row>
    <row r="29048" spans="30:30" x14ac:dyDescent="0.3">
      <c r="AD29048" s="16"/>
    </row>
    <row r="29049" spans="30:30" x14ac:dyDescent="0.3">
      <c r="AD29049" s="16"/>
    </row>
    <row r="29050" spans="30:30" x14ac:dyDescent="0.3">
      <c r="AD29050" s="16"/>
    </row>
    <row r="29051" spans="30:30" x14ac:dyDescent="0.3">
      <c r="AD29051" s="16"/>
    </row>
    <row r="29052" spans="30:30" x14ac:dyDescent="0.3">
      <c r="AD29052" s="16"/>
    </row>
    <row r="29053" spans="30:30" x14ac:dyDescent="0.3">
      <c r="AD29053" s="16"/>
    </row>
    <row r="29054" spans="30:30" x14ac:dyDescent="0.3">
      <c r="AD29054" s="16"/>
    </row>
    <row r="29055" spans="30:30" x14ac:dyDescent="0.3">
      <c r="AD29055" s="16"/>
    </row>
    <row r="29056" spans="30:30" x14ac:dyDescent="0.3">
      <c r="AD29056" s="16"/>
    </row>
    <row r="29057" spans="30:30" x14ac:dyDescent="0.3">
      <c r="AD29057" s="16"/>
    </row>
    <row r="29058" spans="30:30" x14ac:dyDescent="0.3">
      <c r="AD29058" s="16"/>
    </row>
    <row r="29059" spans="30:30" x14ac:dyDescent="0.3">
      <c r="AD29059" s="16"/>
    </row>
    <row r="29060" spans="30:30" x14ac:dyDescent="0.3">
      <c r="AD29060" s="16"/>
    </row>
    <row r="29061" spans="30:30" x14ac:dyDescent="0.3">
      <c r="AD29061" s="16"/>
    </row>
    <row r="29062" spans="30:30" x14ac:dyDescent="0.3">
      <c r="AD29062" s="16"/>
    </row>
    <row r="29063" spans="30:30" x14ac:dyDescent="0.3">
      <c r="AD29063" s="16"/>
    </row>
    <row r="29064" spans="30:30" x14ac:dyDescent="0.3">
      <c r="AD29064" s="16"/>
    </row>
    <row r="29065" spans="30:30" x14ac:dyDescent="0.3">
      <c r="AD29065" s="16"/>
    </row>
    <row r="29066" spans="30:30" x14ac:dyDescent="0.3">
      <c r="AD29066" s="16"/>
    </row>
    <row r="29067" spans="30:30" x14ac:dyDescent="0.3">
      <c r="AD29067" s="16"/>
    </row>
    <row r="29068" spans="30:30" x14ac:dyDescent="0.3">
      <c r="AD29068" s="16"/>
    </row>
    <row r="29069" spans="30:30" x14ac:dyDescent="0.3">
      <c r="AD29069" s="16"/>
    </row>
    <row r="29070" spans="30:30" x14ac:dyDescent="0.3">
      <c r="AD29070" s="16"/>
    </row>
    <row r="29071" spans="30:30" x14ac:dyDescent="0.3">
      <c r="AD29071" s="16"/>
    </row>
    <row r="29072" spans="30:30" x14ac:dyDescent="0.3">
      <c r="AD29072" s="16"/>
    </row>
    <row r="29073" spans="30:30" x14ac:dyDescent="0.3">
      <c r="AD29073" s="16"/>
    </row>
    <row r="29074" spans="30:30" x14ac:dyDescent="0.3">
      <c r="AD29074" s="16"/>
    </row>
    <row r="29075" spans="30:30" x14ac:dyDescent="0.3">
      <c r="AD29075" s="16"/>
    </row>
    <row r="29076" spans="30:30" x14ac:dyDescent="0.3">
      <c r="AD29076" s="16"/>
    </row>
    <row r="29077" spans="30:30" x14ac:dyDescent="0.3">
      <c r="AD29077" s="16"/>
    </row>
    <row r="29078" spans="30:30" x14ac:dyDescent="0.3">
      <c r="AD29078" s="16"/>
    </row>
    <row r="29079" spans="30:30" x14ac:dyDescent="0.3">
      <c r="AD29079" s="16"/>
    </row>
    <row r="29080" spans="30:30" x14ac:dyDescent="0.3">
      <c r="AD29080" s="16"/>
    </row>
    <row r="29081" spans="30:30" x14ac:dyDescent="0.3">
      <c r="AD29081" s="16"/>
    </row>
    <row r="29082" spans="30:30" x14ac:dyDescent="0.3">
      <c r="AD29082" s="16"/>
    </row>
    <row r="29083" spans="30:30" x14ac:dyDescent="0.3">
      <c r="AD29083" s="16"/>
    </row>
    <row r="29084" spans="30:30" x14ac:dyDescent="0.3">
      <c r="AD29084" s="16"/>
    </row>
    <row r="29085" spans="30:30" x14ac:dyDescent="0.3">
      <c r="AD29085" s="16"/>
    </row>
    <row r="29086" spans="30:30" x14ac:dyDescent="0.3">
      <c r="AD29086" s="16"/>
    </row>
    <row r="29087" spans="30:30" x14ac:dyDescent="0.3">
      <c r="AD29087" s="16"/>
    </row>
    <row r="29088" spans="30:30" x14ac:dyDescent="0.3">
      <c r="AD29088" s="16"/>
    </row>
    <row r="29089" spans="30:30" x14ac:dyDescent="0.3">
      <c r="AD29089" s="16"/>
    </row>
    <row r="29090" spans="30:30" x14ac:dyDescent="0.3">
      <c r="AD29090" s="16"/>
    </row>
    <row r="29091" spans="30:30" x14ac:dyDescent="0.3">
      <c r="AD29091" s="16"/>
    </row>
    <row r="29092" spans="30:30" x14ac:dyDescent="0.3">
      <c r="AD29092" s="16"/>
    </row>
    <row r="29093" spans="30:30" x14ac:dyDescent="0.3">
      <c r="AD29093" s="16"/>
    </row>
    <row r="29094" spans="30:30" x14ac:dyDescent="0.3">
      <c r="AD29094" s="16"/>
    </row>
    <row r="29095" spans="30:30" x14ac:dyDescent="0.3">
      <c r="AD29095" s="16"/>
    </row>
    <row r="29096" spans="30:30" x14ac:dyDescent="0.3">
      <c r="AD29096" s="16"/>
    </row>
    <row r="29097" spans="30:30" x14ac:dyDescent="0.3">
      <c r="AD29097" s="16"/>
    </row>
    <row r="29098" spans="30:30" x14ac:dyDescent="0.3">
      <c r="AD29098" s="16"/>
    </row>
    <row r="29099" spans="30:30" x14ac:dyDescent="0.3">
      <c r="AD29099" s="16"/>
    </row>
    <row r="29100" spans="30:30" x14ac:dyDescent="0.3">
      <c r="AD29100" s="16"/>
    </row>
    <row r="29101" spans="30:30" x14ac:dyDescent="0.3">
      <c r="AD29101" s="16"/>
    </row>
    <row r="29102" spans="30:30" x14ac:dyDescent="0.3">
      <c r="AD29102" s="16"/>
    </row>
    <row r="29103" spans="30:30" x14ac:dyDescent="0.3">
      <c r="AD29103" s="16"/>
    </row>
    <row r="29104" spans="30:30" x14ac:dyDescent="0.3">
      <c r="AD29104" s="16"/>
    </row>
    <row r="29105" spans="30:30" x14ac:dyDescent="0.3">
      <c r="AD29105" s="16"/>
    </row>
    <row r="29106" spans="30:30" x14ac:dyDescent="0.3">
      <c r="AD29106" s="16"/>
    </row>
    <row r="29107" spans="30:30" x14ac:dyDescent="0.3">
      <c r="AD29107" s="16"/>
    </row>
    <row r="29108" spans="30:30" x14ac:dyDescent="0.3">
      <c r="AD29108" s="16"/>
    </row>
    <row r="29109" spans="30:30" x14ac:dyDescent="0.3">
      <c r="AD29109" s="16"/>
    </row>
    <row r="29110" spans="30:30" x14ac:dyDescent="0.3">
      <c r="AD29110" s="16"/>
    </row>
    <row r="29111" spans="30:30" x14ac:dyDescent="0.3">
      <c r="AD29111" s="16"/>
    </row>
    <row r="29112" spans="30:30" x14ac:dyDescent="0.3">
      <c r="AD29112" s="16"/>
    </row>
    <row r="29113" spans="30:30" x14ac:dyDescent="0.3">
      <c r="AD29113" s="16"/>
    </row>
    <row r="29114" spans="30:30" x14ac:dyDescent="0.3">
      <c r="AD29114" s="16"/>
    </row>
    <row r="29115" spans="30:30" x14ac:dyDescent="0.3">
      <c r="AD29115" s="16"/>
    </row>
    <row r="29116" spans="30:30" x14ac:dyDescent="0.3">
      <c r="AD29116" s="16"/>
    </row>
    <row r="29117" spans="30:30" x14ac:dyDescent="0.3">
      <c r="AD29117" s="16"/>
    </row>
    <row r="29118" spans="30:30" x14ac:dyDescent="0.3">
      <c r="AD29118" s="16"/>
    </row>
    <row r="29119" spans="30:30" x14ac:dyDescent="0.3">
      <c r="AD29119" s="16"/>
    </row>
    <row r="29120" spans="30:30" x14ac:dyDescent="0.3">
      <c r="AD29120" s="16"/>
    </row>
    <row r="29121" spans="30:30" x14ac:dyDescent="0.3">
      <c r="AD29121" s="16"/>
    </row>
    <row r="29122" spans="30:30" x14ac:dyDescent="0.3">
      <c r="AD29122" s="16"/>
    </row>
    <row r="29123" spans="30:30" x14ac:dyDescent="0.3">
      <c r="AD29123" s="16"/>
    </row>
    <row r="29124" spans="30:30" x14ac:dyDescent="0.3">
      <c r="AD29124" s="16"/>
    </row>
    <row r="29125" spans="30:30" x14ac:dyDescent="0.3">
      <c r="AD29125" s="16"/>
    </row>
    <row r="29126" spans="30:30" x14ac:dyDescent="0.3">
      <c r="AD29126" s="16"/>
    </row>
    <row r="29127" spans="30:30" x14ac:dyDescent="0.3">
      <c r="AD29127" s="16"/>
    </row>
    <row r="29128" spans="30:30" x14ac:dyDescent="0.3">
      <c r="AD29128" s="16"/>
    </row>
    <row r="29129" spans="30:30" x14ac:dyDescent="0.3">
      <c r="AD29129" s="16"/>
    </row>
    <row r="29130" spans="30:30" x14ac:dyDescent="0.3">
      <c r="AD29130" s="16"/>
    </row>
    <row r="29131" spans="30:30" x14ac:dyDescent="0.3">
      <c r="AD29131" s="16"/>
    </row>
    <row r="29132" spans="30:30" x14ac:dyDescent="0.3">
      <c r="AD29132" s="16"/>
    </row>
    <row r="29133" spans="30:30" x14ac:dyDescent="0.3">
      <c r="AD29133" s="16"/>
    </row>
    <row r="29134" spans="30:30" x14ac:dyDescent="0.3">
      <c r="AD29134" s="16"/>
    </row>
    <row r="29135" spans="30:30" x14ac:dyDescent="0.3">
      <c r="AD29135" s="16"/>
    </row>
    <row r="29136" spans="30:30" x14ac:dyDescent="0.3">
      <c r="AD29136" s="16"/>
    </row>
    <row r="29137" spans="30:30" x14ac:dyDescent="0.3">
      <c r="AD29137" s="16"/>
    </row>
    <row r="29138" spans="30:30" x14ac:dyDescent="0.3">
      <c r="AD29138" s="16"/>
    </row>
    <row r="29139" spans="30:30" x14ac:dyDescent="0.3">
      <c r="AD29139" s="16"/>
    </row>
    <row r="29140" spans="30:30" x14ac:dyDescent="0.3">
      <c r="AD29140" s="16"/>
    </row>
    <row r="29141" spans="30:30" x14ac:dyDescent="0.3">
      <c r="AD29141" s="16"/>
    </row>
    <row r="29142" spans="30:30" x14ac:dyDescent="0.3">
      <c r="AD29142" s="16"/>
    </row>
    <row r="29143" spans="30:30" x14ac:dyDescent="0.3">
      <c r="AD29143" s="16"/>
    </row>
    <row r="29144" spans="30:30" x14ac:dyDescent="0.3">
      <c r="AD29144" s="16"/>
    </row>
    <row r="29145" spans="30:30" x14ac:dyDescent="0.3">
      <c r="AD29145" s="16"/>
    </row>
    <row r="29146" spans="30:30" x14ac:dyDescent="0.3">
      <c r="AD29146" s="16"/>
    </row>
    <row r="29147" spans="30:30" x14ac:dyDescent="0.3">
      <c r="AD29147" s="16"/>
    </row>
    <row r="29148" spans="30:30" x14ac:dyDescent="0.3">
      <c r="AD29148" s="16"/>
    </row>
    <row r="29149" spans="30:30" x14ac:dyDescent="0.3">
      <c r="AD29149" s="16"/>
    </row>
    <row r="29150" spans="30:30" x14ac:dyDescent="0.3">
      <c r="AD29150" s="16"/>
    </row>
    <row r="29151" spans="30:30" x14ac:dyDescent="0.3">
      <c r="AD29151" s="16"/>
    </row>
    <row r="29152" spans="30:30" x14ac:dyDescent="0.3">
      <c r="AD29152" s="16"/>
    </row>
    <row r="29153" spans="30:30" x14ac:dyDescent="0.3">
      <c r="AD29153" s="16"/>
    </row>
    <row r="29154" spans="30:30" x14ac:dyDescent="0.3">
      <c r="AD29154" s="16"/>
    </row>
    <row r="29155" spans="30:30" x14ac:dyDescent="0.3">
      <c r="AD29155" s="16"/>
    </row>
    <row r="29156" spans="30:30" x14ac:dyDescent="0.3">
      <c r="AD29156" s="16"/>
    </row>
    <row r="29157" spans="30:30" x14ac:dyDescent="0.3">
      <c r="AD29157" s="16"/>
    </row>
    <row r="29158" spans="30:30" x14ac:dyDescent="0.3">
      <c r="AD29158" s="16"/>
    </row>
    <row r="29159" spans="30:30" x14ac:dyDescent="0.3">
      <c r="AD29159" s="16"/>
    </row>
    <row r="29160" spans="30:30" x14ac:dyDescent="0.3">
      <c r="AD29160" s="16"/>
    </row>
    <row r="29161" spans="30:30" x14ac:dyDescent="0.3">
      <c r="AD29161" s="16"/>
    </row>
    <row r="29162" spans="30:30" x14ac:dyDescent="0.3">
      <c r="AD29162" s="16"/>
    </row>
    <row r="29163" spans="30:30" x14ac:dyDescent="0.3">
      <c r="AD29163" s="16"/>
    </row>
    <row r="29164" spans="30:30" x14ac:dyDescent="0.3">
      <c r="AD29164" s="16"/>
    </row>
    <row r="29165" spans="30:30" x14ac:dyDescent="0.3">
      <c r="AD29165" s="16"/>
    </row>
    <row r="29166" spans="30:30" x14ac:dyDescent="0.3">
      <c r="AD29166" s="16"/>
    </row>
    <row r="29167" spans="30:30" x14ac:dyDescent="0.3">
      <c r="AD29167" s="16"/>
    </row>
    <row r="29168" spans="30:30" x14ac:dyDescent="0.3">
      <c r="AD29168" s="16"/>
    </row>
    <row r="29169" spans="30:30" x14ac:dyDescent="0.3">
      <c r="AD29169" s="16"/>
    </row>
    <row r="29170" spans="30:30" x14ac:dyDescent="0.3">
      <c r="AD29170" s="16"/>
    </row>
    <row r="29171" spans="30:30" x14ac:dyDescent="0.3">
      <c r="AD29171" s="16"/>
    </row>
    <row r="29172" spans="30:30" x14ac:dyDescent="0.3">
      <c r="AD29172" s="16"/>
    </row>
    <row r="29173" spans="30:30" x14ac:dyDescent="0.3">
      <c r="AD29173" s="16"/>
    </row>
    <row r="29174" spans="30:30" x14ac:dyDescent="0.3">
      <c r="AD29174" s="16"/>
    </row>
    <row r="29175" spans="30:30" x14ac:dyDescent="0.3">
      <c r="AD29175" s="16"/>
    </row>
    <row r="29176" spans="30:30" x14ac:dyDescent="0.3">
      <c r="AD29176" s="16"/>
    </row>
    <row r="29177" spans="30:30" x14ac:dyDescent="0.3">
      <c r="AD29177" s="16"/>
    </row>
    <row r="29178" spans="30:30" x14ac:dyDescent="0.3">
      <c r="AD29178" s="16"/>
    </row>
    <row r="29179" spans="30:30" x14ac:dyDescent="0.3">
      <c r="AD29179" s="16"/>
    </row>
    <row r="29180" spans="30:30" x14ac:dyDescent="0.3">
      <c r="AD29180" s="16"/>
    </row>
    <row r="29181" spans="30:30" x14ac:dyDescent="0.3">
      <c r="AD29181" s="16"/>
    </row>
    <row r="29182" spans="30:30" x14ac:dyDescent="0.3">
      <c r="AD29182" s="16"/>
    </row>
    <row r="29183" spans="30:30" x14ac:dyDescent="0.3">
      <c r="AD29183" s="16"/>
    </row>
    <row r="29184" spans="30:30" x14ac:dyDescent="0.3">
      <c r="AD29184" s="16"/>
    </row>
    <row r="29185" spans="30:30" x14ac:dyDescent="0.3">
      <c r="AD29185" s="16"/>
    </row>
    <row r="29186" spans="30:30" x14ac:dyDescent="0.3">
      <c r="AD29186" s="16"/>
    </row>
    <row r="29187" spans="30:30" x14ac:dyDescent="0.3">
      <c r="AD29187" s="16"/>
    </row>
    <row r="29188" spans="30:30" x14ac:dyDescent="0.3">
      <c r="AD29188" s="16"/>
    </row>
    <row r="29189" spans="30:30" x14ac:dyDescent="0.3">
      <c r="AD29189" s="16"/>
    </row>
    <row r="29190" spans="30:30" x14ac:dyDescent="0.3">
      <c r="AD29190" s="16"/>
    </row>
    <row r="29191" spans="30:30" x14ac:dyDescent="0.3">
      <c r="AD29191" s="16"/>
    </row>
    <row r="29192" spans="30:30" x14ac:dyDescent="0.3">
      <c r="AD29192" s="16"/>
    </row>
    <row r="29193" spans="30:30" x14ac:dyDescent="0.3">
      <c r="AD29193" s="16"/>
    </row>
    <row r="29194" spans="30:30" x14ac:dyDescent="0.3">
      <c r="AD29194" s="16"/>
    </row>
    <row r="29195" spans="30:30" x14ac:dyDescent="0.3">
      <c r="AD29195" s="16"/>
    </row>
    <row r="29196" spans="30:30" x14ac:dyDescent="0.3">
      <c r="AD29196" s="16"/>
    </row>
    <row r="29197" spans="30:30" x14ac:dyDescent="0.3">
      <c r="AD29197" s="16"/>
    </row>
    <row r="29198" spans="30:30" x14ac:dyDescent="0.3">
      <c r="AD29198" s="16"/>
    </row>
    <row r="29199" spans="30:30" x14ac:dyDescent="0.3">
      <c r="AD29199" s="16"/>
    </row>
    <row r="29200" spans="30:30" x14ac:dyDescent="0.3">
      <c r="AD29200" s="16"/>
    </row>
    <row r="29201" spans="30:30" x14ac:dyDescent="0.3">
      <c r="AD29201" s="16"/>
    </row>
    <row r="29202" spans="30:30" x14ac:dyDescent="0.3">
      <c r="AD29202" s="16"/>
    </row>
    <row r="29203" spans="30:30" x14ac:dyDescent="0.3">
      <c r="AD29203" s="16"/>
    </row>
    <row r="29204" spans="30:30" x14ac:dyDescent="0.3">
      <c r="AD29204" s="16"/>
    </row>
    <row r="29205" spans="30:30" x14ac:dyDescent="0.3">
      <c r="AD29205" s="16"/>
    </row>
    <row r="29206" spans="30:30" x14ac:dyDescent="0.3">
      <c r="AD29206" s="16"/>
    </row>
    <row r="29207" spans="30:30" x14ac:dyDescent="0.3">
      <c r="AD29207" s="16"/>
    </row>
    <row r="29208" spans="30:30" x14ac:dyDescent="0.3">
      <c r="AD29208" s="16"/>
    </row>
    <row r="29209" spans="30:30" x14ac:dyDescent="0.3">
      <c r="AD29209" s="16"/>
    </row>
    <row r="29210" spans="30:30" x14ac:dyDescent="0.3">
      <c r="AD29210" s="16"/>
    </row>
    <row r="29211" spans="30:30" x14ac:dyDescent="0.3">
      <c r="AD29211" s="16"/>
    </row>
    <row r="29212" spans="30:30" x14ac:dyDescent="0.3">
      <c r="AD29212" s="16"/>
    </row>
    <row r="29213" spans="30:30" x14ac:dyDescent="0.3">
      <c r="AD29213" s="16"/>
    </row>
    <row r="29214" spans="30:30" x14ac:dyDescent="0.3">
      <c r="AD29214" s="16"/>
    </row>
    <row r="29215" spans="30:30" x14ac:dyDescent="0.3">
      <c r="AD29215" s="16"/>
    </row>
    <row r="29216" spans="30:30" x14ac:dyDescent="0.3">
      <c r="AD29216" s="16"/>
    </row>
    <row r="29217" spans="30:30" x14ac:dyDescent="0.3">
      <c r="AD29217" s="16"/>
    </row>
    <row r="29218" spans="30:30" x14ac:dyDescent="0.3">
      <c r="AD29218" s="16"/>
    </row>
    <row r="29219" spans="30:30" x14ac:dyDescent="0.3">
      <c r="AD29219" s="16"/>
    </row>
    <row r="29220" spans="30:30" x14ac:dyDescent="0.3">
      <c r="AD29220" s="16"/>
    </row>
    <row r="29221" spans="30:30" x14ac:dyDescent="0.3">
      <c r="AD29221" s="16"/>
    </row>
    <row r="29222" spans="30:30" x14ac:dyDescent="0.3">
      <c r="AD29222" s="16"/>
    </row>
    <row r="29223" spans="30:30" x14ac:dyDescent="0.3">
      <c r="AD29223" s="16"/>
    </row>
    <row r="29224" spans="30:30" x14ac:dyDescent="0.3">
      <c r="AD29224" s="16"/>
    </row>
    <row r="29225" spans="30:30" x14ac:dyDescent="0.3">
      <c r="AD29225" s="16"/>
    </row>
    <row r="29226" spans="30:30" x14ac:dyDescent="0.3">
      <c r="AD29226" s="16"/>
    </row>
    <row r="29227" spans="30:30" x14ac:dyDescent="0.3">
      <c r="AD29227" s="16"/>
    </row>
    <row r="29228" spans="30:30" x14ac:dyDescent="0.3">
      <c r="AD29228" s="16"/>
    </row>
    <row r="29229" spans="30:30" x14ac:dyDescent="0.3">
      <c r="AD29229" s="16"/>
    </row>
    <row r="29230" spans="30:30" x14ac:dyDescent="0.3">
      <c r="AD29230" s="16"/>
    </row>
    <row r="29231" spans="30:30" x14ac:dyDescent="0.3">
      <c r="AD29231" s="16"/>
    </row>
    <row r="29232" spans="30:30" x14ac:dyDescent="0.3">
      <c r="AD29232" s="16"/>
    </row>
    <row r="29233" spans="30:30" x14ac:dyDescent="0.3">
      <c r="AD29233" s="16"/>
    </row>
    <row r="29234" spans="30:30" x14ac:dyDescent="0.3">
      <c r="AD29234" s="16"/>
    </row>
    <row r="29235" spans="30:30" x14ac:dyDescent="0.3">
      <c r="AD29235" s="16"/>
    </row>
    <row r="29236" spans="30:30" x14ac:dyDescent="0.3">
      <c r="AD29236" s="16"/>
    </row>
    <row r="29237" spans="30:30" x14ac:dyDescent="0.3">
      <c r="AD29237" s="16"/>
    </row>
    <row r="29238" spans="30:30" x14ac:dyDescent="0.3">
      <c r="AD29238" s="16"/>
    </row>
    <row r="29239" spans="30:30" x14ac:dyDescent="0.3">
      <c r="AD29239" s="16"/>
    </row>
    <row r="29240" spans="30:30" x14ac:dyDescent="0.3">
      <c r="AD29240" s="16"/>
    </row>
    <row r="29241" spans="30:30" x14ac:dyDescent="0.3">
      <c r="AD29241" s="16"/>
    </row>
    <row r="29242" spans="30:30" x14ac:dyDescent="0.3">
      <c r="AD29242" s="16"/>
    </row>
    <row r="29243" spans="30:30" x14ac:dyDescent="0.3">
      <c r="AD29243" s="16"/>
    </row>
    <row r="29244" spans="30:30" x14ac:dyDescent="0.3">
      <c r="AD29244" s="16"/>
    </row>
    <row r="29245" spans="30:30" x14ac:dyDescent="0.3">
      <c r="AD29245" s="16"/>
    </row>
    <row r="29246" spans="30:30" x14ac:dyDescent="0.3">
      <c r="AD29246" s="16"/>
    </row>
    <row r="29247" spans="30:30" x14ac:dyDescent="0.3">
      <c r="AD29247" s="16"/>
    </row>
    <row r="29248" spans="30:30" x14ac:dyDescent="0.3">
      <c r="AD29248" s="16"/>
    </row>
    <row r="29249" spans="30:30" x14ac:dyDescent="0.3">
      <c r="AD29249" s="16"/>
    </row>
    <row r="29250" spans="30:30" x14ac:dyDescent="0.3">
      <c r="AD29250" s="16"/>
    </row>
    <row r="29251" spans="30:30" x14ac:dyDescent="0.3">
      <c r="AD29251" s="16"/>
    </row>
    <row r="29252" spans="30:30" x14ac:dyDescent="0.3">
      <c r="AD29252" s="16"/>
    </row>
    <row r="29253" spans="30:30" x14ac:dyDescent="0.3">
      <c r="AD29253" s="16"/>
    </row>
    <row r="29254" spans="30:30" x14ac:dyDescent="0.3">
      <c r="AD29254" s="16"/>
    </row>
    <row r="29255" spans="30:30" x14ac:dyDescent="0.3">
      <c r="AD29255" s="16"/>
    </row>
    <row r="29256" spans="30:30" x14ac:dyDescent="0.3">
      <c r="AD29256" s="16"/>
    </row>
    <row r="29257" spans="30:30" x14ac:dyDescent="0.3">
      <c r="AD29257" s="16"/>
    </row>
    <row r="29258" spans="30:30" x14ac:dyDescent="0.3">
      <c r="AD29258" s="16"/>
    </row>
    <row r="29259" spans="30:30" x14ac:dyDescent="0.3">
      <c r="AD29259" s="16"/>
    </row>
    <row r="29260" spans="30:30" x14ac:dyDescent="0.3">
      <c r="AD29260" s="16"/>
    </row>
    <row r="29261" spans="30:30" x14ac:dyDescent="0.3">
      <c r="AD29261" s="16"/>
    </row>
    <row r="29262" spans="30:30" x14ac:dyDescent="0.3">
      <c r="AD29262" s="16"/>
    </row>
    <row r="29263" spans="30:30" x14ac:dyDescent="0.3">
      <c r="AD29263" s="16"/>
    </row>
    <row r="29264" spans="30:30" x14ac:dyDescent="0.3">
      <c r="AD29264" s="16"/>
    </row>
    <row r="29265" spans="30:30" x14ac:dyDescent="0.3">
      <c r="AD29265" s="16"/>
    </row>
    <row r="29266" spans="30:30" x14ac:dyDescent="0.3">
      <c r="AD29266" s="16"/>
    </row>
    <row r="29267" spans="30:30" x14ac:dyDescent="0.3">
      <c r="AD29267" s="16"/>
    </row>
    <row r="29268" spans="30:30" x14ac:dyDescent="0.3">
      <c r="AD29268" s="16"/>
    </row>
    <row r="29269" spans="30:30" x14ac:dyDescent="0.3">
      <c r="AD29269" s="16"/>
    </row>
    <row r="29270" spans="30:30" x14ac:dyDescent="0.3">
      <c r="AD29270" s="16"/>
    </row>
    <row r="29271" spans="30:30" x14ac:dyDescent="0.3">
      <c r="AD29271" s="16"/>
    </row>
    <row r="29272" spans="30:30" x14ac:dyDescent="0.3">
      <c r="AD29272" s="16"/>
    </row>
    <row r="29273" spans="30:30" x14ac:dyDescent="0.3">
      <c r="AD29273" s="16"/>
    </row>
    <row r="29274" spans="30:30" x14ac:dyDescent="0.3">
      <c r="AD29274" s="16"/>
    </row>
    <row r="29275" spans="30:30" x14ac:dyDescent="0.3">
      <c r="AD29275" s="16"/>
    </row>
    <row r="29276" spans="30:30" x14ac:dyDescent="0.3">
      <c r="AD29276" s="16"/>
    </row>
    <row r="29277" spans="30:30" x14ac:dyDescent="0.3">
      <c r="AD29277" s="16"/>
    </row>
    <row r="29278" spans="30:30" x14ac:dyDescent="0.3">
      <c r="AD29278" s="16"/>
    </row>
    <row r="29279" spans="30:30" x14ac:dyDescent="0.3">
      <c r="AD29279" s="16"/>
    </row>
    <row r="29280" spans="30:30" x14ac:dyDescent="0.3">
      <c r="AD29280" s="16"/>
    </row>
    <row r="29281" spans="30:30" x14ac:dyDescent="0.3">
      <c r="AD29281" s="16"/>
    </row>
    <row r="29282" spans="30:30" x14ac:dyDescent="0.3">
      <c r="AD29282" s="16"/>
    </row>
    <row r="29283" spans="30:30" x14ac:dyDescent="0.3">
      <c r="AD29283" s="16"/>
    </row>
    <row r="29284" spans="30:30" x14ac:dyDescent="0.3">
      <c r="AD29284" s="16"/>
    </row>
    <row r="29285" spans="30:30" x14ac:dyDescent="0.3">
      <c r="AD29285" s="16"/>
    </row>
    <row r="29286" spans="30:30" x14ac:dyDescent="0.3">
      <c r="AD29286" s="16"/>
    </row>
    <row r="29287" spans="30:30" x14ac:dyDescent="0.3">
      <c r="AD29287" s="16"/>
    </row>
    <row r="29288" spans="30:30" x14ac:dyDescent="0.3">
      <c r="AD29288" s="16"/>
    </row>
    <row r="29289" spans="30:30" x14ac:dyDescent="0.3">
      <c r="AD29289" s="16"/>
    </row>
    <row r="29290" spans="30:30" x14ac:dyDescent="0.3">
      <c r="AD29290" s="16"/>
    </row>
    <row r="29291" spans="30:30" x14ac:dyDescent="0.3">
      <c r="AD29291" s="16"/>
    </row>
    <row r="29292" spans="30:30" x14ac:dyDescent="0.3">
      <c r="AD29292" s="16"/>
    </row>
    <row r="29293" spans="30:30" x14ac:dyDescent="0.3">
      <c r="AD29293" s="16"/>
    </row>
    <row r="29294" spans="30:30" x14ac:dyDescent="0.3">
      <c r="AD29294" s="16"/>
    </row>
    <row r="29295" spans="30:30" x14ac:dyDescent="0.3">
      <c r="AD29295" s="16"/>
    </row>
    <row r="29296" spans="30:30" x14ac:dyDescent="0.3">
      <c r="AD29296" s="16"/>
    </row>
    <row r="29297" spans="30:30" x14ac:dyDescent="0.3">
      <c r="AD29297" s="16"/>
    </row>
    <row r="29298" spans="30:30" x14ac:dyDescent="0.3">
      <c r="AD29298" s="16"/>
    </row>
    <row r="29299" spans="30:30" x14ac:dyDescent="0.3">
      <c r="AD29299" s="16"/>
    </row>
    <row r="29300" spans="30:30" x14ac:dyDescent="0.3">
      <c r="AD29300" s="16"/>
    </row>
    <row r="29301" spans="30:30" x14ac:dyDescent="0.3">
      <c r="AD29301" s="16"/>
    </row>
    <row r="29302" spans="30:30" x14ac:dyDescent="0.3">
      <c r="AD29302" s="16"/>
    </row>
    <row r="29303" spans="30:30" x14ac:dyDescent="0.3">
      <c r="AD29303" s="16"/>
    </row>
    <row r="29304" spans="30:30" x14ac:dyDescent="0.3">
      <c r="AD29304" s="16"/>
    </row>
    <row r="29305" spans="30:30" x14ac:dyDescent="0.3">
      <c r="AD29305" s="16"/>
    </row>
    <row r="29306" spans="30:30" x14ac:dyDescent="0.3">
      <c r="AD29306" s="16"/>
    </row>
    <row r="29307" spans="30:30" x14ac:dyDescent="0.3">
      <c r="AD29307" s="16"/>
    </row>
    <row r="29308" spans="30:30" x14ac:dyDescent="0.3">
      <c r="AD29308" s="16"/>
    </row>
    <row r="29309" spans="30:30" x14ac:dyDescent="0.3">
      <c r="AD29309" s="16"/>
    </row>
    <row r="29310" spans="30:30" x14ac:dyDescent="0.3">
      <c r="AD29310" s="16"/>
    </row>
    <row r="29311" spans="30:30" x14ac:dyDescent="0.3">
      <c r="AD29311" s="16"/>
    </row>
    <row r="29312" spans="30:30" x14ac:dyDescent="0.3">
      <c r="AD29312" s="16"/>
    </row>
    <row r="29313" spans="30:30" x14ac:dyDescent="0.3">
      <c r="AD29313" s="16"/>
    </row>
    <row r="29314" spans="30:30" x14ac:dyDescent="0.3">
      <c r="AD29314" s="16"/>
    </row>
    <row r="29315" spans="30:30" x14ac:dyDescent="0.3">
      <c r="AD29315" s="16"/>
    </row>
    <row r="29316" spans="30:30" x14ac:dyDescent="0.3">
      <c r="AD29316" s="16"/>
    </row>
    <row r="29317" spans="30:30" x14ac:dyDescent="0.3">
      <c r="AD29317" s="16"/>
    </row>
    <row r="29318" spans="30:30" x14ac:dyDescent="0.3">
      <c r="AD29318" s="16"/>
    </row>
    <row r="29319" spans="30:30" x14ac:dyDescent="0.3">
      <c r="AD29319" s="16"/>
    </row>
    <row r="29320" spans="30:30" x14ac:dyDescent="0.3">
      <c r="AD29320" s="16"/>
    </row>
    <row r="29321" spans="30:30" x14ac:dyDescent="0.3">
      <c r="AD29321" s="16"/>
    </row>
    <row r="29322" spans="30:30" x14ac:dyDescent="0.3">
      <c r="AD29322" s="16"/>
    </row>
    <row r="29323" spans="30:30" x14ac:dyDescent="0.3">
      <c r="AD29323" s="16"/>
    </row>
  </sheetData>
  <autoFilter ref="A1:AE2373" xr:uid="{A292BA29-1C04-4166-9AAF-BBDF6942DD99}"/>
  <sortState xmlns:xlrd2="http://schemas.microsoft.com/office/spreadsheetml/2017/richdata2" ref="A2:AE417">
    <sortCondition descending="1" ref="A1:A4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D44"/>
  <sheetViews>
    <sheetView workbookViewId="0">
      <selection activeCell="A2" sqref="A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0" x14ac:dyDescent="0.3">
      <c r="A1" s="1" t="s">
        <v>0</v>
      </c>
      <c r="B1" s="1" t="s">
        <v>2</v>
      </c>
      <c r="C1" s="1" t="s">
        <v>35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30</v>
      </c>
      <c r="P1" s="4" t="s">
        <v>31</v>
      </c>
      <c r="Q1" s="4" t="s">
        <v>32</v>
      </c>
      <c r="R1" s="3" t="s">
        <v>33</v>
      </c>
      <c r="S1" s="4" t="s">
        <v>37</v>
      </c>
      <c r="T1" s="5" t="s">
        <v>36</v>
      </c>
      <c r="U1" s="6" t="s">
        <v>11</v>
      </c>
      <c r="V1" s="7" t="s">
        <v>12</v>
      </c>
      <c r="W1" s="5" t="s">
        <v>53</v>
      </c>
      <c r="X1" s="1" t="s">
        <v>13</v>
      </c>
      <c r="Y1" s="1" t="s">
        <v>41</v>
      </c>
      <c r="Z1" s="1" t="s">
        <v>14</v>
      </c>
      <c r="AA1" s="1" t="s">
        <v>42</v>
      </c>
      <c r="AB1" s="8" t="s">
        <v>34</v>
      </c>
      <c r="AC1" s="5" t="s">
        <v>43</v>
      </c>
      <c r="AD1" s="17" t="s">
        <v>55</v>
      </c>
    </row>
    <row r="2" spans="1:30" x14ac:dyDescent="0.3">
      <c r="A2">
        <v>149</v>
      </c>
      <c r="B2">
        <v>4419013</v>
      </c>
      <c r="C2" t="s">
        <v>167</v>
      </c>
      <c r="D2">
        <v>1212379</v>
      </c>
      <c r="E2" t="s">
        <v>535</v>
      </c>
      <c r="F2" t="s">
        <v>19</v>
      </c>
      <c r="G2" s="9" t="s">
        <v>2213</v>
      </c>
      <c r="H2" t="s">
        <v>2214</v>
      </c>
      <c r="I2" t="s">
        <v>3163</v>
      </c>
      <c r="J2">
        <v>53</v>
      </c>
      <c r="K2" t="s">
        <v>3165</v>
      </c>
      <c r="L2" t="s">
        <v>3164</v>
      </c>
      <c r="M2">
        <v>1</v>
      </c>
      <c r="N2">
        <v>708.08</v>
      </c>
      <c r="O2" s="10">
        <v>708.08</v>
      </c>
      <c r="P2" s="10">
        <v>0</v>
      </c>
      <c r="Q2" s="10">
        <v>0</v>
      </c>
      <c r="R2" s="10">
        <v>708.08</v>
      </c>
      <c r="S2" s="10">
        <v>708.08</v>
      </c>
      <c r="T2" t="s">
        <v>3803</v>
      </c>
      <c r="U2" s="12">
        <v>45947</v>
      </c>
      <c r="V2" s="10">
        <v>708.08</v>
      </c>
      <c r="W2" t="s">
        <v>3804</v>
      </c>
      <c r="X2" t="s">
        <v>455</v>
      </c>
      <c r="Y2" t="s">
        <v>28</v>
      </c>
      <c r="Z2">
        <v>100160</v>
      </c>
      <c r="AA2" t="s">
        <v>457</v>
      </c>
      <c r="AB2" t="s">
        <v>524</v>
      </c>
      <c r="AC2" s="9">
        <v>1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2"/>
  <sheetViews>
    <sheetView workbookViewId="0">
      <selection activeCell="A2" sqref="A2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35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30</v>
      </c>
      <c r="P1" s="4" t="s">
        <v>31</v>
      </c>
      <c r="Q1" s="4" t="s">
        <v>32</v>
      </c>
      <c r="R1" s="3" t="s">
        <v>33</v>
      </c>
      <c r="S1" s="4" t="s">
        <v>37</v>
      </c>
      <c r="T1" s="5" t="s">
        <v>36</v>
      </c>
      <c r="U1" s="6" t="s">
        <v>11</v>
      </c>
      <c r="V1" s="7" t="s">
        <v>12</v>
      </c>
      <c r="W1" s="5" t="s">
        <v>53</v>
      </c>
      <c r="X1" s="1" t="s">
        <v>13</v>
      </c>
      <c r="Y1" s="1" t="s">
        <v>41</v>
      </c>
      <c r="Z1" s="1" t="s">
        <v>14</v>
      </c>
      <c r="AA1" s="1" t="s">
        <v>42</v>
      </c>
      <c r="AB1" s="8" t="s">
        <v>34</v>
      </c>
      <c r="AC1" s="5" t="s">
        <v>43</v>
      </c>
      <c r="AD1" s="15" t="s">
        <v>54</v>
      </c>
      <c r="AE1" s="15" t="s">
        <v>55</v>
      </c>
    </row>
    <row r="2" spans="1:31" x14ac:dyDescent="0.3">
      <c r="A2">
        <v>95</v>
      </c>
      <c r="B2">
        <v>4561987</v>
      </c>
      <c r="C2" t="s">
        <v>160</v>
      </c>
      <c r="D2">
        <v>1176121</v>
      </c>
      <c r="E2" t="s">
        <v>642</v>
      </c>
      <c r="F2" t="s">
        <v>20</v>
      </c>
      <c r="G2" t="s">
        <v>2607</v>
      </c>
      <c r="H2" t="s">
        <v>2608</v>
      </c>
      <c r="I2" t="s">
        <v>3277</v>
      </c>
      <c r="J2">
        <v>50111827685</v>
      </c>
      <c r="K2" t="s">
        <v>3226</v>
      </c>
      <c r="L2" t="s">
        <v>3812</v>
      </c>
      <c r="M2">
        <v>3</v>
      </c>
      <c r="N2" s="10">
        <v>11.54</v>
      </c>
      <c r="O2" s="10">
        <v>34.619999999999997</v>
      </c>
      <c r="P2" s="10">
        <v>0</v>
      </c>
      <c r="Q2" s="10">
        <v>1737.45</v>
      </c>
      <c r="R2" s="10">
        <f>IF(COUNTIF($J$2:J2,J2)=1,SUMIFS($O:$O,$J:$J,J2)+SUMIFS($P:$P,$J:$J,J2)+SUMIFS($Q:$Q,$J:$J,J2),"")</f>
        <v>1772.07</v>
      </c>
      <c r="S2" s="10">
        <v>13922.070000000002</v>
      </c>
      <c r="T2" t="str">
        <f>IFERROR(INDEX(AD:AD,MATCH(J2,J:J,0)),"")</f>
        <v>Check</v>
      </c>
      <c r="U2" s="12">
        <v>46049</v>
      </c>
      <c r="V2" s="10">
        <v>34.619999999999997</v>
      </c>
      <c r="W2" t="str">
        <f>IF(OR(S2="",V2=""),"N/A",IF(S2&lt;&gt;V2,"Short Paid","Not Paid"))</f>
        <v>Short Paid</v>
      </c>
      <c r="X2" t="s">
        <v>453</v>
      </c>
      <c r="Y2" t="s">
        <v>28</v>
      </c>
      <c r="Z2">
        <v>100194</v>
      </c>
      <c r="AA2" t="s">
        <v>487</v>
      </c>
      <c r="AB2" t="s">
        <v>521</v>
      </c>
      <c r="AC2" s="9">
        <v>2</v>
      </c>
      <c r="AD2" t="str">
        <f>IF(AND(R2="",S2=""),"N/A",IF(R2=S2,"Ok","Check"))</f>
        <v>Check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35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30</v>
      </c>
      <c r="P1" s="4" t="s">
        <v>31</v>
      </c>
      <c r="Q1" s="4" t="s">
        <v>32</v>
      </c>
      <c r="R1" s="3" t="s">
        <v>33</v>
      </c>
      <c r="S1" s="4" t="s">
        <v>37</v>
      </c>
      <c r="T1" s="5" t="s">
        <v>36</v>
      </c>
      <c r="U1" s="6" t="s">
        <v>11</v>
      </c>
      <c r="V1" s="7" t="s">
        <v>12</v>
      </c>
      <c r="W1" s="5" t="s">
        <v>53</v>
      </c>
      <c r="X1" s="1" t="s">
        <v>13</v>
      </c>
      <c r="Y1" s="1" t="s">
        <v>41</v>
      </c>
      <c r="Z1" s="1" t="s">
        <v>14</v>
      </c>
      <c r="AA1" s="1" t="s">
        <v>42</v>
      </c>
      <c r="AB1" s="8" t="s">
        <v>34</v>
      </c>
      <c r="AC1" s="5" t="s">
        <v>43</v>
      </c>
      <c r="AD1" s="5" t="s">
        <v>54</v>
      </c>
    </row>
    <row r="2" spans="1:30" x14ac:dyDescent="0.3">
      <c r="A2">
        <v>94</v>
      </c>
      <c r="B2">
        <v>4562266</v>
      </c>
      <c r="C2" t="s">
        <v>56</v>
      </c>
      <c r="D2">
        <v>1443616</v>
      </c>
      <c r="E2" t="s">
        <v>285</v>
      </c>
      <c r="F2" t="s">
        <v>24</v>
      </c>
      <c r="G2" t="s">
        <v>364</v>
      </c>
      <c r="H2" t="s">
        <v>365</v>
      </c>
      <c r="I2" t="s">
        <v>3505</v>
      </c>
      <c r="J2">
        <v>50111827684</v>
      </c>
      <c r="K2" t="s">
        <v>3165</v>
      </c>
      <c r="L2" t="s">
        <v>4915</v>
      </c>
      <c r="M2">
        <v>896</v>
      </c>
      <c r="N2">
        <v>1.02</v>
      </c>
      <c r="O2">
        <v>913.92000000000007</v>
      </c>
      <c r="P2">
        <v>0</v>
      </c>
      <c r="Q2">
        <v>130.69</v>
      </c>
      <c r="R2">
        <f>IF(COUNTIF($J$2:J2,J2)=1,SUMIFS($O:$O,$J:$J,J2)+SUMIFS($P:$P,$J:$J,J2)+SUMIFS($Q:$Q,$J:$J,J2),"")</f>
        <v>1044.6100000000001</v>
      </c>
      <c r="S2">
        <v>4165.08</v>
      </c>
      <c r="T2" t="str">
        <f>IFERROR(INDEX(AD:AD,MATCH(J2,J:J,0)),"")</f>
        <v>Check</v>
      </c>
      <c r="U2" s="12">
        <v>46097</v>
      </c>
      <c r="V2" s="10">
        <v>23.88</v>
      </c>
      <c r="W2" t="str">
        <f>IF(OR(S2="",V2=""),"N/A",IF(S2&lt;&gt;V2,"Short Paid","Not Paid"))</f>
        <v>Short Paid</v>
      </c>
      <c r="X2" t="s">
        <v>435</v>
      </c>
      <c r="Y2" t="s">
        <v>40</v>
      </c>
      <c r="Z2">
        <v>100221</v>
      </c>
      <c r="AA2" t="s">
        <v>518</v>
      </c>
      <c r="AB2" t="s">
        <v>522</v>
      </c>
      <c r="AC2">
        <v>1</v>
      </c>
      <c r="AD2" t="str">
        <f>IF(AND(R2="",S2=""),"N/A",IF(R2=S2,"Ok","Check"))</f>
        <v>Check</v>
      </c>
    </row>
  </sheetData>
  <autoFilter ref="A1:AD2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2026-07-02T13:03:44Z</dcterms:modified>
</cp:coreProperties>
</file>