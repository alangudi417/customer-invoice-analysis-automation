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South America\"/>
    </mc:Choice>
  </mc:AlternateContent>
  <xr:revisionPtr revIDLastSave="0" documentId="13_ncr:1_{F63E9BC8-62B5-4E6B-A18D-73EEB36EEB3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</calcChain>
</file>

<file path=xl/sharedStrings.xml><?xml version="1.0" encoding="utf-8"?>
<sst xmlns="http://schemas.openxmlformats.org/spreadsheetml/2006/main" count="2006" uniqueCount="489">
  <si>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</si>
  <si>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</si>
  <si>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</si>
  <si>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</si>
  <si>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</si>
  <si>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</si>
  <si>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</si>
  <si>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</si>
  <si>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</si>
  <si>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</si>
  <si>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</si>
  <si>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</si>
  <si>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</si>
  <si>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</si>
  <si>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</si>
  <si>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</si>
  <si>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</si>
  <si>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</si>
  <si>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</si>
  <si>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</si>
  <si>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</si>
  <si>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</si>
  <si>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</si>
  <si>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</si>
  <si>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</si>
  <si>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</si>
  <si>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</si>
  <si>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</si>
  <si>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</si>
  <si>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</si>
  <si>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</si>
  <si>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</si>
  <si>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</si>
  <si>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</si>
  <si>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</si>
  <si>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</si>
  <si>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</si>
  <si>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</si>
  <si>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</si>
  <si>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</si>
  <si>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</si>
  <si>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</si>
  <si>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</si>
  <si>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</si>
  <si>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</si>
  <si>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</si>
  <si>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</si>
  <si>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</si>
  <si>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</si>
  <si>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</si>
  <si>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</si>
  <si>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</si>
  <si>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</si>
  <si>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</si>
  <si>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Freight</t>
  </si>
  <si>
    <t>FR</t>
  </si>
  <si>
    <t>Credit Memo Not Open</t>
  </si>
  <si>
    <t>NC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</si>
  <si>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</si>
  <si>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</si>
  <si>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</si>
  <si>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</si>
  <si>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</si>
  <si>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</si>
  <si>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</si>
  <si>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</si>
  <si>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</si>
  <si>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</si>
  <si>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</si>
  <si>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</si>
  <si>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</si>
  <si>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</si>
  <si>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A100</t>
  </si>
  <si>
    <t>PO3006036546</t>
  </si>
  <si>
    <t>SO91113536546</t>
  </si>
  <si>
    <t>51113599206</t>
  </si>
  <si>
    <t>Under Credit Team validation</t>
  </si>
  <si>
    <t>PO4000225149</t>
  </si>
  <si>
    <t>SO90112825149</t>
  </si>
  <si>
    <t>50112882939</t>
  </si>
  <si>
    <t>SOUA100</t>
  </si>
  <si>
    <t>A100-131</t>
  </si>
  <si>
    <t>South America</t>
  </si>
  <si>
    <t>PO4000090958</t>
  </si>
  <si>
    <t>SO91125290958</t>
  </si>
  <si>
    <t>51125204418</t>
  </si>
  <si>
    <t>1560151</t>
  </si>
  <si>
    <t>HARR 0151</t>
  </si>
  <si>
    <t>Elizabeth Brooks</t>
  </si>
  <si>
    <t>Anthony Price</t>
  </si>
  <si>
    <t>Robert Gomez</t>
  </si>
  <si>
    <t>B300</t>
  </si>
  <si>
    <t>B300-326</t>
  </si>
  <si>
    <t>PO4417465697</t>
  </si>
  <si>
    <t>SO91139365697</t>
  </si>
  <si>
    <t>51139328507</t>
  </si>
  <si>
    <t>PO4418971842</t>
  </si>
  <si>
    <t>SO91139371842</t>
  </si>
  <si>
    <t>51139366712</t>
  </si>
  <si>
    <t>PO4418073628</t>
  </si>
  <si>
    <t>SO91140473628</t>
  </si>
  <si>
    <t>51140482398</t>
  </si>
  <si>
    <t>PO4419056086</t>
  </si>
  <si>
    <t>SO91140556086</t>
  </si>
  <si>
    <t>51140516776</t>
  </si>
  <si>
    <t>POON EX57872</t>
  </si>
  <si>
    <t>SO91125157872</t>
  </si>
  <si>
    <t>51125154672</t>
  </si>
  <si>
    <t>PO4419072841</t>
  </si>
  <si>
    <t>SO91137072841</t>
  </si>
  <si>
    <t>51137097691</t>
  </si>
  <si>
    <t>PO4417386917</t>
  </si>
  <si>
    <t>SO91143286917</t>
  </si>
  <si>
    <t>51143261807</t>
  </si>
  <si>
    <t>PO4418842222</t>
  </si>
  <si>
    <t>SO91145142222</t>
  </si>
  <si>
    <t>51145180932</t>
  </si>
  <si>
    <t>PO4419430825</t>
  </si>
  <si>
    <t>SO91142230825</t>
  </si>
  <si>
    <t>51142246085</t>
  </si>
  <si>
    <t>PO4498884344</t>
  </si>
  <si>
    <t>SO91144984344</t>
  </si>
  <si>
    <t>51144973494</t>
  </si>
  <si>
    <t>PO4419912496</t>
  </si>
  <si>
    <t>SO91146212496</t>
  </si>
  <si>
    <t>51146265586</t>
  </si>
  <si>
    <t>PO4419953725</t>
  </si>
  <si>
    <t>SO91146253725</t>
  </si>
  <si>
    <t>51146265595</t>
  </si>
  <si>
    <t>A100-100</t>
  </si>
  <si>
    <t>PO4420066015</t>
  </si>
  <si>
    <t>SO91148066015</t>
  </si>
  <si>
    <t>51148049335</t>
  </si>
  <si>
    <t>1531094</t>
  </si>
  <si>
    <t>GENE 1094</t>
  </si>
  <si>
    <t>Olivia Brooks</t>
  </si>
  <si>
    <t>Sophia Edwards</t>
  </si>
  <si>
    <t>A100-106</t>
  </si>
  <si>
    <t>PO4419452938</t>
  </si>
  <si>
    <t>SO91149052938</t>
  </si>
  <si>
    <t>51149097508</t>
  </si>
  <si>
    <t>PO4420077518</t>
  </si>
  <si>
    <t>SO91148877518</t>
  </si>
  <si>
    <t>51148864328</t>
  </si>
  <si>
    <t>PO4420384556</t>
  </si>
  <si>
    <t>SO91150484556</t>
  </si>
  <si>
    <t>51150458266</t>
  </si>
  <si>
    <t>PO4419825785</t>
  </si>
  <si>
    <t>SO91150125785</t>
  </si>
  <si>
    <t>51150187585</t>
  </si>
  <si>
    <t>PO4420543433</t>
  </si>
  <si>
    <t>SO91152343433</t>
  </si>
  <si>
    <t>51152341023</t>
  </si>
  <si>
    <t>A100-113</t>
  </si>
  <si>
    <t>PO5509941753</t>
  </si>
  <si>
    <t>SO91154241753</t>
  </si>
  <si>
    <t>51154280653</t>
  </si>
  <si>
    <t>1281525</t>
  </si>
  <si>
    <t>R2C  1525</t>
  </si>
  <si>
    <t>Aaron Stewart</t>
  </si>
  <si>
    <t>PO4000009348</t>
  </si>
  <si>
    <t>SO91157709348</t>
  </si>
  <si>
    <t>51157743708</t>
  </si>
  <si>
    <t>Caroline West</t>
  </si>
  <si>
    <t>PO4420247111</t>
  </si>
  <si>
    <t>SO91153447111</t>
  </si>
  <si>
    <t>51153405911</t>
  </si>
  <si>
    <t>PO102471691</t>
  </si>
  <si>
    <t>SO91156871691</t>
  </si>
  <si>
    <t>51156826041</t>
  </si>
  <si>
    <t>Christian Warren</t>
  </si>
  <si>
    <t>Liam Foster</t>
  </si>
  <si>
    <t>PO4420702416</t>
  </si>
  <si>
    <t>SO91154702416</t>
  </si>
  <si>
    <t>51154702456</t>
  </si>
  <si>
    <t>PO4420115599</t>
  </si>
  <si>
    <t>SO91148515599</t>
  </si>
  <si>
    <t>51148589909</t>
  </si>
  <si>
    <t>PO4420456828</t>
  </si>
  <si>
    <t>SO91151456828</t>
  </si>
  <si>
    <t>51151418088</t>
  </si>
  <si>
    <t>PO4420498057</t>
  </si>
  <si>
    <t>SO91151798057</t>
  </si>
  <si>
    <t>51151760697</t>
  </si>
  <si>
    <t>PO4420227889</t>
  </si>
  <si>
    <t>SO91155827889</t>
  </si>
  <si>
    <t>51155857679</t>
  </si>
  <si>
    <t>PO4420969118</t>
  </si>
  <si>
    <t>SO91155769118</t>
  </si>
  <si>
    <t>51155789168</t>
  </si>
  <si>
    <t>PO4419934034</t>
  </si>
  <si>
    <t>SO91154334034</t>
  </si>
  <si>
    <t>51154374874</t>
  </si>
  <si>
    <t>A100-124</t>
  </si>
  <si>
    <t>PO4420222637</t>
  </si>
  <si>
    <t>SO91154622637</t>
  </si>
  <si>
    <t>51154675297</t>
  </si>
  <si>
    <t>1250693</t>
  </si>
  <si>
    <t>ACCI 0693</t>
  </si>
  <si>
    <t>Hailey Sanders</t>
  </si>
  <si>
    <t>PO4420865652</t>
  </si>
  <si>
    <t>SO91154865652</t>
  </si>
  <si>
    <t>51154898702</t>
  </si>
  <si>
    <t>PO4420104308</t>
  </si>
  <si>
    <t>SO91156604308</t>
  </si>
  <si>
    <t>51156611388</t>
  </si>
  <si>
    <t>PO4420986766</t>
  </si>
  <si>
    <t>SO91155886766</t>
  </si>
  <si>
    <t>51155844026</t>
  </si>
  <si>
    <t>1434608</t>
  </si>
  <si>
    <t>GENE 4608</t>
  </si>
  <si>
    <t>PO4417240285</t>
  </si>
  <si>
    <t>SO91146840285</t>
  </si>
  <si>
    <t>51146826455</t>
  </si>
  <si>
    <t>PO4417281514</t>
  </si>
  <si>
    <t>SO91146881514</t>
  </si>
  <si>
    <t>51146826414</t>
  </si>
  <si>
    <t>PO4500088552</t>
  </si>
  <si>
    <t>SO91153688552</t>
  </si>
  <si>
    <t>51153653922</t>
  </si>
  <si>
    <t>PO4519149109</t>
  </si>
  <si>
    <t>SO91159149109</t>
  </si>
  <si>
    <t>51159138549</t>
  </si>
  <si>
    <t>SOUB300</t>
  </si>
  <si>
    <t>PO5107015811</t>
  </si>
  <si>
    <t>SO91160215811</t>
  </si>
  <si>
    <t>51160216341</t>
  </si>
  <si>
    <t>1255543</t>
  </si>
  <si>
    <t>BENT 0543</t>
  </si>
  <si>
    <t>Alex Donovan</t>
  </si>
  <si>
    <t>PO4220198269</t>
  </si>
  <si>
    <t>SO90117498269</t>
  </si>
  <si>
    <t>50117484119</t>
  </si>
  <si>
    <t>Lily Harper</t>
  </si>
  <si>
    <t>PO4220139498</t>
  </si>
  <si>
    <t>SO90117439498</t>
  </si>
  <si>
    <t>50117484118</t>
  </si>
  <si>
    <t>PO5357480727</t>
  </si>
  <si>
    <t>SO90117480727</t>
  </si>
  <si>
    <t>50117402497</t>
  </si>
  <si>
    <t>PO4502034246</t>
  </si>
  <si>
    <t>SO91159734246</t>
  </si>
  <si>
    <t>51159735446</t>
  </si>
  <si>
    <t>PO4420764078</t>
  </si>
  <si>
    <t>SO91158064078</t>
  </si>
  <si>
    <t>51158063308</t>
  </si>
  <si>
    <t>Rachel Morrison</t>
  </si>
  <si>
    <t>PO4421037818</t>
  </si>
  <si>
    <t>SO91158137818</t>
  </si>
  <si>
    <t>51158126958</t>
  </si>
  <si>
    <t>PO4421198375</t>
  </si>
  <si>
    <t>SO91158598375</t>
  </si>
  <si>
    <t>51158597165</t>
  </si>
  <si>
    <t>PO4420822062</t>
  </si>
  <si>
    <t>SO91158522062</t>
  </si>
  <si>
    <t>51158561052</t>
  </si>
  <si>
    <t>PO5500045749</t>
  </si>
  <si>
    <t>SO91161545749</t>
  </si>
  <si>
    <t>51161510739</t>
  </si>
  <si>
    <t>1358046</t>
  </si>
  <si>
    <t>SIEM 8046</t>
  </si>
  <si>
    <t>SO91161293123</t>
  </si>
  <si>
    <t>51161274633</t>
  </si>
  <si>
    <t>SO91160834352</t>
  </si>
  <si>
    <t>51160846812</t>
  </si>
  <si>
    <t>PO6760975581</t>
  </si>
  <si>
    <t>SO90117675581</t>
  </si>
  <si>
    <t>50117676091</t>
  </si>
  <si>
    <t>PO4434025634</t>
  </si>
  <si>
    <t>SO91158525634</t>
  </si>
  <si>
    <t>51158586614</t>
  </si>
  <si>
    <t>PO4419614237</t>
  </si>
  <si>
    <t>SO91155414237</t>
  </si>
  <si>
    <t>51155405337</t>
  </si>
  <si>
    <t>Under Tax Team validation</t>
  </si>
  <si>
    <t>50117757017</t>
  </si>
  <si>
    <t>PO7570116916</t>
  </si>
  <si>
    <t>SO90117716916</t>
  </si>
  <si>
    <t>50117757016</t>
  </si>
  <si>
    <t>1276402</t>
  </si>
  <si>
    <t>SCHN 6402</t>
  </si>
  <si>
    <t>PO7570158145</t>
  </si>
  <si>
    <t>SO90117758145</t>
  </si>
  <si>
    <t>50117757015</t>
  </si>
  <si>
    <t>PO7570199374</t>
  </si>
  <si>
    <t>SO90117799374</t>
  </si>
  <si>
    <t>50117757014</t>
  </si>
  <si>
    <t>PO0472640603</t>
  </si>
  <si>
    <t>SO91161040603</t>
  </si>
  <si>
    <t>51161020823</t>
  </si>
  <si>
    <t>PO0472681832</t>
  </si>
  <si>
    <t>SO91160981832</t>
  </si>
  <si>
    <t>51160949882</t>
  </si>
  <si>
    <t>Julian Ortiz</t>
  </si>
  <si>
    <t>PO7968623061</t>
  </si>
  <si>
    <t>SO90117723061</t>
  </si>
  <si>
    <t>50117796861</t>
  </si>
  <si>
    <t>PO4420664290</t>
  </si>
  <si>
    <t>SO91159064290</t>
  </si>
  <si>
    <t>51159009710</t>
  </si>
  <si>
    <t>Jacob Flynn</t>
  </si>
  <si>
    <t>PO4419805519</t>
  </si>
  <si>
    <t>SO91158905519</t>
  </si>
  <si>
    <t>51158994579</t>
  </si>
  <si>
    <t>PO7570146748</t>
  </si>
  <si>
    <t>SO90117746748</t>
  </si>
  <si>
    <t>50117757018</t>
  </si>
  <si>
    <t>PO7570187977</t>
  </si>
  <si>
    <t>SO90117787977</t>
  </si>
  <si>
    <t>PO39P0230992</t>
  </si>
  <si>
    <t>SO91160330992</t>
  </si>
  <si>
    <t>51160328112</t>
  </si>
  <si>
    <t>1199471</t>
  </si>
  <si>
    <t>MACK 9471</t>
  </si>
  <si>
    <t>PORC80002053</t>
  </si>
  <si>
    <t>SO91146602053</t>
  </si>
  <si>
    <t>51146617993</t>
  </si>
  <si>
    <t>1273516</t>
  </si>
  <si>
    <t>LUCI 0516</t>
  </si>
  <si>
    <t>PO1897203839</t>
  </si>
  <si>
    <t>SO91162803839</t>
  </si>
  <si>
    <t>51162861069</t>
  </si>
  <si>
    <t>PO4520227526</t>
  </si>
  <si>
    <t>SO91162427526</t>
  </si>
  <si>
    <t>51162470846</t>
  </si>
  <si>
    <t>1260191</t>
  </si>
  <si>
    <t>COVI 6191</t>
  </si>
  <si>
    <t>PO4520368755</t>
  </si>
  <si>
    <t>SO91162368755</t>
  </si>
  <si>
    <t>51162311195</t>
  </si>
  <si>
    <t>PO4420787190</t>
  </si>
  <si>
    <t>SO91160487190</t>
  </si>
  <si>
    <t>51160466200</t>
  </si>
  <si>
    <t>PO4517223167</t>
  </si>
  <si>
    <t>SO91161823167</t>
  </si>
  <si>
    <t>51161854997</t>
  </si>
  <si>
    <t>PO4700400373</t>
  </si>
  <si>
    <t>SO91161200373</t>
  </si>
  <si>
    <t>51161205263</t>
  </si>
  <si>
    <t>PO4700453892</t>
  </si>
  <si>
    <t>SO91162653892</t>
  </si>
  <si>
    <t>51162689372</t>
  </si>
  <si>
    <t>Michael Turner</t>
  </si>
  <si>
    <t>PO4513704838</t>
  </si>
  <si>
    <t>SO91163104838</t>
  </si>
  <si>
    <t>51163192688</t>
  </si>
  <si>
    <t>Ethan Bryant</t>
  </si>
  <si>
    <t>PO4600028525</t>
  </si>
  <si>
    <t>SO91163728525</t>
  </si>
  <si>
    <t>51163771285</t>
  </si>
  <si>
    <t>1118193</t>
  </si>
  <si>
    <t>CIEN 8193</t>
  </si>
  <si>
    <t>PO9801704944</t>
  </si>
  <si>
    <t>SO90117904944</t>
  </si>
  <si>
    <t>50117980174</t>
  </si>
  <si>
    <t>Mackenzie Cole</t>
  </si>
  <si>
    <t>PO4700059356</t>
  </si>
  <si>
    <t>SO91161759356</t>
  </si>
  <si>
    <t>51161786166</t>
  </si>
  <si>
    <t>1033237</t>
  </si>
  <si>
    <t>JOHN 3237</t>
  </si>
  <si>
    <t>PO2846397119</t>
  </si>
  <si>
    <t>SO91163597119</t>
  </si>
  <si>
    <t>51163563959</t>
  </si>
  <si>
    <t>PO2247338348</t>
  </si>
  <si>
    <t>SO90117938348</t>
  </si>
  <si>
    <t>50117981978</t>
  </si>
  <si>
    <t>PO4420550638</t>
  </si>
  <si>
    <t>SO91152450638</t>
  </si>
  <si>
    <t>51152461068</t>
  </si>
  <si>
    <t>A100-134</t>
  </si>
  <si>
    <t>PO3405562928</t>
  </si>
  <si>
    <t>SO90117962928</t>
  </si>
  <si>
    <t>50117997718</t>
  </si>
  <si>
    <t>1264221</t>
  </si>
  <si>
    <t>ECON 3221</t>
  </si>
  <si>
    <t>PO0401786615</t>
  </si>
  <si>
    <t>SO90118086615</t>
  </si>
  <si>
    <t>50118040175</t>
  </si>
  <si>
    <t>1271400</t>
  </si>
  <si>
    <t>KIMB 0400</t>
  </si>
  <si>
    <t>PO3014351531</t>
  </si>
  <si>
    <t>SO91163051531</t>
  </si>
  <si>
    <t>51163018421</t>
  </si>
  <si>
    <t>POUS18592760</t>
  </si>
  <si>
    <t>SO91161892760</t>
  </si>
  <si>
    <t>51161853070</t>
  </si>
  <si>
    <t>PO9055433989</t>
  </si>
  <si>
    <t>SO91163933989</t>
  </si>
  <si>
    <t>51163921599</t>
  </si>
  <si>
    <t>POPO-0075218</t>
  </si>
  <si>
    <t>SO91163075218</t>
  </si>
  <si>
    <t>51163082358</t>
  </si>
  <si>
    <t>PO3014316447</t>
  </si>
  <si>
    <t>SO91163016447</t>
  </si>
  <si>
    <t>51163018417</t>
  </si>
  <si>
    <t>PO9055457676</t>
  </si>
  <si>
    <t>SO91163957676</t>
  </si>
  <si>
    <t>51163921586</t>
  </si>
  <si>
    <t>PO4500091080</t>
  </si>
  <si>
    <t>SO91163491080</t>
  </si>
  <si>
    <t>51163424310</t>
  </si>
  <si>
    <t>1403565</t>
  </si>
  <si>
    <t>TYCO 3565</t>
  </si>
  <si>
    <t>PO3018299011</t>
  </si>
  <si>
    <t>SO90118199011</t>
  </si>
  <si>
    <t>50118100121</t>
  </si>
  <si>
    <t>PO1085140240</t>
  </si>
  <si>
    <t>SO91163740240</t>
  </si>
  <si>
    <t>51163768180</t>
  </si>
  <si>
    <t>PO4846181469</t>
  </si>
  <si>
    <t>SO91162281469</t>
  </si>
  <si>
    <t>51162223719</t>
  </si>
  <si>
    <t>PO1086122698</t>
  </si>
  <si>
    <t>SO91163522698</t>
  </si>
  <si>
    <t>51163505108</t>
  </si>
  <si>
    <t>PO6885363927</t>
  </si>
  <si>
    <t>SO91162663927</t>
  </si>
  <si>
    <t>51162604017</t>
  </si>
  <si>
    <t>PO1088605156</t>
  </si>
  <si>
    <t>SO91163605156</t>
  </si>
  <si>
    <t>51163620326</t>
  </si>
  <si>
    <t>POT009746385</t>
  </si>
  <si>
    <t>SO91163546385</t>
  </si>
  <si>
    <t>51163551935</t>
  </si>
  <si>
    <t>POT009787614</t>
  </si>
  <si>
    <t>SO91163187614</t>
  </si>
  <si>
    <t>51163107474</t>
  </si>
  <si>
    <t>PO1061028843</t>
  </si>
  <si>
    <t>SO91163428843</t>
  </si>
  <si>
    <t>51163475333</t>
  </si>
  <si>
    <t>PO4101470072</t>
  </si>
  <si>
    <t>SO91162870072</t>
  </si>
  <si>
    <t>51162811652</t>
  </si>
  <si>
    <t>PO1088611301</t>
  </si>
  <si>
    <t>SO91163511301</t>
  </si>
  <si>
    <t>51163541241</t>
  </si>
  <si>
    <t>PO2000252530</t>
  </si>
  <si>
    <t>SO91161452530</t>
  </si>
  <si>
    <t>51161461750</t>
  </si>
  <si>
    <t>PO4934993759</t>
  </si>
  <si>
    <t>SO91161693759</t>
  </si>
  <si>
    <t>51161671819</t>
  </si>
  <si>
    <t>PO4929034988</t>
  </si>
  <si>
    <t>SO91161634988</t>
  </si>
  <si>
    <t>51161671738</t>
  </si>
  <si>
    <t>1484613</t>
  </si>
  <si>
    <t>BAE  4613</t>
  </si>
  <si>
    <t>1607032</t>
  </si>
  <si>
    <t>EXTR 7032</t>
  </si>
  <si>
    <t>1269432</t>
  </si>
  <si>
    <t>HYVE 6432</t>
  </si>
  <si>
    <t>1688418</t>
  </si>
  <si>
    <t>AMPH 8418</t>
  </si>
  <si>
    <t>1818207</t>
  </si>
  <si>
    <t>GOOD 8207</t>
  </si>
  <si>
    <t>1893246</t>
  </si>
  <si>
    <t>HUIZ 3246</t>
  </si>
  <si>
    <t>1160221</t>
  </si>
  <si>
    <t>PMC  0221</t>
  </si>
  <si>
    <t>1648238</t>
  </si>
  <si>
    <t>BUSE 8238</t>
  </si>
  <si>
    <t>Grace Coleman</t>
  </si>
  <si>
    <t>1452228</t>
  </si>
  <si>
    <t>LCR  2228</t>
  </si>
  <si>
    <t>Eric Vaughn</t>
  </si>
  <si>
    <t>A100-137</t>
  </si>
  <si>
    <t>1267403</t>
  </si>
  <si>
    <t>FLUK 1403</t>
  </si>
  <si>
    <t>1372540</t>
  </si>
  <si>
    <t>SIIX 2540</t>
  </si>
  <si>
    <t>A100-140</t>
  </si>
  <si>
    <t>1258708</t>
  </si>
  <si>
    <t>COMT 0708</t>
  </si>
  <si>
    <t>1262550</t>
  </si>
  <si>
    <t>CREA 0550</t>
  </si>
  <si>
    <t>Victoria Rhodes</t>
  </si>
  <si>
    <t>1929385</t>
  </si>
  <si>
    <t>VENT 9385</t>
  </si>
  <si>
    <t>1278240</t>
  </si>
  <si>
    <t>ONCO 5240</t>
  </si>
  <si>
    <t>1196260</t>
  </si>
  <si>
    <t>FLEX 6260</t>
  </si>
  <si>
    <t>1960172</t>
  </si>
  <si>
    <t>SPAR 0172</t>
  </si>
  <si>
    <t>POJU00675581</t>
  </si>
  <si>
    <t>POJU00616810</t>
  </si>
  <si>
    <t>1461062</t>
  </si>
  <si>
    <t>VADA 1062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</si>
</sst>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105" totalsRowShown="0" headerRowDxfId="32" dataDxfId="30" headerRowBorderDxfId="31">
  <autoFilter ref="A1:AD105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105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72</v>
      </c>
      <c r="B2" s="3" t="s">
        <v>80</v>
      </c>
      <c r="C2" s="3" t="s">
        <v>81</v>
      </c>
      <c r="D2" s="5">
        <v>44664</v>
      </c>
      <c r="E2" s="5">
        <v>45810</v>
      </c>
      <c r="F2" s="3" t="s">
        <v>30</v>
      </c>
      <c r="G2" s="3" t="s">
        <v>82</v>
      </c>
      <c r="H2" s="4">
        <v>1528</v>
      </c>
      <c r="I2" s="4">
        <v>3537481</v>
      </c>
      <c r="J2" s="3" t="s">
        <v>83</v>
      </c>
      <c r="K2" s="3" t="s">
        <v>84</v>
      </c>
      <c r="L2" s="3" t="s">
        <v>85</v>
      </c>
      <c r="M2" s="5">
        <v>43997</v>
      </c>
      <c r="N2" s="3" t="s">
        <v>86</v>
      </c>
      <c r="O2" s="3" t="s">
        <v>87</v>
      </c>
      <c r="P2" s="3" t="s">
        <v>46</v>
      </c>
      <c r="Q2" s="6">
        <v>4593.58</v>
      </c>
      <c r="R2" s="6">
        <v>4593.58</v>
      </c>
      <c r="S2" s="5">
        <v>46188</v>
      </c>
      <c r="T2" s="3" t="s">
        <v>68</v>
      </c>
      <c r="U2" s="3" t="s">
        <v>69</v>
      </c>
      <c r="V2" s="3" t="s">
        <v>47</v>
      </c>
      <c r="W2" s="3" t="s">
        <v>71</v>
      </c>
      <c r="X2" s="3" t="s">
        <v>48</v>
      </c>
      <c r="Y2" s="3">
        <v>100132</v>
      </c>
      <c r="Z2" s="3" t="s">
        <v>88</v>
      </c>
      <c r="AA2" s="3">
        <v>100112</v>
      </c>
      <c r="AB2" s="3" t="s">
        <v>89</v>
      </c>
      <c r="AC2" s="4">
        <f ca="1">TODAY()-Open[[#This Row],[Status Date]]</f>
        <v>11</v>
      </c>
      <c r="AD2" s="3" t="s">
        <v>90</v>
      </c>
    </row>
    <row r="3" spans="1:30" x14ac:dyDescent="0.3">
      <c r="A3" s="3" t="s">
        <v>72</v>
      </c>
      <c r="B3" s="3" t="s">
        <v>80</v>
      </c>
      <c r="C3" s="3" t="s">
        <v>81</v>
      </c>
      <c r="D3" s="5">
        <v>45456</v>
      </c>
      <c r="E3" s="5">
        <v>45604</v>
      </c>
      <c r="F3" s="3" t="s">
        <v>30</v>
      </c>
      <c r="G3" s="3" t="s">
        <v>82</v>
      </c>
      <c r="H3" s="4">
        <v>736</v>
      </c>
      <c r="I3" s="4">
        <v>4207624</v>
      </c>
      <c r="J3" s="3" t="s">
        <v>130</v>
      </c>
      <c r="K3" s="3" t="s">
        <v>131</v>
      </c>
      <c r="L3" s="3" t="s">
        <v>132</v>
      </c>
      <c r="M3" s="5">
        <v>45453</v>
      </c>
      <c r="N3" s="3" t="s">
        <v>133</v>
      </c>
      <c r="O3" s="3" t="s">
        <v>134</v>
      </c>
      <c r="P3" s="3" t="s">
        <v>64</v>
      </c>
      <c r="Q3" s="6">
        <v>33330.5</v>
      </c>
      <c r="R3" s="6">
        <v>33330.5</v>
      </c>
      <c r="S3" s="5">
        <v>46195</v>
      </c>
      <c r="T3" s="3" t="s">
        <v>68</v>
      </c>
      <c r="U3" s="3" t="s">
        <v>69</v>
      </c>
      <c r="V3" s="3" t="s">
        <v>53</v>
      </c>
      <c r="W3" s="3" t="s">
        <v>32</v>
      </c>
      <c r="X3" s="3" t="s">
        <v>65</v>
      </c>
      <c r="Y3" s="3">
        <v>100172</v>
      </c>
      <c r="Z3" s="3" t="s">
        <v>135</v>
      </c>
      <c r="AA3" s="3">
        <v>100122</v>
      </c>
      <c r="AB3" s="3" t="s">
        <v>136</v>
      </c>
      <c r="AC3" s="4">
        <f ca="1">TODAY()-Open[[#This Row],[Status Date]]</f>
        <v>4</v>
      </c>
      <c r="AD3" s="3" t="s">
        <v>90</v>
      </c>
    </row>
    <row r="4" spans="1:30" x14ac:dyDescent="0.3">
      <c r="A4" s="3" t="s">
        <v>72</v>
      </c>
      <c r="B4" s="3" t="s">
        <v>80</v>
      </c>
      <c r="C4" s="3" t="s">
        <v>153</v>
      </c>
      <c r="D4" s="5">
        <v>45640</v>
      </c>
      <c r="E4" s="5">
        <v>46164</v>
      </c>
      <c r="F4" s="3" t="s">
        <v>30</v>
      </c>
      <c r="G4" s="3" t="s">
        <v>82</v>
      </c>
      <c r="H4" s="4">
        <v>552</v>
      </c>
      <c r="I4" s="4">
        <v>4275493</v>
      </c>
      <c r="J4" s="3" t="s">
        <v>154</v>
      </c>
      <c r="K4" s="3" t="s">
        <v>155</v>
      </c>
      <c r="L4" s="3" t="s">
        <v>156</v>
      </c>
      <c r="M4" s="5">
        <v>45572</v>
      </c>
      <c r="N4" s="3" t="s">
        <v>157</v>
      </c>
      <c r="O4" s="3" t="s">
        <v>158</v>
      </c>
      <c r="P4" s="3" t="s">
        <v>34</v>
      </c>
      <c r="Q4" s="6">
        <v>3915.58</v>
      </c>
      <c r="R4" s="6">
        <v>3915.58</v>
      </c>
      <c r="S4" s="5">
        <v>46171</v>
      </c>
      <c r="T4" s="3" t="s">
        <v>60</v>
      </c>
      <c r="U4" s="3" t="s">
        <v>70</v>
      </c>
      <c r="V4" s="3" t="s">
        <v>53</v>
      </c>
      <c r="W4" s="3" t="s">
        <v>32</v>
      </c>
      <c r="X4" s="3" t="s">
        <v>35</v>
      </c>
      <c r="Y4" s="3">
        <v>100162</v>
      </c>
      <c r="Z4" s="3" t="s">
        <v>159</v>
      </c>
      <c r="AA4" s="3">
        <v>100162</v>
      </c>
      <c r="AB4" s="3" t="s">
        <v>159</v>
      </c>
      <c r="AC4" s="4">
        <f ca="1">TODAY()-Open[[#This Row],[Status Date]]</f>
        <v>28</v>
      </c>
      <c r="AD4" s="3" t="s">
        <v>90</v>
      </c>
    </row>
    <row r="5" spans="1:30" x14ac:dyDescent="0.3">
      <c r="A5" s="3" t="s">
        <v>72</v>
      </c>
      <c r="B5" s="3" t="s">
        <v>80</v>
      </c>
      <c r="C5" s="3" t="s">
        <v>81</v>
      </c>
      <c r="D5" s="5">
        <v>45667</v>
      </c>
      <c r="E5" s="5">
        <v>46143</v>
      </c>
      <c r="F5" s="3" t="s">
        <v>30</v>
      </c>
      <c r="G5" s="3" t="s">
        <v>82</v>
      </c>
      <c r="H5" s="4">
        <v>525</v>
      </c>
      <c r="I5" s="4">
        <v>4288342</v>
      </c>
      <c r="J5" s="3" t="s">
        <v>160</v>
      </c>
      <c r="K5" s="3" t="s">
        <v>161</v>
      </c>
      <c r="L5" s="3" t="s">
        <v>162</v>
      </c>
      <c r="M5" s="5">
        <v>45504</v>
      </c>
      <c r="N5" s="3" t="s">
        <v>86</v>
      </c>
      <c r="O5" s="3" t="s">
        <v>87</v>
      </c>
      <c r="P5" s="3" t="s">
        <v>44</v>
      </c>
      <c r="Q5" s="6">
        <v>111.5</v>
      </c>
      <c r="R5" s="6">
        <v>111.5</v>
      </c>
      <c r="S5" s="5">
        <v>46188</v>
      </c>
      <c r="T5" s="3" t="s">
        <v>60</v>
      </c>
      <c r="U5" s="3" t="s">
        <v>70</v>
      </c>
      <c r="V5" s="3" t="s">
        <v>47</v>
      </c>
      <c r="W5" s="3" t="s">
        <v>71</v>
      </c>
      <c r="X5" s="3" t="s">
        <v>45</v>
      </c>
      <c r="Y5" s="3">
        <v>100272</v>
      </c>
      <c r="Z5" s="3" t="s">
        <v>163</v>
      </c>
      <c r="AA5" s="3">
        <v>100272</v>
      </c>
      <c r="AB5" s="3" t="s">
        <v>163</v>
      </c>
      <c r="AC5" s="4">
        <f ca="1">TODAY()-Open[[#This Row],[Status Date]]</f>
        <v>11</v>
      </c>
      <c r="AD5" s="3" t="s">
        <v>90</v>
      </c>
    </row>
    <row r="6" spans="1:30" x14ac:dyDescent="0.3">
      <c r="A6" s="3" t="s">
        <v>72</v>
      </c>
      <c r="B6" s="3" t="s">
        <v>80</v>
      </c>
      <c r="C6" s="3" t="s">
        <v>81</v>
      </c>
      <c r="D6" s="5">
        <v>45687</v>
      </c>
      <c r="E6" s="5">
        <v>45810</v>
      </c>
      <c r="F6" s="3" t="s">
        <v>30</v>
      </c>
      <c r="G6" s="3" t="s">
        <v>82</v>
      </c>
      <c r="H6" s="4">
        <v>505</v>
      </c>
      <c r="I6" s="4">
        <v>4302732</v>
      </c>
      <c r="J6" s="3" t="s">
        <v>167</v>
      </c>
      <c r="K6" s="3" t="s">
        <v>168</v>
      </c>
      <c r="L6" s="3" t="s">
        <v>169</v>
      </c>
      <c r="M6" s="5">
        <v>45685</v>
      </c>
      <c r="N6" s="3" t="s">
        <v>86</v>
      </c>
      <c r="O6" s="3" t="s">
        <v>87</v>
      </c>
      <c r="P6" s="3" t="s">
        <v>46</v>
      </c>
      <c r="Q6" s="6">
        <v>4877.84</v>
      </c>
      <c r="R6" s="6">
        <v>4877.84</v>
      </c>
      <c r="S6" s="5">
        <v>46188</v>
      </c>
      <c r="T6" s="3" t="s">
        <v>68</v>
      </c>
      <c r="U6" s="3" t="s">
        <v>69</v>
      </c>
      <c r="V6" s="3" t="s">
        <v>47</v>
      </c>
      <c r="W6" s="3" t="s">
        <v>71</v>
      </c>
      <c r="X6" s="3" t="s">
        <v>48</v>
      </c>
      <c r="Y6" s="3">
        <v>100212</v>
      </c>
      <c r="Z6" s="3" t="s">
        <v>170</v>
      </c>
      <c r="AA6" s="3">
        <v>100152</v>
      </c>
      <c r="AB6" s="3" t="s">
        <v>171</v>
      </c>
      <c r="AC6" s="4">
        <f ca="1">TODAY()-Open[[#This Row],[Status Date]]</f>
        <v>11</v>
      </c>
      <c r="AD6" s="3" t="s">
        <v>90</v>
      </c>
    </row>
    <row r="7" spans="1:30" x14ac:dyDescent="0.3">
      <c r="A7" s="3" t="s">
        <v>72</v>
      </c>
      <c r="B7" s="3" t="s">
        <v>80</v>
      </c>
      <c r="C7" s="3" t="s">
        <v>193</v>
      </c>
      <c r="D7" s="5">
        <v>45721</v>
      </c>
      <c r="E7" s="5">
        <v>46192</v>
      </c>
      <c r="F7" s="3" t="s">
        <v>30</v>
      </c>
      <c r="G7" s="3" t="s">
        <v>82</v>
      </c>
      <c r="H7" s="4">
        <v>471</v>
      </c>
      <c r="I7" s="4">
        <v>4314132</v>
      </c>
      <c r="J7" s="3" t="s">
        <v>194</v>
      </c>
      <c r="K7" s="3" t="s">
        <v>195</v>
      </c>
      <c r="L7" s="3" t="s">
        <v>196</v>
      </c>
      <c r="M7" s="5">
        <v>45659</v>
      </c>
      <c r="N7" s="3" t="s">
        <v>197</v>
      </c>
      <c r="O7" s="3" t="s">
        <v>198</v>
      </c>
      <c r="P7" s="3" t="s">
        <v>34</v>
      </c>
      <c r="Q7" s="6">
        <v>52811.25</v>
      </c>
      <c r="R7" s="6">
        <v>52811.25</v>
      </c>
      <c r="S7" s="5">
        <v>46190</v>
      </c>
      <c r="T7" s="3" t="s">
        <v>60</v>
      </c>
      <c r="U7" s="3" t="s">
        <v>70</v>
      </c>
      <c r="V7" s="3" t="s">
        <v>47</v>
      </c>
      <c r="W7" s="3" t="s">
        <v>71</v>
      </c>
      <c r="X7" s="3" t="s">
        <v>35</v>
      </c>
      <c r="Y7" s="3">
        <v>100282</v>
      </c>
      <c r="Z7" s="3" t="s">
        <v>199</v>
      </c>
      <c r="AA7" s="3">
        <v>100282</v>
      </c>
      <c r="AB7" s="3" t="s">
        <v>199</v>
      </c>
      <c r="AC7" s="4">
        <f ca="1">TODAY()-Open[[#This Row],[Status Date]]</f>
        <v>9</v>
      </c>
      <c r="AD7" s="3" t="s">
        <v>90</v>
      </c>
    </row>
    <row r="8" spans="1:30" x14ac:dyDescent="0.3">
      <c r="A8" s="3" t="s">
        <v>72</v>
      </c>
      <c r="B8" s="3" t="s">
        <v>80</v>
      </c>
      <c r="C8" s="3" t="s">
        <v>81</v>
      </c>
      <c r="D8" s="5">
        <v>45805</v>
      </c>
      <c r="E8" s="5">
        <v>45888</v>
      </c>
      <c r="F8" s="3" t="s">
        <v>30</v>
      </c>
      <c r="G8" s="3" t="s">
        <v>82</v>
      </c>
      <c r="H8" s="4">
        <v>387</v>
      </c>
      <c r="I8" s="4">
        <v>4329281</v>
      </c>
      <c r="J8" s="3" t="s">
        <v>206</v>
      </c>
      <c r="K8" s="3" t="s">
        <v>207</v>
      </c>
      <c r="L8" s="3" t="s">
        <v>208</v>
      </c>
      <c r="M8" s="5">
        <v>45720</v>
      </c>
      <c r="N8" s="3" t="s">
        <v>209</v>
      </c>
      <c r="O8" s="3" t="s">
        <v>210</v>
      </c>
      <c r="P8" s="3" t="s">
        <v>44</v>
      </c>
      <c r="Q8" s="6">
        <v>300</v>
      </c>
      <c r="R8" s="6">
        <v>9541.86</v>
      </c>
      <c r="S8" s="5">
        <v>46121</v>
      </c>
      <c r="T8" s="3" t="s">
        <v>60</v>
      </c>
      <c r="U8" s="3" t="s">
        <v>70</v>
      </c>
      <c r="V8" s="3" t="s">
        <v>53</v>
      </c>
      <c r="W8" s="3" t="s">
        <v>32</v>
      </c>
      <c r="X8" s="3" t="s">
        <v>45</v>
      </c>
      <c r="Y8" s="3">
        <v>100112</v>
      </c>
      <c r="Z8" s="3" t="s">
        <v>89</v>
      </c>
      <c r="AA8" s="3">
        <v>100112</v>
      </c>
      <c r="AB8" s="3" t="s">
        <v>89</v>
      </c>
      <c r="AC8" s="4">
        <f ca="1">TODAY()-Open[[#This Row],[Status Date]]</f>
        <v>78</v>
      </c>
      <c r="AD8" s="3" t="s">
        <v>90</v>
      </c>
    </row>
    <row r="9" spans="1:30" x14ac:dyDescent="0.3">
      <c r="A9" s="3" t="s">
        <v>91</v>
      </c>
      <c r="B9" s="3" t="s">
        <v>223</v>
      </c>
      <c r="C9" s="3" t="s">
        <v>92</v>
      </c>
      <c r="D9" s="5">
        <v>45856</v>
      </c>
      <c r="E9" s="5">
        <v>45861</v>
      </c>
      <c r="F9" s="3" t="s">
        <v>30</v>
      </c>
      <c r="G9" s="3" t="s">
        <v>82</v>
      </c>
      <c r="H9" s="4">
        <v>336</v>
      </c>
      <c r="I9" s="4">
        <v>4345351</v>
      </c>
      <c r="J9" s="3" t="s">
        <v>224</v>
      </c>
      <c r="K9" s="3" t="s">
        <v>225</v>
      </c>
      <c r="L9" s="3" t="s">
        <v>226</v>
      </c>
      <c r="M9" s="5">
        <v>45853</v>
      </c>
      <c r="N9" s="3" t="s">
        <v>227</v>
      </c>
      <c r="O9" s="3" t="s">
        <v>228</v>
      </c>
      <c r="P9" s="3" t="s">
        <v>34</v>
      </c>
      <c r="Q9" s="6">
        <v>2540</v>
      </c>
      <c r="R9" s="6">
        <v>2540</v>
      </c>
      <c r="S9" s="5">
        <v>46171</v>
      </c>
      <c r="T9" s="3" t="s">
        <v>60</v>
      </c>
      <c r="U9" s="3" t="s">
        <v>70</v>
      </c>
      <c r="V9" s="3" t="s">
        <v>53</v>
      </c>
      <c r="W9" s="3" t="s">
        <v>32</v>
      </c>
      <c r="X9" s="3" t="s">
        <v>35</v>
      </c>
      <c r="Y9" s="3">
        <v>100202</v>
      </c>
      <c r="Z9" s="3" t="s">
        <v>229</v>
      </c>
      <c r="AA9" s="3">
        <v>100202</v>
      </c>
      <c r="AB9" s="3" t="s">
        <v>229</v>
      </c>
      <c r="AC9" s="4">
        <f ca="1">TODAY()-Open[[#This Row],[Status Date]]</f>
        <v>28</v>
      </c>
      <c r="AD9" s="3" t="s">
        <v>90</v>
      </c>
    </row>
    <row r="10" spans="1:30" x14ac:dyDescent="0.3">
      <c r="A10" s="3" t="s">
        <v>91</v>
      </c>
      <c r="B10" s="3" t="s">
        <v>223</v>
      </c>
      <c r="C10" s="3" t="s">
        <v>92</v>
      </c>
      <c r="D10" s="5">
        <v>45856</v>
      </c>
      <c r="E10" s="5">
        <v>45868</v>
      </c>
      <c r="F10" s="3" t="s">
        <v>30</v>
      </c>
      <c r="G10" s="3" t="s">
        <v>82</v>
      </c>
      <c r="H10" s="4">
        <v>336</v>
      </c>
      <c r="I10" s="4">
        <v>4346461</v>
      </c>
      <c r="J10" s="3" t="s">
        <v>230</v>
      </c>
      <c r="K10" s="3" t="s">
        <v>231</v>
      </c>
      <c r="L10" s="3" t="s">
        <v>232</v>
      </c>
      <c r="M10" s="5">
        <v>45720</v>
      </c>
      <c r="N10" s="3" t="s">
        <v>227</v>
      </c>
      <c r="O10" s="3" t="s">
        <v>228</v>
      </c>
      <c r="P10" s="3" t="s">
        <v>34</v>
      </c>
      <c r="Q10" s="6">
        <v>225.2</v>
      </c>
      <c r="R10" s="6">
        <v>225.2</v>
      </c>
      <c r="S10" s="5">
        <v>46171</v>
      </c>
      <c r="T10" s="3" t="s">
        <v>60</v>
      </c>
      <c r="U10" s="3" t="s">
        <v>70</v>
      </c>
      <c r="V10" s="3" t="s">
        <v>53</v>
      </c>
      <c r="W10" s="3" t="s">
        <v>32</v>
      </c>
      <c r="X10" s="3" t="s">
        <v>35</v>
      </c>
      <c r="Y10" s="3">
        <v>100242</v>
      </c>
      <c r="Z10" s="3" t="s">
        <v>233</v>
      </c>
      <c r="AA10" s="3">
        <v>100242</v>
      </c>
      <c r="AB10" s="3" t="s">
        <v>233</v>
      </c>
      <c r="AC10" s="4">
        <f ca="1">TODAY()-Open[[#This Row],[Status Date]]</f>
        <v>28</v>
      </c>
      <c r="AD10" s="3" t="s">
        <v>90</v>
      </c>
    </row>
    <row r="11" spans="1:30" x14ac:dyDescent="0.3">
      <c r="A11" s="3" t="s">
        <v>91</v>
      </c>
      <c r="B11" s="3" t="s">
        <v>223</v>
      </c>
      <c r="C11" s="3" t="s">
        <v>92</v>
      </c>
      <c r="D11" s="5">
        <v>45856</v>
      </c>
      <c r="E11" s="5">
        <v>46147</v>
      </c>
      <c r="F11" s="3" t="s">
        <v>30</v>
      </c>
      <c r="G11" s="3" t="s">
        <v>82</v>
      </c>
      <c r="H11" s="4">
        <v>336</v>
      </c>
      <c r="I11" s="4">
        <v>4346451</v>
      </c>
      <c r="J11" s="3" t="s">
        <v>234</v>
      </c>
      <c r="K11" s="3" t="s">
        <v>235</v>
      </c>
      <c r="L11" s="3" t="s">
        <v>236</v>
      </c>
      <c r="M11" s="5">
        <v>45720</v>
      </c>
      <c r="N11" s="3" t="s">
        <v>227</v>
      </c>
      <c r="O11" s="3" t="s">
        <v>228</v>
      </c>
      <c r="P11" s="3" t="s">
        <v>44</v>
      </c>
      <c r="Q11" s="6">
        <v>235.9</v>
      </c>
      <c r="R11" s="6">
        <v>235.9</v>
      </c>
      <c r="S11" s="5">
        <v>46171</v>
      </c>
      <c r="T11" s="3" t="s">
        <v>60</v>
      </c>
      <c r="U11" s="3" t="s">
        <v>70</v>
      </c>
      <c r="V11" s="3" t="s">
        <v>53</v>
      </c>
      <c r="W11" s="3" t="s">
        <v>32</v>
      </c>
      <c r="X11" s="3" t="s">
        <v>45</v>
      </c>
      <c r="Y11" s="3">
        <v>100272</v>
      </c>
      <c r="Z11" s="3" t="s">
        <v>163</v>
      </c>
      <c r="AA11" s="3">
        <v>100272</v>
      </c>
      <c r="AB11" s="3" t="s">
        <v>163</v>
      </c>
      <c r="AC11" s="4">
        <f ca="1">TODAY()-Open[[#This Row],[Status Date]]</f>
        <v>28</v>
      </c>
      <c r="AD11" s="3" t="s">
        <v>90</v>
      </c>
    </row>
    <row r="12" spans="1:30" x14ac:dyDescent="0.3">
      <c r="A12" s="3" t="s">
        <v>72</v>
      </c>
      <c r="B12" s="3" t="s">
        <v>80</v>
      </c>
      <c r="C12" s="3" t="s">
        <v>81</v>
      </c>
      <c r="D12" s="5">
        <v>45870</v>
      </c>
      <c r="E12" s="5">
        <v>46143</v>
      </c>
      <c r="F12" s="3" t="s">
        <v>30</v>
      </c>
      <c r="G12" s="3" t="s">
        <v>82</v>
      </c>
      <c r="H12" s="4">
        <v>322</v>
      </c>
      <c r="I12" s="4">
        <v>4351171</v>
      </c>
      <c r="J12" s="3" t="s">
        <v>240</v>
      </c>
      <c r="K12" s="3" t="s">
        <v>241</v>
      </c>
      <c r="L12" s="3" t="s">
        <v>242</v>
      </c>
      <c r="M12" s="5">
        <v>45741</v>
      </c>
      <c r="N12" s="3" t="s">
        <v>86</v>
      </c>
      <c r="O12" s="3" t="s">
        <v>87</v>
      </c>
      <c r="P12" s="3" t="s">
        <v>44</v>
      </c>
      <c r="Q12" s="6">
        <v>3033.35</v>
      </c>
      <c r="R12" s="6">
        <v>3033.35</v>
      </c>
      <c r="S12" s="5">
        <v>46188</v>
      </c>
      <c r="T12" s="3" t="s">
        <v>60</v>
      </c>
      <c r="U12" s="3" t="s">
        <v>70</v>
      </c>
      <c r="V12" s="3" t="s">
        <v>47</v>
      </c>
      <c r="W12" s="3" t="s">
        <v>71</v>
      </c>
      <c r="X12" s="3" t="s">
        <v>45</v>
      </c>
      <c r="Y12" s="3">
        <v>100112</v>
      </c>
      <c r="Z12" s="3" t="s">
        <v>89</v>
      </c>
      <c r="AA12" s="3">
        <v>100112</v>
      </c>
      <c r="AB12" s="3" t="s">
        <v>89</v>
      </c>
      <c r="AC12" s="4">
        <f ca="1">TODAY()-Open[[#This Row],[Status Date]]</f>
        <v>11</v>
      </c>
      <c r="AD12" s="3" t="s">
        <v>90</v>
      </c>
    </row>
    <row r="13" spans="1:30" x14ac:dyDescent="0.3">
      <c r="A13" s="3" t="s">
        <v>72</v>
      </c>
      <c r="B13" s="3" t="s">
        <v>80</v>
      </c>
      <c r="C13" s="3" t="s">
        <v>81</v>
      </c>
      <c r="D13" s="5">
        <v>45871</v>
      </c>
      <c r="E13" s="5">
        <v>46164</v>
      </c>
      <c r="F13" s="3" t="s">
        <v>30</v>
      </c>
      <c r="G13" s="3" t="s">
        <v>82</v>
      </c>
      <c r="H13" s="4">
        <v>321</v>
      </c>
      <c r="I13" s="4">
        <v>4352991</v>
      </c>
      <c r="J13" s="3" t="s">
        <v>243</v>
      </c>
      <c r="K13" s="3" t="s">
        <v>244</v>
      </c>
      <c r="L13" s="3" t="s">
        <v>245</v>
      </c>
      <c r="M13" s="5">
        <v>45733</v>
      </c>
      <c r="N13" s="3" t="s">
        <v>86</v>
      </c>
      <c r="O13" s="3" t="s">
        <v>87</v>
      </c>
      <c r="P13" s="3" t="s">
        <v>46</v>
      </c>
      <c r="Q13" s="6">
        <v>1054.6199999999999</v>
      </c>
      <c r="R13" s="6">
        <v>1054.6199999999999</v>
      </c>
      <c r="S13" s="5">
        <v>46188</v>
      </c>
      <c r="T13" s="3" t="s">
        <v>68</v>
      </c>
      <c r="U13" s="3" t="s">
        <v>69</v>
      </c>
      <c r="V13" s="3" t="s">
        <v>47</v>
      </c>
      <c r="W13" s="3" t="s">
        <v>71</v>
      </c>
      <c r="X13" s="3" t="s">
        <v>48</v>
      </c>
      <c r="Y13" s="3">
        <v>100252</v>
      </c>
      <c r="Z13" s="3" t="s">
        <v>246</v>
      </c>
      <c r="AA13" s="3">
        <v>100162</v>
      </c>
      <c r="AB13" s="3" t="s">
        <v>159</v>
      </c>
      <c r="AC13" s="4">
        <f ca="1">TODAY()-Open[[#This Row],[Status Date]]</f>
        <v>11</v>
      </c>
      <c r="AD13" s="3" t="s">
        <v>90</v>
      </c>
    </row>
    <row r="14" spans="1:30" x14ac:dyDescent="0.3">
      <c r="A14" s="3" t="s">
        <v>72</v>
      </c>
      <c r="B14" s="3" t="s">
        <v>80</v>
      </c>
      <c r="C14" s="3" t="s">
        <v>81</v>
      </c>
      <c r="D14" s="5">
        <v>45913</v>
      </c>
      <c r="E14" s="5">
        <v>46191</v>
      </c>
      <c r="F14" s="3" t="s">
        <v>30</v>
      </c>
      <c r="G14" s="3" t="s">
        <v>82</v>
      </c>
      <c r="H14" s="4">
        <v>279</v>
      </c>
      <c r="I14" s="4">
        <v>4367461</v>
      </c>
      <c r="J14" s="3" t="s">
        <v>256</v>
      </c>
      <c r="K14" s="3" t="s">
        <v>257</v>
      </c>
      <c r="L14" s="3" t="s">
        <v>258</v>
      </c>
      <c r="M14" s="5">
        <v>45809</v>
      </c>
      <c r="N14" s="3" t="s">
        <v>259</v>
      </c>
      <c r="O14" s="3" t="s">
        <v>260</v>
      </c>
      <c r="P14" s="3" t="s">
        <v>44</v>
      </c>
      <c r="Q14" s="6">
        <v>243.84</v>
      </c>
      <c r="R14" s="6">
        <v>243.84</v>
      </c>
      <c r="S14" s="5">
        <v>46171</v>
      </c>
      <c r="T14" s="3" t="s">
        <v>60</v>
      </c>
      <c r="U14" s="3" t="s">
        <v>70</v>
      </c>
      <c r="V14" s="3" t="s">
        <v>53</v>
      </c>
      <c r="W14" s="3" t="s">
        <v>32</v>
      </c>
      <c r="X14" s="3" t="s">
        <v>45</v>
      </c>
      <c r="Y14" s="3">
        <v>100242</v>
      </c>
      <c r="Z14" s="3" t="s">
        <v>233</v>
      </c>
      <c r="AA14" s="3">
        <v>100242</v>
      </c>
      <c r="AB14" s="3" t="s">
        <v>233</v>
      </c>
      <c r="AC14" s="4">
        <f ca="1">TODAY()-Open[[#This Row],[Status Date]]</f>
        <v>28</v>
      </c>
      <c r="AD14" s="3" t="s">
        <v>90</v>
      </c>
    </row>
    <row r="15" spans="1:30" x14ac:dyDescent="0.3">
      <c r="A15" s="3" t="s">
        <v>72</v>
      </c>
      <c r="B15" s="3" t="s">
        <v>80</v>
      </c>
      <c r="C15" s="3" t="s">
        <v>81</v>
      </c>
      <c r="D15" s="5">
        <v>45933</v>
      </c>
      <c r="E15" s="5">
        <v>46143</v>
      </c>
      <c r="F15" s="3" t="s">
        <v>30</v>
      </c>
      <c r="G15" s="3" t="s">
        <v>82</v>
      </c>
      <c r="H15" s="4">
        <v>259</v>
      </c>
      <c r="I15" s="4">
        <v>4377761</v>
      </c>
      <c r="J15" s="3" t="s">
        <v>268</v>
      </c>
      <c r="K15" s="3" t="s">
        <v>269</v>
      </c>
      <c r="L15" s="3" t="s">
        <v>270</v>
      </c>
      <c r="M15" s="5">
        <v>45916</v>
      </c>
      <c r="N15" s="3" t="s">
        <v>86</v>
      </c>
      <c r="O15" s="3" t="s">
        <v>87</v>
      </c>
      <c r="P15" s="3" t="s">
        <v>34</v>
      </c>
      <c r="Q15" s="6">
        <v>15000</v>
      </c>
      <c r="R15" s="6">
        <v>15000</v>
      </c>
      <c r="S15" s="5">
        <v>46188</v>
      </c>
      <c r="T15" s="3" t="s">
        <v>60</v>
      </c>
      <c r="U15" s="3" t="s">
        <v>70</v>
      </c>
      <c r="V15" s="3" t="s">
        <v>47</v>
      </c>
      <c r="W15" s="3" t="s">
        <v>71</v>
      </c>
      <c r="X15" s="3" t="s">
        <v>35</v>
      </c>
      <c r="Y15" s="3">
        <v>100152</v>
      </c>
      <c r="Z15" s="3" t="s">
        <v>171</v>
      </c>
      <c r="AA15" s="3">
        <v>100152</v>
      </c>
      <c r="AB15" s="3" t="s">
        <v>171</v>
      </c>
      <c r="AC15" s="4">
        <f ca="1">TODAY()-Open[[#This Row],[Status Date]]</f>
        <v>11</v>
      </c>
      <c r="AD15" s="3" t="s">
        <v>90</v>
      </c>
    </row>
    <row r="16" spans="1:30" x14ac:dyDescent="0.3">
      <c r="A16" s="3" t="s">
        <v>72</v>
      </c>
      <c r="B16" s="3" t="s">
        <v>80</v>
      </c>
      <c r="C16" s="3" t="s">
        <v>81</v>
      </c>
      <c r="D16" s="5">
        <v>45957</v>
      </c>
      <c r="E16" s="5">
        <v>45957</v>
      </c>
      <c r="F16" s="3" t="s">
        <v>30</v>
      </c>
      <c r="G16" s="3" t="s">
        <v>82</v>
      </c>
      <c r="H16" s="4">
        <v>235</v>
      </c>
      <c r="I16" s="4">
        <v>4388498</v>
      </c>
      <c r="J16" s="3" t="s">
        <v>276</v>
      </c>
      <c r="K16" s="3" t="s">
        <v>277</v>
      </c>
      <c r="L16" s="3" t="s">
        <v>278</v>
      </c>
      <c r="M16" s="5">
        <v>45728</v>
      </c>
      <c r="N16" s="3" t="s">
        <v>279</v>
      </c>
      <c r="O16" s="3" t="s">
        <v>280</v>
      </c>
      <c r="P16" s="3" t="s">
        <v>34</v>
      </c>
      <c r="Q16" s="6">
        <v>204.12</v>
      </c>
      <c r="R16" s="6">
        <v>204.12</v>
      </c>
      <c r="S16" s="5">
        <v>46148</v>
      </c>
      <c r="T16" s="3" t="s">
        <v>60</v>
      </c>
      <c r="U16" s="3" t="s">
        <v>70</v>
      </c>
      <c r="V16" s="3" t="s">
        <v>47</v>
      </c>
      <c r="W16" s="3" t="s">
        <v>71</v>
      </c>
      <c r="X16" s="3" t="s">
        <v>35</v>
      </c>
      <c r="Y16" s="3">
        <v>100112</v>
      </c>
      <c r="Z16" s="3" t="s">
        <v>89</v>
      </c>
      <c r="AA16" s="3">
        <v>100112</v>
      </c>
      <c r="AB16" s="3" t="s">
        <v>89</v>
      </c>
      <c r="AC16" s="4">
        <f ca="1">TODAY()-Open[[#This Row],[Status Date]]</f>
        <v>51</v>
      </c>
      <c r="AD16" s="3" t="s">
        <v>90</v>
      </c>
    </row>
    <row r="17" spans="1:30" x14ac:dyDescent="0.3">
      <c r="A17" s="3" t="s">
        <v>72</v>
      </c>
      <c r="B17" s="3" t="s">
        <v>80</v>
      </c>
      <c r="C17" s="3" t="s">
        <v>81</v>
      </c>
      <c r="D17" s="5">
        <v>45957</v>
      </c>
      <c r="E17" s="5">
        <v>45957</v>
      </c>
      <c r="F17" s="3" t="s">
        <v>30</v>
      </c>
      <c r="G17" s="3" t="s">
        <v>82</v>
      </c>
      <c r="H17" s="4">
        <v>235</v>
      </c>
      <c r="I17" s="4">
        <v>4388098</v>
      </c>
      <c r="J17" s="3" t="s">
        <v>281</v>
      </c>
      <c r="K17" s="3" t="s">
        <v>282</v>
      </c>
      <c r="L17" s="3" t="s">
        <v>283</v>
      </c>
      <c r="M17" s="5">
        <v>45735</v>
      </c>
      <c r="N17" s="3" t="s">
        <v>279</v>
      </c>
      <c r="O17" s="3" t="s">
        <v>280</v>
      </c>
      <c r="P17" s="3" t="s">
        <v>34</v>
      </c>
      <c r="Q17" s="6">
        <v>260.77999999999997</v>
      </c>
      <c r="R17" s="6">
        <v>260.77999999999997</v>
      </c>
      <c r="S17" s="5">
        <v>46148</v>
      </c>
      <c r="T17" s="3" t="s">
        <v>60</v>
      </c>
      <c r="U17" s="3" t="s">
        <v>70</v>
      </c>
      <c r="V17" s="3" t="s">
        <v>47</v>
      </c>
      <c r="W17" s="3" t="s">
        <v>71</v>
      </c>
      <c r="X17" s="3" t="s">
        <v>35</v>
      </c>
      <c r="Y17" s="3">
        <v>100122</v>
      </c>
      <c r="Z17" s="3" t="s">
        <v>136</v>
      </c>
      <c r="AA17" s="3">
        <v>100122</v>
      </c>
      <c r="AB17" s="3" t="s">
        <v>136</v>
      </c>
      <c r="AC17" s="4">
        <f ca="1">TODAY()-Open[[#This Row],[Status Date]]</f>
        <v>51</v>
      </c>
      <c r="AD17" s="3" t="s">
        <v>90</v>
      </c>
    </row>
    <row r="18" spans="1:30" x14ac:dyDescent="0.3">
      <c r="A18" s="3" t="s">
        <v>72</v>
      </c>
      <c r="B18" s="3" t="s">
        <v>80</v>
      </c>
      <c r="C18" s="3" t="s">
        <v>81</v>
      </c>
      <c r="D18" s="5">
        <v>45957</v>
      </c>
      <c r="E18" s="5">
        <v>45957</v>
      </c>
      <c r="F18" s="3" t="s">
        <v>30</v>
      </c>
      <c r="G18" s="3" t="s">
        <v>82</v>
      </c>
      <c r="H18" s="4">
        <v>235</v>
      </c>
      <c r="I18" s="4">
        <v>4388088</v>
      </c>
      <c r="J18" s="3" t="s">
        <v>284</v>
      </c>
      <c r="K18" s="3" t="s">
        <v>285</v>
      </c>
      <c r="L18" s="3" t="s">
        <v>286</v>
      </c>
      <c r="M18" s="5">
        <v>45741</v>
      </c>
      <c r="N18" s="3" t="s">
        <v>279</v>
      </c>
      <c r="O18" s="3" t="s">
        <v>280</v>
      </c>
      <c r="P18" s="3" t="s">
        <v>34</v>
      </c>
      <c r="Q18" s="6">
        <v>901.64</v>
      </c>
      <c r="R18" s="6">
        <v>901.64</v>
      </c>
      <c r="S18" s="5">
        <v>46148</v>
      </c>
      <c r="T18" s="3" t="s">
        <v>60</v>
      </c>
      <c r="U18" s="3" t="s">
        <v>70</v>
      </c>
      <c r="V18" s="3" t="s">
        <v>47</v>
      </c>
      <c r="W18" s="3" t="s">
        <v>71</v>
      </c>
      <c r="X18" s="3" t="s">
        <v>35</v>
      </c>
      <c r="Y18" s="3">
        <v>100152</v>
      </c>
      <c r="Z18" s="3" t="s">
        <v>171</v>
      </c>
      <c r="AA18" s="3">
        <v>100152</v>
      </c>
      <c r="AB18" s="3" t="s">
        <v>171</v>
      </c>
      <c r="AC18" s="4">
        <f ca="1">TODAY()-Open[[#This Row],[Status Date]]</f>
        <v>51</v>
      </c>
      <c r="AD18" s="3" t="s">
        <v>90</v>
      </c>
    </row>
    <row r="19" spans="1:30" x14ac:dyDescent="0.3">
      <c r="A19" s="3" t="s">
        <v>72</v>
      </c>
      <c r="B19" s="3" t="s">
        <v>80</v>
      </c>
      <c r="C19" s="3" t="s">
        <v>81</v>
      </c>
      <c r="D19" s="5">
        <v>45957</v>
      </c>
      <c r="E19" s="5">
        <v>45957</v>
      </c>
      <c r="F19" s="3" t="s">
        <v>30</v>
      </c>
      <c r="G19" s="3" t="s">
        <v>82</v>
      </c>
      <c r="H19" s="4">
        <v>235</v>
      </c>
      <c r="I19" s="4">
        <v>4388118</v>
      </c>
      <c r="J19" s="3" t="s">
        <v>287</v>
      </c>
      <c r="K19" s="3" t="s">
        <v>288</v>
      </c>
      <c r="L19" s="3" t="s">
        <v>289</v>
      </c>
      <c r="M19" s="5">
        <v>45749</v>
      </c>
      <c r="N19" s="3" t="s">
        <v>279</v>
      </c>
      <c r="O19" s="3" t="s">
        <v>280</v>
      </c>
      <c r="P19" s="3" t="s">
        <v>34</v>
      </c>
      <c r="Q19" s="6">
        <v>142.5</v>
      </c>
      <c r="R19" s="6">
        <v>142.5</v>
      </c>
      <c r="S19" s="5">
        <v>46148</v>
      </c>
      <c r="T19" s="3" t="s">
        <v>60</v>
      </c>
      <c r="U19" s="3" t="s">
        <v>70</v>
      </c>
      <c r="V19" s="3" t="s">
        <v>47</v>
      </c>
      <c r="W19" s="3" t="s">
        <v>71</v>
      </c>
      <c r="X19" s="3" t="s">
        <v>35</v>
      </c>
      <c r="Y19" s="3">
        <v>100162</v>
      </c>
      <c r="Z19" s="3" t="s">
        <v>159</v>
      </c>
      <c r="AA19" s="3">
        <v>100162</v>
      </c>
      <c r="AB19" s="3" t="s">
        <v>159</v>
      </c>
      <c r="AC19" s="4">
        <f ca="1">TODAY()-Open[[#This Row],[Status Date]]</f>
        <v>51</v>
      </c>
      <c r="AD19" s="3" t="s">
        <v>90</v>
      </c>
    </row>
    <row r="20" spans="1:30" x14ac:dyDescent="0.3">
      <c r="A20" s="3" t="s">
        <v>72</v>
      </c>
      <c r="B20" s="3" t="s">
        <v>80</v>
      </c>
      <c r="C20" s="3" t="s">
        <v>81</v>
      </c>
      <c r="D20" s="5">
        <v>45957</v>
      </c>
      <c r="E20" s="5">
        <v>45957</v>
      </c>
      <c r="F20" s="3" t="s">
        <v>30</v>
      </c>
      <c r="G20" s="3" t="s">
        <v>82</v>
      </c>
      <c r="H20" s="4">
        <v>235</v>
      </c>
      <c r="I20" s="4">
        <v>4388108</v>
      </c>
      <c r="J20" s="3" t="s">
        <v>290</v>
      </c>
      <c r="K20" s="3" t="s">
        <v>291</v>
      </c>
      <c r="L20" s="3" t="s">
        <v>292</v>
      </c>
      <c r="M20" s="5">
        <v>45762</v>
      </c>
      <c r="N20" s="3" t="s">
        <v>279</v>
      </c>
      <c r="O20" s="3" t="s">
        <v>280</v>
      </c>
      <c r="P20" s="3" t="s">
        <v>34</v>
      </c>
      <c r="Q20" s="6">
        <v>454.24</v>
      </c>
      <c r="R20" s="6">
        <v>454.24</v>
      </c>
      <c r="S20" s="5">
        <v>46148</v>
      </c>
      <c r="T20" s="3" t="s">
        <v>60</v>
      </c>
      <c r="U20" s="3" t="s">
        <v>70</v>
      </c>
      <c r="V20" s="3" t="s">
        <v>47</v>
      </c>
      <c r="W20" s="3" t="s">
        <v>71</v>
      </c>
      <c r="X20" s="3" t="s">
        <v>35</v>
      </c>
      <c r="Y20" s="3">
        <v>100192</v>
      </c>
      <c r="Z20" s="3" t="s">
        <v>293</v>
      </c>
      <c r="AA20" s="3">
        <v>100192</v>
      </c>
      <c r="AB20" s="3" t="s">
        <v>293</v>
      </c>
      <c r="AC20" s="4">
        <f ca="1">TODAY()-Open[[#This Row],[Status Date]]</f>
        <v>51</v>
      </c>
      <c r="AD20" s="3" t="s">
        <v>90</v>
      </c>
    </row>
    <row r="21" spans="1:30" x14ac:dyDescent="0.3">
      <c r="A21" s="3" t="s">
        <v>72</v>
      </c>
      <c r="B21" s="3" t="s">
        <v>80</v>
      </c>
      <c r="C21" s="3" t="s">
        <v>81</v>
      </c>
      <c r="D21" s="5">
        <v>45957</v>
      </c>
      <c r="E21" s="5">
        <v>45957</v>
      </c>
      <c r="F21" s="3" t="s">
        <v>30</v>
      </c>
      <c r="G21" s="3" t="s">
        <v>82</v>
      </c>
      <c r="H21" s="4">
        <v>235</v>
      </c>
      <c r="I21" s="4">
        <v>4388548</v>
      </c>
      <c r="J21" s="3" t="s">
        <v>294</v>
      </c>
      <c r="K21" s="3" t="s">
        <v>295</v>
      </c>
      <c r="L21" s="3" t="s">
        <v>296</v>
      </c>
      <c r="M21" s="5">
        <v>45769</v>
      </c>
      <c r="N21" s="3" t="s">
        <v>279</v>
      </c>
      <c r="O21" s="3" t="s">
        <v>280</v>
      </c>
      <c r="P21" s="3" t="s">
        <v>34</v>
      </c>
      <c r="Q21" s="6">
        <v>218.59</v>
      </c>
      <c r="R21" s="6">
        <v>218.59</v>
      </c>
      <c r="S21" s="5">
        <v>46148</v>
      </c>
      <c r="T21" s="3" t="s">
        <v>60</v>
      </c>
      <c r="U21" s="3" t="s">
        <v>70</v>
      </c>
      <c r="V21" s="3" t="s">
        <v>47</v>
      </c>
      <c r="W21" s="3" t="s">
        <v>71</v>
      </c>
      <c r="X21" s="3" t="s">
        <v>35</v>
      </c>
      <c r="Y21" s="3">
        <v>100202</v>
      </c>
      <c r="Z21" s="3" t="s">
        <v>229</v>
      </c>
      <c r="AA21" s="3">
        <v>100202</v>
      </c>
      <c r="AB21" s="3" t="s">
        <v>229</v>
      </c>
      <c r="AC21" s="4">
        <f ca="1">TODAY()-Open[[#This Row],[Status Date]]</f>
        <v>51</v>
      </c>
      <c r="AD21" s="3" t="s">
        <v>90</v>
      </c>
    </row>
    <row r="22" spans="1:30" x14ac:dyDescent="0.3">
      <c r="A22" s="3" t="s">
        <v>72</v>
      </c>
      <c r="B22" s="3" t="s">
        <v>80</v>
      </c>
      <c r="C22" s="3" t="s">
        <v>81</v>
      </c>
      <c r="D22" s="5">
        <v>45957</v>
      </c>
      <c r="E22" s="5">
        <v>45957</v>
      </c>
      <c r="F22" s="3" t="s">
        <v>30</v>
      </c>
      <c r="G22" s="3" t="s">
        <v>82</v>
      </c>
      <c r="H22" s="4">
        <v>235</v>
      </c>
      <c r="I22" s="4">
        <v>4387938</v>
      </c>
      <c r="J22" s="3" t="s">
        <v>297</v>
      </c>
      <c r="K22" s="3" t="s">
        <v>298</v>
      </c>
      <c r="L22" s="3" t="s">
        <v>299</v>
      </c>
      <c r="M22" s="5">
        <v>45783</v>
      </c>
      <c r="N22" s="3" t="s">
        <v>279</v>
      </c>
      <c r="O22" s="3" t="s">
        <v>280</v>
      </c>
      <c r="P22" s="3" t="s">
        <v>34</v>
      </c>
      <c r="Q22" s="6">
        <v>129.28</v>
      </c>
      <c r="R22" s="6">
        <v>129.28</v>
      </c>
      <c r="S22" s="5">
        <v>46148</v>
      </c>
      <c r="T22" s="3" t="s">
        <v>60</v>
      </c>
      <c r="U22" s="3" t="s">
        <v>70</v>
      </c>
      <c r="V22" s="3" t="s">
        <v>47</v>
      </c>
      <c r="W22" s="3" t="s">
        <v>71</v>
      </c>
      <c r="X22" s="3" t="s">
        <v>35</v>
      </c>
      <c r="Y22" s="3">
        <v>100232</v>
      </c>
      <c r="Z22" s="3" t="s">
        <v>300</v>
      </c>
      <c r="AA22" s="3">
        <v>100232</v>
      </c>
      <c r="AB22" s="3" t="s">
        <v>300</v>
      </c>
      <c r="AC22" s="4">
        <f ca="1">TODAY()-Open[[#This Row],[Status Date]]</f>
        <v>51</v>
      </c>
      <c r="AD22" s="3" t="s">
        <v>90</v>
      </c>
    </row>
    <row r="23" spans="1:30" x14ac:dyDescent="0.3">
      <c r="A23" s="3" t="s">
        <v>72</v>
      </c>
      <c r="B23" s="3" t="s">
        <v>80</v>
      </c>
      <c r="C23" s="3" t="s">
        <v>81</v>
      </c>
      <c r="D23" s="5">
        <v>45957</v>
      </c>
      <c r="E23" s="5">
        <v>45957</v>
      </c>
      <c r="F23" s="3" t="s">
        <v>30</v>
      </c>
      <c r="G23" s="3" t="s">
        <v>82</v>
      </c>
      <c r="H23" s="4">
        <v>235</v>
      </c>
      <c r="I23" s="4">
        <v>4387928</v>
      </c>
      <c r="J23" s="3" t="s">
        <v>301</v>
      </c>
      <c r="K23" s="3" t="s">
        <v>302</v>
      </c>
      <c r="L23" s="3" t="s">
        <v>303</v>
      </c>
      <c r="M23" s="5">
        <v>45811</v>
      </c>
      <c r="N23" s="3" t="s">
        <v>279</v>
      </c>
      <c r="O23" s="3" t="s">
        <v>280</v>
      </c>
      <c r="P23" s="3" t="s">
        <v>34</v>
      </c>
      <c r="Q23" s="6">
        <v>26141.4</v>
      </c>
      <c r="R23" s="6">
        <v>26141.4</v>
      </c>
      <c r="S23" s="5">
        <v>46148</v>
      </c>
      <c r="T23" s="3" t="s">
        <v>60</v>
      </c>
      <c r="U23" s="3" t="s">
        <v>70</v>
      </c>
      <c r="V23" s="3" t="s">
        <v>47</v>
      </c>
      <c r="W23" s="3" t="s">
        <v>71</v>
      </c>
      <c r="X23" s="3" t="s">
        <v>35</v>
      </c>
      <c r="Y23" s="3">
        <v>100242</v>
      </c>
      <c r="Z23" s="3" t="s">
        <v>233</v>
      </c>
      <c r="AA23" s="3">
        <v>100242</v>
      </c>
      <c r="AB23" s="3" t="s">
        <v>233</v>
      </c>
      <c r="AC23" s="4">
        <f ca="1">TODAY()-Open[[#This Row],[Status Date]]</f>
        <v>51</v>
      </c>
      <c r="AD23" s="3" t="s">
        <v>90</v>
      </c>
    </row>
    <row r="24" spans="1:30" x14ac:dyDescent="0.3">
      <c r="A24" s="3" t="s">
        <v>72</v>
      </c>
      <c r="B24" s="3" t="s">
        <v>80</v>
      </c>
      <c r="C24" s="3" t="s">
        <v>81</v>
      </c>
      <c r="D24" s="5">
        <v>45957</v>
      </c>
      <c r="E24" s="5">
        <v>45957</v>
      </c>
      <c r="F24" s="3" t="s">
        <v>30</v>
      </c>
      <c r="G24" s="3" t="s">
        <v>82</v>
      </c>
      <c r="H24" s="4">
        <v>235</v>
      </c>
      <c r="I24" s="4">
        <v>4388488</v>
      </c>
      <c r="J24" s="3" t="s">
        <v>304</v>
      </c>
      <c r="K24" s="3" t="s">
        <v>305</v>
      </c>
      <c r="L24" s="3" t="s">
        <v>306</v>
      </c>
      <c r="M24" s="5">
        <v>45818</v>
      </c>
      <c r="N24" s="3" t="s">
        <v>279</v>
      </c>
      <c r="O24" s="3" t="s">
        <v>280</v>
      </c>
      <c r="P24" s="3" t="s">
        <v>34</v>
      </c>
      <c r="Q24" s="6">
        <v>150.38</v>
      </c>
      <c r="R24" s="6">
        <v>150.38</v>
      </c>
      <c r="S24" s="5">
        <v>46148</v>
      </c>
      <c r="T24" s="3" t="s">
        <v>60</v>
      </c>
      <c r="U24" s="3" t="s">
        <v>70</v>
      </c>
      <c r="V24" s="3" t="s">
        <v>47</v>
      </c>
      <c r="W24" s="3" t="s">
        <v>71</v>
      </c>
      <c r="X24" s="3" t="s">
        <v>35</v>
      </c>
      <c r="Y24" s="3">
        <v>100272</v>
      </c>
      <c r="Z24" s="3" t="s">
        <v>163</v>
      </c>
      <c r="AA24" s="3">
        <v>100272</v>
      </c>
      <c r="AB24" s="3" t="s">
        <v>163</v>
      </c>
      <c r="AC24" s="4">
        <f ca="1">TODAY()-Open[[#This Row],[Status Date]]</f>
        <v>51</v>
      </c>
      <c r="AD24" s="3" t="s">
        <v>90</v>
      </c>
    </row>
    <row r="25" spans="1:30" x14ac:dyDescent="0.3">
      <c r="A25" s="3" t="s">
        <v>72</v>
      </c>
      <c r="B25" s="3" t="s">
        <v>80</v>
      </c>
      <c r="C25" s="3" t="s">
        <v>81</v>
      </c>
      <c r="D25" s="5">
        <v>45957</v>
      </c>
      <c r="E25" s="5">
        <v>45957</v>
      </c>
      <c r="F25" s="3" t="s">
        <v>30</v>
      </c>
      <c r="G25" s="3" t="s">
        <v>82</v>
      </c>
      <c r="H25" s="4">
        <v>235</v>
      </c>
      <c r="I25" s="4">
        <v>4388458</v>
      </c>
      <c r="J25" s="3" t="s">
        <v>307</v>
      </c>
      <c r="K25" s="3" t="s">
        <v>308</v>
      </c>
      <c r="L25" s="3" t="s">
        <v>275</v>
      </c>
      <c r="M25" s="5">
        <v>45747</v>
      </c>
      <c r="N25" s="3" t="s">
        <v>279</v>
      </c>
      <c r="O25" s="3" t="s">
        <v>280</v>
      </c>
      <c r="P25" s="3" t="s">
        <v>34</v>
      </c>
      <c r="Q25" s="6">
        <v>60</v>
      </c>
      <c r="R25" s="6">
        <v>60</v>
      </c>
      <c r="S25" s="5">
        <v>46195</v>
      </c>
      <c r="T25" s="3" t="s">
        <v>60</v>
      </c>
      <c r="U25" s="3" t="s">
        <v>70</v>
      </c>
      <c r="V25" s="3" t="s">
        <v>53</v>
      </c>
      <c r="W25" s="3" t="s">
        <v>32</v>
      </c>
      <c r="X25" s="3" t="s">
        <v>35</v>
      </c>
      <c r="Y25" s="3">
        <v>100282</v>
      </c>
      <c r="Z25" s="3" t="s">
        <v>199</v>
      </c>
      <c r="AA25" s="3">
        <v>100282</v>
      </c>
      <c r="AB25" s="3" t="s">
        <v>199</v>
      </c>
      <c r="AC25" s="4">
        <f ca="1">TODAY()-Open[[#This Row],[Status Date]]</f>
        <v>4</v>
      </c>
      <c r="AD25" s="3" t="s">
        <v>90</v>
      </c>
    </row>
    <row r="26" spans="1:30" x14ac:dyDescent="0.3">
      <c r="A26" s="3" t="s">
        <v>72</v>
      </c>
      <c r="B26" s="3" t="s">
        <v>80</v>
      </c>
      <c r="C26" s="3" t="s">
        <v>81</v>
      </c>
      <c r="D26" s="5">
        <v>45967</v>
      </c>
      <c r="E26" s="5">
        <v>46119</v>
      </c>
      <c r="F26" s="3" t="s">
        <v>30</v>
      </c>
      <c r="G26" s="3" t="s">
        <v>82</v>
      </c>
      <c r="H26" s="4">
        <v>225</v>
      </c>
      <c r="I26" s="4">
        <v>4395936</v>
      </c>
      <c r="J26" s="3" t="s">
        <v>309</v>
      </c>
      <c r="K26" s="3" t="s">
        <v>310</v>
      </c>
      <c r="L26" s="3" t="s">
        <v>311</v>
      </c>
      <c r="M26" s="5">
        <v>45852</v>
      </c>
      <c r="N26" s="3" t="s">
        <v>312</v>
      </c>
      <c r="O26" s="3" t="s">
        <v>313</v>
      </c>
      <c r="P26" s="3" t="s">
        <v>36</v>
      </c>
      <c r="Q26" s="6">
        <v>1224.3</v>
      </c>
      <c r="R26" s="6">
        <v>10756.35</v>
      </c>
      <c r="S26" s="5">
        <v>46177</v>
      </c>
      <c r="T26" s="3" t="s">
        <v>68</v>
      </c>
      <c r="U26" s="3" t="s">
        <v>69</v>
      </c>
      <c r="V26" s="3" t="s">
        <v>47</v>
      </c>
      <c r="W26" s="3" t="s">
        <v>71</v>
      </c>
      <c r="X26" s="3" t="s">
        <v>37</v>
      </c>
      <c r="Y26" s="3">
        <v>100132</v>
      </c>
      <c r="Z26" s="3" t="s">
        <v>88</v>
      </c>
      <c r="AA26" s="3">
        <v>100112</v>
      </c>
      <c r="AB26" s="3" t="s">
        <v>89</v>
      </c>
      <c r="AC26" s="4">
        <f ca="1">TODAY()-Open[[#This Row],[Status Date]]</f>
        <v>22</v>
      </c>
      <c r="AD26" s="3" t="s">
        <v>90</v>
      </c>
    </row>
    <row r="27" spans="1:30" x14ac:dyDescent="0.3">
      <c r="A27" s="3" t="s">
        <v>72</v>
      </c>
      <c r="B27" s="3" t="s">
        <v>80</v>
      </c>
      <c r="C27" s="3" t="s">
        <v>81</v>
      </c>
      <c r="D27" s="5">
        <v>45974</v>
      </c>
      <c r="E27" s="5">
        <v>46147</v>
      </c>
      <c r="F27" s="3" t="s">
        <v>30</v>
      </c>
      <c r="G27" s="3" t="s">
        <v>82</v>
      </c>
      <c r="H27" s="4">
        <v>218</v>
      </c>
      <c r="I27" s="4">
        <v>4397066</v>
      </c>
      <c r="J27" s="3" t="s">
        <v>314</v>
      </c>
      <c r="K27" s="3" t="s">
        <v>315</v>
      </c>
      <c r="L27" s="3" t="s">
        <v>316</v>
      </c>
      <c r="M27" s="5">
        <v>45971</v>
      </c>
      <c r="N27" s="3" t="s">
        <v>317</v>
      </c>
      <c r="O27" s="3" t="s">
        <v>318</v>
      </c>
      <c r="P27" s="3" t="s">
        <v>34</v>
      </c>
      <c r="Q27" s="6">
        <v>2000</v>
      </c>
      <c r="R27" s="6">
        <v>2000</v>
      </c>
      <c r="S27" s="5">
        <v>46171</v>
      </c>
      <c r="T27" s="3" t="s">
        <v>60</v>
      </c>
      <c r="U27" s="3" t="s">
        <v>70</v>
      </c>
      <c r="V27" s="3" t="s">
        <v>53</v>
      </c>
      <c r="W27" s="3" t="s">
        <v>32</v>
      </c>
      <c r="X27" s="3" t="s">
        <v>35</v>
      </c>
      <c r="Y27" s="3">
        <v>100162</v>
      </c>
      <c r="Z27" s="3" t="s">
        <v>159</v>
      </c>
      <c r="AA27" s="3">
        <v>100162</v>
      </c>
      <c r="AB27" s="3" t="s">
        <v>159</v>
      </c>
      <c r="AC27" s="4">
        <f ca="1">TODAY()-Open[[#This Row],[Status Date]]</f>
        <v>28</v>
      </c>
      <c r="AD27" s="3" t="s">
        <v>90</v>
      </c>
    </row>
    <row r="28" spans="1:30" x14ac:dyDescent="0.3">
      <c r="A28" s="3" t="s">
        <v>72</v>
      </c>
      <c r="B28" s="3" t="s">
        <v>80</v>
      </c>
      <c r="C28" s="3" t="s">
        <v>81</v>
      </c>
      <c r="D28" s="5">
        <v>45988</v>
      </c>
      <c r="E28" s="5">
        <v>46147</v>
      </c>
      <c r="F28" s="3" t="s">
        <v>30</v>
      </c>
      <c r="G28" s="3" t="s">
        <v>82</v>
      </c>
      <c r="H28" s="4">
        <v>204</v>
      </c>
      <c r="I28" s="4">
        <v>4403095</v>
      </c>
      <c r="J28" s="3" t="s">
        <v>319</v>
      </c>
      <c r="K28" s="3" t="s">
        <v>320</v>
      </c>
      <c r="L28" s="3" t="s">
        <v>321</v>
      </c>
      <c r="M28" s="5">
        <v>45986</v>
      </c>
      <c r="N28" s="3" t="s">
        <v>317</v>
      </c>
      <c r="O28" s="3" t="s">
        <v>318</v>
      </c>
      <c r="P28" s="3" t="s">
        <v>34</v>
      </c>
      <c r="Q28" s="6">
        <v>7450</v>
      </c>
      <c r="R28" s="6">
        <v>7450</v>
      </c>
      <c r="S28" s="5">
        <v>46188</v>
      </c>
      <c r="T28" s="3" t="s">
        <v>60</v>
      </c>
      <c r="U28" s="3" t="s">
        <v>70</v>
      </c>
      <c r="V28" s="3" t="s">
        <v>53</v>
      </c>
      <c r="W28" s="3" t="s">
        <v>32</v>
      </c>
      <c r="X28" s="3" t="s">
        <v>35</v>
      </c>
      <c r="Y28" s="3">
        <v>100242</v>
      </c>
      <c r="Z28" s="3" t="s">
        <v>233</v>
      </c>
      <c r="AA28" s="3">
        <v>100242</v>
      </c>
      <c r="AB28" s="3" t="s">
        <v>233</v>
      </c>
      <c r="AC28" s="4">
        <f ca="1">TODAY()-Open[[#This Row],[Status Date]]</f>
        <v>11</v>
      </c>
      <c r="AD28" s="3" t="s">
        <v>90</v>
      </c>
    </row>
    <row r="29" spans="1:30" x14ac:dyDescent="0.3">
      <c r="A29" s="3" t="s">
        <v>91</v>
      </c>
      <c r="B29" s="3" t="s">
        <v>223</v>
      </c>
      <c r="C29" s="3" t="s">
        <v>92</v>
      </c>
      <c r="D29" s="5">
        <v>45993</v>
      </c>
      <c r="E29" s="5">
        <v>46111</v>
      </c>
      <c r="F29" s="3" t="s">
        <v>30</v>
      </c>
      <c r="G29" s="3" t="s">
        <v>82</v>
      </c>
      <c r="H29" s="4">
        <v>199</v>
      </c>
      <c r="I29" s="4">
        <v>4403875</v>
      </c>
      <c r="J29" s="3" t="s">
        <v>322</v>
      </c>
      <c r="K29" s="3" t="s">
        <v>323</v>
      </c>
      <c r="L29" s="3" t="s">
        <v>324</v>
      </c>
      <c r="M29" s="5">
        <v>45887</v>
      </c>
      <c r="N29" s="3" t="s">
        <v>325</v>
      </c>
      <c r="O29" s="3" t="s">
        <v>326</v>
      </c>
      <c r="P29" s="3" t="s">
        <v>34</v>
      </c>
      <c r="Q29" s="6">
        <v>300</v>
      </c>
      <c r="R29" s="6">
        <v>300</v>
      </c>
      <c r="S29" s="5">
        <v>46195</v>
      </c>
      <c r="T29" s="3" t="s">
        <v>60</v>
      </c>
      <c r="U29" s="3" t="s">
        <v>70</v>
      </c>
      <c r="V29" s="3" t="s">
        <v>53</v>
      </c>
      <c r="W29" s="3" t="s">
        <v>32</v>
      </c>
      <c r="X29" s="3" t="s">
        <v>35</v>
      </c>
      <c r="Y29" s="3">
        <v>100112</v>
      </c>
      <c r="Z29" s="3" t="s">
        <v>89</v>
      </c>
      <c r="AA29" s="3">
        <v>100112</v>
      </c>
      <c r="AB29" s="3" t="s">
        <v>89</v>
      </c>
      <c r="AC29" s="4">
        <f ca="1">TODAY()-Open[[#This Row],[Status Date]]</f>
        <v>4</v>
      </c>
      <c r="AD29" s="3" t="s">
        <v>90</v>
      </c>
    </row>
    <row r="30" spans="1:30" x14ac:dyDescent="0.3">
      <c r="A30" s="3" t="s">
        <v>91</v>
      </c>
      <c r="B30" s="3" t="s">
        <v>223</v>
      </c>
      <c r="C30" s="3" t="s">
        <v>92</v>
      </c>
      <c r="D30" s="5">
        <v>45993</v>
      </c>
      <c r="E30" s="5">
        <v>46111</v>
      </c>
      <c r="F30" s="3" t="s">
        <v>30</v>
      </c>
      <c r="G30" s="3" t="s">
        <v>82</v>
      </c>
      <c r="H30" s="4">
        <v>199</v>
      </c>
      <c r="I30" s="4">
        <v>4403855</v>
      </c>
      <c r="J30" s="3" t="s">
        <v>327</v>
      </c>
      <c r="K30" s="3" t="s">
        <v>328</v>
      </c>
      <c r="L30" s="3" t="s">
        <v>329</v>
      </c>
      <c r="M30" s="5">
        <v>45915</v>
      </c>
      <c r="N30" s="3" t="s">
        <v>325</v>
      </c>
      <c r="O30" s="3" t="s">
        <v>326</v>
      </c>
      <c r="P30" s="3" t="s">
        <v>34</v>
      </c>
      <c r="Q30" s="6">
        <v>300</v>
      </c>
      <c r="R30" s="6">
        <v>300</v>
      </c>
      <c r="S30" s="5">
        <v>46195</v>
      </c>
      <c r="T30" s="3" t="s">
        <v>60</v>
      </c>
      <c r="U30" s="3" t="s">
        <v>70</v>
      </c>
      <c r="V30" s="3" t="s">
        <v>53</v>
      </c>
      <c r="W30" s="3" t="s">
        <v>32</v>
      </c>
      <c r="X30" s="3" t="s">
        <v>35</v>
      </c>
      <c r="Y30" s="3">
        <v>100122</v>
      </c>
      <c r="Z30" s="3" t="s">
        <v>136</v>
      </c>
      <c r="AA30" s="3">
        <v>100122</v>
      </c>
      <c r="AB30" s="3" t="s">
        <v>136</v>
      </c>
      <c r="AC30" s="4">
        <f ca="1">TODAY()-Open[[#This Row],[Status Date]]</f>
        <v>4</v>
      </c>
      <c r="AD30" s="3" t="s">
        <v>90</v>
      </c>
    </row>
    <row r="31" spans="1:30" x14ac:dyDescent="0.3">
      <c r="A31" s="3" t="s">
        <v>91</v>
      </c>
      <c r="B31" s="3" t="s">
        <v>223</v>
      </c>
      <c r="C31" s="3" t="s">
        <v>92</v>
      </c>
      <c r="D31" s="5">
        <v>45999</v>
      </c>
      <c r="E31" s="5">
        <v>46111</v>
      </c>
      <c r="F31" s="3" t="s">
        <v>30</v>
      </c>
      <c r="G31" s="3" t="s">
        <v>82</v>
      </c>
      <c r="H31" s="4">
        <v>193</v>
      </c>
      <c r="I31" s="4">
        <v>4404435</v>
      </c>
      <c r="J31" s="3" t="s">
        <v>330</v>
      </c>
      <c r="K31" s="3" t="s">
        <v>331</v>
      </c>
      <c r="L31" s="3" t="s">
        <v>332</v>
      </c>
      <c r="M31" s="5">
        <v>45918</v>
      </c>
      <c r="N31" s="3" t="s">
        <v>325</v>
      </c>
      <c r="O31" s="3" t="s">
        <v>326</v>
      </c>
      <c r="P31" s="3" t="s">
        <v>34</v>
      </c>
      <c r="Q31" s="6">
        <v>300</v>
      </c>
      <c r="R31" s="6">
        <v>300</v>
      </c>
      <c r="S31" s="5">
        <v>46195</v>
      </c>
      <c r="T31" s="3" t="s">
        <v>60</v>
      </c>
      <c r="U31" s="3" t="s">
        <v>70</v>
      </c>
      <c r="V31" s="3" t="s">
        <v>53</v>
      </c>
      <c r="W31" s="3" t="s">
        <v>32</v>
      </c>
      <c r="X31" s="3" t="s">
        <v>35</v>
      </c>
      <c r="Y31" s="3">
        <v>100232</v>
      </c>
      <c r="Z31" s="3" t="s">
        <v>300</v>
      </c>
      <c r="AA31" s="3">
        <v>100232</v>
      </c>
      <c r="AB31" s="3" t="s">
        <v>300</v>
      </c>
      <c r="AC31" s="4">
        <f ca="1">TODAY()-Open[[#This Row],[Status Date]]</f>
        <v>4</v>
      </c>
      <c r="AD31" s="3" t="s">
        <v>90</v>
      </c>
    </row>
    <row r="32" spans="1:30" x14ac:dyDescent="0.3">
      <c r="A32" s="3" t="s">
        <v>91</v>
      </c>
      <c r="B32" s="3" t="s">
        <v>223</v>
      </c>
      <c r="C32" s="3" t="s">
        <v>92</v>
      </c>
      <c r="D32" s="5">
        <v>46001</v>
      </c>
      <c r="E32" s="5">
        <v>46111</v>
      </c>
      <c r="F32" s="3" t="s">
        <v>30</v>
      </c>
      <c r="G32" s="3" t="s">
        <v>82</v>
      </c>
      <c r="H32" s="4">
        <v>191</v>
      </c>
      <c r="I32" s="4">
        <v>4405194</v>
      </c>
      <c r="J32" s="3" t="s">
        <v>333</v>
      </c>
      <c r="K32" s="3" t="s">
        <v>334</v>
      </c>
      <c r="L32" s="3" t="s">
        <v>335</v>
      </c>
      <c r="M32" s="5">
        <v>45918</v>
      </c>
      <c r="N32" s="3" t="s">
        <v>325</v>
      </c>
      <c r="O32" s="3" t="s">
        <v>326</v>
      </c>
      <c r="P32" s="3" t="s">
        <v>34</v>
      </c>
      <c r="Q32" s="6">
        <v>300</v>
      </c>
      <c r="R32" s="6">
        <v>300</v>
      </c>
      <c r="S32" s="5">
        <v>46195</v>
      </c>
      <c r="T32" s="3" t="s">
        <v>60</v>
      </c>
      <c r="U32" s="3" t="s">
        <v>70</v>
      </c>
      <c r="V32" s="3" t="s">
        <v>53</v>
      </c>
      <c r="W32" s="3" t="s">
        <v>32</v>
      </c>
      <c r="X32" s="3" t="s">
        <v>35</v>
      </c>
      <c r="Y32" s="3">
        <v>100282</v>
      </c>
      <c r="Z32" s="3" t="s">
        <v>199</v>
      </c>
      <c r="AA32" s="3">
        <v>100282</v>
      </c>
      <c r="AB32" s="3" t="s">
        <v>199</v>
      </c>
      <c r="AC32" s="4">
        <f ca="1">TODAY()-Open[[#This Row],[Status Date]]</f>
        <v>4</v>
      </c>
      <c r="AD32" s="3" t="s">
        <v>90</v>
      </c>
    </row>
    <row r="33" spans="1:30" x14ac:dyDescent="0.3">
      <c r="A33" s="3" t="s">
        <v>91</v>
      </c>
      <c r="B33" s="3" t="s">
        <v>223</v>
      </c>
      <c r="C33" s="3" t="s">
        <v>92</v>
      </c>
      <c r="D33" s="5">
        <v>46002</v>
      </c>
      <c r="E33" s="5">
        <v>46111</v>
      </c>
      <c r="F33" s="3" t="s">
        <v>30</v>
      </c>
      <c r="G33" s="3" t="s">
        <v>82</v>
      </c>
      <c r="H33" s="4">
        <v>190</v>
      </c>
      <c r="I33" s="4">
        <v>4407094</v>
      </c>
      <c r="J33" s="3" t="s">
        <v>336</v>
      </c>
      <c r="K33" s="3" t="s">
        <v>337</v>
      </c>
      <c r="L33" s="3" t="s">
        <v>338</v>
      </c>
      <c r="M33" s="5">
        <v>45915</v>
      </c>
      <c r="N33" s="3" t="s">
        <v>325</v>
      </c>
      <c r="O33" s="3" t="s">
        <v>326</v>
      </c>
      <c r="P33" s="3" t="s">
        <v>44</v>
      </c>
      <c r="Q33" s="6">
        <v>300</v>
      </c>
      <c r="R33" s="6">
        <v>300</v>
      </c>
      <c r="S33" s="5">
        <v>46195</v>
      </c>
      <c r="T33" s="3" t="s">
        <v>60</v>
      </c>
      <c r="U33" s="3" t="s">
        <v>70</v>
      </c>
      <c r="V33" s="3" t="s">
        <v>53</v>
      </c>
      <c r="W33" s="3" t="s">
        <v>32</v>
      </c>
      <c r="X33" s="3" t="s">
        <v>45</v>
      </c>
      <c r="Y33" s="3">
        <v>100162</v>
      </c>
      <c r="Z33" s="3" t="s">
        <v>159</v>
      </c>
      <c r="AA33" s="3">
        <v>100162</v>
      </c>
      <c r="AB33" s="3" t="s">
        <v>159</v>
      </c>
      <c r="AC33" s="4">
        <f ca="1">TODAY()-Open[[#This Row],[Status Date]]</f>
        <v>4</v>
      </c>
      <c r="AD33" s="3" t="s">
        <v>90</v>
      </c>
    </row>
    <row r="34" spans="1:30" x14ac:dyDescent="0.3">
      <c r="A34" s="3" t="s">
        <v>72</v>
      </c>
      <c r="B34" s="3" t="s">
        <v>80</v>
      </c>
      <c r="C34" s="3" t="s">
        <v>81</v>
      </c>
      <c r="D34" s="5">
        <v>46009</v>
      </c>
      <c r="E34" s="5">
        <v>46009</v>
      </c>
      <c r="F34" s="3" t="s">
        <v>30</v>
      </c>
      <c r="G34" s="3" t="s">
        <v>82</v>
      </c>
      <c r="H34" s="4">
        <v>183</v>
      </c>
      <c r="I34" s="4">
        <v>4407374</v>
      </c>
      <c r="J34" s="3" t="s">
        <v>339</v>
      </c>
      <c r="K34" s="3" t="s">
        <v>340</v>
      </c>
      <c r="L34" s="3" t="s">
        <v>341</v>
      </c>
      <c r="M34" s="5">
        <v>45976</v>
      </c>
      <c r="N34" s="3" t="s">
        <v>133</v>
      </c>
      <c r="O34" s="3" t="s">
        <v>134</v>
      </c>
      <c r="P34" s="3" t="s">
        <v>42</v>
      </c>
      <c r="Q34" s="6">
        <v>265.68</v>
      </c>
      <c r="R34" s="6">
        <v>265.68</v>
      </c>
      <c r="S34" s="5">
        <v>46188</v>
      </c>
      <c r="T34" s="3" t="s">
        <v>66</v>
      </c>
      <c r="U34" s="3" t="s">
        <v>76</v>
      </c>
      <c r="V34" s="3" t="s">
        <v>53</v>
      </c>
      <c r="W34" s="3" t="s">
        <v>32</v>
      </c>
      <c r="X34" s="3" t="s">
        <v>43</v>
      </c>
      <c r="Y34" s="3">
        <v>100102</v>
      </c>
      <c r="Z34" s="3" t="s">
        <v>342</v>
      </c>
      <c r="AA34" s="3">
        <v>100112</v>
      </c>
      <c r="AB34" s="3" t="s">
        <v>89</v>
      </c>
      <c r="AC34" s="4">
        <f ca="1">TODAY()-Open[[#This Row],[Status Date]]</f>
        <v>11</v>
      </c>
      <c r="AD34" s="3" t="s">
        <v>90</v>
      </c>
    </row>
    <row r="35" spans="1:30" x14ac:dyDescent="0.3">
      <c r="A35" s="3" t="s">
        <v>72</v>
      </c>
      <c r="B35" s="3" t="s">
        <v>80</v>
      </c>
      <c r="C35" s="3" t="s">
        <v>81</v>
      </c>
      <c r="D35" s="5">
        <v>46028</v>
      </c>
      <c r="E35" s="5">
        <v>46182</v>
      </c>
      <c r="F35" s="3" t="s">
        <v>61</v>
      </c>
      <c r="G35" s="3" t="s">
        <v>82</v>
      </c>
      <c r="H35" s="4">
        <v>164</v>
      </c>
      <c r="I35" s="4">
        <v>4413413</v>
      </c>
      <c r="J35" s="3" t="s">
        <v>343</v>
      </c>
      <c r="K35" s="3" t="s">
        <v>344</v>
      </c>
      <c r="L35" s="3" t="s">
        <v>345</v>
      </c>
      <c r="M35" s="5">
        <v>46027</v>
      </c>
      <c r="N35" s="3" t="s">
        <v>133</v>
      </c>
      <c r="O35" s="3" t="s">
        <v>134</v>
      </c>
      <c r="P35" s="3" t="s">
        <v>49</v>
      </c>
      <c r="Q35" s="6">
        <v>4176</v>
      </c>
      <c r="R35" s="6">
        <v>227800.8</v>
      </c>
      <c r="S35" s="5">
        <v>46195</v>
      </c>
      <c r="T35" s="3" t="s">
        <v>66</v>
      </c>
      <c r="U35" s="3" t="s">
        <v>76</v>
      </c>
      <c r="V35" s="3" t="s">
        <v>53</v>
      </c>
      <c r="W35" s="3" t="s">
        <v>32</v>
      </c>
      <c r="X35" s="3" t="s">
        <v>50</v>
      </c>
      <c r="Y35" s="3">
        <v>100142</v>
      </c>
      <c r="Z35" s="3" t="s">
        <v>346</v>
      </c>
      <c r="AA35" s="3">
        <v>100122</v>
      </c>
      <c r="AB35" s="3" t="s">
        <v>136</v>
      </c>
      <c r="AC35" s="4">
        <f ca="1">TODAY()-Open[[#This Row],[Status Date]]</f>
        <v>4</v>
      </c>
      <c r="AD35" s="3" t="s">
        <v>90</v>
      </c>
    </row>
    <row r="36" spans="1:30" x14ac:dyDescent="0.3">
      <c r="A36" s="3" t="s">
        <v>72</v>
      </c>
      <c r="B36" s="3" t="s">
        <v>80</v>
      </c>
      <c r="C36" s="3" t="s">
        <v>81</v>
      </c>
      <c r="D36" s="5">
        <v>46029</v>
      </c>
      <c r="E36" s="5">
        <v>46058</v>
      </c>
      <c r="F36" s="3" t="s">
        <v>61</v>
      </c>
      <c r="G36" s="3" t="s">
        <v>82</v>
      </c>
      <c r="H36" s="4">
        <v>163</v>
      </c>
      <c r="I36" s="4">
        <v>4413713</v>
      </c>
      <c r="J36" s="3" t="s">
        <v>347</v>
      </c>
      <c r="K36" s="3" t="s">
        <v>348</v>
      </c>
      <c r="L36" s="3" t="s">
        <v>349</v>
      </c>
      <c r="M36" s="5">
        <v>45945</v>
      </c>
      <c r="N36" s="3" t="s">
        <v>350</v>
      </c>
      <c r="O36" s="3" t="s">
        <v>351</v>
      </c>
      <c r="P36" s="3" t="s">
        <v>34</v>
      </c>
      <c r="Q36" s="6">
        <v>5264.66</v>
      </c>
      <c r="R36" s="6">
        <v>5264.66</v>
      </c>
      <c r="S36" s="5">
        <v>46162</v>
      </c>
      <c r="T36" s="3" t="s">
        <v>60</v>
      </c>
      <c r="U36" s="3" t="s">
        <v>70</v>
      </c>
      <c r="V36" s="3" t="s">
        <v>53</v>
      </c>
      <c r="W36" s="3" t="s">
        <v>32</v>
      </c>
      <c r="X36" s="3" t="s">
        <v>35</v>
      </c>
      <c r="Y36" s="3">
        <v>100122</v>
      </c>
      <c r="Z36" s="3" t="s">
        <v>136</v>
      </c>
      <c r="AA36" s="3">
        <v>100122</v>
      </c>
      <c r="AB36" s="3" t="s">
        <v>136</v>
      </c>
      <c r="AC36" s="4">
        <f ca="1">TODAY()-Open[[#This Row],[Status Date]]</f>
        <v>37</v>
      </c>
      <c r="AD36" s="3" t="s">
        <v>90</v>
      </c>
    </row>
    <row r="37" spans="1:30" x14ac:dyDescent="0.3">
      <c r="A37" s="3" t="s">
        <v>72</v>
      </c>
      <c r="B37" s="3" t="s">
        <v>80</v>
      </c>
      <c r="C37" s="3" t="s">
        <v>81</v>
      </c>
      <c r="D37" s="5">
        <v>46050</v>
      </c>
      <c r="E37" s="5">
        <v>46055</v>
      </c>
      <c r="F37" s="3" t="s">
        <v>61</v>
      </c>
      <c r="G37" s="3" t="s">
        <v>82</v>
      </c>
      <c r="H37" s="4">
        <v>142</v>
      </c>
      <c r="I37" s="4">
        <v>4426122</v>
      </c>
      <c r="J37" s="3" t="s">
        <v>352</v>
      </c>
      <c r="K37" s="3" t="s">
        <v>353</v>
      </c>
      <c r="L37" s="3" t="s">
        <v>354</v>
      </c>
      <c r="M37" s="5">
        <v>45979</v>
      </c>
      <c r="N37" s="3" t="s">
        <v>133</v>
      </c>
      <c r="O37" s="3" t="s">
        <v>134</v>
      </c>
      <c r="P37" s="3" t="s">
        <v>58</v>
      </c>
      <c r="Q37" s="6">
        <v>11.2</v>
      </c>
      <c r="R37" s="6">
        <v>11.2</v>
      </c>
      <c r="S37" s="5">
        <v>46188</v>
      </c>
      <c r="T37" s="3" t="s">
        <v>67</v>
      </c>
      <c r="U37" s="3" t="s">
        <v>274</v>
      </c>
      <c r="V37" s="3" t="s">
        <v>53</v>
      </c>
      <c r="W37" s="3" t="s">
        <v>32</v>
      </c>
      <c r="X37" s="3" t="s">
        <v>59</v>
      </c>
      <c r="Y37" s="3">
        <v>100292</v>
      </c>
      <c r="Z37" s="3" t="s">
        <v>355</v>
      </c>
      <c r="AA37" s="3">
        <v>100112</v>
      </c>
      <c r="AB37" s="3" t="s">
        <v>89</v>
      </c>
      <c r="AC37" s="4">
        <f ca="1">TODAY()-Open[[#This Row],[Status Date]]</f>
        <v>11</v>
      </c>
      <c r="AD37" s="3" t="s">
        <v>90</v>
      </c>
    </row>
    <row r="38" spans="1:30" x14ac:dyDescent="0.3">
      <c r="A38" s="3" t="s">
        <v>72</v>
      </c>
      <c r="B38" s="3" t="s">
        <v>80</v>
      </c>
      <c r="C38" s="3" t="s">
        <v>81</v>
      </c>
      <c r="D38" s="5">
        <v>46052</v>
      </c>
      <c r="E38" s="5">
        <v>46178</v>
      </c>
      <c r="F38" s="3" t="s">
        <v>61</v>
      </c>
      <c r="G38" s="3" t="s">
        <v>82</v>
      </c>
      <c r="H38" s="4">
        <v>140</v>
      </c>
      <c r="I38" s="4">
        <v>4429392</v>
      </c>
      <c r="J38" s="3" t="s">
        <v>356</v>
      </c>
      <c r="K38" s="3" t="s">
        <v>357</v>
      </c>
      <c r="L38" s="3" t="s">
        <v>358</v>
      </c>
      <c r="M38" s="5">
        <v>45791</v>
      </c>
      <c r="N38" s="3" t="s">
        <v>359</v>
      </c>
      <c r="O38" s="3" t="s">
        <v>360</v>
      </c>
      <c r="P38" s="3" t="s">
        <v>51</v>
      </c>
      <c r="Q38" s="6">
        <v>10115.02</v>
      </c>
      <c r="R38" s="6">
        <v>10115.02</v>
      </c>
      <c r="S38" s="5">
        <v>46195</v>
      </c>
      <c r="T38" s="3" t="s">
        <v>60</v>
      </c>
      <c r="U38" s="3" t="s">
        <v>70</v>
      </c>
      <c r="V38" s="3" t="s">
        <v>53</v>
      </c>
      <c r="W38" s="3" t="s">
        <v>32</v>
      </c>
      <c r="X38" s="3" t="s">
        <v>52</v>
      </c>
      <c r="Y38" s="3">
        <v>100112</v>
      </c>
      <c r="Z38" s="3" t="s">
        <v>89</v>
      </c>
      <c r="AA38" s="3">
        <v>100112</v>
      </c>
      <c r="AB38" s="3" t="s">
        <v>89</v>
      </c>
      <c r="AC38" s="4">
        <f ca="1">TODAY()-Open[[#This Row],[Status Date]]</f>
        <v>4</v>
      </c>
      <c r="AD38" s="3" t="s">
        <v>90</v>
      </c>
    </row>
    <row r="39" spans="1:30" x14ac:dyDescent="0.3">
      <c r="A39" s="3" t="s">
        <v>72</v>
      </c>
      <c r="B39" s="3" t="s">
        <v>80</v>
      </c>
      <c r="C39" s="3" t="s">
        <v>81</v>
      </c>
      <c r="D39" s="5">
        <v>46057</v>
      </c>
      <c r="E39" s="5">
        <v>46147</v>
      </c>
      <c r="F39" s="3" t="s">
        <v>61</v>
      </c>
      <c r="G39" s="3" t="s">
        <v>82</v>
      </c>
      <c r="H39" s="4">
        <v>135</v>
      </c>
      <c r="I39" s="4">
        <v>4430941</v>
      </c>
      <c r="J39" s="3" t="s">
        <v>361</v>
      </c>
      <c r="K39" s="3" t="s">
        <v>362</v>
      </c>
      <c r="L39" s="3" t="s">
        <v>363</v>
      </c>
      <c r="M39" s="5">
        <v>45992</v>
      </c>
      <c r="N39" s="3" t="s">
        <v>317</v>
      </c>
      <c r="O39" s="3" t="s">
        <v>318</v>
      </c>
      <c r="P39" s="3" t="s">
        <v>34</v>
      </c>
      <c r="Q39" s="6">
        <v>3463.2</v>
      </c>
      <c r="R39" s="6">
        <v>3463.2</v>
      </c>
      <c r="S39" s="5">
        <v>46171</v>
      </c>
      <c r="T39" s="3" t="s">
        <v>60</v>
      </c>
      <c r="U39" s="3" t="s">
        <v>70</v>
      </c>
      <c r="V39" s="3" t="s">
        <v>53</v>
      </c>
      <c r="W39" s="3" t="s">
        <v>32</v>
      </c>
      <c r="X39" s="3" t="s">
        <v>35</v>
      </c>
      <c r="Y39" s="3">
        <v>100242</v>
      </c>
      <c r="Z39" s="3" t="s">
        <v>233</v>
      </c>
      <c r="AA39" s="3">
        <v>100242</v>
      </c>
      <c r="AB39" s="3" t="s">
        <v>233</v>
      </c>
      <c r="AC39" s="4">
        <f ca="1">TODAY()-Open[[#This Row],[Status Date]]</f>
        <v>28</v>
      </c>
      <c r="AD39" s="3" t="s">
        <v>90</v>
      </c>
    </row>
    <row r="40" spans="1:30" x14ac:dyDescent="0.3">
      <c r="A40" s="3" t="s">
        <v>72</v>
      </c>
      <c r="B40" s="3" t="s">
        <v>80</v>
      </c>
      <c r="C40" s="3" t="s">
        <v>81</v>
      </c>
      <c r="D40" s="5">
        <v>46057</v>
      </c>
      <c r="E40" s="5">
        <v>46147</v>
      </c>
      <c r="F40" s="3" t="s">
        <v>61</v>
      </c>
      <c r="G40" s="3" t="s">
        <v>82</v>
      </c>
      <c r="H40" s="4">
        <v>135</v>
      </c>
      <c r="I40" s="4">
        <v>4432841</v>
      </c>
      <c r="J40" s="3" t="s">
        <v>364</v>
      </c>
      <c r="K40" s="3" t="s">
        <v>365</v>
      </c>
      <c r="L40" s="3" t="s">
        <v>366</v>
      </c>
      <c r="M40" s="5">
        <v>45992</v>
      </c>
      <c r="N40" s="3" t="s">
        <v>317</v>
      </c>
      <c r="O40" s="3" t="s">
        <v>318</v>
      </c>
      <c r="P40" s="3" t="s">
        <v>34</v>
      </c>
      <c r="Q40" s="6">
        <v>2308.8000000000002</v>
      </c>
      <c r="R40" s="6">
        <v>2308.8000000000002</v>
      </c>
      <c r="S40" s="5">
        <v>46171</v>
      </c>
      <c r="T40" s="3" t="s">
        <v>60</v>
      </c>
      <c r="U40" s="3" t="s">
        <v>70</v>
      </c>
      <c r="V40" s="3" t="s">
        <v>53</v>
      </c>
      <c r="W40" s="3" t="s">
        <v>32</v>
      </c>
      <c r="X40" s="3" t="s">
        <v>35</v>
      </c>
      <c r="Y40" s="3">
        <v>100272</v>
      </c>
      <c r="Z40" s="3" t="s">
        <v>163</v>
      </c>
      <c r="AA40" s="3">
        <v>100272</v>
      </c>
      <c r="AB40" s="3" t="s">
        <v>163</v>
      </c>
      <c r="AC40" s="4">
        <f ca="1">TODAY()-Open[[#This Row],[Status Date]]</f>
        <v>28</v>
      </c>
      <c r="AD40" s="3" t="s">
        <v>90</v>
      </c>
    </row>
    <row r="41" spans="1:30" x14ac:dyDescent="0.3">
      <c r="A41" s="3" t="s">
        <v>72</v>
      </c>
      <c r="B41" s="3" t="s">
        <v>80</v>
      </c>
      <c r="C41" s="3" t="s">
        <v>81</v>
      </c>
      <c r="D41" s="5">
        <v>46060</v>
      </c>
      <c r="E41" s="5">
        <v>46191</v>
      </c>
      <c r="F41" s="3" t="s">
        <v>61</v>
      </c>
      <c r="G41" s="3" t="s">
        <v>82</v>
      </c>
      <c r="H41" s="4">
        <v>132</v>
      </c>
      <c r="I41" s="4">
        <v>4432451</v>
      </c>
      <c r="J41" s="3" t="s">
        <v>367</v>
      </c>
      <c r="K41" s="3" t="s">
        <v>368</v>
      </c>
      <c r="L41" s="3" t="s">
        <v>369</v>
      </c>
      <c r="M41" s="5">
        <v>45821</v>
      </c>
      <c r="N41" s="3" t="s">
        <v>259</v>
      </c>
      <c r="O41" s="3" t="s">
        <v>260</v>
      </c>
      <c r="P41" s="3" t="s">
        <v>58</v>
      </c>
      <c r="Q41" s="6">
        <v>17.32</v>
      </c>
      <c r="R41" s="6">
        <v>17.32</v>
      </c>
      <c r="S41" s="5">
        <v>46188</v>
      </c>
      <c r="T41" s="3" t="s">
        <v>67</v>
      </c>
      <c r="U41" s="3" t="s">
        <v>274</v>
      </c>
      <c r="V41" s="3" t="s">
        <v>53</v>
      </c>
      <c r="W41" s="3" t="s">
        <v>32</v>
      </c>
      <c r="X41" s="3" t="s">
        <v>59</v>
      </c>
      <c r="Y41" s="3">
        <v>100292</v>
      </c>
      <c r="Z41" s="3" t="s">
        <v>355</v>
      </c>
      <c r="AA41" s="3">
        <v>100112</v>
      </c>
      <c r="AB41" s="3" t="s">
        <v>89</v>
      </c>
      <c r="AC41" s="4">
        <f ca="1">TODAY()-Open[[#This Row],[Status Date]]</f>
        <v>11</v>
      </c>
      <c r="AD41" s="3" t="s">
        <v>90</v>
      </c>
    </row>
    <row r="42" spans="1:30" x14ac:dyDescent="0.3">
      <c r="A42" s="3" t="s">
        <v>72</v>
      </c>
      <c r="B42" s="3" t="s">
        <v>80</v>
      </c>
      <c r="C42" s="3" t="s">
        <v>370</v>
      </c>
      <c r="D42" s="5">
        <v>46064</v>
      </c>
      <c r="E42" s="5">
        <v>46064</v>
      </c>
      <c r="F42" s="3" t="s">
        <v>61</v>
      </c>
      <c r="G42" s="3" t="s">
        <v>82</v>
      </c>
      <c r="H42" s="4">
        <v>128</v>
      </c>
      <c r="I42" s="4">
        <v>4433241</v>
      </c>
      <c r="J42" s="3" t="s">
        <v>371</v>
      </c>
      <c r="K42" s="3" t="s">
        <v>372</v>
      </c>
      <c r="L42" s="3" t="s">
        <v>373</v>
      </c>
      <c r="M42" s="5">
        <v>46029</v>
      </c>
      <c r="N42" s="3" t="s">
        <v>374</v>
      </c>
      <c r="O42" s="3" t="s">
        <v>375</v>
      </c>
      <c r="P42" s="3" t="s">
        <v>34</v>
      </c>
      <c r="Q42" s="6">
        <v>287.61</v>
      </c>
      <c r="R42" s="6">
        <v>287.61</v>
      </c>
      <c r="S42" s="5">
        <v>46171</v>
      </c>
      <c r="T42" s="3" t="s">
        <v>60</v>
      </c>
      <c r="U42" s="3" t="s">
        <v>70</v>
      </c>
      <c r="V42" s="3" t="s">
        <v>53</v>
      </c>
      <c r="W42" s="3" t="s">
        <v>32</v>
      </c>
      <c r="X42" s="3" t="s">
        <v>35</v>
      </c>
      <c r="Y42" s="3">
        <v>100272</v>
      </c>
      <c r="Z42" s="3" t="s">
        <v>163</v>
      </c>
      <c r="AA42" s="3">
        <v>100272</v>
      </c>
      <c r="AB42" s="3" t="s">
        <v>163</v>
      </c>
      <c r="AC42" s="4">
        <f ca="1">TODAY()-Open[[#This Row],[Status Date]]</f>
        <v>28</v>
      </c>
      <c r="AD42" s="3" t="s">
        <v>90</v>
      </c>
    </row>
    <row r="43" spans="1:30" x14ac:dyDescent="0.3">
      <c r="A43" s="3" t="s">
        <v>91</v>
      </c>
      <c r="B43" s="3" t="s">
        <v>223</v>
      </c>
      <c r="C43" s="3" t="s">
        <v>92</v>
      </c>
      <c r="D43" s="5">
        <v>46065</v>
      </c>
      <c r="E43" s="5">
        <v>46161</v>
      </c>
      <c r="F43" s="3" t="s">
        <v>61</v>
      </c>
      <c r="G43" s="3" t="s">
        <v>82</v>
      </c>
      <c r="H43" s="4">
        <v>127</v>
      </c>
      <c r="I43" s="4">
        <v>4433371</v>
      </c>
      <c r="J43" s="3" t="s">
        <v>376</v>
      </c>
      <c r="K43" s="3" t="s">
        <v>377</v>
      </c>
      <c r="L43" s="3" t="s">
        <v>378</v>
      </c>
      <c r="M43" s="5">
        <v>46064</v>
      </c>
      <c r="N43" s="3" t="s">
        <v>379</v>
      </c>
      <c r="O43" s="3" t="s">
        <v>380</v>
      </c>
      <c r="P43" s="3" t="s">
        <v>46</v>
      </c>
      <c r="Q43" s="6">
        <v>2031.25</v>
      </c>
      <c r="R43" s="6">
        <v>2031.25</v>
      </c>
      <c r="S43" s="5">
        <v>46094</v>
      </c>
      <c r="T43" s="3" t="s">
        <v>68</v>
      </c>
      <c r="U43" s="3" t="s">
        <v>69</v>
      </c>
      <c r="V43" s="3" t="s">
        <v>53</v>
      </c>
      <c r="W43" s="3" t="s">
        <v>32</v>
      </c>
      <c r="X43" s="3" t="s">
        <v>48</v>
      </c>
      <c r="Y43" s="3">
        <v>100172</v>
      </c>
      <c r="Z43" s="3" t="s">
        <v>135</v>
      </c>
      <c r="AA43" s="3">
        <v>100122</v>
      </c>
      <c r="AB43" s="3" t="s">
        <v>136</v>
      </c>
      <c r="AC43" s="4">
        <f ca="1">TODAY()-Open[[#This Row],[Status Date]]</f>
        <v>105</v>
      </c>
      <c r="AD43" s="3" t="s">
        <v>90</v>
      </c>
    </row>
    <row r="44" spans="1:30" x14ac:dyDescent="0.3">
      <c r="A44" s="3" t="s">
        <v>72</v>
      </c>
      <c r="B44" s="3" t="s">
        <v>80</v>
      </c>
      <c r="C44" s="3" t="s">
        <v>81</v>
      </c>
      <c r="D44" s="5">
        <v>46065</v>
      </c>
      <c r="E44" s="5">
        <v>46143</v>
      </c>
      <c r="F44" s="3" t="s">
        <v>61</v>
      </c>
      <c r="G44" s="3" t="s">
        <v>82</v>
      </c>
      <c r="H44" s="4">
        <v>127</v>
      </c>
      <c r="I44" s="4">
        <v>4434891</v>
      </c>
      <c r="J44" s="3" t="s">
        <v>381</v>
      </c>
      <c r="K44" s="3" t="s">
        <v>382</v>
      </c>
      <c r="L44" s="3" t="s">
        <v>383</v>
      </c>
      <c r="M44" s="5">
        <v>45436</v>
      </c>
      <c r="N44" s="3" t="s">
        <v>86</v>
      </c>
      <c r="O44" s="3" t="s">
        <v>87</v>
      </c>
      <c r="P44" s="3" t="s">
        <v>34</v>
      </c>
      <c r="Q44" s="6">
        <v>9700.4</v>
      </c>
      <c r="R44" s="6">
        <v>9700.4</v>
      </c>
      <c r="S44" s="5">
        <v>46188</v>
      </c>
      <c r="T44" s="3" t="s">
        <v>60</v>
      </c>
      <c r="U44" s="3" t="s">
        <v>70</v>
      </c>
      <c r="V44" s="3" t="s">
        <v>47</v>
      </c>
      <c r="W44" s="3" t="s">
        <v>71</v>
      </c>
      <c r="X44" s="3" t="s">
        <v>35</v>
      </c>
      <c r="Y44" s="3">
        <v>100202</v>
      </c>
      <c r="Z44" s="3" t="s">
        <v>229</v>
      </c>
      <c r="AA44" s="3">
        <v>100202</v>
      </c>
      <c r="AB44" s="3" t="s">
        <v>229</v>
      </c>
      <c r="AC44" s="4">
        <f ca="1">TODAY()-Open[[#This Row],[Status Date]]</f>
        <v>11</v>
      </c>
      <c r="AD44" s="3" t="s">
        <v>90</v>
      </c>
    </row>
    <row r="45" spans="1:30" x14ac:dyDescent="0.3">
      <c r="A45" s="3" t="s">
        <v>72</v>
      </c>
      <c r="B45" s="3" t="s">
        <v>80</v>
      </c>
      <c r="C45" s="3" t="s">
        <v>81</v>
      </c>
      <c r="D45" s="5">
        <v>46065</v>
      </c>
      <c r="E45" s="5">
        <v>46143</v>
      </c>
      <c r="F45" s="3" t="s">
        <v>61</v>
      </c>
      <c r="G45" s="3" t="s">
        <v>82</v>
      </c>
      <c r="H45" s="4">
        <v>127</v>
      </c>
      <c r="I45" s="4">
        <v>4435021</v>
      </c>
      <c r="J45" s="3" t="s">
        <v>384</v>
      </c>
      <c r="K45" s="3" t="s">
        <v>385</v>
      </c>
      <c r="L45" s="3" t="s">
        <v>386</v>
      </c>
      <c r="M45" s="5">
        <v>45717</v>
      </c>
      <c r="N45" s="3" t="s">
        <v>86</v>
      </c>
      <c r="O45" s="3" t="s">
        <v>87</v>
      </c>
      <c r="P45" s="3" t="s">
        <v>34</v>
      </c>
      <c r="Q45" s="6">
        <v>4400</v>
      </c>
      <c r="R45" s="6">
        <v>4400</v>
      </c>
      <c r="S45" s="5">
        <v>46188</v>
      </c>
      <c r="T45" s="3" t="s">
        <v>60</v>
      </c>
      <c r="U45" s="3" t="s">
        <v>70</v>
      </c>
      <c r="V45" s="3" t="s">
        <v>47</v>
      </c>
      <c r="W45" s="3" t="s">
        <v>71</v>
      </c>
      <c r="X45" s="3" t="s">
        <v>35</v>
      </c>
      <c r="Y45" s="3">
        <v>100232</v>
      </c>
      <c r="Z45" s="3" t="s">
        <v>300</v>
      </c>
      <c r="AA45" s="3">
        <v>100232</v>
      </c>
      <c r="AB45" s="3" t="s">
        <v>300</v>
      </c>
      <c r="AC45" s="4">
        <f ca="1">TODAY()-Open[[#This Row],[Status Date]]</f>
        <v>11</v>
      </c>
      <c r="AD45" s="3" t="s">
        <v>90</v>
      </c>
    </row>
    <row r="46" spans="1:30" x14ac:dyDescent="0.3">
      <c r="A46" s="3" t="s">
        <v>72</v>
      </c>
      <c r="B46" s="3" t="s">
        <v>80</v>
      </c>
      <c r="C46" s="3" t="s">
        <v>81</v>
      </c>
      <c r="D46" s="5">
        <v>46065</v>
      </c>
      <c r="E46" s="5">
        <v>46143</v>
      </c>
      <c r="F46" s="3" t="s">
        <v>61</v>
      </c>
      <c r="G46" s="3" t="s">
        <v>82</v>
      </c>
      <c r="H46" s="4">
        <v>127</v>
      </c>
      <c r="I46" s="4">
        <v>4434751</v>
      </c>
      <c r="J46" s="3" t="s">
        <v>387</v>
      </c>
      <c r="K46" s="3" t="s">
        <v>388</v>
      </c>
      <c r="L46" s="3" t="s">
        <v>389</v>
      </c>
      <c r="M46" s="5">
        <v>45734</v>
      </c>
      <c r="N46" s="3" t="s">
        <v>86</v>
      </c>
      <c r="O46" s="3" t="s">
        <v>87</v>
      </c>
      <c r="P46" s="3" t="s">
        <v>34</v>
      </c>
      <c r="Q46" s="6">
        <v>2926.22</v>
      </c>
      <c r="R46" s="6">
        <v>2926.22</v>
      </c>
      <c r="S46" s="5">
        <v>46188</v>
      </c>
      <c r="T46" s="3" t="s">
        <v>60</v>
      </c>
      <c r="U46" s="3" t="s">
        <v>70</v>
      </c>
      <c r="V46" s="3" t="s">
        <v>47</v>
      </c>
      <c r="W46" s="3" t="s">
        <v>71</v>
      </c>
      <c r="X46" s="3" t="s">
        <v>35</v>
      </c>
      <c r="Y46" s="3">
        <v>100242</v>
      </c>
      <c r="Z46" s="3" t="s">
        <v>233</v>
      </c>
      <c r="AA46" s="3">
        <v>100242</v>
      </c>
      <c r="AB46" s="3" t="s">
        <v>233</v>
      </c>
      <c r="AC46" s="4">
        <f ca="1">TODAY()-Open[[#This Row],[Status Date]]</f>
        <v>11</v>
      </c>
      <c r="AD46" s="3" t="s">
        <v>90</v>
      </c>
    </row>
    <row r="47" spans="1:30" x14ac:dyDescent="0.3">
      <c r="A47" s="3" t="s">
        <v>72</v>
      </c>
      <c r="B47" s="3" t="s">
        <v>80</v>
      </c>
      <c r="C47" s="3" t="s">
        <v>81</v>
      </c>
      <c r="D47" s="5">
        <v>46065</v>
      </c>
      <c r="E47" s="5">
        <v>46143</v>
      </c>
      <c r="F47" s="3" t="s">
        <v>61</v>
      </c>
      <c r="G47" s="3" t="s">
        <v>82</v>
      </c>
      <c r="H47" s="4">
        <v>127</v>
      </c>
      <c r="I47" s="4">
        <v>4435331</v>
      </c>
      <c r="J47" s="3" t="s">
        <v>390</v>
      </c>
      <c r="K47" s="3" t="s">
        <v>391</v>
      </c>
      <c r="L47" s="3" t="s">
        <v>392</v>
      </c>
      <c r="M47" s="5">
        <v>45805</v>
      </c>
      <c r="N47" s="3" t="s">
        <v>86</v>
      </c>
      <c r="O47" s="3" t="s">
        <v>87</v>
      </c>
      <c r="P47" s="3" t="s">
        <v>34</v>
      </c>
      <c r="Q47" s="6">
        <v>350</v>
      </c>
      <c r="R47" s="6">
        <v>350</v>
      </c>
      <c r="S47" s="5">
        <v>46188</v>
      </c>
      <c r="T47" s="3" t="s">
        <v>60</v>
      </c>
      <c r="U47" s="3" t="s">
        <v>70</v>
      </c>
      <c r="V47" s="3" t="s">
        <v>47</v>
      </c>
      <c r="W47" s="3" t="s">
        <v>71</v>
      </c>
      <c r="X47" s="3" t="s">
        <v>35</v>
      </c>
      <c r="Y47" s="3">
        <v>100272</v>
      </c>
      <c r="Z47" s="3" t="s">
        <v>163</v>
      </c>
      <c r="AA47" s="3">
        <v>100272</v>
      </c>
      <c r="AB47" s="3" t="s">
        <v>163</v>
      </c>
      <c r="AC47" s="4">
        <f ca="1">TODAY()-Open[[#This Row],[Status Date]]</f>
        <v>11</v>
      </c>
      <c r="AD47" s="3" t="s">
        <v>90</v>
      </c>
    </row>
    <row r="48" spans="1:30" x14ac:dyDescent="0.3">
      <c r="A48" s="3" t="s">
        <v>72</v>
      </c>
      <c r="B48" s="3" t="s">
        <v>80</v>
      </c>
      <c r="C48" s="3" t="s">
        <v>81</v>
      </c>
      <c r="D48" s="5">
        <v>46065</v>
      </c>
      <c r="E48" s="5">
        <v>46143</v>
      </c>
      <c r="F48" s="3" t="s">
        <v>61</v>
      </c>
      <c r="G48" s="3" t="s">
        <v>82</v>
      </c>
      <c r="H48" s="4">
        <v>127</v>
      </c>
      <c r="I48" s="4">
        <v>4434881</v>
      </c>
      <c r="J48" s="3" t="s">
        <v>393</v>
      </c>
      <c r="K48" s="3" t="s">
        <v>394</v>
      </c>
      <c r="L48" s="3" t="s">
        <v>395</v>
      </c>
      <c r="M48" s="5">
        <v>45930</v>
      </c>
      <c r="N48" s="3" t="s">
        <v>86</v>
      </c>
      <c r="O48" s="3" t="s">
        <v>87</v>
      </c>
      <c r="P48" s="3" t="s">
        <v>34</v>
      </c>
      <c r="Q48" s="6">
        <v>500</v>
      </c>
      <c r="R48" s="6">
        <v>500</v>
      </c>
      <c r="S48" s="5">
        <v>46188</v>
      </c>
      <c r="T48" s="3" t="s">
        <v>60</v>
      </c>
      <c r="U48" s="3" t="s">
        <v>70</v>
      </c>
      <c r="V48" s="3" t="s">
        <v>47</v>
      </c>
      <c r="W48" s="3" t="s">
        <v>71</v>
      </c>
      <c r="X48" s="3" t="s">
        <v>35</v>
      </c>
      <c r="Y48" s="3">
        <v>100282</v>
      </c>
      <c r="Z48" s="3" t="s">
        <v>199</v>
      </c>
      <c r="AA48" s="3">
        <v>100282</v>
      </c>
      <c r="AB48" s="3" t="s">
        <v>199</v>
      </c>
      <c r="AC48" s="4">
        <f ca="1">TODAY()-Open[[#This Row],[Status Date]]</f>
        <v>11</v>
      </c>
      <c r="AD48" s="3" t="s">
        <v>90</v>
      </c>
    </row>
    <row r="49" spans="1:30" x14ac:dyDescent="0.3">
      <c r="A49" s="3" t="s">
        <v>72</v>
      </c>
      <c r="B49" s="3" t="s">
        <v>80</v>
      </c>
      <c r="C49" s="3" t="s">
        <v>81</v>
      </c>
      <c r="D49" s="5">
        <v>46065</v>
      </c>
      <c r="E49" s="5">
        <v>46143</v>
      </c>
      <c r="F49" s="3" t="s">
        <v>61</v>
      </c>
      <c r="G49" s="3" t="s">
        <v>82</v>
      </c>
      <c r="H49" s="4">
        <v>127</v>
      </c>
      <c r="I49" s="4">
        <v>4434741</v>
      </c>
      <c r="J49" s="3" t="s">
        <v>396</v>
      </c>
      <c r="K49" s="3" t="s">
        <v>397</v>
      </c>
      <c r="L49" s="3" t="s">
        <v>398</v>
      </c>
      <c r="M49" s="5">
        <v>45931</v>
      </c>
      <c r="N49" s="3" t="s">
        <v>86</v>
      </c>
      <c r="O49" s="3" t="s">
        <v>87</v>
      </c>
      <c r="P49" s="3" t="s">
        <v>34</v>
      </c>
      <c r="Q49" s="6">
        <v>6527.54</v>
      </c>
      <c r="R49" s="6">
        <v>6527.54</v>
      </c>
      <c r="S49" s="5">
        <v>46188</v>
      </c>
      <c r="T49" s="3" t="s">
        <v>60</v>
      </c>
      <c r="U49" s="3" t="s">
        <v>70</v>
      </c>
      <c r="V49" s="3" t="s">
        <v>47</v>
      </c>
      <c r="W49" s="3" t="s">
        <v>71</v>
      </c>
      <c r="X49" s="3" t="s">
        <v>35</v>
      </c>
      <c r="Y49" s="3">
        <v>100112</v>
      </c>
      <c r="Z49" s="3" t="s">
        <v>89</v>
      </c>
      <c r="AA49" s="3">
        <v>100112</v>
      </c>
      <c r="AB49" s="3" t="s">
        <v>89</v>
      </c>
      <c r="AC49" s="4">
        <f ca="1">TODAY()-Open[[#This Row],[Status Date]]</f>
        <v>11</v>
      </c>
      <c r="AD49" s="3" t="s">
        <v>90</v>
      </c>
    </row>
    <row r="50" spans="1:30" x14ac:dyDescent="0.3">
      <c r="A50" s="3" t="s">
        <v>72</v>
      </c>
      <c r="B50" s="3" t="s">
        <v>80</v>
      </c>
      <c r="C50" s="3" t="s">
        <v>81</v>
      </c>
      <c r="D50" s="5">
        <v>46080</v>
      </c>
      <c r="E50" s="5">
        <v>46147</v>
      </c>
      <c r="F50" s="3" t="s">
        <v>61</v>
      </c>
      <c r="G50" s="3" t="s">
        <v>82</v>
      </c>
      <c r="H50" s="4">
        <v>112</v>
      </c>
      <c r="I50" s="4">
        <v>4439977</v>
      </c>
      <c r="J50" s="3" t="s">
        <v>399</v>
      </c>
      <c r="K50" s="3" t="s">
        <v>400</v>
      </c>
      <c r="L50" s="3" t="s">
        <v>401</v>
      </c>
      <c r="M50" s="5">
        <v>45887</v>
      </c>
      <c r="N50" s="3" t="s">
        <v>402</v>
      </c>
      <c r="O50" s="3" t="s">
        <v>403</v>
      </c>
      <c r="P50" s="3" t="s">
        <v>38</v>
      </c>
      <c r="Q50" s="6">
        <v>4668.3</v>
      </c>
      <c r="R50" s="6">
        <v>4668.3</v>
      </c>
      <c r="S50" s="5">
        <v>46148</v>
      </c>
      <c r="T50" s="3" t="s">
        <v>60</v>
      </c>
      <c r="U50" s="3" t="s">
        <v>70</v>
      </c>
      <c r="V50" s="3" t="s">
        <v>47</v>
      </c>
      <c r="W50" s="3" t="s">
        <v>71</v>
      </c>
      <c r="X50" s="3" t="s">
        <v>39</v>
      </c>
      <c r="Y50" s="3">
        <v>100232</v>
      </c>
      <c r="Z50" s="3" t="s">
        <v>300</v>
      </c>
      <c r="AA50" s="3">
        <v>100232</v>
      </c>
      <c r="AB50" s="3" t="s">
        <v>300</v>
      </c>
      <c r="AC50" s="4">
        <f ca="1">TODAY()-Open[[#This Row],[Status Date]]</f>
        <v>51</v>
      </c>
      <c r="AD50" s="3" t="s">
        <v>90</v>
      </c>
    </row>
    <row r="51" spans="1:30" x14ac:dyDescent="0.3">
      <c r="A51" s="3" t="s">
        <v>72</v>
      </c>
      <c r="B51" s="3" t="s">
        <v>80</v>
      </c>
      <c r="C51" s="3" t="s">
        <v>81</v>
      </c>
      <c r="D51" s="5">
        <v>46084</v>
      </c>
      <c r="E51" s="5">
        <v>46191</v>
      </c>
      <c r="F51" s="3" t="s">
        <v>61</v>
      </c>
      <c r="G51" s="3" t="s">
        <v>82</v>
      </c>
      <c r="H51" s="4">
        <v>108</v>
      </c>
      <c r="I51" s="4">
        <v>4441875</v>
      </c>
      <c r="J51" s="3" t="s">
        <v>404</v>
      </c>
      <c r="K51" s="3" t="s">
        <v>405</v>
      </c>
      <c r="L51" s="3" t="s">
        <v>406</v>
      </c>
      <c r="M51" s="5">
        <v>45040</v>
      </c>
      <c r="N51" s="3" t="s">
        <v>259</v>
      </c>
      <c r="O51" s="3" t="s">
        <v>260</v>
      </c>
      <c r="P51" s="3" t="s">
        <v>34</v>
      </c>
      <c r="Q51" s="6">
        <v>601.16</v>
      </c>
      <c r="R51" s="6">
        <v>601.16</v>
      </c>
      <c r="S51" s="5">
        <v>46170</v>
      </c>
      <c r="T51" s="3" t="s">
        <v>60</v>
      </c>
      <c r="U51" s="3" t="s">
        <v>70</v>
      </c>
      <c r="V51" s="3" t="s">
        <v>53</v>
      </c>
      <c r="W51" s="3" t="s">
        <v>32</v>
      </c>
      <c r="X51" s="3" t="s">
        <v>35</v>
      </c>
      <c r="Y51" s="3">
        <v>100202</v>
      </c>
      <c r="Z51" s="3" t="s">
        <v>229</v>
      </c>
      <c r="AA51" s="3">
        <v>100202</v>
      </c>
      <c r="AB51" s="3" t="s">
        <v>229</v>
      </c>
      <c r="AC51" s="4">
        <f ca="1">TODAY()-Open[[#This Row],[Status Date]]</f>
        <v>29</v>
      </c>
      <c r="AD51" s="3" t="s">
        <v>90</v>
      </c>
    </row>
    <row r="52" spans="1:30" x14ac:dyDescent="0.3">
      <c r="A52" s="3" t="s">
        <v>72</v>
      </c>
      <c r="B52" s="3" t="s">
        <v>80</v>
      </c>
      <c r="C52" s="3" t="s">
        <v>81</v>
      </c>
      <c r="D52" s="5">
        <v>46084</v>
      </c>
      <c r="E52" s="5">
        <v>46191</v>
      </c>
      <c r="F52" s="3" t="s">
        <v>61</v>
      </c>
      <c r="G52" s="3" t="s">
        <v>82</v>
      </c>
      <c r="H52" s="4">
        <v>108</v>
      </c>
      <c r="I52" s="4">
        <v>4442355</v>
      </c>
      <c r="J52" s="3" t="s">
        <v>407</v>
      </c>
      <c r="K52" s="3" t="s">
        <v>408</v>
      </c>
      <c r="L52" s="3" t="s">
        <v>409</v>
      </c>
      <c r="M52" s="5">
        <v>45147</v>
      </c>
      <c r="N52" s="3" t="s">
        <v>259</v>
      </c>
      <c r="O52" s="3" t="s">
        <v>260</v>
      </c>
      <c r="P52" s="3" t="s">
        <v>34</v>
      </c>
      <c r="Q52" s="6">
        <v>7819.6</v>
      </c>
      <c r="R52" s="6">
        <v>7819.6</v>
      </c>
      <c r="S52" s="5">
        <v>46170</v>
      </c>
      <c r="T52" s="3" t="s">
        <v>60</v>
      </c>
      <c r="U52" s="3" t="s">
        <v>70</v>
      </c>
      <c r="V52" s="3" t="s">
        <v>53</v>
      </c>
      <c r="W52" s="3" t="s">
        <v>32</v>
      </c>
      <c r="X52" s="3" t="s">
        <v>35</v>
      </c>
      <c r="Y52" s="3">
        <v>100232</v>
      </c>
      <c r="Z52" s="3" t="s">
        <v>300</v>
      </c>
      <c r="AA52" s="3">
        <v>100232</v>
      </c>
      <c r="AB52" s="3" t="s">
        <v>300</v>
      </c>
      <c r="AC52" s="4">
        <f ca="1">TODAY()-Open[[#This Row],[Status Date]]</f>
        <v>29</v>
      </c>
      <c r="AD52" s="3" t="s">
        <v>90</v>
      </c>
    </row>
    <row r="53" spans="1:30" x14ac:dyDescent="0.3">
      <c r="A53" s="3" t="s">
        <v>72</v>
      </c>
      <c r="B53" s="3" t="s">
        <v>80</v>
      </c>
      <c r="C53" s="3" t="s">
        <v>81</v>
      </c>
      <c r="D53" s="5">
        <v>46084</v>
      </c>
      <c r="E53" s="5">
        <v>46191</v>
      </c>
      <c r="F53" s="3" t="s">
        <v>61</v>
      </c>
      <c r="G53" s="3" t="s">
        <v>82</v>
      </c>
      <c r="H53" s="4">
        <v>108</v>
      </c>
      <c r="I53" s="4">
        <v>4441785</v>
      </c>
      <c r="J53" s="3" t="s">
        <v>410</v>
      </c>
      <c r="K53" s="3" t="s">
        <v>411</v>
      </c>
      <c r="L53" s="3" t="s">
        <v>412</v>
      </c>
      <c r="M53" s="5">
        <v>45204</v>
      </c>
      <c r="N53" s="3" t="s">
        <v>259</v>
      </c>
      <c r="O53" s="3" t="s">
        <v>260</v>
      </c>
      <c r="P53" s="3" t="s">
        <v>34</v>
      </c>
      <c r="Q53" s="6">
        <v>186.03</v>
      </c>
      <c r="R53" s="6">
        <v>186.03</v>
      </c>
      <c r="S53" s="5">
        <v>46170</v>
      </c>
      <c r="T53" s="3" t="s">
        <v>60</v>
      </c>
      <c r="U53" s="3" t="s">
        <v>70</v>
      </c>
      <c r="V53" s="3" t="s">
        <v>53</v>
      </c>
      <c r="W53" s="3" t="s">
        <v>32</v>
      </c>
      <c r="X53" s="3" t="s">
        <v>35</v>
      </c>
      <c r="Y53" s="3">
        <v>100242</v>
      </c>
      <c r="Z53" s="3" t="s">
        <v>233</v>
      </c>
      <c r="AA53" s="3">
        <v>100242</v>
      </c>
      <c r="AB53" s="3" t="s">
        <v>233</v>
      </c>
      <c r="AC53" s="4">
        <f ca="1">TODAY()-Open[[#This Row],[Status Date]]</f>
        <v>29</v>
      </c>
      <c r="AD53" s="3" t="s">
        <v>90</v>
      </c>
    </row>
    <row r="54" spans="1:30" x14ac:dyDescent="0.3">
      <c r="A54" s="3" t="s">
        <v>72</v>
      </c>
      <c r="B54" s="3" t="s">
        <v>80</v>
      </c>
      <c r="C54" s="3" t="s">
        <v>81</v>
      </c>
      <c r="D54" s="5">
        <v>46084</v>
      </c>
      <c r="E54" s="5">
        <v>46191</v>
      </c>
      <c r="F54" s="3" t="s">
        <v>61</v>
      </c>
      <c r="G54" s="3" t="s">
        <v>82</v>
      </c>
      <c r="H54" s="4">
        <v>108</v>
      </c>
      <c r="I54" s="4">
        <v>4442325</v>
      </c>
      <c r="J54" s="3" t="s">
        <v>413</v>
      </c>
      <c r="K54" s="3" t="s">
        <v>414</v>
      </c>
      <c r="L54" s="3" t="s">
        <v>415</v>
      </c>
      <c r="M54" s="5">
        <v>45204</v>
      </c>
      <c r="N54" s="3" t="s">
        <v>259</v>
      </c>
      <c r="O54" s="3" t="s">
        <v>260</v>
      </c>
      <c r="P54" s="3" t="s">
        <v>34</v>
      </c>
      <c r="Q54" s="6">
        <v>88.08</v>
      </c>
      <c r="R54" s="6">
        <v>88.08</v>
      </c>
      <c r="S54" s="5">
        <v>46170</v>
      </c>
      <c r="T54" s="3" t="s">
        <v>60</v>
      </c>
      <c r="U54" s="3" t="s">
        <v>70</v>
      </c>
      <c r="V54" s="3" t="s">
        <v>53</v>
      </c>
      <c r="W54" s="3" t="s">
        <v>32</v>
      </c>
      <c r="X54" s="3" t="s">
        <v>35</v>
      </c>
      <c r="Y54" s="3">
        <v>100272</v>
      </c>
      <c r="Z54" s="3" t="s">
        <v>163</v>
      </c>
      <c r="AA54" s="3">
        <v>100272</v>
      </c>
      <c r="AB54" s="3" t="s">
        <v>163</v>
      </c>
      <c r="AC54" s="4">
        <f ca="1">TODAY()-Open[[#This Row],[Status Date]]</f>
        <v>29</v>
      </c>
      <c r="AD54" s="3" t="s">
        <v>90</v>
      </c>
    </row>
    <row r="55" spans="1:30" x14ac:dyDescent="0.3">
      <c r="A55" s="3" t="s">
        <v>72</v>
      </c>
      <c r="B55" s="3" t="s">
        <v>80</v>
      </c>
      <c r="C55" s="3" t="s">
        <v>81</v>
      </c>
      <c r="D55" s="5">
        <v>46084</v>
      </c>
      <c r="E55" s="5">
        <v>46191</v>
      </c>
      <c r="F55" s="3" t="s">
        <v>61</v>
      </c>
      <c r="G55" s="3" t="s">
        <v>82</v>
      </c>
      <c r="H55" s="4">
        <v>108</v>
      </c>
      <c r="I55" s="4">
        <v>4441825</v>
      </c>
      <c r="J55" s="3" t="s">
        <v>416</v>
      </c>
      <c r="K55" s="3" t="s">
        <v>417</v>
      </c>
      <c r="L55" s="3" t="s">
        <v>418</v>
      </c>
      <c r="M55" s="5">
        <v>45204</v>
      </c>
      <c r="N55" s="3" t="s">
        <v>259</v>
      </c>
      <c r="O55" s="3" t="s">
        <v>260</v>
      </c>
      <c r="P55" s="3" t="s">
        <v>34</v>
      </c>
      <c r="Q55" s="6">
        <v>143.06</v>
      </c>
      <c r="R55" s="6">
        <v>143.06</v>
      </c>
      <c r="S55" s="5">
        <v>46170</v>
      </c>
      <c r="T55" s="3" t="s">
        <v>60</v>
      </c>
      <c r="U55" s="3" t="s">
        <v>70</v>
      </c>
      <c r="V55" s="3" t="s">
        <v>53</v>
      </c>
      <c r="W55" s="3" t="s">
        <v>32</v>
      </c>
      <c r="X55" s="3" t="s">
        <v>35</v>
      </c>
      <c r="Y55" s="3">
        <v>100282</v>
      </c>
      <c r="Z55" s="3" t="s">
        <v>199</v>
      </c>
      <c r="AA55" s="3">
        <v>100282</v>
      </c>
      <c r="AB55" s="3" t="s">
        <v>199</v>
      </c>
      <c r="AC55" s="4">
        <f ca="1">TODAY()-Open[[#This Row],[Status Date]]</f>
        <v>29</v>
      </c>
      <c r="AD55" s="3" t="s">
        <v>90</v>
      </c>
    </row>
    <row r="56" spans="1:30" x14ac:dyDescent="0.3">
      <c r="A56" s="3" t="s">
        <v>72</v>
      </c>
      <c r="B56" s="3" t="s">
        <v>80</v>
      </c>
      <c r="C56" s="3" t="s">
        <v>81</v>
      </c>
      <c r="D56" s="5">
        <v>46084</v>
      </c>
      <c r="E56" s="5">
        <v>46191</v>
      </c>
      <c r="F56" s="3" t="s">
        <v>61</v>
      </c>
      <c r="G56" s="3" t="s">
        <v>82</v>
      </c>
      <c r="H56" s="4">
        <v>108</v>
      </c>
      <c r="I56" s="4">
        <v>4442345</v>
      </c>
      <c r="J56" s="3" t="s">
        <v>419</v>
      </c>
      <c r="K56" s="3" t="s">
        <v>420</v>
      </c>
      <c r="L56" s="3" t="s">
        <v>421</v>
      </c>
      <c r="M56" s="5">
        <v>45639</v>
      </c>
      <c r="N56" s="3" t="s">
        <v>259</v>
      </c>
      <c r="O56" s="3" t="s">
        <v>260</v>
      </c>
      <c r="P56" s="3" t="s">
        <v>34</v>
      </c>
      <c r="Q56" s="6">
        <v>1455.53</v>
      </c>
      <c r="R56" s="6">
        <v>1455.53</v>
      </c>
      <c r="S56" s="5">
        <v>46170</v>
      </c>
      <c r="T56" s="3" t="s">
        <v>60</v>
      </c>
      <c r="U56" s="3" t="s">
        <v>70</v>
      </c>
      <c r="V56" s="3" t="s">
        <v>53</v>
      </c>
      <c r="W56" s="3" t="s">
        <v>32</v>
      </c>
      <c r="X56" s="3" t="s">
        <v>35</v>
      </c>
      <c r="Y56" s="3">
        <v>100112</v>
      </c>
      <c r="Z56" s="3" t="s">
        <v>89</v>
      </c>
      <c r="AA56" s="3">
        <v>100112</v>
      </c>
      <c r="AB56" s="3" t="s">
        <v>89</v>
      </c>
      <c r="AC56" s="4">
        <f ca="1">TODAY()-Open[[#This Row],[Status Date]]</f>
        <v>29</v>
      </c>
      <c r="AD56" s="3" t="s">
        <v>90</v>
      </c>
    </row>
    <row r="57" spans="1:30" x14ac:dyDescent="0.3">
      <c r="A57" s="3" t="s">
        <v>72</v>
      </c>
      <c r="B57" s="3" t="s">
        <v>80</v>
      </c>
      <c r="C57" s="3" t="s">
        <v>81</v>
      </c>
      <c r="D57" s="5">
        <v>46084</v>
      </c>
      <c r="E57" s="5">
        <v>46191</v>
      </c>
      <c r="F57" s="3" t="s">
        <v>61</v>
      </c>
      <c r="G57" s="3" t="s">
        <v>82</v>
      </c>
      <c r="H57" s="4">
        <v>108</v>
      </c>
      <c r="I57" s="4">
        <v>4442385</v>
      </c>
      <c r="J57" s="3" t="s">
        <v>422</v>
      </c>
      <c r="K57" s="3" t="s">
        <v>423</v>
      </c>
      <c r="L57" s="3" t="s">
        <v>424</v>
      </c>
      <c r="M57" s="5">
        <v>45672</v>
      </c>
      <c r="N57" s="3" t="s">
        <v>259</v>
      </c>
      <c r="O57" s="3" t="s">
        <v>260</v>
      </c>
      <c r="P57" s="3" t="s">
        <v>34</v>
      </c>
      <c r="Q57" s="6">
        <v>113</v>
      </c>
      <c r="R57" s="6">
        <v>113</v>
      </c>
      <c r="S57" s="5">
        <v>46170</v>
      </c>
      <c r="T57" s="3" t="s">
        <v>60</v>
      </c>
      <c r="U57" s="3" t="s">
        <v>70</v>
      </c>
      <c r="V57" s="3" t="s">
        <v>53</v>
      </c>
      <c r="W57" s="3" t="s">
        <v>32</v>
      </c>
      <c r="X57" s="3" t="s">
        <v>35</v>
      </c>
      <c r="Y57" s="3">
        <v>100122</v>
      </c>
      <c r="Z57" s="3" t="s">
        <v>136</v>
      </c>
      <c r="AA57" s="3">
        <v>100122</v>
      </c>
      <c r="AB57" s="3" t="s">
        <v>136</v>
      </c>
      <c r="AC57" s="4">
        <f ca="1">TODAY()-Open[[#This Row],[Status Date]]</f>
        <v>29</v>
      </c>
      <c r="AD57" s="3" t="s">
        <v>90</v>
      </c>
    </row>
    <row r="58" spans="1:30" x14ac:dyDescent="0.3">
      <c r="A58" s="3" t="s">
        <v>72</v>
      </c>
      <c r="B58" s="3" t="s">
        <v>80</v>
      </c>
      <c r="C58" s="3" t="s">
        <v>81</v>
      </c>
      <c r="D58" s="5">
        <v>46084</v>
      </c>
      <c r="E58" s="5">
        <v>46191</v>
      </c>
      <c r="F58" s="3" t="s">
        <v>61</v>
      </c>
      <c r="G58" s="3" t="s">
        <v>82</v>
      </c>
      <c r="H58" s="4">
        <v>108</v>
      </c>
      <c r="I58" s="4">
        <v>4442395</v>
      </c>
      <c r="J58" s="3" t="s">
        <v>425</v>
      </c>
      <c r="K58" s="3" t="s">
        <v>426</v>
      </c>
      <c r="L58" s="3" t="s">
        <v>427</v>
      </c>
      <c r="M58" s="5">
        <v>45621</v>
      </c>
      <c r="N58" s="3" t="s">
        <v>259</v>
      </c>
      <c r="O58" s="3" t="s">
        <v>260</v>
      </c>
      <c r="P58" s="3" t="s">
        <v>34</v>
      </c>
      <c r="Q58" s="6">
        <v>67.8</v>
      </c>
      <c r="R58" s="6">
        <v>67.8</v>
      </c>
      <c r="S58" s="5">
        <v>46171</v>
      </c>
      <c r="T58" s="3" t="s">
        <v>60</v>
      </c>
      <c r="U58" s="3" t="s">
        <v>70</v>
      </c>
      <c r="V58" s="3" t="s">
        <v>53</v>
      </c>
      <c r="W58" s="3" t="s">
        <v>32</v>
      </c>
      <c r="X58" s="3" t="s">
        <v>35</v>
      </c>
      <c r="Y58" s="3">
        <v>100152</v>
      </c>
      <c r="Z58" s="3" t="s">
        <v>171</v>
      </c>
      <c r="AA58" s="3">
        <v>100152</v>
      </c>
      <c r="AB58" s="3" t="s">
        <v>171</v>
      </c>
      <c r="AC58" s="4">
        <f ca="1">TODAY()-Open[[#This Row],[Status Date]]</f>
        <v>28</v>
      </c>
      <c r="AD58" s="3" t="s">
        <v>90</v>
      </c>
    </row>
    <row r="59" spans="1:30" x14ac:dyDescent="0.3">
      <c r="A59" s="3" t="s">
        <v>72</v>
      </c>
      <c r="B59" s="3" t="s">
        <v>80</v>
      </c>
      <c r="C59" s="3" t="s">
        <v>81</v>
      </c>
      <c r="D59" s="5">
        <v>46084</v>
      </c>
      <c r="E59" s="5">
        <v>46191</v>
      </c>
      <c r="F59" s="3" t="s">
        <v>61</v>
      </c>
      <c r="G59" s="3" t="s">
        <v>82</v>
      </c>
      <c r="H59" s="4">
        <v>108</v>
      </c>
      <c r="I59" s="4">
        <v>4442375</v>
      </c>
      <c r="J59" s="3" t="s">
        <v>428</v>
      </c>
      <c r="K59" s="3" t="s">
        <v>429</v>
      </c>
      <c r="L59" s="3" t="s">
        <v>430</v>
      </c>
      <c r="M59" s="5">
        <v>45670</v>
      </c>
      <c r="N59" s="3" t="s">
        <v>259</v>
      </c>
      <c r="O59" s="3" t="s">
        <v>260</v>
      </c>
      <c r="P59" s="3" t="s">
        <v>34</v>
      </c>
      <c r="Q59" s="6">
        <v>33.9</v>
      </c>
      <c r="R59" s="6">
        <v>33.9</v>
      </c>
      <c r="S59" s="5">
        <v>46171</v>
      </c>
      <c r="T59" s="3" t="s">
        <v>60</v>
      </c>
      <c r="U59" s="3" t="s">
        <v>70</v>
      </c>
      <c r="V59" s="3" t="s">
        <v>53</v>
      </c>
      <c r="W59" s="3" t="s">
        <v>32</v>
      </c>
      <c r="X59" s="3" t="s">
        <v>35</v>
      </c>
      <c r="Y59" s="3">
        <v>100162</v>
      </c>
      <c r="Z59" s="3" t="s">
        <v>159</v>
      </c>
      <c r="AA59" s="3">
        <v>100162</v>
      </c>
      <c r="AB59" s="3" t="s">
        <v>159</v>
      </c>
      <c r="AC59" s="4">
        <f ca="1">TODAY()-Open[[#This Row],[Status Date]]</f>
        <v>28</v>
      </c>
      <c r="AD59" s="3" t="s">
        <v>90</v>
      </c>
    </row>
    <row r="60" spans="1:30" x14ac:dyDescent="0.3">
      <c r="A60" s="3" t="s">
        <v>72</v>
      </c>
      <c r="B60" s="3" t="s">
        <v>80</v>
      </c>
      <c r="C60" s="3" t="s">
        <v>81</v>
      </c>
      <c r="D60" s="5">
        <v>46084</v>
      </c>
      <c r="E60" s="5">
        <v>46191</v>
      </c>
      <c r="F60" s="3" t="s">
        <v>61</v>
      </c>
      <c r="G60" s="3" t="s">
        <v>82</v>
      </c>
      <c r="H60" s="4">
        <v>108</v>
      </c>
      <c r="I60" s="4">
        <v>4441335</v>
      </c>
      <c r="J60" s="3" t="s">
        <v>431</v>
      </c>
      <c r="K60" s="3" t="s">
        <v>432</v>
      </c>
      <c r="L60" s="3" t="s">
        <v>433</v>
      </c>
      <c r="M60" s="5">
        <v>45670</v>
      </c>
      <c r="N60" s="3" t="s">
        <v>259</v>
      </c>
      <c r="O60" s="3" t="s">
        <v>260</v>
      </c>
      <c r="P60" s="3" t="s">
        <v>34</v>
      </c>
      <c r="Q60" s="6">
        <v>346.97</v>
      </c>
      <c r="R60" s="6">
        <v>346.97</v>
      </c>
      <c r="S60" s="5">
        <v>46171</v>
      </c>
      <c r="T60" s="3" t="s">
        <v>60</v>
      </c>
      <c r="U60" s="3" t="s">
        <v>70</v>
      </c>
      <c r="V60" s="3" t="s">
        <v>53</v>
      </c>
      <c r="W60" s="3" t="s">
        <v>32</v>
      </c>
      <c r="X60" s="3" t="s">
        <v>35</v>
      </c>
      <c r="Y60" s="3">
        <v>100192</v>
      </c>
      <c r="Z60" s="3" t="s">
        <v>293</v>
      </c>
      <c r="AA60" s="3">
        <v>100192</v>
      </c>
      <c r="AB60" s="3" t="s">
        <v>293</v>
      </c>
      <c r="AC60" s="4">
        <f ca="1">TODAY()-Open[[#This Row],[Status Date]]</f>
        <v>28</v>
      </c>
      <c r="AD60" s="3" t="s">
        <v>90</v>
      </c>
    </row>
    <row r="61" spans="1:30" x14ac:dyDescent="0.3">
      <c r="A61" s="3" t="s">
        <v>72</v>
      </c>
      <c r="B61" s="3" t="s">
        <v>80</v>
      </c>
      <c r="C61" s="3" t="s">
        <v>81</v>
      </c>
      <c r="D61" s="5">
        <v>46084</v>
      </c>
      <c r="E61" s="5">
        <v>46191</v>
      </c>
      <c r="F61" s="3" t="s">
        <v>61</v>
      </c>
      <c r="G61" s="3" t="s">
        <v>82</v>
      </c>
      <c r="H61" s="4">
        <v>108</v>
      </c>
      <c r="I61" s="4">
        <v>4442335</v>
      </c>
      <c r="J61" s="3" t="s">
        <v>434</v>
      </c>
      <c r="K61" s="3" t="s">
        <v>435</v>
      </c>
      <c r="L61" s="3" t="s">
        <v>436</v>
      </c>
      <c r="M61" s="5">
        <v>45671</v>
      </c>
      <c r="N61" s="3" t="s">
        <v>259</v>
      </c>
      <c r="O61" s="3" t="s">
        <v>260</v>
      </c>
      <c r="P61" s="3" t="s">
        <v>34</v>
      </c>
      <c r="Q61" s="6">
        <v>718.68</v>
      </c>
      <c r="R61" s="6">
        <v>718.68</v>
      </c>
      <c r="S61" s="5">
        <v>46171</v>
      </c>
      <c r="T61" s="3" t="s">
        <v>60</v>
      </c>
      <c r="U61" s="3" t="s">
        <v>70</v>
      </c>
      <c r="V61" s="3" t="s">
        <v>53</v>
      </c>
      <c r="W61" s="3" t="s">
        <v>32</v>
      </c>
      <c r="X61" s="3" t="s">
        <v>35</v>
      </c>
      <c r="Y61" s="3">
        <v>100202</v>
      </c>
      <c r="Z61" s="3" t="s">
        <v>229</v>
      </c>
      <c r="AA61" s="3">
        <v>100202</v>
      </c>
      <c r="AB61" s="3" t="s">
        <v>229</v>
      </c>
      <c r="AC61" s="4">
        <f ca="1">TODAY()-Open[[#This Row],[Status Date]]</f>
        <v>28</v>
      </c>
      <c r="AD61" s="3" t="s">
        <v>90</v>
      </c>
    </row>
    <row r="62" spans="1:30" x14ac:dyDescent="0.3">
      <c r="A62" s="3" t="s">
        <v>72</v>
      </c>
      <c r="B62" s="3" t="s">
        <v>80</v>
      </c>
      <c r="C62" s="3" t="s">
        <v>81</v>
      </c>
      <c r="D62" s="5">
        <v>46084</v>
      </c>
      <c r="E62" s="5">
        <v>46191</v>
      </c>
      <c r="F62" s="3" t="s">
        <v>61</v>
      </c>
      <c r="G62" s="3" t="s">
        <v>82</v>
      </c>
      <c r="H62" s="4">
        <v>108</v>
      </c>
      <c r="I62" s="4">
        <v>4441364</v>
      </c>
      <c r="J62" s="3" t="s">
        <v>437</v>
      </c>
      <c r="K62" s="3" t="s">
        <v>438</v>
      </c>
      <c r="L62" s="3" t="s">
        <v>439</v>
      </c>
      <c r="M62" s="5">
        <v>45691</v>
      </c>
      <c r="N62" s="3" t="s">
        <v>259</v>
      </c>
      <c r="O62" s="3" t="s">
        <v>260</v>
      </c>
      <c r="P62" s="3" t="s">
        <v>34</v>
      </c>
      <c r="Q62" s="6">
        <v>185.89</v>
      </c>
      <c r="R62" s="6">
        <v>185.89</v>
      </c>
      <c r="S62" s="5">
        <v>46171</v>
      </c>
      <c r="T62" s="3" t="s">
        <v>60</v>
      </c>
      <c r="U62" s="3" t="s">
        <v>70</v>
      </c>
      <c r="V62" s="3" t="s">
        <v>53</v>
      </c>
      <c r="W62" s="3" t="s">
        <v>32</v>
      </c>
      <c r="X62" s="3" t="s">
        <v>35</v>
      </c>
      <c r="Y62" s="3">
        <v>100232</v>
      </c>
      <c r="Z62" s="3" t="s">
        <v>300</v>
      </c>
      <c r="AA62" s="3">
        <v>100232</v>
      </c>
      <c r="AB62" s="3" t="s">
        <v>300</v>
      </c>
      <c r="AC62" s="4">
        <f ca="1">TODAY()-Open[[#This Row],[Status Date]]</f>
        <v>28</v>
      </c>
      <c r="AD62" s="3" t="s">
        <v>90</v>
      </c>
    </row>
    <row r="63" spans="1:30" x14ac:dyDescent="0.3">
      <c r="A63" s="3" t="s">
        <v>72</v>
      </c>
      <c r="B63" s="3" t="s">
        <v>80</v>
      </c>
      <c r="C63" s="3" t="s">
        <v>81</v>
      </c>
      <c r="D63" s="5">
        <v>46084</v>
      </c>
      <c r="E63" s="5">
        <v>46191</v>
      </c>
      <c r="F63" s="3" t="s">
        <v>61</v>
      </c>
      <c r="G63" s="3" t="s">
        <v>82</v>
      </c>
      <c r="H63" s="4">
        <v>108</v>
      </c>
      <c r="I63" s="4">
        <v>4443064</v>
      </c>
      <c r="J63" s="3" t="s">
        <v>440</v>
      </c>
      <c r="K63" s="3" t="s">
        <v>441</v>
      </c>
      <c r="L63" s="3" t="s">
        <v>442</v>
      </c>
      <c r="M63" s="5">
        <v>45700</v>
      </c>
      <c r="N63" s="3" t="s">
        <v>259</v>
      </c>
      <c r="O63" s="3" t="s">
        <v>260</v>
      </c>
      <c r="P63" s="3" t="s">
        <v>34</v>
      </c>
      <c r="Q63" s="6">
        <v>8666.2000000000007</v>
      </c>
      <c r="R63" s="6">
        <v>8666.2000000000007</v>
      </c>
      <c r="S63" s="5">
        <v>46171</v>
      </c>
      <c r="T63" s="3" t="s">
        <v>60</v>
      </c>
      <c r="U63" s="3" t="s">
        <v>70</v>
      </c>
      <c r="V63" s="3" t="s">
        <v>53</v>
      </c>
      <c r="W63" s="3" t="s">
        <v>32</v>
      </c>
      <c r="X63" s="3" t="s">
        <v>35</v>
      </c>
      <c r="Y63" s="3">
        <v>100242</v>
      </c>
      <c r="Z63" s="3" t="s">
        <v>233</v>
      </c>
      <c r="AA63" s="3">
        <v>100242</v>
      </c>
      <c r="AB63" s="3" t="s">
        <v>233</v>
      </c>
      <c r="AC63" s="4">
        <f ca="1">TODAY()-Open[[#This Row],[Status Date]]</f>
        <v>28</v>
      </c>
      <c r="AD63" s="3" t="s">
        <v>90</v>
      </c>
    </row>
    <row r="64" spans="1:30" x14ac:dyDescent="0.3">
      <c r="A64" s="3" t="s">
        <v>72</v>
      </c>
      <c r="B64" s="3" t="s">
        <v>80</v>
      </c>
      <c r="C64" s="3" t="s">
        <v>81</v>
      </c>
      <c r="D64" s="5">
        <v>46084</v>
      </c>
      <c r="E64" s="5">
        <v>46191</v>
      </c>
      <c r="F64" s="3" t="s">
        <v>61</v>
      </c>
      <c r="G64" s="3" t="s">
        <v>82</v>
      </c>
      <c r="H64" s="4">
        <v>108</v>
      </c>
      <c r="I64" s="4">
        <v>4443074</v>
      </c>
      <c r="J64" s="3" t="s">
        <v>443</v>
      </c>
      <c r="K64" s="3" t="s">
        <v>444</v>
      </c>
      <c r="L64" s="3" t="s">
        <v>445</v>
      </c>
      <c r="M64" s="5">
        <v>45820</v>
      </c>
      <c r="N64" s="3" t="s">
        <v>259</v>
      </c>
      <c r="O64" s="3" t="s">
        <v>260</v>
      </c>
      <c r="P64" s="3" t="s">
        <v>34</v>
      </c>
      <c r="Q64" s="6">
        <v>265.72000000000003</v>
      </c>
      <c r="R64" s="6">
        <v>265.72000000000003</v>
      </c>
      <c r="S64" s="5">
        <v>46171</v>
      </c>
      <c r="T64" s="3" t="s">
        <v>60</v>
      </c>
      <c r="U64" s="3" t="s">
        <v>70</v>
      </c>
      <c r="V64" s="3" t="s">
        <v>53</v>
      </c>
      <c r="W64" s="3" t="s">
        <v>32</v>
      </c>
      <c r="X64" s="3" t="s">
        <v>35</v>
      </c>
      <c r="Y64" s="3">
        <v>100272</v>
      </c>
      <c r="Z64" s="3" t="s">
        <v>163</v>
      </c>
      <c r="AA64" s="3">
        <v>100272</v>
      </c>
      <c r="AB64" s="3" t="s">
        <v>163</v>
      </c>
      <c r="AC64" s="4">
        <f ca="1">TODAY()-Open[[#This Row],[Status Date]]</f>
        <v>28</v>
      </c>
      <c r="AD64" s="3" t="s">
        <v>90</v>
      </c>
    </row>
    <row r="65" spans="1:30" x14ac:dyDescent="0.3">
      <c r="A65" s="3" t="s">
        <v>72</v>
      </c>
      <c r="B65" s="3" t="s">
        <v>80</v>
      </c>
      <c r="C65" s="3" t="s">
        <v>81</v>
      </c>
      <c r="D65" s="5">
        <v>46094</v>
      </c>
      <c r="E65" s="5">
        <v>46097</v>
      </c>
      <c r="F65" s="3" t="s">
        <v>61</v>
      </c>
      <c r="G65" s="3" t="s">
        <v>82</v>
      </c>
      <c r="H65" s="4">
        <v>98</v>
      </c>
      <c r="I65" s="4">
        <v>4558926</v>
      </c>
      <c r="J65" s="3" t="s">
        <v>73</v>
      </c>
      <c r="K65" s="3" t="s">
        <v>74</v>
      </c>
      <c r="L65" s="3" t="s">
        <v>75</v>
      </c>
      <c r="M65" s="5">
        <v>46084</v>
      </c>
      <c r="N65" s="3" t="s">
        <v>446</v>
      </c>
      <c r="O65" s="3" t="s">
        <v>447</v>
      </c>
      <c r="P65" s="3" t="s">
        <v>34</v>
      </c>
      <c r="Q65" s="6">
        <v>163.5</v>
      </c>
      <c r="R65" s="6">
        <v>163.5</v>
      </c>
      <c r="S65" s="5">
        <v>46174</v>
      </c>
      <c r="T65" s="3" t="s">
        <v>60</v>
      </c>
      <c r="U65" s="3" t="s">
        <v>70</v>
      </c>
      <c r="V65" s="3" t="s">
        <v>53</v>
      </c>
      <c r="W65" s="3" t="s">
        <v>32</v>
      </c>
      <c r="X65" s="3" t="s">
        <v>35</v>
      </c>
      <c r="Y65" s="3">
        <v>100162</v>
      </c>
      <c r="Z65" s="3" t="s">
        <v>159</v>
      </c>
      <c r="AA65" s="3">
        <v>100162</v>
      </c>
      <c r="AB65" s="3" t="s">
        <v>159</v>
      </c>
      <c r="AC65" s="4">
        <f ca="1">TODAY()-Open[[#This Row],[Status Date]]</f>
        <v>25</v>
      </c>
      <c r="AD65" s="3" t="s">
        <v>90</v>
      </c>
    </row>
    <row r="66" spans="1:30" x14ac:dyDescent="0.3">
      <c r="A66" s="3" t="s">
        <v>72</v>
      </c>
      <c r="B66" s="3" t="s">
        <v>80</v>
      </c>
      <c r="C66" s="3" t="s">
        <v>81</v>
      </c>
      <c r="D66" s="5">
        <v>46094</v>
      </c>
      <c r="E66" s="5">
        <v>46094</v>
      </c>
      <c r="F66" s="3" t="s">
        <v>61</v>
      </c>
      <c r="G66" s="3" t="s">
        <v>82</v>
      </c>
      <c r="H66" s="4">
        <v>98</v>
      </c>
      <c r="I66" s="4">
        <v>4560874</v>
      </c>
      <c r="J66" s="3" t="s">
        <v>77</v>
      </c>
      <c r="K66" s="3" t="s">
        <v>78</v>
      </c>
      <c r="L66" s="3" t="s">
        <v>79</v>
      </c>
      <c r="M66" s="5">
        <v>45981</v>
      </c>
      <c r="N66" s="3" t="s">
        <v>312</v>
      </c>
      <c r="O66" s="3" t="s">
        <v>313</v>
      </c>
      <c r="P66" s="3" t="s">
        <v>46</v>
      </c>
      <c r="Q66" s="6">
        <v>1174.4000000000001</v>
      </c>
      <c r="R66" s="6">
        <v>1174.4000000000001</v>
      </c>
      <c r="S66" s="5">
        <v>46177</v>
      </c>
      <c r="T66" s="3" t="s">
        <v>68</v>
      </c>
      <c r="U66" s="3" t="s">
        <v>69</v>
      </c>
      <c r="V66" s="3" t="s">
        <v>47</v>
      </c>
      <c r="W66" s="3" t="s">
        <v>71</v>
      </c>
      <c r="X66" s="3" t="s">
        <v>48</v>
      </c>
      <c r="Y66" s="3">
        <v>100212</v>
      </c>
      <c r="Z66" s="3" t="s">
        <v>170</v>
      </c>
      <c r="AA66" s="3">
        <v>100152</v>
      </c>
      <c r="AB66" s="3" t="s">
        <v>171</v>
      </c>
      <c r="AC66" s="4">
        <f ca="1">TODAY()-Open[[#This Row],[Status Date]]</f>
        <v>22</v>
      </c>
      <c r="AD66" s="3" t="s">
        <v>90</v>
      </c>
    </row>
    <row r="67" spans="1:30" x14ac:dyDescent="0.3">
      <c r="A67" s="3" t="s">
        <v>72</v>
      </c>
      <c r="B67" s="3" t="s">
        <v>80</v>
      </c>
      <c r="C67" s="3" t="s">
        <v>81</v>
      </c>
      <c r="D67" s="5">
        <v>46118</v>
      </c>
      <c r="E67" s="5">
        <v>46192</v>
      </c>
      <c r="F67" s="3" t="s">
        <v>62</v>
      </c>
      <c r="G67" s="3" t="s">
        <v>82</v>
      </c>
      <c r="H67" s="4">
        <v>74</v>
      </c>
      <c r="I67" s="4">
        <v>4625436</v>
      </c>
      <c r="J67" s="3" t="s">
        <v>93</v>
      </c>
      <c r="K67" s="3" t="s">
        <v>94</v>
      </c>
      <c r="L67" s="3" t="s">
        <v>95</v>
      </c>
      <c r="M67" s="5">
        <v>46097</v>
      </c>
      <c r="N67" s="3" t="s">
        <v>448</v>
      </c>
      <c r="O67" s="3" t="s">
        <v>449</v>
      </c>
      <c r="P67" s="3" t="s">
        <v>54</v>
      </c>
      <c r="Q67" s="6">
        <v>192.73</v>
      </c>
      <c r="R67" s="6">
        <v>192.73</v>
      </c>
      <c r="S67" s="5">
        <v>46191</v>
      </c>
      <c r="T67" s="3" t="s">
        <v>68</v>
      </c>
      <c r="U67" s="3" t="s">
        <v>69</v>
      </c>
      <c r="V67" s="3" t="s">
        <v>53</v>
      </c>
      <c r="W67" s="3" t="s">
        <v>32</v>
      </c>
      <c r="X67" s="3" t="s">
        <v>55</v>
      </c>
      <c r="Y67" s="3">
        <v>100252</v>
      </c>
      <c r="Z67" s="3" t="s">
        <v>246</v>
      </c>
      <c r="AA67" s="3">
        <v>100162</v>
      </c>
      <c r="AB67" s="3" t="s">
        <v>159</v>
      </c>
      <c r="AC67" s="4">
        <f ca="1">TODAY()-Open[[#This Row],[Status Date]]</f>
        <v>8</v>
      </c>
      <c r="AD67" s="3" t="s">
        <v>90</v>
      </c>
    </row>
    <row r="68" spans="1:30" x14ac:dyDescent="0.3">
      <c r="A68" s="3" t="s">
        <v>72</v>
      </c>
      <c r="B68" s="3" t="s">
        <v>80</v>
      </c>
      <c r="C68" s="3" t="s">
        <v>81</v>
      </c>
      <c r="D68" s="5">
        <v>46119</v>
      </c>
      <c r="E68" s="5">
        <v>46183</v>
      </c>
      <c r="F68" s="3" t="s">
        <v>62</v>
      </c>
      <c r="G68" s="3" t="s">
        <v>82</v>
      </c>
      <c r="H68" s="4">
        <v>73</v>
      </c>
      <c r="I68" s="4">
        <v>4626828</v>
      </c>
      <c r="J68" s="3" t="s">
        <v>96</v>
      </c>
      <c r="K68" s="3" t="s">
        <v>97</v>
      </c>
      <c r="L68" s="3" t="s">
        <v>98</v>
      </c>
      <c r="M68" s="5">
        <v>46080</v>
      </c>
      <c r="N68" s="3" t="s">
        <v>450</v>
      </c>
      <c r="O68" s="3" t="s">
        <v>451</v>
      </c>
      <c r="P68" s="3" t="s">
        <v>34</v>
      </c>
      <c r="Q68" s="6">
        <v>2210</v>
      </c>
      <c r="R68" s="6">
        <v>2210</v>
      </c>
      <c r="S68" s="5">
        <v>46171</v>
      </c>
      <c r="T68" s="3" t="s">
        <v>60</v>
      </c>
      <c r="U68" s="3" t="s">
        <v>70</v>
      </c>
      <c r="V68" s="3" t="s">
        <v>53</v>
      </c>
      <c r="W68" s="3" t="s">
        <v>32</v>
      </c>
      <c r="X68" s="3" t="s">
        <v>35</v>
      </c>
      <c r="Y68" s="3">
        <v>100242</v>
      </c>
      <c r="Z68" s="3" t="s">
        <v>233</v>
      </c>
      <c r="AA68" s="3">
        <v>100242</v>
      </c>
      <c r="AB68" s="3" t="s">
        <v>233</v>
      </c>
      <c r="AC68" s="4">
        <f ca="1">TODAY()-Open[[#This Row],[Status Date]]</f>
        <v>28</v>
      </c>
      <c r="AD68" s="3" t="s">
        <v>90</v>
      </c>
    </row>
    <row r="69" spans="1:30" x14ac:dyDescent="0.3">
      <c r="A69" s="3" t="s">
        <v>72</v>
      </c>
      <c r="B69" s="3" t="s">
        <v>80</v>
      </c>
      <c r="C69" s="3" t="s">
        <v>370</v>
      </c>
      <c r="D69" s="5">
        <v>46121</v>
      </c>
      <c r="E69" s="5">
        <v>46121</v>
      </c>
      <c r="F69" s="3" t="s">
        <v>62</v>
      </c>
      <c r="G69" s="3" t="s">
        <v>82</v>
      </c>
      <c r="H69" s="4">
        <v>71</v>
      </c>
      <c r="I69" s="4">
        <v>4636289</v>
      </c>
      <c r="J69" s="3" t="s">
        <v>99</v>
      </c>
      <c r="K69" s="3" t="s">
        <v>100</v>
      </c>
      <c r="L69" s="3" t="s">
        <v>101</v>
      </c>
      <c r="M69" s="5">
        <v>46065</v>
      </c>
      <c r="N69" s="3" t="s">
        <v>374</v>
      </c>
      <c r="O69" s="3" t="s">
        <v>375</v>
      </c>
      <c r="P69" s="3" t="s">
        <v>34</v>
      </c>
      <c r="Q69" s="6">
        <v>310.91000000000003</v>
      </c>
      <c r="R69" s="6">
        <v>310.91000000000003</v>
      </c>
      <c r="S69" s="5">
        <v>46171</v>
      </c>
      <c r="T69" s="3" t="s">
        <v>60</v>
      </c>
      <c r="U69" s="3" t="s">
        <v>70</v>
      </c>
      <c r="V69" s="3" t="s">
        <v>53</v>
      </c>
      <c r="W69" s="3" t="s">
        <v>32</v>
      </c>
      <c r="X69" s="3" t="s">
        <v>35</v>
      </c>
      <c r="Y69" s="3">
        <v>100122</v>
      </c>
      <c r="Z69" s="3" t="s">
        <v>136</v>
      </c>
      <c r="AA69" s="3">
        <v>100122</v>
      </c>
      <c r="AB69" s="3" t="s">
        <v>136</v>
      </c>
      <c r="AC69" s="4">
        <f ca="1">TODAY()-Open[[#This Row],[Status Date]]</f>
        <v>28</v>
      </c>
      <c r="AD69" s="3" t="s">
        <v>90</v>
      </c>
    </row>
    <row r="70" spans="1:30" x14ac:dyDescent="0.3">
      <c r="A70" s="3" t="s">
        <v>72</v>
      </c>
      <c r="B70" s="3" t="s">
        <v>80</v>
      </c>
      <c r="C70" s="3" t="s">
        <v>81</v>
      </c>
      <c r="D70" s="5">
        <v>46121</v>
      </c>
      <c r="E70" s="5">
        <v>46126</v>
      </c>
      <c r="F70" s="3" t="s">
        <v>62</v>
      </c>
      <c r="G70" s="3" t="s">
        <v>82</v>
      </c>
      <c r="H70" s="4">
        <v>71</v>
      </c>
      <c r="I70" s="4">
        <v>4636846</v>
      </c>
      <c r="J70" s="3" t="s">
        <v>102</v>
      </c>
      <c r="K70" s="3" t="s">
        <v>103</v>
      </c>
      <c r="L70" s="3" t="s">
        <v>104</v>
      </c>
      <c r="M70" s="5">
        <v>46112</v>
      </c>
      <c r="N70" s="3" t="s">
        <v>133</v>
      </c>
      <c r="O70" s="3" t="s">
        <v>134</v>
      </c>
      <c r="P70" s="3" t="s">
        <v>34</v>
      </c>
      <c r="Q70" s="6">
        <v>396.9</v>
      </c>
      <c r="R70" s="6">
        <v>396.9</v>
      </c>
      <c r="S70" s="5">
        <v>46195</v>
      </c>
      <c r="T70" s="3" t="s">
        <v>60</v>
      </c>
      <c r="U70" s="3" t="s">
        <v>70</v>
      </c>
      <c r="V70" s="3" t="s">
        <v>53</v>
      </c>
      <c r="W70" s="3" t="s">
        <v>32</v>
      </c>
      <c r="X70" s="3" t="s">
        <v>35</v>
      </c>
      <c r="Y70" s="3">
        <v>100162</v>
      </c>
      <c r="Z70" s="3" t="s">
        <v>159</v>
      </c>
      <c r="AA70" s="3">
        <v>100162</v>
      </c>
      <c r="AB70" s="3" t="s">
        <v>159</v>
      </c>
      <c r="AC70" s="4">
        <f ca="1">TODAY()-Open[[#This Row],[Status Date]]</f>
        <v>4</v>
      </c>
      <c r="AD70" s="3" t="s">
        <v>90</v>
      </c>
    </row>
    <row r="71" spans="1:30" x14ac:dyDescent="0.3">
      <c r="A71" s="3" t="s">
        <v>72</v>
      </c>
      <c r="B71" s="3" t="s">
        <v>80</v>
      </c>
      <c r="C71" s="3" t="s">
        <v>81</v>
      </c>
      <c r="D71" s="5">
        <v>46126</v>
      </c>
      <c r="E71" s="5">
        <v>46184</v>
      </c>
      <c r="F71" s="3" t="s">
        <v>62</v>
      </c>
      <c r="G71" s="3" t="s">
        <v>82</v>
      </c>
      <c r="H71" s="4">
        <v>66</v>
      </c>
      <c r="I71" s="4">
        <v>4646307</v>
      </c>
      <c r="J71" s="3" t="s">
        <v>105</v>
      </c>
      <c r="K71" s="3" t="s">
        <v>106</v>
      </c>
      <c r="L71" s="3" t="s">
        <v>107</v>
      </c>
      <c r="M71" s="5">
        <v>46086</v>
      </c>
      <c r="N71" s="3" t="s">
        <v>452</v>
      </c>
      <c r="O71" s="3" t="s">
        <v>453</v>
      </c>
      <c r="P71" s="3" t="s">
        <v>34</v>
      </c>
      <c r="Q71" s="6">
        <v>18257.099999999999</v>
      </c>
      <c r="R71" s="6">
        <v>18257.099999999999</v>
      </c>
      <c r="S71" s="5">
        <v>46195</v>
      </c>
      <c r="T71" s="3" t="s">
        <v>60</v>
      </c>
      <c r="U71" s="3" t="s">
        <v>70</v>
      </c>
      <c r="V71" s="3" t="s">
        <v>53</v>
      </c>
      <c r="W71" s="3" t="s">
        <v>32</v>
      </c>
      <c r="X71" s="3" t="s">
        <v>35</v>
      </c>
      <c r="Y71" s="3">
        <v>100242</v>
      </c>
      <c r="Z71" s="3" t="s">
        <v>233</v>
      </c>
      <c r="AA71" s="3">
        <v>100242</v>
      </c>
      <c r="AB71" s="3" t="s">
        <v>233</v>
      </c>
      <c r="AC71" s="4">
        <f ca="1">TODAY()-Open[[#This Row],[Status Date]]</f>
        <v>4</v>
      </c>
      <c r="AD71" s="3" t="s">
        <v>90</v>
      </c>
    </row>
    <row r="72" spans="1:30" x14ac:dyDescent="0.3">
      <c r="A72" s="3" t="s">
        <v>72</v>
      </c>
      <c r="B72" s="3" t="s">
        <v>80</v>
      </c>
      <c r="C72" s="3" t="s">
        <v>81</v>
      </c>
      <c r="D72" s="5">
        <v>46133</v>
      </c>
      <c r="E72" s="5">
        <v>46147</v>
      </c>
      <c r="F72" s="3" t="s">
        <v>63</v>
      </c>
      <c r="G72" s="3" t="s">
        <v>82</v>
      </c>
      <c r="H72" s="4">
        <v>59</v>
      </c>
      <c r="I72" s="4">
        <v>4663283</v>
      </c>
      <c r="J72" s="3" t="s">
        <v>108</v>
      </c>
      <c r="K72" s="3" t="s">
        <v>109</v>
      </c>
      <c r="L72" s="3" t="s">
        <v>110</v>
      </c>
      <c r="M72" s="5">
        <v>46129</v>
      </c>
      <c r="N72" s="3" t="s">
        <v>317</v>
      </c>
      <c r="O72" s="3" t="s">
        <v>318</v>
      </c>
      <c r="P72" s="3" t="s">
        <v>34</v>
      </c>
      <c r="Q72" s="6">
        <v>1000</v>
      </c>
      <c r="R72" s="6">
        <v>1000</v>
      </c>
      <c r="S72" s="5">
        <v>46171</v>
      </c>
      <c r="T72" s="3" t="s">
        <v>60</v>
      </c>
      <c r="U72" s="3" t="s">
        <v>70</v>
      </c>
      <c r="V72" s="3" t="s">
        <v>53</v>
      </c>
      <c r="W72" s="3" t="s">
        <v>32</v>
      </c>
      <c r="X72" s="3" t="s">
        <v>35</v>
      </c>
      <c r="Y72" s="3">
        <v>100272</v>
      </c>
      <c r="Z72" s="3" t="s">
        <v>163</v>
      </c>
      <c r="AA72" s="3">
        <v>100272</v>
      </c>
      <c r="AB72" s="3" t="s">
        <v>163</v>
      </c>
      <c r="AC72" s="4">
        <f ca="1">TODAY()-Open[[#This Row],[Status Date]]</f>
        <v>28</v>
      </c>
      <c r="AD72" s="3" t="s">
        <v>90</v>
      </c>
    </row>
    <row r="73" spans="1:30" x14ac:dyDescent="0.3">
      <c r="A73" s="3" t="s">
        <v>72</v>
      </c>
      <c r="B73" s="3" t="s">
        <v>80</v>
      </c>
      <c r="C73" s="3" t="s">
        <v>81</v>
      </c>
      <c r="D73" s="5">
        <v>46137</v>
      </c>
      <c r="E73" s="5">
        <v>46137</v>
      </c>
      <c r="F73" s="3" t="s">
        <v>63</v>
      </c>
      <c r="G73" s="3" t="s">
        <v>82</v>
      </c>
      <c r="H73" s="4">
        <v>55</v>
      </c>
      <c r="I73" s="4">
        <v>4675527</v>
      </c>
      <c r="J73" s="3" t="s">
        <v>111</v>
      </c>
      <c r="K73" s="3" t="s">
        <v>112</v>
      </c>
      <c r="L73" s="3" t="s">
        <v>113</v>
      </c>
      <c r="M73" s="5">
        <v>46099</v>
      </c>
      <c r="N73" s="3" t="s">
        <v>454</v>
      </c>
      <c r="O73" s="3" t="s">
        <v>455</v>
      </c>
      <c r="P73" s="3" t="s">
        <v>54</v>
      </c>
      <c r="Q73" s="6">
        <v>8.57</v>
      </c>
      <c r="R73" s="6">
        <v>8.57</v>
      </c>
      <c r="S73" s="5">
        <v>46195</v>
      </c>
      <c r="T73" s="3" t="s">
        <v>68</v>
      </c>
      <c r="U73" s="3" t="s">
        <v>69</v>
      </c>
      <c r="V73" s="3" t="s">
        <v>53</v>
      </c>
      <c r="W73" s="3" t="s">
        <v>32</v>
      </c>
      <c r="X73" s="3" t="s">
        <v>55</v>
      </c>
      <c r="Y73" s="3">
        <v>100132</v>
      </c>
      <c r="Z73" s="3" t="s">
        <v>88</v>
      </c>
      <c r="AA73" s="3">
        <v>100112</v>
      </c>
      <c r="AB73" s="3" t="s">
        <v>89</v>
      </c>
      <c r="AC73" s="4">
        <f ca="1">TODAY()-Open[[#This Row],[Status Date]]</f>
        <v>4</v>
      </c>
      <c r="AD73" s="3" t="s">
        <v>90</v>
      </c>
    </row>
    <row r="74" spans="1:30" x14ac:dyDescent="0.3">
      <c r="A74" s="3" t="s">
        <v>72</v>
      </c>
      <c r="B74" s="3" t="s">
        <v>80</v>
      </c>
      <c r="C74" s="3" t="s">
        <v>81</v>
      </c>
      <c r="D74" s="5">
        <v>46142</v>
      </c>
      <c r="E74" s="5">
        <v>46147</v>
      </c>
      <c r="F74" s="3" t="s">
        <v>63</v>
      </c>
      <c r="G74" s="3" t="s">
        <v>82</v>
      </c>
      <c r="H74" s="4">
        <v>50</v>
      </c>
      <c r="I74" s="4">
        <v>4688050</v>
      </c>
      <c r="J74" s="3" t="s">
        <v>114</v>
      </c>
      <c r="K74" s="3" t="s">
        <v>115</v>
      </c>
      <c r="L74" s="3" t="s">
        <v>116</v>
      </c>
      <c r="M74" s="5">
        <v>46070</v>
      </c>
      <c r="N74" s="3" t="s">
        <v>402</v>
      </c>
      <c r="O74" s="3" t="s">
        <v>403</v>
      </c>
      <c r="P74" s="3" t="s">
        <v>38</v>
      </c>
      <c r="Q74" s="6">
        <v>23607.15</v>
      </c>
      <c r="R74" s="6">
        <v>23607.15</v>
      </c>
      <c r="S74" s="5">
        <v>46148</v>
      </c>
      <c r="T74" s="3" t="s">
        <v>60</v>
      </c>
      <c r="U74" s="3" t="s">
        <v>70</v>
      </c>
      <c r="V74" s="3" t="s">
        <v>53</v>
      </c>
      <c r="W74" s="3" t="s">
        <v>32</v>
      </c>
      <c r="X74" s="3" t="s">
        <v>39</v>
      </c>
      <c r="Y74" s="3">
        <v>100242</v>
      </c>
      <c r="Z74" s="3" t="s">
        <v>233</v>
      </c>
      <c r="AA74" s="3">
        <v>100242</v>
      </c>
      <c r="AB74" s="3" t="s">
        <v>233</v>
      </c>
      <c r="AC74" s="4">
        <f ca="1">TODAY()-Open[[#This Row],[Status Date]]</f>
        <v>51</v>
      </c>
      <c r="AD74" s="3" t="s">
        <v>90</v>
      </c>
    </row>
    <row r="75" spans="1:30" x14ac:dyDescent="0.3">
      <c r="A75" s="3" t="s">
        <v>72</v>
      </c>
      <c r="B75" s="3" t="s">
        <v>80</v>
      </c>
      <c r="C75" s="3" t="s">
        <v>81</v>
      </c>
      <c r="D75" s="5">
        <v>46143</v>
      </c>
      <c r="E75" s="5">
        <v>46143</v>
      </c>
      <c r="F75" s="3" t="s">
        <v>63</v>
      </c>
      <c r="G75" s="3" t="s">
        <v>82</v>
      </c>
      <c r="H75" s="4">
        <v>49</v>
      </c>
      <c r="I75" s="4">
        <v>4689998</v>
      </c>
      <c r="J75" s="3" t="s">
        <v>117</v>
      </c>
      <c r="K75" s="3" t="s">
        <v>118</v>
      </c>
      <c r="L75" s="3" t="s">
        <v>119</v>
      </c>
      <c r="M75" s="5">
        <v>46051</v>
      </c>
      <c r="N75" s="3" t="s">
        <v>456</v>
      </c>
      <c r="O75" s="3" t="s">
        <v>457</v>
      </c>
      <c r="P75" s="3" t="s">
        <v>34</v>
      </c>
      <c r="Q75" s="6">
        <v>1668</v>
      </c>
      <c r="R75" s="6">
        <v>1668</v>
      </c>
      <c r="S75" s="5">
        <v>46171</v>
      </c>
      <c r="T75" s="3" t="s">
        <v>60</v>
      </c>
      <c r="U75" s="3" t="s">
        <v>70</v>
      </c>
      <c r="V75" s="3" t="s">
        <v>53</v>
      </c>
      <c r="W75" s="3" t="s">
        <v>32</v>
      </c>
      <c r="X75" s="3" t="s">
        <v>35</v>
      </c>
      <c r="Y75" s="3">
        <v>100192</v>
      </c>
      <c r="Z75" s="3" t="s">
        <v>293</v>
      </c>
      <c r="AA75" s="3">
        <v>100192</v>
      </c>
      <c r="AB75" s="3" t="s">
        <v>293</v>
      </c>
      <c r="AC75" s="4">
        <f ca="1">TODAY()-Open[[#This Row],[Status Date]]</f>
        <v>28</v>
      </c>
      <c r="AD75" s="3" t="s">
        <v>90</v>
      </c>
    </row>
    <row r="76" spans="1:30" x14ac:dyDescent="0.3">
      <c r="A76" s="3" t="s">
        <v>72</v>
      </c>
      <c r="B76" s="3" t="s">
        <v>80</v>
      </c>
      <c r="C76" s="3" t="s">
        <v>81</v>
      </c>
      <c r="D76" s="5">
        <v>46146</v>
      </c>
      <c r="E76" s="5">
        <v>46147</v>
      </c>
      <c r="F76" s="3" t="s">
        <v>63</v>
      </c>
      <c r="G76" s="3" t="s">
        <v>82</v>
      </c>
      <c r="H76" s="4">
        <v>46</v>
      </c>
      <c r="I76" s="4">
        <v>4693059</v>
      </c>
      <c r="J76" s="3" t="s">
        <v>120</v>
      </c>
      <c r="K76" s="3" t="s">
        <v>121</v>
      </c>
      <c r="L76" s="3" t="s">
        <v>122</v>
      </c>
      <c r="M76" s="5">
        <v>45968</v>
      </c>
      <c r="N76" s="3" t="s">
        <v>317</v>
      </c>
      <c r="O76" s="3" t="s">
        <v>318</v>
      </c>
      <c r="P76" s="3" t="s">
        <v>44</v>
      </c>
      <c r="Q76" s="6">
        <v>2915.99</v>
      </c>
      <c r="R76" s="6">
        <v>2915.99</v>
      </c>
      <c r="S76" s="5">
        <v>46171</v>
      </c>
      <c r="T76" s="3" t="s">
        <v>60</v>
      </c>
      <c r="U76" s="3" t="s">
        <v>70</v>
      </c>
      <c r="V76" s="3" t="s">
        <v>53</v>
      </c>
      <c r="W76" s="3" t="s">
        <v>32</v>
      </c>
      <c r="X76" s="3" t="s">
        <v>45</v>
      </c>
      <c r="Y76" s="3">
        <v>100202</v>
      </c>
      <c r="Z76" s="3" t="s">
        <v>229</v>
      </c>
      <c r="AA76" s="3">
        <v>100202</v>
      </c>
      <c r="AB76" s="3" t="s">
        <v>229</v>
      </c>
      <c r="AC76" s="4">
        <f ca="1">TODAY()-Open[[#This Row],[Status Date]]</f>
        <v>28</v>
      </c>
      <c r="AD76" s="3" t="s">
        <v>90</v>
      </c>
    </row>
    <row r="77" spans="1:30" x14ac:dyDescent="0.3">
      <c r="A77" s="3" t="s">
        <v>72</v>
      </c>
      <c r="B77" s="3" t="s">
        <v>80</v>
      </c>
      <c r="C77" s="3" t="s">
        <v>81</v>
      </c>
      <c r="D77" s="5">
        <v>46153</v>
      </c>
      <c r="E77" s="5">
        <v>46189</v>
      </c>
      <c r="F77" s="3" t="s">
        <v>63</v>
      </c>
      <c r="G77" s="3" t="s">
        <v>82</v>
      </c>
      <c r="H77" s="4">
        <v>39</v>
      </c>
      <c r="I77" s="4">
        <v>4717548</v>
      </c>
      <c r="J77" s="3" t="s">
        <v>123</v>
      </c>
      <c r="K77" s="3" t="s">
        <v>124</v>
      </c>
      <c r="L77" s="3" t="s">
        <v>125</v>
      </c>
      <c r="M77" s="5">
        <v>46104</v>
      </c>
      <c r="N77" s="3" t="s">
        <v>458</v>
      </c>
      <c r="O77" s="3" t="s">
        <v>459</v>
      </c>
      <c r="P77" s="3" t="s">
        <v>51</v>
      </c>
      <c r="Q77" s="6">
        <v>4311.42</v>
      </c>
      <c r="R77" s="6">
        <v>4311.42</v>
      </c>
      <c r="S77" s="5">
        <v>46181</v>
      </c>
      <c r="T77" s="3" t="s">
        <v>60</v>
      </c>
      <c r="U77" s="3" t="s">
        <v>70</v>
      </c>
      <c r="V77" s="3" t="s">
        <v>53</v>
      </c>
      <c r="W77" s="3" t="s">
        <v>32</v>
      </c>
      <c r="X77" s="3" t="s">
        <v>52</v>
      </c>
      <c r="Y77" s="3">
        <v>100162</v>
      </c>
      <c r="Z77" s="3" t="s">
        <v>159</v>
      </c>
      <c r="AA77" s="3">
        <v>100162</v>
      </c>
      <c r="AB77" s="3" t="s">
        <v>159</v>
      </c>
      <c r="AC77" s="4">
        <f ca="1">TODAY()-Open[[#This Row],[Status Date]]</f>
        <v>18</v>
      </c>
      <c r="AD77" s="3" t="s">
        <v>90</v>
      </c>
    </row>
    <row r="78" spans="1:30" x14ac:dyDescent="0.3">
      <c r="A78" s="3" t="s">
        <v>72</v>
      </c>
      <c r="B78" s="3" t="s">
        <v>80</v>
      </c>
      <c r="C78" s="3" t="s">
        <v>81</v>
      </c>
      <c r="D78" s="5">
        <v>46153</v>
      </c>
      <c r="E78" s="5">
        <v>46189</v>
      </c>
      <c r="F78" s="3" t="s">
        <v>63</v>
      </c>
      <c r="G78" s="3" t="s">
        <v>82</v>
      </c>
      <c r="H78" s="4">
        <v>39</v>
      </c>
      <c r="I78" s="4">
        <v>4717827</v>
      </c>
      <c r="J78" s="3" t="s">
        <v>126</v>
      </c>
      <c r="K78" s="3" t="s">
        <v>127</v>
      </c>
      <c r="L78" s="3" t="s">
        <v>128</v>
      </c>
      <c r="M78" s="5">
        <v>46125</v>
      </c>
      <c r="N78" s="3" t="s">
        <v>458</v>
      </c>
      <c r="O78" s="3" t="s">
        <v>459</v>
      </c>
      <c r="P78" s="3" t="s">
        <v>51</v>
      </c>
      <c r="Q78" s="6">
        <v>7920.64</v>
      </c>
      <c r="R78" s="6">
        <v>7920.64</v>
      </c>
      <c r="S78" s="5">
        <v>46181</v>
      </c>
      <c r="T78" s="3" t="s">
        <v>60</v>
      </c>
      <c r="U78" s="3" t="s">
        <v>70</v>
      </c>
      <c r="V78" s="3" t="s">
        <v>53</v>
      </c>
      <c r="W78" s="3" t="s">
        <v>32</v>
      </c>
      <c r="X78" s="3" t="s">
        <v>52</v>
      </c>
      <c r="Y78" s="3">
        <v>100192</v>
      </c>
      <c r="Z78" s="3" t="s">
        <v>293</v>
      </c>
      <c r="AA78" s="3">
        <v>100192</v>
      </c>
      <c r="AB78" s="3" t="s">
        <v>293</v>
      </c>
      <c r="AC78" s="4">
        <f ca="1">TODAY()-Open[[#This Row],[Status Date]]</f>
        <v>18</v>
      </c>
      <c r="AD78" s="3" t="s">
        <v>90</v>
      </c>
    </row>
    <row r="79" spans="1:30" x14ac:dyDescent="0.3">
      <c r="A79" s="3" t="s">
        <v>91</v>
      </c>
      <c r="B79" s="3" t="s">
        <v>223</v>
      </c>
      <c r="C79" s="3" t="s">
        <v>92</v>
      </c>
      <c r="D79" s="5">
        <v>46157</v>
      </c>
      <c r="E79" s="5">
        <v>46184</v>
      </c>
      <c r="F79" s="3" t="s">
        <v>63</v>
      </c>
      <c r="G79" s="3" t="s">
        <v>82</v>
      </c>
      <c r="H79" s="4">
        <v>35</v>
      </c>
      <c r="I79" s="4">
        <v>4744820</v>
      </c>
      <c r="J79" s="3" t="s">
        <v>138</v>
      </c>
      <c r="K79" s="3" t="s">
        <v>139</v>
      </c>
      <c r="L79" s="3" t="s">
        <v>140</v>
      </c>
      <c r="M79" s="5">
        <v>46155</v>
      </c>
      <c r="N79" s="3" t="s">
        <v>379</v>
      </c>
      <c r="O79" s="3" t="s">
        <v>380</v>
      </c>
      <c r="P79" s="3" t="s">
        <v>40</v>
      </c>
      <c r="Q79" s="6">
        <v>1175</v>
      </c>
      <c r="R79" s="6">
        <v>1175</v>
      </c>
      <c r="S79" s="5">
        <v>46177</v>
      </c>
      <c r="T79" s="3" t="s">
        <v>68</v>
      </c>
      <c r="U79" s="3" t="s">
        <v>69</v>
      </c>
      <c r="V79" s="3" t="s">
        <v>47</v>
      </c>
      <c r="W79" s="3" t="s">
        <v>71</v>
      </c>
      <c r="X79" s="3" t="s">
        <v>41</v>
      </c>
      <c r="Y79" s="3">
        <v>100172</v>
      </c>
      <c r="Z79" s="3" t="s">
        <v>135</v>
      </c>
      <c r="AA79" s="3">
        <v>100122</v>
      </c>
      <c r="AB79" s="3" t="s">
        <v>136</v>
      </c>
      <c r="AC79" s="4">
        <f ca="1">TODAY()-Open[[#This Row],[Status Date]]</f>
        <v>22</v>
      </c>
      <c r="AD79" s="3" t="s">
        <v>90</v>
      </c>
    </row>
    <row r="80" spans="1:30" x14ac:dyDescent="0.3">
      <c r="A80" s="3" t="s">
        <v>72</v>
      </c>
      <c r="B80" s="3" t="s">
        <v>80</v>
      </c>
      <c r="C80" s="3" t="s">
        <v>81</v>
      </c>
      <c r="D80" s="5">
        <v>46160</v>
      </c>
      <c r="E80" s="5">
        <v>46192</v>
      </c>
      <c r="F80" s="3" t="s">
        <v>63</v>
      </c>
      <c r="G80" s="3" t="s">
        <v>82</v>
      </c>
      <c r="H80" s="4">
        <v>32</v>
      </c>
      <c r="I80" s="4">
        <v>4750386</v>
      </c>
      <c r="J80" s="3" t="s">
        <v>141</v>
      </c>
      <c r="K80" s="3" t="s">
        <v>142</v>
      </c>
      <c r="L80" s="3" t="s">
        <v>143</v>
      </c>
      <c r="M80" s="5">
        <v>46104</v>
      </c>
      <c r="N80" s="3" t="s">
        <v>460</v>
      </c>
      <c r="O80" s="3" t="s">
        <v>461</v>
      </c>
      <c r="P80" s="3" t="s">
        <v>34</v>
      </c>
      <c r="Q80" s="6">
        <v>2518.06</v>
      </c>
      <c r="R80" s="6">
        <v>2518.06</v>
      </c>
      <c r="S80" s="5">
        <v>46195</v>
      </c>
      <c r="T80" s="3" t="s">
        <v>60</v>
      </c>
      <c r="U80" s="3" t="s">
        <v>70</v>
      </c>
      <c r="V80" s="3" t="s">
        <v>53</v>
      </c>
      <c r="W80" s="3" t="s">
        <v>32</v>
      </c>
      <c r="X80" s="3" t="s">
        <v>35</v>
      </c>
      <c r="Y80" s="3">
        <v>100122</v>
      </c>
      <c r="Z80" s="3" t="s">
        <v>136</v>
      </c>
      <c r="AA80" s="3">
        <v>100122</v>
      </c>
      <c r="AB80" s="3" t="s">
        <v>136</v>
      </c>
      <c r="AC80" s="4">
        <f ca="1">TODAY()-Open[[#This Row],[Status Date]]</f>
        <v>4</v>
      </c>
      <c r="AD80" s="3" t="s">
        <v>90</v>
      </c>
    </row>
    <row r="81" spans="1:30" x14ac:dyDescent="0.3">
      <c r="A81" s="3" t="s">
        <v>72</v>
      </c>
      <c r="B81" s="3" t="s">
        <v>80</v>
      </c>
      <c r="C81" s="3" t="s">
        <v>81</v>
      </c>
      <c r="D81" s="5">
        <v>46161</v>
      </c>
      <c r="E81" s="5">
        <v>46161</v>
      </c>
      <c r="F81" s="3" t="s">
        <v>63</v>
      </c>
      <c r="G81" s="3" t="s">
        <v>82</v>
      </c>
      <c r="H81" s="4">
        <v>31</v>
      </c>
      <c r="I81" s="4">
        <v>4756508</v>
      </c>
      <c r="J81" s="3" t="s">
        <v>144</v>
      </c>
      <c r="K81" s="3" t="s">
        <v>145</v>
      </c>
      <c r="L81" s="3" t="s">
        <v>146</v>
      </c>
      <c r="M81" s="5">
        <v>45902</v>
      </c>
      <c r="N81" s="3" t="s">
        <v>279</v>
      </c>
      <c r="O81" s="3" t="s">
        <v>280</v>
      </c>
      <c r="P81" s="3" t="s">
        <v>31</v>
      </c>
      <c r="Q81" s="6">
        <v>655.20000000000005</v>
      </c>
      <c r="R81" s="6">
        <v>655.20000000000005</v>
      </c>
      <c r="S81" s="5">
        <v>46195</v>
      </c>
      <c r="T81" s="3" t="s">
        <v>68</v>
      </c>
      <c r="U81" s="3" t="s">
        <v>69</v>
      </c>
      <c r="V81" s="3" t="s">
        <v>53</v>
      </c>
      <c r="W81" s="3" t="s">
        <v>32</v>
      </c>
      <c r="X81" s="3" t="s">
        <v>33</v>
      </c>
      <c r="Y81" s="3">
        <v>100212</v>
      </c>
      <c r="Z81" s="3" t="s">
        <v>170</v>
      </c>
      <c r="AA81" s="3">
        <v>100152</v>
      </c>
      <c r="AB81" s="3" t="s">
        <v>171</v>
      </c>
      <c r="AC81" s="4">
        <f ca="1">TODAY()-Open[[#This Row],[Status Date]]</f>
        <v>4</v>
      </c>
      <c r="AD81" s="3" t="s">
        <v>90</v>
      </c>
    </row>
    <row r="82" spans="1:30" x14ac:dyDescent="0.3">
      <c r="A82" s="3" t="s">
        <v>72</v>
      </c>
      <c r="B82" s="3" t="s">
        <v>80</v>
      </c>
      <c r="C82" s="3" t="s">
        <v>81</v>
      </c>
      <c r="D82" s="5">
        <v>46161</v>
      </c>
      <c r="E82" s="5">
        <v>46161</v>
      </c>
      <c r="F82" s="3" t="s">
        <v>63</v>
      </c>
      <c r="G82" s="3" t="s">
        <v>82</v>
      </c>
      <c r="H82" s="4">
        <v>31</v>
      </c>
      <c r="I82" s="4">
        <v>4756786</v>
      </c>
      <c r="J82" s="3" t="s">
        <v>147</v>
      </c>
      <c r="K82" s="3" t="s">
        <v>148</v>
      </c>
      <c r="L82" s="3" t="s">
        <v>149</v>
      </c>
      <c r="M82" s="5">
        <v>45902</v>
      </c>
      <c r="N82" s="3" t="s">
        <v>279</v>
      </c>
      <c r="O82" s="3" t="s">
        <v>280</v>
      </c>
      <c r="P82" s="3" t="s">
        <v>31</v>
      </c>
      <c r="Q82" s="6">
        <v>2106</v>
      </c>
      <c r="R82" s="6">
        <v>2106</v>
      </c>
      <c r="S82" s="5">
        <v>46195</v>
      </c>
      <c r="T82" s="3" t="s">
        <v>68</v>
      </c>
      <c r="U82" s="3" t="s">
        <v>69</v>
      </c>
      <c r="V82" s="3" t="s">
        <v>53</v>
      </c>
      <c r="W82" s="3" t="s">
        <v>32</v>
      </c>
      <c r="X82" s="3" t="s">
        <v>33</v>
      </c>
      <c r="Y82" s="3">
        <v>100252</v>
      </c>
      <c r="Z82" s="3" t="s">
        <v>246</v>
      </c>
      <c r="AA82" s="3">
        <v>100162</v>
      </c>
      <c r="AB82" s="3" t="s">
        <v>159</v>
      </c>
      <c r="AC82" s="4">
        <f ca="1">TODAY()-Open[[#This Row],[Status Date]]</f>
        <v>4</v>
      </c>
      <c r="AD82" s="3" t="s">
        <v>90</v>
      </c>
    </row>
    <row r="83" spans="1:30" x14ac:dyDescent="0.3">
      <c r="A83" s="3" t="s">
        <v>91</v>
      </c>
      <c r="B83" s="3" t="s">
        <v>223</v>
      </c>
      <c r="C83" s="3" t="s">
        <v>92</v>
      </c>
      <c r="D83" s="5">
        <v>46165</v>
      </c>
      <c r="E83" s="5">
        <v>46165</v>
      </c>
      <c r="F83" s="3" t="s">
        <v>63</v>
      </c>
      <c r="G83" s="3" t="s">
        <v>82</v>
      </c>
      <c r="H83" s="4">
        <v>27</v>
      </c>
      <c r="I83" s="4">
        <v>4787954</v>
      </c>
      <c r="J83" s="3" t="s">
        <v>150</v>
      </c>
      <c r="K83" s="3" t="s">
        <v>151</v>
      </c>
      <c r="L83" s="3" t="s">
        <v>152</v>
      </c>
      <c r="M83" s="5">
        <v>46164</v>
      </c>
      <c r="N83" s="3" t="s">
        <v>227</v>
      </c>
      <c r="O83" s="3" t="s">
        <v>228</v>
      </c>
      <c r="P83" s="3" t="s">
        <v>42</v>
      </c>
      <c r="Q83" s="6">
        <v>726.01</v>
      </c>
      <c r="R83" s="6">
        <v>726.01</v>
      </c>
      <c r="S83" s="5">
        <v>46188</v>
      </c>
      <c r="T83" s="3" t="s">
        <v>66</v>
      </c>
      <c r="U83" s="3" t="s">
        <v>76</v>
      </c>
      <c r="V83" s="3" t="s">
        <v>53</v>
      </c>
      <c r="W83" s="3" t="s">
        <v>32</v>
      </c>
      <c r="X83" s="3" t="s">
        <v>43</v>
      </c>
      <c r="Y83" s="3">
        <v>100182</v>
      </c>
      <c r="Z83" s="3" t="s">
        <v>462</v>
      </c>
      <c r="AA83" s="3">
        <v>100152</v>
      </c>
      <c r="AB83" s="3" t="s">
        <v>171</v>
      </c>
      <c r="AC83" s="4">
        <f ca="1">TODAY()-Open[[#This Row],[Status Date]]</f>
        <v>11</v>
      </c>
      <c r="AD83" s="3" t="s">
        <v>90</v>
      </c>
    </row>
    <row r="84" spans="1:30" x14ac:dyDescent="0.3">
      <c r="A84" s="3" t="s">
        <v>72</v>
      </c>
      <c r="B84" s="3" t="s">
        <v>80</v>
      </c>
      <c r="C84" s="3" t="s">
        <v>81</v>
      </c>
      <c r="D84" s="5">
        <v>46170</v>
      </c>
      <c r="E84" s="5">
        <v>46188</v>
      </c>
      <c r="F84" s="3" t="s">
        <v>63</v>
      </c>
      <c r="G84" s="3" t="s">
        <v>82</v>
      </c>
      <c r="H84" s="4">
        <v>22</v>
      </c>
      <c r="I84" s="4">
        <v>4838602</v>
      </c>
      <c r="J84" s="3" t="s">
        <v>164</v>
      </c>
      <c r="K84" s="3" t="s">
        <v>165</v>
      </c>
      <c r="L84" s="3" t="s">
        <v>166</v>
      </c>
      <c r="M84" s="5">
        <v>46044</v>
      </c>
      <c r="N84" s="3" t="s">
        <v>463</v>
      </c>
      <c r="O84" s="3" t="s">
        <v>464</v>
      </c>
      <c r="P84" s="3" t="s">
        <v>42</v>
      </c>
      <c r="Q84" s="6">
        <v>633</v>
      </c>
      <c r="R84" s="6">
        <v>633</v>
      </c>
      <c r="S84" s="5">
        <v>46190</v>
      </c>
      <c r="T84" s="3" t="s">
        <v>66</v>
      </c>
      <c r="U84" s="3" t="s">
        <v>76</v>
      </c>
      <c r="V84" s="3" t="s">
        <v>47</v>
      </c>
      <c r="W84" s="3" t="s">
        <v>71</v>
      </c>
      <c r="X84" s="3" t="s">
        <v>43</v>
      </c>
      <c r="Y84" s="3">
        <v>100222</v>
      </c>
      <c r="Z84" s="3" t="s">
        <v>465</v>
      </c>
      <c r="AA84" s="3">
        <v>100162</v>
      </c>
      <c r="AB84" s="3" t="s">
        <v>159</v>
      </c>
      <c r="AC84" s="4">
        <f ca="1">TODAY()-Open[[#This Row],[Status Date]]</f>
        <v>9</v>
      </c>
      <c r="AD84" s="3" t="s">
        <v>90</v>
      </c>
    </row>
    <row r="85" spans="1:30" x14ac:dyDescent="0.3">
      <c r="A85" s="3" t="s">
        <v>72</v>
      </c>
      <c r="B85" s="3" t="s">
        <v>80</v>
      </c>
      <c r="C85" s="3" t="s">
        <v>81</v>
      </c>
      <c r="D85" s="5">
        <v>46171</v>
      </c>
      <c r="E85" s="5">
        <v>46175</v>
      </c>
      <c r="F85" s="3" t="s">
        <v>63</v>
      </c>
      <c r="G85" s="3" t="s">
        <v>82</v>
      </c>
      <c r="H85" s="4">
        <v>21</v>
      </c>
      <c r="I85" s="4">
        <v>4851125</v>
      </c>
      <c r="J85" s="3" t="s">
        <v>172</v>
      </c>
      <c r="K85" s="3" t="s">
        <v>173</v>
      </c>
      <c r="L85" s="3" t="s">
        <v>174</v>
      </c>
      <c r="M85" s="5">
        <v>46154</v>
      </c>
      <c r="N85" s="3" t="s">
        <v>133</v>
      </c>
      <c r="O85" s="3" t="s">
        <v>134</v>
      </c>
      <c r="P85" s="3" t="s">
        <v>34</v>
      </c>
      <c r="Q85" s="6">
        <v>450</v>
      </c>
      <c r="R85" s="6">
        <v>450</v>
      </c>
      <c r="S85" s="5">
        <v>46195</v>
      </c>
      <c r="T85" s="3" t="s">
        <v>60</v>
      </c>
      <c r="U85" s="3" t="s">
        <v>70</v>
      </c>
      <c r="V85" s="3" t="s">
        <v>53</v>
      </c>
      <c r="W85" s="3" t="s">
        <v>32</v>
      </c>
      <c r="X85" s="3" t="s">
        <v>35</v>
      </c>
      <c r="Y85" s="3">
        <v>100162</v>
      </c>
      <c r="Z85" s="3" t="s">
        <v>159</v>
      </c>
      <c r="AA85" s="3">
        <v>100162</v>
      </c>
      <c r="AB85" s="3" t="s">
        <v>159</v>
      </c>
      <c r="AC85" s="4">
        <f ca="1">TODAY()-Open[[#This Row],[Status Date]]</f>
        <v>4</v>
      </c>
      <c r="AD85" s="3" t="s">
        <v>90</v>
      </c>
    </row>
    <row r="86" spans="1:30" x14ac:dyDescent="0.3">
      <c r="A86" s="3" t="s">
        <v>72</v>
      </c>
      <c r="B86" s="3" t="s">
        <v>80</v>
      </c>
      <c r="C86" s="3" t="s">
        <v>466</v>
      </c>
      <c r="D86" s="5">
        <v>46174</v>
      </c>
      <c r="E86" s="5">
        <v>46174</v>
      </c>
      <c r="F86" s="3" t="s">
        <v>63</v>
      </c>
      <c r="G86" s="3" t="s">
        <v>82</v>
      </c>
      <c r="H86" s="4">
        <v>18</v>
      </c>
      <c r="I86" s="4">
        <v>4858639</v>
      </c>
      <c r="J86" s="3" t="s">
        <v>175</v>
      </c>
      <c r="K86" s="3" t="s">
        <v>176</v>
      </c>
      <c r="L86" s="3" t="s">
        <v>177</v>
      </c>
      <c r="M86" s="5">
        <v>46148</v>
      </c>
      <c r="N86" s="3" t="s">
        <v>467</v>
      </c>
      <c r="O86" s="3" t="s">
        <v>468</v>
      </c>
      <c r="P86" s="3" t="s">
        <v>34</v>
      </c>
      <c r="Q86" s="6">
        <v>500</v>
      </c>
      <c r="R86" s="6">
        <v>500</v>
      </c>
      <c r="S86" s="5">
        <v>46195</v>
      </c>
      <c r="T86" s="3" t="s">
        <v>60</v>
      </c>
      <c r="U86" s="3" t="s">
        <v>70</v>
      </c>
      <c r="V86" s="3" t="s">
        <v>53</v>
      </c>
      <c r="W86" s="3" t="s">
        <v>32</v>
      </c>
      <c r="X86" s="3" t="s">
        <v>35</v>
      </c>
      <c r="Y86" s="3">
        <v>100112</v>
      </c>
      <c r="Z86" s="3" t="s">
        <v>89</v>
      </c>
      <c r="AA86" s="3">
        <v>100112</v>
      </c>
      <c r="AB86" s="3" t="s">
        <v>89</v>
      </c>
      <c r="AC86" s="4">
        <f ca="1">TODAY()-Open[[#This Row],[Status Date]]</f>
        <v>4</v>
      </c>
      <c r="AD86" s="3" t="s">
        <v>90</v>
      </c>
    </row>
    <row r="87" spans="1:30" x14ac:dyDescent="0.3">
      <c r="A87" s="3" t="s">
        <v>72</v>
      </c>
      <c r="B87" s="3" t="s">
        <v>80</v>
      </c>
      <c r="C87" s="3" t="s">
        <v>466</v>
      </c>
      <c r="D87" s="5">
        <v>46174</v>
      </c>
      <c r="E87" s="5">
        <v>46174</v>
      </c>
      <c r="F87" s="3" t="s">
        <v>63</v>
      </c>
      <c r="G87" s="3" t="s">
        <v>82</v>
      </c>
      <c r="H87" s="4">
        <v>18</v>
      </c>
      <c r="I87" s="4">
        <v>4858917</v>
      </c>
      <c r="J87" s="3" t="s">
        <v>178</v>
      </c>
      <c r="K87" s="3" t="s">
        <v>179</v>
      </c>
      <c r="L87" s="3" t="s">
        <v>180</v>
      </c>
      <c r="M87" s="5">
        <v>46150</v>
      </c>
      <c r="N87" s="3" t="s">
        <v>467</v>
      </c>
      <c r="O87" s="3" t="s">
        <v>468</v>
      </c>
      <c r="P87" s="3" t="s">
        <v>34</v>
      </c>
      <c r="Q87" s="6">
        <v>250</v>
      </c>
      <c r="R87" s="6">
        <v>250</v>
      </c>
      <c r="S87" s="5">
        <v>46195</v>
      </c>
      <c r="T87" s="3" t="s">
        <v>60</v>
      </c>
      <c r="U87" s="3" t="s">
        <v>70</v>
      </c>
      <c r="V87" s="3" t="s">
        <v>53</v>
      </c>
      <c r="W87" s="3" t="s">
        <v>32</v>
      </c>
      <c r="X87" s="3" t="s">
        <v>35</v>
      </c>
      <c r="Y87" s="3">
        <v>100122</v>
      </c>
      <c r="Z87" s="3" t="s">
        <v>136</v>
      </c>
      <c r="AA87" s="3">
        <v>100122</v>
      </c>
      <c r="AB87" s="3" t="s">
        <v>136</v>
      </c>
      <c r="AC87" s="4">
        <f ca="1">TODAY()-Open[[#This Row],[Status Date]]</f>
        <v>4</v>
      </c>
      <c r="AD87" s="3" t="s">
        <v>90</v>
      </c>
    </row>
    <row r="88" spans="1:30" x14ac:dyDescent="0.3">
      <c r="A88" s="3" t="s">
        <v>72</v>
      </c>
      <c r="B88" s="3" t="s">
        <v>80</v>
      </c>
      <c r="C88" s="3" t="s">
        <v>81</v>
      </c>
      <c r="D88" s="5">
        <v>46174</v>
      </c>
      <c r="E88" s="5">
        <v>46174</v>
      </c>
      <c r="F88" s="3" t="s">
        <v>63</v>
      </c>
      <c r="G88" s="3" t="s">
        <v>82</v>
      </c>
      <c r="H88" s="4">
        <v>18</v>
      </c>
      <c r="I88" s="4">
        <v>4859195</v>
      </c>
      <c r="J88" s="3" t="s">
        <v>181</v>
      </c>
      <c r="K88" s="3" t="s">
        <v>182</v>
      </c>
      <c r="L88" s="3" t="s">
        <v>183</v>
      </c>
      <c r="M88" s="5">
        <v>46058</v>
      </c>
      <c r="N88" s="3" t="s">
        <v>469</v>
      </c>
      <c r="O88" s="3" t="s">
        <v>470</v>
      </c>
      <c r="P88" s="3" t="s">
        <v>34</v>
      </c>
      <c r="Q88" s="6">
        <v>10517.06</v>
      </c>
      <c r="R88" s="6">
        <v>10517.06</v>
      </c>
      <c r="S88" s="5">
        <v>46195</v>
      </c>
      <c r="T88" s="3" t="s">
        <v>60</v>
      </c>
      <c r="U88" s="3" t="s">
        <v>70</v>
      </c>
      <c r="V88" s="3" t="s">
        <v>53</v>
      </c>
      <c r="W88" s="3" t="s">
        <v>32</v>
      </c>
      <c r="X88" s="3" t="s">
        <v>35</v>
      </c>
      <c r="Y88" s="3">
        <v>100152</v>
      </c>
      <c r="Z88" s="3" t="s">
        <v>171</v>
      </c>
      <c r="AA88" s="3">
        <v>100152</v>
      </c>
      <c r="AB88" s="3" t="s">
        <v>171</v>
      </c>
      <c r="AC88" s="4">
        <f ca="1">TODAY()-Open[[#This Row],[Status Date]]</f>
        <v>4</v>
      </c>
      <c r="AD88" s="3" t="s">
        <v>90</v>
      </c>
    </row>
    <row r="89" spans="1:30" x14ac:dyDescent="0.3">
      <c r="A89" s="3" t="s">
        <v>72</v>
      </c>
      <c r="B89" s="3" t="s">
        <v>80</v>
      </c>
      <c r="C89" s="3" t="s">
        <v>370</v>
      </c>
      <c r="D89" s="5">
        <v>46175</v>
      </c>
      <c r="E89" s="5">
        <v>46175</v>
      </c>
      <c r="F89" s="3" t="s">
        <v>63</v>
      </c>
      <c r="G89" s="3" t="s">
        <v>82</v>
      </c>
      <c r="H89" s="4">
        <v>17</v>
      </c>
      <c r="I89" s="4">
        <v>4861421</v>
      </c>
      <c r="J89" s="3" t="s">
        <v>184</v>
      </c>
      <c r="K89" s="3" t="s">
        <v>185</v>
      </c>
      <c r="L89" s="3" t="s">
        <v>186</v>
      </c>
      <c r="M89" s="5">
        <v>45815</v>
      </c>
      <c r="N89" s="3" t="s">
        <v>374</v>
      </c>
      <c r="O89" s="3" t="s">
        <v>375</v>
      </c>
      <c r="P89" s="3" t="s">
        <v>34</v>
      </c>
      <c r="Q89" s="6">
        <v>2258.16</v>
      </c>
      <c r="R89" s="6">
        <v>2258.16</v>
      </c>
      <c r="S89" s="5">
        <v>46195</v>
      </c>
      <c r="T89" s="3" t="s">
        <v>60</v>
      </c>
      <c r="U89" s="3" t="s">
        <v>70</v>
      </c>
      <c r="V89" s="3" t="s">
        <v>53</v>
      </c>
      <c r="W89" s="3" t="s">
        <v>32</v>
      </c>
      <c r="X89" s="3" t="s">
        <v>35</v>
      </c>
      <c r="Y89" s="3">
        <v>100112</v>
      </c>
      <c r="Z89" s="3" t="s">
        <v>89</v>
      </c>
      <c r="AA89" s="3">
        <v>100112</v>
      </c>
      <c r="AB89" s="3" t="s">
        <v>89</v>
      </c>
      <c r="AC89" s="4">
        <f ca="1">TODAY()-Open[[#This Row],[Status Date]]</f>
        <v>4</v>
      </c>
      <c r="AD89" s="3" t="s">
        <v>90</v>
      </c>
    </row>
    <row r="90" spans="1:30" x14ac:dyDescent="0.3">
      <c r="A90" s="3" t="s">
        <v>72</v>
      </c>
      <c r="B90" s="3" t="s">
        <v>80</v>
      </c>
      <c r="C90" s="3" t="s">
        <v>370</v>
      </c>
      <c r="D90" s="5">
        <v>46175</v>
      </c>
      <c r="E90" s="5">
        <v>46183</v>
      </c>
      <c r="F90" s="3" t="s">
        <v>63</v>
      </c>
      <c r="G90" s="3" t="s">
        <v>82</v>
      </c>
      <c r="H90" s="4">
        <v>17</v>
      </c>
      <c r="I90" s="4">
        <v>4861700</v>
      </c>
      <c r="J90" s="3" t="s">
        <v>187</v>
      </c>
      <c r="K90" s="3" t="s">
        <v>188</v>
      </c>
      <c r="L90" s="3" t="s">
        <v>189</v>
      </c>
      <c r="M90" s="5">
        <v>46119</v>
      </c>
      <c r="N90" s="3" t="s">
        <v>374</v>
      </c>
      <c r="O90" s="3" t="s">
        <v>375</v>
      </c>
      <c r="P90" s="3" t="s">
        <v>34</v>
      </c>
      <c r="Q90" s="6">
        <v>1726.01</v>
      </c>
      <c r="R90" s="6">
        <v>1726.01</v>
      </c>
      <c r="S90" s="5">
        <v>46195</v>
      </c>
      <c r="T90" s="3" t="s">
        <v>60</v>
      </c>
      <c r="U90" s="3" t="s">
        <v>70</v>
      </c>
      <c r="V90" s="3" t="s">
        <v>53</v>
      </c>
      <c r="W90" s="3" t="s">
        <v>32</v>
      </c>
      <c r="X90" s="3" t="s">
        <v>35</v>
      </c>
      <c r="Y90" s="3">
        <v>100122</v>
      </c>
      <c r="Z90" s="3" t="s">
        <v>136</v>
      </c>
      <c r="AA90" s="3">
        <v>100122</v>
      </c>
      <c r="AB90" s="3" t="s">
        <v>136</v>
      </c>
      <c r="AC90" s="4">
        <f ca="1">TODAY()-Open[[#This Row],[Status Date]]</f>
        <v>4</v>
      </c>
      <c r="AD90" s="3" t="s">
        <v>90</v>
      </c>
    </row>
    <row r="91" spans="1:30" x14ac:dyDescent="0.3">
      <c r="A91" s="3" t="s">
        <v>72</v>
      </c>
      <c r="B91" s="3" t="s">
        <v>80</v>
      </c>
      <c r="C91" s="3" t="s">
        <v>471</v>
      </c>
      <c r="D91" s="5">
        <v>46175</v>
      </c>
      <c r="E91" s="5">
        <v>46175</v>
      </c>
      <c r="F91" s="3" t="s">
        <v>63</v>
      </c>
      <c r="G91" s="3" t="s">
        <v>82</v>
      </c>
      <c r="H91" s="4">
        <v>17</v>
      </c>
      <c r="I91" s="4">
        <v>4862813</v>
      </c>
      <c r="J91" s="3" t="s">
        <v>190</v>
      </c>
      <c r="K91" s="3" t="s">
        <v>191</v>
      </c>
      <c r="L91" s="3" t="s">
        <v>192</v>
      </c>
      <c r="M91" s="5">
        <v>46108</v>
      </c>
      <c r="N91" s="3" t="s">
        <v>472</v>
      </c>
      <c r="O91" s="3" t="s">
        <v>473</v>
      </c>
      <c r="P91" s="3" t="s">
        <v>34</v>
      </c>
      <c r="Q91" s="6">
        <v>458.91</v>
      </c>
      <c r="R91" s="6">
        <v>458.91</v>
      </c>
      <c r="S91" s="5">
        <v>46195</v>
      </c>
      <c r="T91" s="3" t="s">
        <v>60</v>
      </c>
      <c r="U91" s="3" t="s">
        <v>70</v>
      </c>
      <c r="V91" s="3" t="s">
        <v>53</v>
      </c>
      <c r="W91" s="3" t="s">
        <v>32</v>
      </c>
      <c r="X91" s="3" t="s">
        <v>35</v>
      </c>
      <c r="Y91" s="3">
        <v>100202</v>
      </c>
      <c r="Z91" s="3" t="s">
        <v>229</v>
      </c>
      <c r="AA91" s="3">
        <v>100202</v>
      </c>
      <c r="AB91" s="3" t="s">
        <v>229</v>
      </c>
      <c r="AC91" s="4">
        <f ca="1">TODAY()-Open[[#This Row],[Status Date]]</f>
        <v>4</v>
      </c>
      <c r="AD91" s="3" t="s">
        <v>90</v>
      </c>
    </row>
    <row r="92" spans="1:30" x14ac:dyDescent="0.3">
      <c r="A92" s="3" t="s">
        <v>72</v>
      </c>
      <c r="B92" s="3" t="s">
        <v>80</v>
      </c>
      <c r="C92" s="3" t="s">
        <v>137</v>
      </c>
      <c r="D92" s="5">
        <v>46177</v>
      </c>
      <c r="E92" s="5">
        <v>46177</v>
      </c>
      <c r="F92" s="3" t="s">
        <v>63</v>
      </c>
      <c r="G92" s="3" t="s">
        <v>82</v>
      </c>
      <c r="H92" s="4">
        <v>15</v>
      </c>
      <c r="I92" s="4">
        <v>4874501</v>
      </c>
      <c r="J92" s="3" t="s">
        <v>200</v>
      </c>
      <c r="K92" s="3" t="s">
        <v>201</v>
      </c>
      <c r="L92" s="3" t="s">
        <v>202</v>
      </c>
      <c r="M92" s="5">
        <v>46070</v>
      </c>
      <c r="N92" s="3" t="s">
        <v>474</v>
      </c>
      <c r="O92" s="3" t="s">
        <v>475</v>
      </c>
      <c r="P92" s="3" t="s">
        <v>51</v>
      </c>
      <c r="Q92" s="6">
        <v>102.37</v>
      </c>
      <c r="R92" s="6">
        <v>102.37</v>
      </c>
      <c r="S92" s="5">
        <v>46195</v>
      </c>
      <c r="T92" s="3" t="s">
        <v>60</v>
      </c>
      <c r="U92" s="3" t="s">
        <v>70</v>
      </c>
      <c r="V92" s="3" t="s">
        <v>53</v>
      </c>
      <c r="W92" s="3" t="s">
        <v>32</v>
      </c>
      <c r="X92" s="3" t="s">
        <v>52</v>
      </c>
      <c r="Y92" s="3">
        <v>100242</v>
      </c>
      <c r="Z92" s="3" t="s">
        <v>233</v>
      </c>
      <c r="AA92" s="3">
        <v>100242</v>
      </c>
      <c r="AB92" s="3" t="s">
        <v>233</v>
      </c>
      <c r="AC92" s="4">
        <f ca="1">TODAY()-Open[[#This Row],[Status Date]]</f>
        <v>4</v>
      </c>
      <c r="AD92" s="3" t="s">
        <v>90</v>
      </c>
    </row>
    <row r="93" spans="1:30" x14ac:dyDescent="0.3">
      <c r="A93" s="3" t="s">
        <v>72</v>
      </c>
      <c r="B93" s="3" t="s">
        <v>80</v>
      </c>
      <c r="C93" s="3" t="s">
        <v>81</v>
      </c>
      <c r="D93" s="5">
        <v>46178</v>
      </c>
      <c r="E93" s="5">
        <v>46182</v>
      </c>
      <c r="F93" s="3" t="s">
        <v>63</v>
      </c>
      <c r="G93" s="3" t="s">
        <v>82</v>
      </c>
      <c r="H93" s="4">
        <v>14</v>
      </c>
      <c r="I93" s="4">
        <v>4892311</v>
      </c>
      <c r="J93" s="3" t="s">
        <v>203</v>
      </c>
      <c r="K93" s="3" t="s">
        <v>204</v>
      </c>
      <c r="L93" s="3" t="s">
        <v>205</v>
      </c>
      <c r="M93" s="5">
        <v>46154</v>
      </c>
      <c r="N93" s="3" t="s">
        <v>350</v>
      </c>
      <c r="O93" s="3" t="s">
        <v>351</v>
      </c>
      <c r="P93" s="3" t="s">
        <v>34</v>
      </c>
      <c r="Q93" s="6">
        <v>7961.22</v>
      </c>
      <c r="R93" s="6">
        <v>7961.22</v>
      </c>
      <c r="S93" s="5">
        <v>46195</v>
      </c>
      <c r="T93" s="3" t="s">
        <v>60</v>
      </c>
      <c r="U93" s="3" t="s">
        <v>70</v>
      </c>
      <c r="V93" s="3" t="s">
        <v>53</v>
      </c>
      <c r="W93" s="3" t="s">
        <v>32</v>
      </c>
      <c r="X93" s="3" t="s">
        <v>35</v>
      </c>
      <c r="Y93" s="3">
        <v>100122</v>
      </c>
      <c r="Z93" s="3" t="s">
        <v>136</v>
      </c>
      <c r="AA93" s="3">
        <v>100122</v>
      </c>
      <c r="AB93" s="3" t="s">
        <v>136</v>
      </c>
      <c r="AC93" s="4">
        <f ca="1">TODAY()-Open[[#This Row],[Status Date]]</f>
        <v>4</v>
      </c>
      <c r="AD93" s="3" t="s">
        <v>90</v>
      </c>
    </row>
    <row r="94" spans="1:30" x14ac:dyDescent="0.3">
      <c r="A94" s="3" t="s">
        <v>72</v>
      </c>
      <c r="B94" s="3" t="s">
        <v>80</v>
      </c>
      <c r="C94" s="3" t="s">
        <v>81</v>
      </c>
      <c r="D94" s="5">
        <v>46179</v>
      </c>
      <c r="E94" s="5">
        <v>46190</v>
      </c>
      <c r="F94" s="3" t="s">
        <v>63</v>
      </c>
      <c r="G94" s="3" t="s">
        <v>82</v>
      </c>
      <c r="H94" s="4">
        <v>13</v>
      </c>
      <c r="I94" s="4">
        <v>4895929</v>
      </c>
      <c r="J94" s="3" t="s">
        <v>211</v>
      </c>
      <c r="K94" s="3" t="s">
        <v>212</v>
      </c>
      <c r="L94" s="3" t="s">
        <v>213</v>
      </c>
      <c r="M94" s="5">
        <v>46163</v>
      </c>
      <c r="N94" s="3" t="s">
        <v>133</v>
      </c>
      <c r="O94" s="3" t="s">
        <v>134</v>
      </c>
      <c r="P94" s="3" t="s">
        <v>34</v>
      </c>
      <c r="Q94" s="6">
        <v>194.7</v>
      </c>
      <c r="R94" s="6">
        <v>194.7</v>
      </c>
      <c r="S94" s="5">
        <v>46188</v>
      </c>
      <c r="T94" s="3" t="s">
        <v>60</v>
      </c>
      <c r="U94" s="3" t="s">
        <v>70</v>
      </c>
      <c r="V94" s="3" t="s">
        <v>53</v>
      </c>
      <c r="W94" s="3" t="s">
        <v>32</v>
      </c>
      <c r="X94" s="3" t="s">
        <v>35</v>
      </c>
      <c r="Y94" s="3">
        <v>100192</v>
      </c>
      <c r="Z94" s="3" t="s">
        <v>293</v>
      </c>
      <c r="AA94" s="3">
        <v>100192</v>
      </c>
      <c r="AB94" s="3" t="s">
        <v>293</v>
      </c>
      <c r="AC94" s="4">
        <f ca="1">TODAY()-Open[[#This Row],[Status Date]]</f>
        <v>11</v>
      </c>
      <c r="AD94" s="3" t="s">
        <v>90</v>
      </c>
    </row>
    <row r="95" spans="1:30" x14ac:dyDescent="0.3">
      <c r="A95" s="3" t="s">
        <v>72</v>
      </c>
      <c r="B95" s="3" t="s">
        <v>80</v>
      </c>
      <c r="C95" s="3" t="s">
        <v>81</v>
      </c>
      <c r="D95" s="5">
        <v>46179</v>
      </c>
      <c r="E95" s="5">
        <v>46192</v>
      </c>
      <c r="F95" s="3" t="s">
        <v>63</v>
      </c>
      <c r="G95" s="3" t="s">
        <v>82</v>
      </c>
      <c r="H95" s="4">
        <v>13</v>
      </c>
      <c r="I95" s="4">
        <v>4896207</v>
      </c>
      <c r="J95" s="3" t="s">
        <v>214</v>
      </c>
      <c r="K95" s="3" t="s">
        <v>215</v>
      </c>
      <c r="L95" s="3" t="s">
        <v>216</v>
      </c>
      <c r="M95" s="5">
        <v>46177</v>
      </c>
      <c r="N95" s="3" t="s">
        <v>469</v>
      </c>
      <c r="O95" s="3" t="s">
        <v>470</v>
      </c>
      <c r="P95" s="3" t="s">
        <v>56</v>
      </c>
      <c r="Q95" s="6">
        <v>249.84</v>
      </c>
      <c r="R95" s="6">
        <v>249.84</v>
      </c>
      <c r="S95" s="5">
        <v>46195</v>
      </c>
      <c r="T95" s="3" t="s">
        <v>66</v>
      </c>
      <c r="U95" s="3" t="s">
        <v>76</v>
      </c>
      <c r="V95" s="3" t="s">
        <v>53</v>
      </c>
      <c r="W95" s="3" t="s">
        <v>32</v>
      </c>
      <c r="X95" s="3" t="s">
        <v>57</v>
      </c>
      <c r="Y95" s="3">
        <v>100262</v>
      </c>
      <c r="Z95" s="3" t="s">
        <v>476</v>
      </c>
      <c r="AA95" s="3">
        <v>100192</v>
      </c>
      <c r="AB95" s="3" t="s">
        <v>293</v>
      </c>
      <c r="AC95" s="4">
        <f ca="1">TODAY()-Open[[#This Row],[Status Date]]</f>
        <v>4</v>
      </c>
      <c r="AD95" s="3" t="s">
        <v>90</v>
      </c>
    </row>
    <row r="96" spans="1:30" x14ac:dyDescent="0.3">
      <c r="A96" s="3" t="s">
        <v>72</v>
      </c>
      <c r="B96" s="3" t="s">
        <v>80</v>
      </c>
      <c r="C96" s="3" t="s">
        <v>81</v>
      </c>
      <c r="D96" s="5">
        <v>46182</v>
      </c>
      <c r="E96" s="5">
        <v>46186</v>
      </c>
      <c r="F96" s="3" t="s">
        <v>63</v>
      </c>
      <c r="G96" s="3" t="s">
        <v>82</v>
      </c>
      <c r="H96" s="4">
        <v>10</v>
      </c>
      <c r="I96" s="4">
        <v>4902329</v>
      </c>
      <c r="J96" s="3" t="s">
        <v>217</v>
      </c>
      <c r="K96" s="3" t="s">
        <v>218</v>
      </c>
      <c r="L96" s="3" t="s">
        <v>219</v>
      </c>
      <c r="M96" s="5">
        <v>46143</v>
      </c>
      <c r="N96" s="3" t="s">
        <v>477</v>
      </c>
      <c r="O96" s="3" t="s">
        <v>478</v>
      </c>
      <c r="P96" s="3" t="s">
        <v>42</v>
      </c>
      <c r="Q96" s="6">
        <v>9570</v>
      </c>
      <c r="R96" s="6">
        <v>10479.15</v>
      </c>
      <c r="S96" s="5">
        <v>46188</v>
      </c>
      <c r="T96" s="3" t="s">
        <v>66</v>
      </c>
      <c r="U96" s="3" t="s">
        <v>76</v>
      </c>
      <c r="V96" s="3" t="s">
        <v>53</v>
      </c>
      <c r="W96" s="3" t="s">
        <v>32</v>
      </c>
      <c r="X96" s="3" t="s">
        <v>43</v>
      </c>
      <c r="Y96" s="3">
        <v>100102</v>
      </c>
      <c r="Z96" s="3" t="s">
        <v>342</v>
      </c>
      <c r="AA96" s="3">
        <v>100112</v>
      </c>
      <c r="AB96" s="3" t="s">
        <v>89</v>
      </c>
      <c r="AC96" s="4">
        <f ca="1">TODAY()-Open[[#This Row],[Status Date]]</f>
        <v>11</v>
      </c>
      <c r="AD96" s="3" t="s">
        <v>90</v>
      </c>
    </row>
    <row r="97" spans="1:30" x14ac:dyDescent="0.3">
      <c r="A97" s="3" t="s">
        <v>72</v>
      </c>
      <c r="B97" s="3" t="s">
        <v>80</v>
      </c>
      <c r="C97" s="3" t="s">
        <v>129</v>
      </c>
      <c r="D97" s="5">
        <v>46184</v>
      </c>
      <c r="E97" s="5">
        <v>46184</v>
      </c>
      <c r="F97" s="3" t="s">
        <v>63</v>
      </c>
      <c r="G97" s="3" t="s">
        <v>82</v>
      </c>
      <c r="H97" s="4">
        <v>8</v>
      </c>
      <c r="I97" s="4">
        <v>4911513</v>
      </c>
      <c r="J97" s="3" t="s">
        <v>220</v>
      </c>
      <c r="K97" s="3" t="s">
        <v>221</v>
      </c>
      <c r="L97" s="3" t="s">
        <v>222</v>
      </c>
      <c r="M97" s="5">
        <v>46182</v>
      </c>
      <c r="N97" s="3" t="s">
        <v>479</v>
      </c>
      <c r="O97" s="3" t="s">
        <v>480</v>
      </c>
      <c r="P97" s="3" t="s">
        <v>49</v>
      </c>
      <c r="Q97" s="6">
        <v>1870.19</v>
      </c>
      <c r="R97" s="6">
        <v>1870.19</v>
      </c>
      <c r="S97" s="5">
        <v>46195</v>
      </c>
      <c r="T97" s="3" t="s">
        <v>66</v>
      </c>
      <c r="U97" s="3" t="s">
        <v>76</v>
      </c>
      <c r="V97" s="3" t="s">
        <v>53</v>
      </c>
      <c r="W97" s="3" t="s">
        <v>32</v>
      </c>
      <c r="X97" s="3" t="s">
        <v>50</v>
      </c>
      <c r="Y97" s="3">
        <v>100142</v>
      </c>
      <c r="Z97" s="3" t="s">
        <v>346</v>
      </c>
      <c r="AA97" s="3">
        <v>100122</v>
      </c>
      <c r="AB97" s="3" t="s">
        <v>136</v>
      </c>
      <c r="AC97" s="4">
        <f ca="1">TODAY()-Open[[#This Row],[Status Date]]</f>
        <v>4</v>
      </c>
      <c r="AD97" s="3" t="s">
        <v>90</v>
      </c>
    </row>
    <row r="98" spans="1:30" x14ac:dyDescent="0.3">
      <c r="A98" s="3" t="s">
        <v>72</v>
      </c>
      <c r="B98" s="3" t="s">
        <v>80</v>
      </c>
      <c r="C98" s="3" t="s">
        <v>81</v>
      </c>
      <c r="D98" s="5">
        <v>46184</v>
      </c>
      <c r="E98" s="5">
        <v>46184</v>
      </c>
      <c r="F98" s="3" t="s">
        <v>63</v>
      </c>
      <c r="G98" s="3" t="s">
        <v>82</v>
      </c>
      <c r="H98" s="4">
        <v>8</v>
      </c>
      <c r="I98" s="4">
        <v>4923201</v>
      </c>
      <c r="J98" s="3" t="s">
        <v>237</v>
      </c>
      <c r="K98" s="3" t="s">
        <v>238</v>
      </c>
      <c r="L98" s="3" t="s">
        <v>239</v>
      </c>
      <c r="M98" s="5">
        <v>46057</v>
      </c>
      <c r="N98" s="3" t="s">
        <v>481</v>
      </c>
      <c r="O98" s="3" t="s">
        <v>482</v>
      </c>
      <c r="P98" s="3" t="s">
        <v>42</v>
      </c>
      <c r="Q98" s="6">
        <v>2111.84</v>
      </c>
      <c r="R98" s="6">
        <v>2111.84</v>
      </c>
      <c r="S98" s="5">
        <v>46195</v>
      </c>
      <c r="T98" s="3" t="s">
        <v>66</v>
      </c>
      <c r="U98" s="3" t="s">
        <v>76</v>
      </c>
      <c r="V98" s="3" t="s">
        <v>53</v>
      </c>
      <c r="W98" s="3" t="s">
        <v>32</v>
      </c>
      <c r="X98" s="3" t="s">
        <v>43</v>
      </c>
      <c r="Y98" s="3">
        <v>100182</v>
      </c>
      <c r="Z98" s="3" t="s">
        <v>462</v>
      </c>
      <c r="AA98" s="3">
        <v>100152</v>
      </c>
      <c r="AB98" s="3" t="s">
        <v>171</v>
      </c>
      <c r="AC98" s="4">
        <f ca="1">TODAY()-Open[[#This Row],[Status Date]]</f>
        <v>4</v>
      </c>
      <c r="AD98" s="3" t="s">
        <v>90</v>
      </c>
    </row>
    <row r="99" spans="1:30" x14ac:dyDescent="0.3">
      <c r="A99" s="3" t="s">
        <v>72</v>
      </c>
      <c r="B99" s="3" t="s">
        <v>80</v>
      </c>
      <c r="C99" s="3" t="s">
        <v>129</v>
      </c>
      <c r="D99" s="5">
        <v>46189</v>
      </c>
      <c r="E99" s="5">
        <v>46189</v>
      </c>
      <c r="F99" s="3" t="s">
        <v>63</v>
      </c>
      <c r="G99" s="3" t="s">
        <v>82</v>
      </c>
      <c r="H99" s="4">
        <v>3</v>
      </c>
      <c r="I99" s="4">
        <v>4945185</v>
      </c>
      <c r="J99" s="3" t="s">
        <v>247</v>
      </c>
      <c r="K99" s="3" t="s">
        <v>248</v>
      </c>
      <c r="L99" s="3" t="s">
        <v>249</v>
      </c>
      <c r="M99" s="5">
        <v>46185</v>
      </c>
      <c r="N99" s="3" t="s">
        <v>479</v>
      </c>
      <c r="O99" s="3" t="s">
        <v>480</v>
      </c>
      <c r="P99" s="3" t="s">
        <v>49</v>
      </c>
      <c r="Q99" s="6">
        <v>704.53</v>
      </c>
      <c r="R99" s="6">
        <v>704.53</v>
      </c>
      <c r="S99" s="5">
        <v>46195</v>
      </c>
      <c r="T99" s="3" t="s">
        <v>66</v>
      </c>
      <c r="U99" s="3" t="s">
        <v>76</v>
      </c>
      <c r="V99" s="3" t="s">
        <v>53</v>
      </c>
      <c r="W99" s="3" t="s">
        <v>32</v>
      </c>
      <c r="X99" s="3" t="s">
        <v>50</v>
      </c>
      <c r="Y99" s="3">
        <v>100222</v>
      </c>
      <c r="Z99" s="3" t="s">
        <v>465</v>
      </c>
      <c r="AA99" s="3">
        <v>100162</v>
      </c>
      <c r="AB99" s="3" t="s">
        <v>159</v>
      </c>
      <c r="AC99" s="4">
        <f ca="1">TODAY()-Open[[#This Row],[Status Date]]</f>
        <v>4</v>
      </c>
      <c r="AD99" s="3" t="s">
        <v>90</v>
      </c>
    </row>
    <row r="100" spans="1:30" x14ac:dyDescent="0.3">
      <c r="A100" s="3" t="s">
        <v>72</v>
      </c>
      <c r="B100" s="3" t="s">
        <v>80</v>
      </c>
      <c r="C100" s="3" t="s">
        <v>81</v>
      </c>
      <c r="D100" s="5">
        <v>46189</v>
      </c>
      <c r="E100" s="5">
        <v>46189</v>
      </c>
      <c r="F100" s="3" t="s">
        <v>63</v>
      </c>
      <c r="G100" s="3" t="s">
        <v>82</v>
      </c>
      <c r="H100" s="4">
        <v>3</v>
      </c>
      <c r="I100" s="4">
        <v>4954368</v>
      </c>
      <c r="J100" s="3" t="s">
        <v>250</v>
      </c>
      <c r="K100" s="3" t="s">
        <v>251</v>
      </c>
      <c r="L100" s="3" t="s">
        <v>252</v>
      </c>
      <c r="M100" s="5">
        <v>45912</v>
      </c>
      <c r="N100" s="3" t="s">
        <v>483</v>
      </c>
      <c r="O100" s="3" t="s">
        <v>484</v>
      </c>
      <c r="P100" s="3" t="s">
        <v>31</v>
      </c>
      <c r="Q100" s="6">
        <v>1028.01</v>
      </c>
      <c r="R100" s="6">
        <v>1028.01</v>
      </c>
      <c r="S100" s="5">
        <v>46195</v>
      </c>
      <c r="T100" s="3" t="s">
        <v>68</v>
      </c>
      <c r="U100" s="3" t="s">
        <v>69</v>
      </c>
      <c r="V100" s="3" t="s">
        <v>53</v>
      </c>
      <c r="W100" s="3" t="s">
        <v>32</v>
      </c>
      <c r="X100" s="3" t="s">
        <v>33</v>
      </c>
      <c r="Y100" s="3">
        <v>100132</v>
      </c>
      <c r="Z100" s="3" t="s">
        <v>88</v>
      </c>
      <c r="AA100" s="3">
        <v>100112</v>
      </c>
      <c r="AB100" s="3" t="s">
        <v>89</v>
      </c>
      <c r="AC100" s="4">
        <f ca="1">TODAY()-Open[[#This Row],[Status Date]]</f>
        <v>4</v>
      </c>
      <c r="AD100" s="3" t="s">
        <v>90</v>
      </c>
    </row>
    <row r="101" spans="1:30" x14ac:dyDescent="0.3">
      <c r="A101" s="3" t="s">
        <v>72</v>
      </c>
      <c r="B101" s="3" t="s">
        <v>80</v>
      </c>
      <c r="C101" s="3" t="s">
        <v>81</v>
      </c>
      <c r="D101" s="5">
        <v>46189</v>
      </c>
      <c r="E101" s="5">
        <v>46189</v>
      </c>
      <c r="F101" s="3" t="s">
        <v>63</v>
      </c>
      <c r="G101" s="3" t="s">
        <v>82</v>
      </c>
      <c r="H101" s="4">
        <v>3</v>
      </c>
      <c r="I101" s="4">
        <v>4955203</v>
      </c>
      <c r="J101" s="3" t="s">
        <v>253</v>
      </c>
      <c r="K101" s="3" t="s">
        <v>254</v>
      </c>
      <c r="L101" s="3" t="s">
        <v>255</v>
      </c>
      <c r="M101" s="5">
        <v>46158</v>
      </c>
      <c r="N101" s="3" t="s">
        <v>312</v>
      </c>
      <c r="O101" s="3" t="s">
        <v>313</v>
      </c>
      <c r="P101" s="3" t="s">
        <v>42</v>
      </c>
      <c r="Q101" s="6">
        <v>811.88</v>
      </c>
      <c r="R101" s="6">
        <v>811.88</v>
      </c>
      <c r="S101" s="5">
        <v>46195</v>
      </c>
      <c r="T101" s="3" t="s">
        <v>66</v>
      </c>
      <c r="U101" s="3" t="s">
        <v>76</v>
      </c>
      <c r="V101" s="3" t="s">
        <v>53</v>
      </c>
      <c r="W101" s="3" t="s">
        <v>32</v>
      </c>
      <c r="X101" s="3" t="s">
        <v>43</v>
      </c>
      <c r="Y101" s="3">
        <v>100262</v>
      </c>
      <c r="Z101" s="3" t="s">
        <v>476</v>
      </c>
      <c r="AA101" s="3">
        <v>100192</v>
      </c>
      <c r="AB101" s="3" t="s">
        <v>293</v>
      </c>
      <c r="AC101" s="4">
        <f ca="1">TODAY()-Open[[#This Row],[Status Date]]</f>
        <v>4</v>
      </c>
      <c r="AD101" s="3" t="s">
        <v>90</v>
      </c>
    </row>
    <row r="102" spans="1:30" x14ac:dyDescent="0.3">
      <c r="A102" s="3" t="s">
        <v>72</v>
      </c>
      <c r="B102" s="3" t="s">
        <v>80</v>
      </c>
      <c r="C102" s="3" t="s">
        <v>81</v>
      </c>
      <c r="D102" s="5">
        <v>46189</v>
      </c>
      <c r="E102" s="5">
        <v>46189</v>
      </c>
      <c r="F102" s="3" t="s">
        <v>63</v>
      </c>
      <c r="G102" s="3" t="s">
        <v>82</v>
      </c>
      <c r="H102" s="4">
        <v>3</v>
      </c>
      <c r="I102" s="4">
        <v>4957708</v>
      </c>
      <c r="J102" s="3" t="s">
        <v>485</v>
      </c>
      <c r="K102" s="3" t="s">
        <v>261</v>
      </c>
      <c r="L102" s="3" t="s">
        <v>262</v>
      </c>
      <c r="M102" s="5">
        <v>45678</v>
      </c>
      <c r="N102" s="3" t="s">
        <v>279</v>
      </c>
      <c r="O102" s="3" t="s">
        <v>280</v>
      </c>
      <c r="P102" s="3" t="s">
        <v>31</v>
      </c>
      <c r="Q102" s="6">
        <v>156</v>
      </c>
      <c r="R102" s="6">
        <v>156</v>
      </c>
      <c r="S102" s="5">
        <v>46195</v>
      </c>
      <c r="T102" s="3" t="s">
        <v>68</v>
      </c>
      <c r="U102" s="3" t="s">
        <v>69</v>
      </c>
      <c r="V102" s="3" t="s">
        <v>53</v>
      </c>
      <c r="W102" s="3" t="s">
        <v>32</v>
      </c>
      <c r="X102" s="3" t="s">
        <v>33</v>
      </c>
      <c r="Y102" s="3">
        <v>100172</v>
      </c>
      <c r="Z102" s="3" t="s">
        <v>135</v>
      </c>
      <c r="AA102" s="3">
        <v>100122</v>
      </c>
      <c r="AB102" s="3" t="s">
        <v>136</v>
      </c>
      <c r="AC102" s="4">
        <f ca="1">TODAY()-Open[[#This Row],[Status Date]]</f>
        <v>4</v>
      </c>
      <c r="AD102" s="3" t="s">
        <v>90</v>
      </c>
    </row>
    <row r="103" spans="1:30" x14ac:dyDescent="0.3">
      <c r="A103" s="3" t="s">
        <v>72</v>
      </c>
      <c r="B103" s="3" t="s">
        <v>80</v>
      </c>
      <c r="C103" s="3" t="s">
        <v>81</v>
      </c>
      <c r="D103" s="5">
        <v>46189</v>
      </c>
      <c r="E103" s="5">
        <v>46189</v>
      </c>
      <c r="F103" s="3" t="s">
        <v>63</v>
      </c>
      <c r="G103" s="3" t="s">
        <v>82</v>
      </c>
      <c r="H103" s="4">
        <v>3</v>
      </c>
      <c r="I103" s="4">
        <v>4957986</v>
      </c>
      <c r="J103" s="3" t="s">
        <v>486</v>
      </c>
      <c r="K103" s="3" t="s">
        <v>263</v>
      </c>
      <c r="L103" s="3" t="s">
        <v>264</v>
      </c>
      <c r="M103" s="5">
        <v>45911</v>
      </c>
      <c r="N103" s="3" t="s">
        <v>279</v>
      </c>
      <c r="O103" s="3" t="s">
        <v>280</v>
      </c>
      <c r="P103" s="3" t="s">
        <v>34</v>
      </c>
      <c r="Q103" s="6">
        <v>54129</v>
      </c>
      <c r="R103" s="6">
        <v>54129</v>
      </c>
      <c r="S103" s="5">
        <v>46195</v>
      </c>
      <c r="T103" s="3" t="s">
        <v>60</v>
      </c>
      <c r="U103" s="3" t="s">
        <v>70</v>
      </c>
      <c r="V103" s="3" t="s">
        <v>53</v>
      </c>
      <c r="W103" s="3" t="s">
        <v>32</v>
      </c>
      <c r="X103" s="3" t="s">
        <v>35</v>
      </c>
      <c r="Y103" s="3">
        <v>100242</v>
      </c>
      <c r="Z103" s="3" t="s">
        <v>233</v>
      </c>
      <c r="AA103" s="3">
        <v>100242</v>
      </c>
      <c r="AB103" s="3" t="s">
        <v>233</v>
      </c>
      <c r="AC103" s="4">
        <f ca="1">TODAY()-Open[[#This Row],[Status Date]]</f>
        <v>4</v>
      </c>
      <c r="AD103" s="3" t="s">
        <v>90</v>
      </c>
    </row>
    <row r="104" spans="1:30" x14ac:dyDescent="0.3">
      <c r="A104" s="3" t="s">
        <v>72</v>
      </c>
      <c r="B104" s="3" t="s">
        <v>80</v>
      </c>
      <c r="C104" s="3" t="s">
        <v>81</v>
      </c>
      <c r="D104" s="5">
        <v>46189</v>
      </c>
      <c r="E104" s="5">
        <v>46189</v>
      </c>
      <c r="F104" s="3" t="s">
        <v>63</v>
      </c>
      <c r="G104" s="3" t="s">
        <v>82</v>
      </c>
      <c r="H104" s="4">
        <v>3</v>
      </c>
      <c r="I104" s="4">
        <v>4958264</v>
      </c>
      <c r="J104" s="3" t="s">
        <v>265</v>
      </c>
      <c r="K104" s="3" t="s">
        <v>266</v>
      </c>
      <c r="L104" s="3" t="s">
        <v>267</v>
      </c>
      <c r="M104" s="5">
        <v>45678</v>
      </c>
      <c r="N104" s="3" t="s">
        <v>279</v>
      </c>
      <c r="O104" s="3" t="s">
        <v>280</v>
      </c>
      <c r="P104" s="3" t="s">
        <v>34</v>
      </c>
      <c r="Q104" s="6">
        <v>104</v>
      </c>
      <c r="R104" s="6">
        <v>104</v>
      </c>
      <c r="S104" s="5">
        <v>46195</v>
      </c>
      <c r="T104" s="3" t="s">
        <v>60</v>
      </c>
      <c r="U104" s="3" t="s">
        <v>70</v>
      </c>
      <c r="V104" s="3" t="s">
        <v>53</v>
      </c>
      <c r="W104" s="3" t="s">
        <v>32</v>
      </c>
      <c r="X104" s="3" t="s">
        <v>35</v>
      </c>
      <c r="Y104" s="3">
        <v>100272</v>
      </c>
      <c r="Z104" s="3" t="s">
        <v>163</v>
      </c>
      <c r="AA104" s="3">
        <v>100272</v>
      </c>
      <c r="AB104" s="3" t="s">
        <v>163</v>
      </c>
      <c r="AC104" s="4">
        <f ca="1">TODAY()-Open[[#This Row],[Status Date]]</f>
        <v>4</v>
      </c>
      <c r="AD104" s="3" t="s">
        <v>90</v>
      </c>
    </row>
    <row r="105" spans="1:30" x14ac:dyDescent="0.3">
      <c r="A105" s="3" t="s">
        <v>72</v>
      </c>
      <c r="B105" s="3" t="s">
        <v>80</v>
      </c>
      <c r="C105" s="3" t="s">
        <v>81</v>
      </c>
      <c r="D105" s="5">
        <v>46191</v>
      </c>
      <c r="E105" s="5">
        <v>46191</v>
      </c>
      <c r="F105" s="3" t="s">
        <v>63</v>
      </c>
      <c r="G105" s="3" t="s">
        <v>82</v>
      </c>
      <c r="H105" s="4">
        <v>1</v>
      </c>
      <c r="I105" s="4">
        <v>4976075</v>
      </c>
      <c r="J105" s="3" t="s">
        <v>271</v>
      </c>
      <c r="K105" s="3" t="s">
        <v>272</v>
      </c>
      <c r="L105" s="3" t="s">
        <v>273</v>
      </c>
      <c r="M105" s="5">
        <v>46189</v>
      </c>
      <c r="N105" s="3" t="s">
        <v>487</v>
      </c>
      <c r="O105" s="3" t="s">
        <v>488</v>
      </c>
      <c r="P105" s="3" t="s">
        <v>49</v>
      </c>
      <c r="Q105" s="6">
        <v>1402.3</v>
      </c>
      <c r="R105" s="6">
        <v>1402.3</v>
      </c>
      <c r="S105" s="5">
        <v>46195</v>
      </c>
      <c r="T105" s="3" t="s">
        <v>66</v>
      </c>
      <c r="U105" s="3" t="s">
        <v>76</v>
      </c>
      <c r="V105" s="3" t="s">
        <v>53</v>
      </c>
      <c r="W105" s="3" t="s">
        <v>32</v>
      </c>
      <c r="X105" s="3" t="s">
        <v>50</v>
      </c>
      <c r="Y105" s="3">
        <v>100102</v>
      </c>
      <c r="Z105" s="3" t="s">
        <v>342</v>
      </c>
      <c r="AA105" s="3">
        <v>100112</v>
      </c>
      <c r="AB105" s="3" t="s">
        <v>89</v>
      </c>
      <c r="AC105" s="4">
        <f ca="1">TODAY()-Open[[#This Row],[Status Date]]</f>
        <v>4</v>
      </c>
      <c r="AD105" s="3" t="s">
        <v>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2026-06-26T15:53:05Z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